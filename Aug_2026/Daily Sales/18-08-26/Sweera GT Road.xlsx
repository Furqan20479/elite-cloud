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4E5D7AA-45E0-47DF-8F34-0D2BCDF0073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7" i="60"/>
  <c r="O17" i="60" s="1"/>
  <c r="P17" i="60" s="1"/>
  <c r="M16" i="59"/>
  <c r="O16" i="59" s="1"/>
  <c r="P16" i="59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<sst xmlns="http://schemas.openxmlformats.org/spreadsheetml/2006/main" count="3977" uniqueCount="515">
  <si>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</si>
  <si>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</si>
  <si>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</si>
  <si>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</si>
  <si>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</si>
  <si>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</si>
  <si>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</si>
  <si>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</si>
  <si>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</si>
  <si>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</si>
  <si>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</si>
  <si>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</si>
  <si>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</si>
  <si>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</si>
  <si>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</si>
  <si>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</si>
  <si>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</si>
  <si>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</si>
  <si>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</si>
  <si>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</si>
  <si>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</si>
  <si>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</si>
  <si>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</si>
  <si>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</si>
  <si>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</si>
  <si>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</si>
  <si>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</si>
  <si>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</si>
  <si>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</si>
  <si>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</si>
  <si>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</si>
  <si>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</si>
  <si>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</si>
  <si>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</si>
  <si>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</si>
  <si>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</si>
  <si>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</si>
  <si>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</si>
  <si>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</si>
  <si>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</si>
  <si>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</si>
  <si>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</si>
  <si>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</si>
  <si>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</si>
  <si>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</si>
  <si>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</si>
  <si>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</si>
  <si>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</si>
  <si>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</si>
  <si>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</si>
  <si>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</si>
  <si>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</si>
  <si>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</si>
  <si>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</si>
  <si>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</si>
  <si>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</si>
  <si>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</si>
  <si>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</si>
  <si>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</si>
  <si>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</si>
  <si>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</si>
  <si>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</si>
  <si>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</si>
  <si>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</si>
  <si>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</si>
  <si>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</si>
  <si>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</si>
  <si>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</si>
  <si>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</si>
  <si>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</si>
  <si>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</si>
  <si>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</si>
  <si>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</si>
  <si>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</si>
  <si>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</si>
  <si>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</si>
  <si>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</si>
  <si>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</si>
  <si>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</si>
  <si>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</si>
  <si>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</si>
  <si>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</si>
  <si>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</si>
  <si>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</si>
  <si>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</si>
  <si>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</si>
  <si>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</si>
  <si>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</si>
  <si>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</si>
  <si>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</si>
  <si>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</si>
  <si>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</si>
  <si>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</si>
  <si>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</si>
  <si>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</si>
  <si>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</si>
  <si>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</si>
  <si>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</si>
  <si>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</si>
  <si>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</si>
  <si>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</si>
  <si>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</si>
  <si>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</si>
  <si>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</si>
  <si>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</si>
  <si>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</si>
  <si>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</si>
  <si>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</si>
  <si>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</si>
  <si>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</si>
  <si>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</si>
  <si>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</si>
  <si>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</si>
  <si>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</si>
  <si>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</si>
  <si>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</si>
  <si>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</si>
  <si>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</si>
  <si>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</si>
  <si>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</si>
  <si>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</si>
  <si>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</si>
  <si>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</si>
  <si>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</si>
  <si>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</si>
  <si>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</si>
  <si>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</si>
  <si>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</si>
  <si>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</si>
  <si>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</si>
  <si>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</si>
  <si>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</si>
  <si>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</si>
  <si>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</si>
  <si>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</si>
  <si>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</si>
  <si>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</si>
  <si>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</si>
  <si>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</si>
  <si>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</si>
  <si>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</si>
  <si>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</si>
  <si>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</si>
  <si>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</si>
  <si>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</si>
  <si>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</si>
  <si>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</si>
  <si>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</si>
  <si>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</si>
  <si>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</si>
  <si>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</si>
  <si>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</si>
  <si>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</si>
  <si>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</si>
  <si>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</si>
  <si>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</si>
  <si>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</si>
  <si>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</si>
  <si>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</si>
  <si>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</si>
  <si>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</si>
  <si>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</si>
  <si>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</si>
  <si>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</si>
  <si>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</si>
  <si>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</si>
  <si>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</si>
  <si>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</si>
  <si>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</si>
  <si>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</si>
  <si>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</si>
  <si>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</si>
  <si>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</si>
  <si>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</si>
  <si>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</si>
  <si>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</si>
  <si>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</si>
  <si>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</si>
  <si>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</si>
  <si>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</si>
  <si>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</si>
  <si>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</si>
  <si>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</si>
  <si>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</si>
  <si>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</si>
  <si>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</si>
  <si>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</si>
  <si>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</si>
  <si>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</si>
  <si>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</si>
  <si>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</si>
  <si>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</si>
  <si>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</si>
  <si>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</si>
  <si>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</si>
  <si>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</si>
  <si>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</si>
  <si>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</si>
  <si>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</si>
  <si>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</si>
  <si>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</si>
  <si>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</si>
  <si>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</si>
  <si>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</si>
  <si>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</si>
  <si>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</si>
  <si>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</si>
  <si>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</si>
  <si>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</si>
  <si>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</si>
  <si>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</si>
  <si>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</si>
  <si>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</si>
  <si>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</si>
  <si>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</si>
  <si>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</si>
  <si>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</si>
  <si>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</si>
  <si>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</si>
  <si>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</si>
  <si>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</si>
  <si>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</si>
  <si>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</si>
  <si>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</si>
  <si>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</si>
  <si>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</si>
  <si>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</si>
  <si>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</si>
  <si>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</si>
  <si>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</si>
  <si>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</si>
  <si>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</si>
  <si>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</si>
  <si>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</si>
  <si>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</si>
  <si>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</si>
  <si>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</si>
  <si>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</si>
  <si>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</si>
  <si>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</si>
  <si>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</si>
  <si>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</si>
  <si>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</si>
  <si>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</si>
  <si>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</si>
  <si>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</si>
  <si>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</si>
  <si>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</si>
  <si>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</si>
  <si>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</si>
  <si>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</si>
  <si>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</si>
  <si>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</si>
  <si>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</si>
  <si>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</si>
  <si>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</si>
  <si>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</si>
  <si>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</si>
  <si>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</si>
  <si>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</si>
  <si>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</si>
  <si>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</si>
  <si>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</si>
  <si>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</si>
  <si>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</si>
  <si>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</si>
  <si>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</si>
  <si>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</si>
  <si>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</si>
  <si>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</si>
  <si>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</si>
  <si>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</si>
  <si>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</si>
  <si>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</si>
  <si>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</si>
  <si>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</si>
  <si>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</si>
  <si>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</si>
  <si>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</si>
  <si>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</si>
  <si>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</si>
  <si>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</si>
  <si>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</si>
  <si>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</si>
  <si>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</si>
  <si>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</si>
  <si>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</si>
  <si>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</si>
  <si>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</si>
  <si>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</si>
  <si>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</si>
  <si>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</si>
  <si>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</si>
  <si>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</si>
  <si>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</si>
  <si>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</si>
  <si>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</si>
  <si>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</si>
  <si>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</si>
  <si>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</si>
  <si>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</si>
  <si>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</si>
  <si>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</si>
  <si>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</si>
  <si>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</si>
  <si>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</si>
  <si>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</si>
  <si>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</si>
  <si>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</si>
  <si>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</si>
  <si>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</si>
  <si>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</si>
  <si>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</si>
  <si>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</si>
  <si>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</si>
  <si>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</si>
  <si>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</si>
  <si>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</si>
  <si>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</si>
  <si>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</si>
  <si>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</si>
  <si>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</si>
  <si>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</si>
  <si>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</si>
  <si>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</si>
  <si>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</si>
  <si>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</si>
  <si>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</si>
  <si>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</si>
  <si>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</si>
  <si>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</si>
  <si>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</si>
  <si>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</si>
  <si>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</si>
  <si>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</si>
  <si>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</si>
  <si>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</si>
  <si>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</si>
  <si>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</si>
  <si>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</si>
  <si>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</si>
  <si>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</si>
  <si>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</si>
  <si>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</si>
  <si>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</si>
  <si>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</si>
  <si>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</si>
  <si>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</si>
  <si>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</si>
  <si>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</si>
  <si>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</si>
  <si>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</si>
  <si>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</si>
  <si>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</si>
  <si>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</si>
  <si>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</si>
  <si>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</si>
  <si>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</si>
  <si>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</si>
  <si>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</si>
  <si>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</si>
  <si>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</si>
  <si>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</si>
  <si>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</si>
  <si>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</si>
  <si>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</si>
  <si>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</si>
  <si>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</si>
  <si>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</si>
  <si>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</si>
  <si>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</si>
  <si>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</si>
  <si>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</si>
  <si>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</si>
  <si>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</si>
  <si>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</si>
  <si>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</si>
  <si>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</si>
  <si>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</si>
  <si>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</si>
  <si>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</si>
  <si>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</si>
  <si>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</si>
  <si>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</si>
  <si>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</si>
  <si>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</si>
  <si>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</si>
  <si>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</si>
  <si>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</si>
  <si>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</si>
  <si>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</si>
  <si>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</si>
  <si>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</si>
  <si>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</si>
  <si>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</si>
  <si>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</si>
  <si>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</si>
  <si>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</si>
  <si>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</si>
  <si>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</si>
  <si>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</si>
  <si>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</si>
  <si>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</si>
  <si>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</si>
  <si>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</si>
  <si>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</si>
  <si>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</si>
  <si>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</si>
  <si>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</si>
  <si>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</si>
  <si>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</si>
  <si>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</si>
  <si>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</si>
  <si>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</si>
  <si>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</si>
  <si>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</si>
  <si>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</si>
  <si>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</si>
  <si>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</si>
  <si>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</si>
  <si>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</si>
  <si>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</si>
  <si>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</si>
  <si>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</si>
  <si>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</si>
  <si>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</si>
  <si>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</si>
  <si>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</si>
  <si>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</si>
  <si>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</si>
  <si>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</si>
  <si>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</si>
  <si>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</si>
  <si>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</si>
  <si>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</si>
  <si>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</si>
  <si>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</si>
  <si>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</si>
  <si>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</si>
  <si>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</si>
  <si>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</si>
  <si>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</si>
  <si>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</si>
  <si>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</si>
  <si>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</si>
  <si>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</si>
  <si>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</si>
  <si>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</si>
  <si>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</si>
  <si>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</si>
  <si>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</si>
  <si>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</si>
  <si>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</si>
  <si>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</si>
  <si>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</si>
  <si>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</si>
  <si>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</si>
  <si>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</si>
  <si>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</si>
  <si>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</si>
  <si>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</si>
  <si>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</si>
  <si>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</si>
  <si>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</si>
  <si>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</si>
  <si>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</si>
  <si>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</si>
  <si>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</si>
  <si>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</si>
  <si>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</si>
  <si>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</si>
  <si>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</si>
  <si>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</si>
  <si>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</si>
  <si>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</si>
  <si>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</si>
  <si>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</si>
  <si>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</si>
  <si>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</si>
  <si>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</si>
  <si>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</si>
  <si>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</si>
  <si>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</si>
  <si>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</si>
  <si>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</si>
  <si>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</si>
  <si>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</si>
  <si>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</si>
  <si>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</si>
  <si>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</si>
  <si>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</si>
  <si>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</si>
  <si>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</si>
  <si>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</si>
  <si>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</si>
  <si>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</si>
  <si>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</si>
  <si>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</si>
  <si>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</si>
  <si>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</si>
  <si>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</si>
  <si>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</si>
  <si>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</si>
  <si>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</si>
  <si>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</si>
  <si>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</si>
  <si>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</si>
  <si>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</si>
  <si>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</si>
  <si>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</si>
  <si>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</si>
  <si>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</si>
  <si>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Sweera</t>
  </si>
  <si>
    <t>NTN / STRN #: 1265416-7 / 3520268948847</t>
  </si>
  <si>
    <t>Address:GT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</si>
</sst>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Sweera</v>
      </c>
      <c r="T3" s="301">
        <f>+'1'!P35</f>
        <v>78001.475218855936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Sweera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Sweera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Sweera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1259.0999999999999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8866.1625000000004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54.246066737288132</v>
      </c>
      <c r="P7" s="310">
        <f>M7+N7+O7</f>
        <v>10903.459414194915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Sweera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1259.0999999999999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8866.1625000000004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54.246066737288132</v>
      </c>
      <c r="P8" s="311">
        <f t="shared" ref="P8:P15" si="2">M8+N8+O8</f>
        <v>10903.459414194915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Sweera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Sweera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12276.16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75.109613559322028</v>
      </c>
      <c r="P10" s="311">
        <f t="shared" si="2"/>
        <v>15097.032325423728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Sweera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Sweera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Sweera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Sweera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Sweera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Sweera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30</v>
      </c>
      <c r="H16" s="113">
        <f t="shared" ref="H16:M16" si="3">SUM(H7:H15)</f>
        <v>1200</v>
      </c>
      <c r="I16" s="114">
        <f t="shared" si="3"/>
        <v>75061.5</v>
      </c>
      <c r="J16" s="274">
        <f>SUM(J7:J15)</f>
        <v>9007.3799999999992</v>
      </c>
      <c r="K16" s="275">
        <f t="shared" si="3"/>
        <v>2627.1525000000001</v>
      </c>
      <c r="L16" s="276">
        <f t="shared" si="3"/>
        <v>0</v>
      </c>
      <c r="M16" s="232">
        <f t="shared" si="3"/>
        <v>63426.967500000013</v>
      </c>
      <c r="N16" s="233">
        <f>SUM(N7:N15)</f>
        <v>14186.4406779661</v>
      </c>
      <c r="O16" s="101">
        <f>SUM(O7:O15)</f>
        <v>388.06704088983054</v>
      </c>
      <c r="P16" s="113">
        <f>SUM(P7:P15)</f>
        <v>78001.475218855936</v>
      </c>
      <c r="Q16" s="128">
        <f>SUM(Q7:Q15)</f>
        <v>0</v>
      </c>
      <c r="R16" s="314">
        <v>14</v>
      </c>
      <c r="S16" s="300" t="str">
        <f>+'14'!A6:A6</f>
        <v>Sweera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Sweera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Sweera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75061.5</v>
      </c>
      <c r="R19" s="299">
        <v>17</v>
      </c>
      <c r="S19" s="300" t="str">
        <f>+'17'!A6:A6</f>
        <v>Sweera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9007.3799999999992</v>
      </c>
      <c r="R20" s="299">
        <v>18</v>
      </c>
      <c r="S20" s="300" t="str">
        <f>+'18'!A6:A6</f>
        <v>Sweera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2627.1525000000001</v>
      </c>
      <c r="R21" s="299">
        <v>19</v>
      </c>
      <c r="S21" s="300" t="str">
        <f>+'19'!A6:A6</f>
        <v>Sweera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63426.967499999999</v>
      </c>
      <c r="R22" s="299">
        <v>20</v>
      </c>
      <c r="S22" s="300" t="str">
        <f>+'20'!A6:A6</f>
        <v>Sweera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14186.4406779661</v>
      </c>
      <c r="R23" s="299">
        <v>21</v>
      </c>
      <c r="S23" s="300" t="str">
        <f>+'21'!A6:A6</f>
        <v>Sweera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77613.408177966106</v>
      </c>
      <c r="R24" s="299">
        <v>22</v>
      </c>
      <c r="S24" s="300" t="str">
        <f>+'22'!A6:A6</f>
        <v>Sweera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388.06704088983054</v>
      </c>
      <c r="R25" s="299">
        <v>23</v>
      </c>
      <c r="S25" s="300" t="str">
        <f>+'23'!A6:A6</f>
        <v>Sweera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78001.475218855936</v>
      </c>
      <c r="R26" s="299">
        <v>24</v>
      </c>
      <c r="S26" s="300" t="str">
        <f>+'24'!A6:A6</f>
        <v>Sweera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Sweera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Sweera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Sweera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Sweera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Sweera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Sweera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78001.475218855936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1259.0999999999999</v>
      </c>
      <c r="K16" s="127">
        <f>$I16*T16</f>
        <v>367.23750000000001</v>
      </c>
      <c r="L16" s="118">
        <f>$I16*U16</f>
        <v>0</v>
      </c>
      <c r="M16" s="229">
        <f>I16-SUM(J16:L16)</f>
        <v>8866.1625000000004</v>
      </c>
      <c r="N16" s="248">
        <f>+(G16*D16+H16)*V16</f>
        <v>1983.0508474576263</v>
      </c>
      <c r="O16" s="238">
        <f>(N16+M16)*$O$15</f>
        <v>54.246066737288132</v>
      </c>
      <c r="P16" s="310">
        <f>M16+N16+O16</f>
        <v>10903.459414194915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1259.0999999999999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8866.1625000000004</v>
      </c>
      <c r="N17" s="277">
        <f t="shared" ref="N17:N24" si="3">+(G17*D17+H17)*V17</f>
        <v>1983.0508474576263</v>
      </c>
      <c r="O17" s="239">
        <f t="shared" ref="O17:O24" si="4">(N17+M17)*$O$15</f>
        <v>54.246066737288132</v>
      </c>
      <c r="P17" s="311">
        <f t="shared" ref="P17:P24" si="5">M17+N17+O17</f>
        <v>10903.459414194915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1743.36</v>
      </c>
      <c r="K19" s="128">
        <f t="shared" si="1"/>
        <v>508.48000000000008</v>
      </c>
      <c r="L19" s="119">
        <f t="shared" si="1"/>
        <v>0</v>
      </c>
      <c r="M19" s="230">
        <f t="shared" si="2"/>
        <v>12276.16</v>
      </c>
      <c r="N19" s="277">
        <f t="shared" si="3"/>
        <v>2745.7627118644068</v>
      </c>
      <c r="O19" s="239">
        <f t="shared" si="4"/>
        <v>75.109613559322028</v>
      </c>
      <c r="P19" s="311">
        <f t="shared" si="5"/>
        <v>15097.032325423728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R20">
        <f>P20/21</f>
        <v>718.90630121065374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75061.5</v>
      </c>
      <c r="J25" s="274">
        <f>SUM(J16:J24)</f>
        <v>9007.3799999999992</v>
      </c>
      <c r="K25" s="275">
        <f t="shared" si="10"/>
        <v>2627.1525000000001</v>
      </c>
      <c r="L25" s="276">
        <f t="shared" si="10"/>
        <v>0</v>
      </c>
      <c r="M25" s="232">
        <f t="shared" si="10"/>
        <v>63426.967500000013</v>
      </c>
      <c r="N25" s="233">
        <f>SUM(N16:N24)</f>
        <v>14186.4406779661</v>
      </c>
      <c r="O25" s="101">
        <f>SUM(O16:O24)</f>
        <v>388.06704088983054</v>
      </c>
      <c r="P25" s="113">
        <f>SUM(P16:P24)</f>
        <v>78001.475218855936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75061.5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9007.3799999999992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2627.1525000000001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63426.967499999999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77613.408177966106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388.06704088983054</v>
      </c>
    </row>
    <row r="35" spans="2:16" ht="15.75" customHeight="1" thickBot="1" x14ac:dyDescent="0.4">
      <c r="N35" s="371" t="s">
        <v>88</v>
      </c>
      <c r="O35" s="372"/>
      <c r="P35" s="297">
        <f>+P33+P34</f>
        <v>78001.475218855936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2026-08-18T05:11:17Z</dcterms:modified>
</cp:coreProperties>
</file>