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0D7E17-8F7B-48ED-8284-E721B715143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R20" i="57" s="1"/>
  <c r="M21" i="53"/>
  <c r="O21" i="53" s="1"/>
  <c r="P21" i="53" s="1"/>
  <c r="M16" i="48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<sst xmlns="http://schemas.openxmlformats.org/spreadsheetml/2006/main" count="3978" uniqueCount="533">
  <si>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</si>
  <si>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</si>
  <si>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</si>
  <si>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</si>
  <si>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</si>
  <si>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</si>
  <si>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</si>
  <si>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</si>
  <si>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</si>
  <si>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</si>
  <si>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</si>
  <si>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</si>
  <si>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</si>
  <si>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</si>
  <si>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</si>
  <si>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</si>
  <si>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</si>
  <si>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</si>
  <si>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</si>
  <si>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</si>
  <si>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</si>
  <si>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</si>
  <si>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</si>
  <si>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</si>
  <si>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</si>
  <si>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</si>
  <si>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</si>
  <si>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</si>
  <si>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</si>
  <si>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</si>
  <si>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</si>
  <si>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</si>
  <si>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</si>
  <si>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</si>
  <si>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</si>
  <si>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</si>
  <si>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</si>
  <si>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</si>
  <si>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</si>
  <si>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</si>
  <si>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</si>
  <si>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</si>
  <si>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</si>
  <si>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</si>
  <si>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</si>
  <si>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</si>
  <si>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</si>
  <si>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</si>
  <si>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</si>
  <si>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</si>
  <si>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</si>
  <si>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</si>
  <si>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</si>
  <si>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</si>
  <si>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</si>
  <si>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</si>
  <si>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</si>
  <si>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</si>
  <si>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</si>
  <si>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</si>
  <si>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</si>
  <si>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</si>
  <si>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</si>
  <si>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</si>
  <si>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</si>
  <si>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</si>
  <si>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</si>
  <si>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</si>
  <si>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</si>
  <si>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</si>
  <si>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</si>
  <si>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</si>
  <si>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</si>
  <si>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</si>
  <si>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</si>
  <si>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</si>
  <si>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</si>
  <si>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</si>
  <si>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</si>
  <si>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</si>
  <si>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</si>
  <si>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</si>
  <si>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</si>
  <si>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</si>
  <si>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</si>
  <si>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</si>
  <si>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</si>
  <si>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</si>
  <si>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</si>
  <si>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</si>
  <si>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</si>
  <si>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</si>
  <si>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</si>
  <si>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</si>
  <si>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</si>
  <si>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</si>
  <si>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</si>
  <si>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</si>
  <si>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</si>
  <si>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</si>
  <si>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</si>
  <si>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</si>
  <si>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</si>
  <si>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</si>
  <si>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</si>
  <si>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</si>
  <si>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</si>
  <si>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</si>
  <si>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</si>
  <si>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</si>
  <si>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</si>
  <si>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</si>
  <si>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</si>
  <si>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</si>
  <si>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</si>
  <si>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</si>
  <si>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</si>
  <si>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</si>
  <si>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</si>
  <si>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</si>
  <si>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</si>
  <si>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</si>
  <si>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</si>
  <si>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</si>
  <si>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</si>
  <si>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</si>
  <si>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</si>
  <si>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</si>
  <si>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</si>
  <si>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</si>
  <si>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</si>
  <si>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</si>
  <si>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</si>
  <si>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</si>
  <si>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</si>
  <si>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</si>
  <si>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</si>
  <si>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</si>
  <si>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</si>
  <si>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</si>
  <si>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</si>
  <si>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</si>
  <si>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</si>
  <si>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</si>
  <si>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</si>
  <si>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</si>
  <si>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</si>
  <si>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</si>
  <si>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</si>
  <si>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</si>
  <si>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</si>
  <si>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</si>
  <si>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</si>
  <si>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</si>
  <si>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</si>
  <si>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</si>
  <si>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</si>
  <si>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</si>
  <si>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</si>
  <si>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</si>
  <si>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</si>
  <si>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</si>
  <si>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</si>
  <si>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</si>
  <si>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</si>
  <si>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</si>
  <si>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</si>
  <si>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</si>
  <si>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</si>
  <si>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</si>
  <si>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</si>
  <si>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</si>
  <si>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</si>
  <si>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</si>
  <si>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</si>
  <si>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</si>
  <si>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</si>
  <si>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</si>
  <si>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</si>
  <si>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</si>
  <si>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</si>
  <si>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</si>
  <si>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</si>
  <si>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</si>
  <si>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</si>
  <si>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</si>
  <si>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</si>
  <si>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</si>
  <si>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</si>
  <si>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</si>
  <si>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</si>
  <si>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</si>
  <si>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</si>
  <si>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</si>
  <si>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</si>
  <si>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</si>
  <si>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</si>
  <si>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</si>
  <si>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</si>
  <si>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</si>
  <si>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</si>
  <si>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</si>
  <si>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</si>
  <si>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</si>
  <si>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</si>
  <si>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</si>
  <si>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</si>
  <si>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</si>
  <si>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</si>
  <si>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</si>
  <si>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</si>
  <si>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</si>
  <si>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</si>
  <si>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</si>
  <si>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</si>
  <si>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</si>
  <si>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</si>
  <si>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</si>
  <si>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</si>
  <si>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</si>
  <si>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</si>
  <si>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</si>
  <si>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</si>
  <si>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</si>
  <si>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</si>
  <si>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</si>
  <si>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</si>
  <si>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</si>
  <si>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</si>
  <si>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</si>
  <si>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</si>
  <si>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</si>
  <si>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</si>
  <si>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</si>
  <si>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</si>
  <si>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</si>
  <si>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</si>
  <si>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</si>
  <si>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</si>
  <si>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</si>
  <si>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</si>
  <si>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</si>
  <si>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</si>
  <si>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</si>
  <si>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</si>
  <si>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</si>
  <si>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</si>
  <si>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</si>
  <si>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</si>
  <si>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</si>
  <si>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</si>
  <si>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</si>
  <si>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</si>
  <si>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</si>
  <si>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</si>
  <si>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</si>
  <si>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</si>
  <si>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</si>
  <si>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</si>
  <si>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</si>
  <si>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</si>
  <si>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</si>
  <si>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</si>
  <si>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</si>
  <si>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</si>
  <si>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</si>
  <si>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</si>
  <si>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</si>
  <si>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</si>
  <si>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</si>
  <si>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</si>
  <si>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</si>
  <si>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</si>
  <si>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</si>
  <si>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</si>
  <si>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</si>
  <si>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</si>
  <si>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</si>
  <si>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</si>
  <si>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</si>
  <si>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</si>
  <si>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</si>
  <si>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</si>
  <si>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</si>
  <si>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</si>
  <si>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</si>
  <si>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</si>
  <si>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</si>
  <si>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</si>
  <si>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</si>
  <si>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</si>
  <si>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</si>
  <si>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</si>
  <si>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</si>
  <si>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</si>
  <si>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</si>
  <si>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</si>
  <si>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</si>
  <si>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</si>
  <si>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</si>
  <si>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</si>
  <si>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</si>
  <si>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</si>
  <si>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</si>
  <si>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</si>
  <si>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</si>
  <si>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</si>
  <si>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</si>
  <si>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</si>
  <si>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</si>
  <si>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</si>
  <si>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</si>
  <si>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</si>
  <si>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</si>
  <si>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</si>
  <si>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</si>
  <si>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</si>
  <si>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</si>
  <si>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</si>
  <si>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</si>
  <si>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</si>
  <si>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</si>
  <si>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</si>
  <si>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</si>
  <si>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</si>
  <si>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</si>
  <si>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</si>
  <si>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</si>
  <si>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</si>
  <si>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</si>
  <si>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</si>
  <si>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</si>
  <si>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</si>
  <si>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</si>
  <si>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</si>
  <si>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</si>
  <si>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</si>
  <si>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</si>
  <si>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</si>
  <si>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</si>
  <si>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</si>
  <si>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</si>
  <si>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</si>
  <si>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</si>
  <si>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</si>
  <si>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</si>
  <si>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</si>
  <si>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</si>
  <si>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</si>
  <si>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</si>
  <si>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</si>
  <si>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</si>
  <si>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</si>
  <si>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</si>
  <si>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</si>
  <si>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</si>
  <si>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</si>
  <si>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</si>
  <si>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</si>
  <si>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</si>
  <si>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</si>
  <si>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</si>
  <si>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</si>
  <si>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</si>
  <si>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</si>
  <si>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</si>
  <si>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</si>
  <si>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</si>
  <si>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</si>
  <si>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</si>
  <si>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</si>
  <si>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</si>
  <si>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</si>
  <si>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</si>
  <si>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</si>
  <si>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</si>
  <si>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</si>
  <si>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</si>
  <si>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</si>
  <si>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</si>
  <si>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</si>
  <si>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</si>
  <si>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</si>
  <si>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</si>
  <si>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</si>
  <si>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</si>
  <si>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</si>
  <si>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</si>
  <si>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</si>
  <si>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</si>
  <si>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</si>
  <si>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</si>
  <si>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</si>
  <si>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</si>
  <si>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</si>
  <si>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</si>
  <si>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</si>
  <si>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</si>
  <si>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</si>
  <si>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</si>
  <si>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</si>
  <si>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</si>
  <si>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</si>
  <si>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</si>
  <si>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</si>
  <si>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</si>
  <si>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</si>
  <si>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</si>
  <si>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</si>
  <si>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</si>
  <si>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</si>
  <si>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</si>
  <si>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</si>
  <si>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</si>
  <si>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</si>
  <si>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</si>
  <si>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</si>
  <si>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</si>
  <si>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</si>
  <si>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</si>
  <si>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</si>
  <si>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</si>
  <si>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</si>
  <si>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</si>
  <si>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</si>
  <si>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</si>
  <si>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</si>
  <si>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</si>
  <si>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</si>
  <si>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</si>
  <si>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</si>
  <si>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</si>
  <si>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</si>
  <si>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</si>
  <si>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</si>
  <si>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</si>
  <si>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</si>
  <si>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</si>
  <si>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</si>
  <si>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</si>
  <si>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</si>
  <si>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</si>
  <si>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</si>
  <si>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</si>
  <si>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</si>
  <si>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</si>
  <si>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</si>
  <si>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</si>
  <si>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</si>
  <si>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</si>
  <si>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</si>
  <si>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</si>
  <si>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</si>
  <si>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</si>
  <si>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</si>
  <si>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</si>
  <si>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</si>
  <si>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</si>
  <si>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</si>
  <si>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</si>
  <si>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</si>
  <si>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</si>
  <si>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</si>
  <si>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</si>
  <si>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</si>
  <si>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</si>
  <si>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</si>
  <si>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</si>
  <si>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</si>
  <si>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</si>
  <si>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</si>
  <si>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</si>
  <si>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</si>
  <si>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</si>
  <si>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</si>
  <si>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</si>
  <si>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</si>
  <si>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</si>
  <si>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</si>
  <si>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</si>
  <si>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</si>
  <si>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</si>
  <si>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</si>
  <si>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</si>
  <si>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</si>
  <si>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</si>
  <si>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</si>
  <si>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</si>
  <si>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</si>
  <si>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</si>
  <si>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</si>
  <si>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</si>
  <si>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</si>
  <si>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</si>
  <si>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</si>
  <si>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</si>
  <si>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</si>
  <si>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</si>
  <si>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</si>
  <si>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</si>
  <si>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</si>
  <si>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</si>
  <si>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</si>
  <si>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</si>
  <si>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</si>
  <si>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</si>
  <si>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</si>
  <si>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</si>
  <si>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</si>
  <si>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</si>
  <si>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</si>
  <si>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</si>
  <si>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</si>
  <si>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</si>
  <si>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</si>
  <si>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</si>
  <si>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Address: Rifal Range Road</t>
  </si>
  <si>
    <t>Mirch Mehal Store</t>
  </si>
  <si>
    <t>Daim Store</t>
  </si>
  <si>
    <t xml:space="preserve">Madni Bakers </t>
  </si>
  <si>
    <t>Umer Store</t>
  </si>
  <si>
    <t>Madina Store</t>
  </si>
  <si>
    <t>Khan Store</t>
  </si>
  <si>
    <t>786 Store</t>
  </si>
  <si>
    <t xml:space="preserve">Bread &amp; Butter </t>
  </si>
  <si>
    <t>Ahmad Pharmacy</t>
  </si>
  <si>
    <t>Hyper Store</t>
  </si>
  <si>
    <t>Best Mart</t>
  </si>
  <si>
    <t xml:space="preserve">Shamza Bakers </t>
  </si>
  <si>
    <t>Khwaja Store</t>
  </si>
  <si>
    <t xml:space="preserve">Bin Hadi </t>
  </si>
  <si>
    <t>Awan Store</t>
  </si>
  <si>
    <t>Kashmir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</si>
</sst>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F31" sqref="F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Mirch Mehal Store</v>
      </c>
      <c r="T3" s="301">
        <f>+'1'!P35</f>
        <v>3970.8005418305079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Daim Store</v>
      </c>
      <c r="T4" s="301">
        <f>+'2'!P35</f>
        <v>1290.7284250461862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Madni Bakers 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Umer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</v>
      </c>
      <c r="I7" s="235">
        <f>(G7*D7)*F7+H7*F7</f>
        <v>419.7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33.576000000000001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14.689500000000001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371.43449999999996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79.322033898305051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2.2537826694915255</v>
      </c>
      <c r="P7" s="310">
        <f>M7+N7+O7</f>
        <v>453.01031656779651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Madina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43</v>
      </c>
      <c r="I8" s="236">
        <f t="shared" ref="I8:I14" si="0">(G8*D8)*F8+H8*F8</f>
        <v>2255.8874999999998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180.47099999999998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78.956062500000002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1996.4604374999999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426.35593220338967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12.11408184851695</v>
      </c>
      <c r="P8" s="311">
        <f t="shared" ref="P8:P15" si="2">M8+N8+O8</f>
        <v>2434.9304515519066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Khan Store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786 Store</v>
      </c>
      <c r="T9" s="301">
        <f>+'7'!P35</f>
        <v>491.7786870413135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75</v>
      </c>
      <c r="I10" s="236">
        <f t="shared" si="0"/>
        <v>5448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435.84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190.68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4821.4799999999996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1029.6610169491528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29.255705084745767</v>
      </c>
      <c r="P10" s="311">
        <f t="shared" si="2"/>
        <v>5880.3967220338973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Bread &amp; Butter </v>
      </c>
      <c r="T10" s="301">
        <f>+'8'!P35</f>
        <v>5937.9152899957635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727.62711864406776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20.674031593220338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Ahmad Pharmacy</v>
      </c>
      <c r="T11" s="301">
        <f>+'9'!P35</f>
        <v>4805.3894985762709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82</v>
      </c>
      <c r="I12" s="236">
        <f t="shared" si="0"/>
        <v>5956.4800000000005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476.51839999999999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208.4768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5271.4848000000002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1125.7627118644068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31.986237559322035</v>
      </c>
      <c r="P12" s="311">
        <f t="shared" si="2"/>
        <v>6429.233749423729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Hyper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229</v>
      </c>
      <c r="I13" s="236">
        <f t="shared" si="0"/>
        <v>8983.67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449.18350000000009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314.42845000000011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458.16717</v>
      </c>
      <c r="M13" s="230">
        <f t="shared" si="1"/>
        <v>7761.8908799999999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1746.6101694915244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47.542505247457626</v>
      </c>
      <c r="P13" s="311">
        <f t="shared" si="2"/>
        <v>9556.0435547389825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Best Mart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Shamza Bakers 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Khwaja Store</v>
      </c>
      <c r="T15" s="301">
        <f>+'13'!P35</f>
        <v>784.05289627118646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12.25</v>
      </c>
      <c r="H16" s="113">
        <f t="shared" ref="H16:M16" si="3">SUM(H7:H15)</f>
        <v>490</v>
      </c>
      <c r="I16" s="114">
        <f t="shared" si="3"/>
        <v>26913.657500000001</v>
      </c>
      <c r="J16" s="274">
        <f>SUM(J7:J15)</f>
        <v>1883.5825</v>
      </c>
      <c r="K16" s="275">
        <f t="shared" si="3"/>
        <v>941.97801250000009</v>
      </c>
      <c r="L16" s="276">
        <f t="shared" si="3"/>
        <v>458.16717</v>
      </c>
      <c r="M16" s="232">
        <f t="shared" si="3"/>
        <v>23629.9298175</v>
      </c>
      <c r="N16" s="233">
        <f>SUM(N7:N15)</f>
        <v>5135.3389830508468</v>
      </c>
      <c r="O16" s="101">
        <f>SUM(O7:O15)</f>
        <v>143.82634400275424</v>
      </c>
      <c r="P16" s="113">
        <f>SUM(P7:P15)</f>
        <v>28909.095144553601</v>
      </c>
      <c r="Q16" s="128">
        <f>SUM(Q7:Q15)</f>
        <v>0</v>
      </c>
      <c r="R16" s="314">
        <v>14</v>
      </c>
      <c r="S16" s="300" t="str">
        <f>+'14'!A6:A6</f>
        <v xml:space="preserve">Bin Hadi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Awan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Kashmir Store</v>
      </c>
      <c r="T18" s="301">
        <f>+'16'!P35</f>
        <v>6474.5674120677959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26913.657500000001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1883.5825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1400.1451825000001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23629.9298175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5135.3389830508468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28765.268800550846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143.82634400275424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28909.095144553601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28909.095144553597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3690.2</v>
      </c>
      <c r="J25" s="274">
        <f>SUM(J16:J24)</f>
        <v>271.678</v>
      </c>
      <c r="K25" s="275">
        <f t="shared" si="10"/>
        <v>129.15700000000001</v>
      </c>
      <c r="L25" s="276">
        <f t="shared" si="10"/>
        <v>40.014600000000002</v>
      </c>
      <c r="M25" s="232">
        <f t="shared" si="10"/>
        <v>3249.3503999999998</v>
      </c>
      <c r="N25" s="233">
        <f>SUM(N16:N24)</f>
        <v>701.69491525423723</v>
      </c>
      <c r="O25" s="101">
        <f>SUM(O16:O24)</f>
        <v>19.755226576271188</v>
      </c>
      <c r="P25" s="113">
        <f>SUM(P16:P24)</f>
        <v>3970.8005418305083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3690.2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271.678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169.17160000000001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3249.3503999999998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3951.0453152542368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71" t="s">
        <v>88</v>
      </c>
      <c r="O35" s="372"/>
      <c r="P35" s="297">
        <f>+P33+P34</f>
        <v>3970.8005418305079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20</v>
      </c>
      <c r="I25" s="114">
        <f t="shared" si="7"/>
        <v>1198.095</v>
      </c>
      <c r="J25" s="274">
        <f>SUM(J16:J24)</f>
        <v>91.14</v>
      </c>
      <c r="K25" s="275">
        <f t="shared" si="7"/>
        <v>41.933325000000011</v>
      </c>
      <c r="L25" s="276">
        <f t="shared" si="7"/>
        <v>8.0029199999999996</v>
      </c>
      <c r="M25" s="232">
        <f t="shared" si="7"/>
        <v>1057.0187550000001</v>
      </c>
      <c r="N25" s="233">
        <f>SUM(N16:N24)</f>
        <v>227.28813559322029</v>
      </c>
      <c r="O25" s="101">
        <f>SUM(O16:O24)</f>
        <v>6.4215344529661023</v>
      </c>
      <c r="P25" s="113">
        <f>SUM(P16:P24)</f>
        <v>1290.7284250461864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1198.095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91.14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49.936245000000014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1057.0187549999998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227.28813559322029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1284.30689059322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6.4215344529661005</v>
      </c>
    </row>
    <row r="35" spans="2:16" ht="15.75" customHeight="1" thickBot="1" x14ac:dyDescent="0.4">
      <c r="N35" s="371" t="s">
        <v>88</v>
      </c>
      <c r="O35" s="372"/>
      <c r="P35" s="297">
        <f>+P33+P34</f>
        <v>1290.7284250461862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392.30000000000007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19.615000000000006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33.737800000000007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338.94720000000007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415.21838644067799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1" t="s">
        <v>88</v>
      </c>
      <c r="O35" s="372"/>
      <c r="P35" s="297">
        <f>+P33+P34</f>
        <v>417.29447837288137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458.46250000000003</v>
      </c>
      <c r="J25" s="274">
        <f>SUM(J16:J24)</f>
        <v>30.792500000000004</v>
      </c>
      <c r="K25" s="275">
        <f t="shared" si="7"/>
        <v>16.046187500000002</v>
      </c>
      <c r="L25" s="276">
        <f t="shared" si="7"/>
        <v>10.00365</v>
      </c>
      <c r="M25" s="232">
        <f t="shared" si="7"/>
        <v>401.62016250000005</v>
      </c>
      <c r="N25" s="233">
        <f>SUM(N16:N24)</f>
        <v>87.711864406779625</v>
      </c>
      <c r="O25" s="101">
        <f>SUM(O16:O24)</f>
        <v>2.4466601345338983</v>
      </c>
      <c r="P25" s="113">
        <f>SUM(P16:P24)</f>
        <v>491.77868704131356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458.46250000000003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30.792500000000004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26.049837500000002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401.62016249999999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87.711864406779625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489.33202690677962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2.4466601345338983</v>
      </c>
    </row>
    <row r="35" spans="2:16" ht="15.75" customHeight="1" thickBot="1" x14ac:dyDescent="0.4">
      <c r="N35" s="371" t="s">
        <v>88</v>
      </c>
      <c r="O35" s="372"/>
      <c r="P35" s="297">
        <f>+P33+P34</f>
        <v>491.7786870413135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100</v>
      </c>
      <c r="I25" s="114">
        <f t="shared" si="7"/>
        <v>5524.0500000000011</v>
      </c>
      <c r="J25" s="274">
        <f>SUM(J16:J24)</f>
        <v>394.84800000000001</v>
      </c>
      <c r="K25" s="275">
        <f t="shared" si="7"/>
        <v>193.34175000000005</v>
      </c>
      <c r="L25" s="276">
        <f t="shared" si="7"/>
        <v>80.029200000000003</v>
      </c>
      <c r="M25" s="232">
        <f t="shared" si="7"/>
        <v>4855.8310500000007</v>
      </c>
      <c r="N25" s="233">
        <f>SUM(N16:N24)</f>
        <v>1052.5423728813557</v>
      </c>
      <c r="O25" s="101">
        <f>SUM(O16:O24)</f>
        <v>29.541867114406777</v>
      </c>
      <c r="P25" s="113">
        <f>SUM(P16:P24)</f>
        <v>5937.9152899957626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5524.0500000000011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394.84800000000001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273.37095000000005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4855.8310500000007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1052.5423728813557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5908.3734228813564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29.541867114406784</v>
      </c>
    </row>
    <row r="35" spans="2:16" ht="15.75" customHeight="1" thickBot="1" x14ac:dyDescent="0.4">
      <c r="N35" s="371" t="s">
        <v>88</v>
      </c>
      <c r="O35" s="372"/>
      <c r="P35" s="297">
        <f>+P33+P34</f>
        <v>5937.9152899957635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524.625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41.97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18.361875000000001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464.29312499999997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563.4456673728813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1" t="s">
        <v>88</v>
      </c>
      <c r="O35" s="372"/>
      <c r="P35" s="297">
        <f>+P33+P34</f>
        <v>566.26289570974575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726.4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58.112000000000002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25.424000000000003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642.86400000000003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780.15213559322035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1" t="s">
        <v>88</v>
      </c>
      <c r="O35" s="372"/>
      <c r="P35" s="297">
        <f>+P33+P34</f>
        <v>784.05289627118646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92" t="s">
        <v>69</v>
      </c>
      <c r="L6" s="392"/>
      <c r="M6" s="392"/>
      <c r="N6" s="394" t="s">
        <v>504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6044</v>
      </c>
      <c r="J25" s="274">
        <f>SUM(J16:J24)</f>
        <v>389.36800000000005</v>
      </c>
      <c r="K25" s="275">
        <f t="shared" si="7"/>
        <v>211.54000000000002</v>
      </c>
      <c r="L25" s="276">
        <f t="shared" si="7"/>
        <v>160.05840000000001</v>
      </c>
      <c r="M25" s="232">
        <f t="shared" si="7"/>
        <v>5283.0336000000007</v>
      </c>
      <c r="N25" s="233">
        <f>SUM(N16:N24)</f>
        <v>1159.3220338983047</v>
      </c>
      <c r="O25" s="101">
        <f>SUM(O16:O24)</f>
        <v>32.211778169491524</v>
      </c>
      <c r="P25" s="113">
        <f>SUM(P16:P24)</f>
        <v>6474.5674120677968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6044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389.36800000000005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371.59840000000003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5283.0335999999998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1159.3220338983047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6442.3556338983044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32.211778169491524</v>
      </c>
    </row>
    <row r="35" spans="2:16" ht="15.75" customHeight="1" thickBot="1" x14ac:dyDescent="0.4">
      <c r="N35" s="371" t="s">
        <v>88</v>
      </c>
      <c r="O35" s="372"/>
      <c r="P35" s="297">
        <f>+P33+P34</f>
        <v>6474.5674120677959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2026-08-18T04:28:18Z</dcterms:modified>
</cp:coreProperties>
</file>