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246852F-E441-4595-B046-BD4BD0F4AB4A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8" l="1"/>
  <c r="M20" i="71"/>
  <c r="O20" i="71" s="1"/>
  <c r="P20" i="71" s="1"/>
  <c r="R20" i="71" s="1"/>
  <c r="M16" i="60"/>
  <c r="O16" i="60" s="1"/>
  <c r="P16" i="60" s="1"/>
  <c r="M16" i="58"/>
  <c r="O16" i="58" s="1"/>
  <c r="P16" i="58" s="1"/>
  <c r="M16" i="59"/>
  <c r="M21" i="51"/>
  <c r="M16" i="66"/>
  <c r="O16" i="66" s="1"/>
  <c r="M16" i="44"/>
  <c r="O16" i="44" s="1"/>
  <c r="M20" i="70"/>
  <c r="O20" i="70" s="1"/>
  <c r="P20" i="70" s="1"/>
  <c r="R20" i="70" s="1"/>
  <c r="M16" i="64"/>
  <c r="M16" i="65"/>
  <c r="M16" i="72"/>
  <c r="O16" i="72" s="1"/>
  <c r="P16" i="72" s="1"/>
  <c r="M18" i="67"/>
  <c r="O18" i="67" s="1"/>
  <c r="P18" i="67" s="1"/>
  <c r="M21" i="68"/>
  <c r="O21" i="68" s="1"/>
  <c r="P21" i="68" s="1"/>
  <c r="M17" i="60"/>
  <c r="O17" i="60" s="1"/>
  <c r="P17" i="60" s="1"/>
  <c r="M20" i="46"/>
  <c r="O20" i="46" s="1"/>
  <c r="P20" i="46" s="1"/>
  <c r="R20" i="46" s="1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22" i="51"/>
  <c r="P22" i="51" s="1"/>
  <c r="O23" i="60"/>
  <c r="P23" i="60" s="1"/>
  <c r="O16" i="64"/>
  <c r="P16" i="64" s="1"/>
  <c r="O23" i="66"/>
  <c r="P23" i="66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 s="1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<sst xmlns="http://schemas.openxmlformats.org/spreadsheetml/2006/main" count="3977" uniqueCount="516">
  <si>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</si>
  <si>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</si>
  <si>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</si>
  <si>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</si>
  <si>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</si>
  <si>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</si>
  <si>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</si>
  <si>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</si>
  <si>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</si>
  <si>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</si>
  <si>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</si>
  <si>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</si>
  <si>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</si>
  <si>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</si>
  <si>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</si>
  <si>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</si>
  <si>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</si>
  <si>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</si>
  <si>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</si>
  <si>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</si>
  <si>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</si>
  <si>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</si>
  <si>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</si>
  <si>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</si>
  <si>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</si>
  <si>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</si>
  <si>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</si>
  <si>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</si>
  <si>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</si>
  <si>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</si>
  <si>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</si>
  <si>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</si>
  <si>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</si>
  <si>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</si>
  <si>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</si>
  <si>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</si>
  <si>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</si>
  <si>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</si>
  <si>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</si>
  <si>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</si>
  <si>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</si>
  <si>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</si>
  <si>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</si>
  <si>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</si>
  <si>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</si>
  <si>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</si>
  <si>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</si>
  <si>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</si>
  <si>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</si>
  <si>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</si>
  <si>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</si>
  <si>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</si>
  <si>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</si>
  <si>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</si>
  <si>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</si>
  <si>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</si>
  <si>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</si>
  <si>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</si>
  <si>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</si>
  <si>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</si>
  <si>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</si>
  <si>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</si>
  <si>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</si>
  <si>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</si>
  <si>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</si>
  <si>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</si>
  <si>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</si>
  <si>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</si>
  <si>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</si>
  <si>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</si>
  <si>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</si>
  <si>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</si>
  <si>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</si>
  <si>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</si>
  <si>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</si>
  <si>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</si>
  <si>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</si>
  <si>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</si>
  <si>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</si>
  <si>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</si>
  <si>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</si>
  <si>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</si>
  <si>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</si>
  <si>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</si>
  <si>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</si>
  <si>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</si>
  <si>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</si>
  <si>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</si>
  <si>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</si>
  <si>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</si>
  <si>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</si>
  <si>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</si>
  <si>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</si>
  <si>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</si>
  <si>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</si>
  <si>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</si>
  <si>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</si>
  <si>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</si>
  <si>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</si>
  <si>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</si>
  <si>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</si>
  <si>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</si>
  <si>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</si>
  <si>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</si>
  <si>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</si>
  <si>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</si>
  <si>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</si>
  <si>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</si>
  <si>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</si>
  <si>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</si>
  <si>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</si>
  <si>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</si>
  <si>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</si>
  <si>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</si>
  <si>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</si>
  <si>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</si>
  <si>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</si>
  <si>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</si>
  <si>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</si>
  <si>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</si>
  <si>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</si>
  <si>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</si>
  <si>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</si>
  <si>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</si>
  <si>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</si>
  <si>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</si>
  <si>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</si>
  <si>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</si>
  <si>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</si>
  <si>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</si>
  <si>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</si>
  <si>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</si>
  <si>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</si>
  <si>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</si>
  <si>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</si>
  <si>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</si>
  <si>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</si>
  <si>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</si>
  <si>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</si>
  <si>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</si>
  <si>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</si>
  <si>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</si>
  <si>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</si>
  <si>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</si>
  <si>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</si>
  <si>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</si>
  <si>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</si>
  <si>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</si>
  <si>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</si>
  <si>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</si>
  <si>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</si>
  <si>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</si>
  <si>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</si>
  <si>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</si>
  <si>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</si>
  <si>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</si>
  <si>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</si>
  <si>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</si>
  <si>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</si>
  <si>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</si>
  <si>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</si>
  <si>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</si>
  <si>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</si>
  <si>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</si>
  <si>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</si>
  <si>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</si>
  <si>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</si>
  <si>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</si>
  <si>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</si>
  <si>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</si>
  <si>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</si>
  <si>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</si>
  <si>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</si>
  <si>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</si>
  <si>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</si>
  <si>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</si>
  <si>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</si>
  <si>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</si>
  <si>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</si>
  <si>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</si>
  <si>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</si>
  <si>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</si>
  <si>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</si>
  <si>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</si>
  <si>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</si>
  <si>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</si>
  <si>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</si>
  <si>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</si>
  <si>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</si>
  <si>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</si>
  <si>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</si>
  <si>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</si>
  <si>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</si>
  <si>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</si>
  <si>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</si>
  <si>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</si>
  <si>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</si>
  <si>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</si>
  <si>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</si>
  <si>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</si>
  <si>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</si>
  <si>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</si>
  <si>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</si>
  <si>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</si>
  <si>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</si>
  <si>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</si>
  <si>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</si>
  <si>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</si>
  <si>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</si>
  <si>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</si>
  <si>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</si>
  <si>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</si>
  <si>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</si>
  <si>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</si>
  <si>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</si>
  <si>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</si>
  <si>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</si>
  <si>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</si>
  <si>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</si>
  <si>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</si>
  <si>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</si>
  <si>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</si>
  <si>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</si>
  <si>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</si>
  <si>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</si>
  <si>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</si>
  <si>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</si>
  <si>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</si>
  <si>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</si>
  <si>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</si>
  <si>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</si>
  <si>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</si>
  <si>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</si>
  <si>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</si>
  <si>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</si>
  <si>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</si>
  <si>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</si>
  <si>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</si>
  <si>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</si>
  <si>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</si>
  <si>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</si>
  <si>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</si>
  <si>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</si>
  <si>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</si>
  <si>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</si>
  <si>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</si>
  <si>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</si>
  <si>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</si>
  <si>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</si>
  <si>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</si>
  <si>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</si>
  <si>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</si>
  <si>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</si>
  <si>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</si>
  <si>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</si>
  <si>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</si>
  <si>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</si>
  <si>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</si>
  <si>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</si>
  <si>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</si>
  <si>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</si>
  <si>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</si>
  <si>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</si>
  <si>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</si>
  <si>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</si>
  <si>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</si>
  <si>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</si>
  <si>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</si>
  <si>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</si>
  <si>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</si>
  <si>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</si>
  <si>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</si>
  <si>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</si>
  <si>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</si>
  <si>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</si>
  <si>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</si>
  <si>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</si>
  <si>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</si>
  <si>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</si>
  <si>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</si>
  <si>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</si>
  <si>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</si>
  <si>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</si>
  <si>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</si>
  <si>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</si>
  <si>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</si>
  <si>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</si>
  <si>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</si>
  <si>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</si>
  <si>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</si>
  <si>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</si>
  <si>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</si>
  <si>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</si>
  <si>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</si>
  <si>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</si>
  <si>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</si>
  <si>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</si>
  <si>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</si>
  <si>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</si>
  <si>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</si>
  <si>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</si>
  <si>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</si>
  <si>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</si>
  <si>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</si>
  <si>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</si>
  <si>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</si>
  <si>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</si>
  <si>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</si>
  <si>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</si>
  <si>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</si>
  <si>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</si>
  <si>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</si>
  <si>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</si>
  <si>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</si>
  <si>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</si>
  <si>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</si>
  <si>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</si>
  <si>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</si>
  <si>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</si>
  <si>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</si>
  <si>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</si>
  <si>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</si>
  <si>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</si>
  <si>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</si>
  <si>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</si>
  <si>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</si>
  <si>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</si>
  <si>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</si>
  <si>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</si>
  <si>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</si>
  <si>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</si>
  <si>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</si>
  <si>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</si>
  <si>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</si>
  <si>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</si>
  <si>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</si>
  <si>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</si>
  <si>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</si>
  <si>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</si>
  <si>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</si>
  <si>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</si>
  <si>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</si>
  <si>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</si>
  <si>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</si>
  <si>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</si>
  <si>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</si>
  <si>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</si>
  <si>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</si>
  <si>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</si>
  <si>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</si>
  <si>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</si>
  <si>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</si>
  <si>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</si>
  <si>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</si>
  <si>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</si>
  <si>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</si>
  <si>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</si>
  <si>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</si>
  <si>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</si>
  <si>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</si>
  <si>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</si>
  <si>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</si>
  <si>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</si>
  <si>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</si>
  <si>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</si>
  <si>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</si>
  <si>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</si>
  <si>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</si>
  <si>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</si>
  <si>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</si>
  <si>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</si>
  <si>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</si>
  <si>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</si>
  <si>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</si>
  <si>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</si>
  <si>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</si>
  <si>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</si>
  <si>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</si>
  <si>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</si>
  <si>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</si>
  <si>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</si>
  <si>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</si>
  <si>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</si>
  <si>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</si>
  <si>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</si>
  <si>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</si>
  <si>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</si>
  <si>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</si>
  <si>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</si>
  <si>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</si>
  <si>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</si>
  <si>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</si>
  <si>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</si>
  <si>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</si>
  <si>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</si>
  <si>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</si>
  <si>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</si>
  <si>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</si>
  <si>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</si>
  <si>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</si>
  <si>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</si>
  <si>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</si>
  <si>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</si>
  <si>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</si>
  <si>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</si>
  <si>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</si>
  <si>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</si>
  <si>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</si>
  <si>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</si>
  <si>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</si>
  <si>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</si>
  <si>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</si>
  <si>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</si>
  <si>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</si>
  <si>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</si>
  <si>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</si>
  <si>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</si>
  <si>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</si>
  <si>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</si>
  <si>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</si>
  <si>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</si>
  <si>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</si>
  <si>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</si>
  <si>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</si>
  <si>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</si>
  <si>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</si>
  <si>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</si>
  <si>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</si>
  <si>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</si>
  <si>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</si>
  <si>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</si>
  <si>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</si>
  <si>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</si>
  <si>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</si>
  <si>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</si>
  <si>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</si>
  <si>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</si>
  <si>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</si>
  <si>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</si>
  <si>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</si>
  <si>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</si>
  <si>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</si>
  <si>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</si>
  <si>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</si>
  <si>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</si>
  <si>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</si>
  <si>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</si>
  <si>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</si>
  <si>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</si>
  <si>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</si>
  <si>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</si>
  <si>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</si>
  <si>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</si>
  <si>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</si>
  <si>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</si>
  <si>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</si>
  <si>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</si>
  <si>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</si>
  <si>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</si>
  <si>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</si>
  <si>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</si>
  <si>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</si>
  <si>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</si>
  <si>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</si>
  <si>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</si>
  <si>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</si>
  <si>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</si>
  <si>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</si>
  <si>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</si>
  <si>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</si>
  <si>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</si>
  <si>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</si>
  <si>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</si>
  <si>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</si>
  <si>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</si>
  <si>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</si>
  <si>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</si>
  <si>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</si>
  <si>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</si>
  <si>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</si>
  <si>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</si>
  <si>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</si>
  <si>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</si>
  <si>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</si>
  <si>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</si>
  <si>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</si>
  <si>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</si>
  <si>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</si>
  <si>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</si>
  <si>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</si>
  <si>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</si>
  <si>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</si>
  <si>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</si>
  <si>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</si>
  <si>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</si>
  <si>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</si>
  <si>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</si>
  <si>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</si>
  <si>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</si>
  <si>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</si>
  <si>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</si>
  <si>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</si>
  <si>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</si>
  <si>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</si>
  <si>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</si>
  <si>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</si>
  <si>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</si>
  <si>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</si>
  <si>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</si>
  <si>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</si>
  <si>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</si>
  <si>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</si>
  <si>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NTN #: 1010737-1</t>
  </si>
  <si>
    <t xml:space="preserve">Jalal Sons </t>
  </si>
  <si>
    <t>Address:  Main Market</t>
  </si>
  <si>
    <t>Invoice No # :123158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</si>
</sst>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6" sqref="H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498</v>
      </c>
      <c r="F2" s="383"/>
      <c r="G2" s="383"/>
      <c r="H2" s="380"/>
      <c r="I2" s="380"/>
      <c r="J2" s="381"/>
      <c r="R2" s="377" t="s">
        <v>497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508</v>
      </c>
      <c r="F3" s="387"/>
      <c r="G3" s="387"/>
      <c r="H3" s="384">
        <f ca="1">TODAY()</f>
        <v>46252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 xml:space="preserve">Jalal Sons </v>
      </c>
      <c r="T3" s="301">
        <f>+'1'!P35</f>
        <v>29858.61278694915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Jalal Sons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Jalal Sons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Jalal Sons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Jalal Sons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503.64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3546.4650000000001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21.698426694915252</v>
      </c>
      <c r="P8" s="311">
        <f t="shared" ref="P8:P15" si="2">M8+N8+O8</f>
        <v>4361.3837656779651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Jalal Sons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503.64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3546.4650000000001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21.698426694915252</v>
      </c>
      <c r="P9" s="311">
        <f t="shared" si="2"/>
        <v>4361.3837656779651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Jalal Sons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697.34399999999994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4910.4639999999999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30.043845423728811</v>
      </c>
      <c r="P10" s="311">
        <f t="shared" si="2"/>
        <v>6038.8129301694917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Jalal Sons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697.34399999999994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4910.4639999999999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30.043845423728811</v>
      </c>
      <c r="P11" s="311">
        <f t="shared" si="2"/>
        <v>6038.8129301694917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Jalal Sons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1046.0159999999998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7365.6959999999999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45.065768135593224</v>
      </c>
      <c r="P12" s="311">
        <f t="shared" si="2"/>
        <v>9058.2193952542384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Jalal Sons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Jalal Sons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Jalal Sons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Jalal Sons 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11</v>
      </c>
      <c r="H16" s="113">
        <f t="shared" ref="H16:M16" si="3">SUM(H7:H15)</f>
        <v>440</v>
      </c>
      <c r="I16" s="114">
        <f t="shared" si="3"/>
        <v>28733.200000000001</v>
      </c>
      <c r="J16" s="274">
        <f>SUM(J7:J15)</f>
        <v>3447.9839999999995</v>
      </c>
      <c r="K16" s="275">
        <f t="shared" si="3"/>
        <v>1005.662</v>
      </c>
      <c r="L16" s="276">
        <f t="shared" si="3"/>
        <v>0</v>
      </c>
      <c r="M16" s="232">
        <f t="shared" si="3"/>
        <v>24279.554</v>
      </c>
      <c r="N16" s="233">
        <f>SUM(N7:N15)</f>
        <v>5430.5084745762706</v>
      </c>
      <c r="O16" s="101">
        <f>SUM(O7:O15)</f>
        <v>148.55031237288136</v>
      </c>
      <c r="P16" s="113">
        <f>SUM(P7:P15)</f>
        <v>29858.612786949154</v>
      </c>
      <c r="Q16" s="128">
        <f>SUM(Q7:Q15)</f>
        <v>0</v>
      </c>
      <c r="R16" s="314">
        <v>14</v>
      </c>
      <c r="S16" s="300" t="str">
        <f>+'14'!A6:A6</f>
        <v xml:space="preserve">Jalal Sons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Jalal Sons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Jalal Sons 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28733.200000000001</v>
      </c>
      <c r="R19" s="299">
        <v>17</v>
      </c>
      <c r="S19" s="300" t="str">
        <f>+'17'!A6:A6</f>
        <v xml:space="preserve">Jalal Sons 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3447.9839999999995</v>
      </c>
      <c r="R20" s="299">
        <v>18</v>
      </c>
      <c r="S20" s="300" t="str">
        <f>+'18'!A6:A6</f>
        <v xml:space="preserve">Jalal Sons 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1005.662</v>
      </c>
      <c r="R21" s="299">
        <v>19</v>
      </c>
      <c r="S21" s="300" t="str">
        <f>+'19'!A6:A6</f>
        <v xml:space="preserve">Jalal Sons 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24279.554</v>
      </c>
      <c r="R22" s="299">
        <v>20</v>
      </c>
      <c r="S22" s="300" t="str">
        <f>+'20'!A6:A6</f>
        <v xml:space="preserve">Jalal Sons 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5430.5084745762706</v>
      </c>
      <c r="R23" s="299">
        <v>21</v>
      </c>
      <c r="S23" s="300" t="str">
        <f>+'21'!A6:A6</f>
        <v xml:space="preserve">Jalal Sons 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29710.062474576269</v>
      </c>
      <c r="R24" s="299">
        <v>22</v>
      </c>
      <c r="S24" s="300" t="str">
        <f>+'22'!A6:A6</f>
        <v xml:space="preserve">Jalal Sons 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148.55031237288136</v>
      </c>
      <c r="R25" s="299">
        <v>23</v>
      </c>
      <c r="S25" s="300" t="str">
        <f>+'23'!A6:A6</f>
        <v xml:space="preserve">Jalal Sons 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29858.61278694915</v>
      </c>
      <c r="R26" s="299">
        <v>24</v>
      </c>
      <c r="S26" s="300" t="str">
        <f>+'24'!A6:A6</f>
        <v xml:space="preserve">Jalal Sons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 xml:space="preserve">Jalal Sons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Jalal Sons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Jalal Sons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Jalal Sons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Jalal Sons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Jalal Sons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29858.61278694915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G10" sqref="G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515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7.2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500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503.64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3546.4650000000001</v>
      </c>
      <c r="N17" s="277">
        <f t="shared" ref="N17:N24" si="3">+(G17*D17+H17)*V17</f>
        <v>793.22033898305051</v>
      </c>
      <c r="O17" s="239">
        <f t="shared" ref="O17:O24" si="4">(N17+M17)*$O$15</f>
        <v>21.698426694915252</v>
      </c>
      <c r="P17" s="311">
        <f t="shared" ref="P17:P24" si="5">M17+N17+O17</f>
        <v>4361.3837656779651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ref="I18:I21" si="7">(G18*D18)*F18+H18*F18</f>
        <v>4197</v>
      </c>
      <c r="J18" s="272">
        <f t="shared" si="1"/>
        <v>503.64</v>
      </c>
      <c r="K18" s="128">
        <f t="shared" si="1"/>
        <v>146.89500000000001</v>
      </c>
      <c r="L18" s="119">
        <f t="shared" si="1"/>
        <v>0</v>
      </c>
      <c r="M18" s="230">
        <f t="shared" si="2"/>
        <v>3546.4650000000001</v>
      </c>
      <c r="N18" s="277">
        <f t="shared" si="3"/>
        <v>793.22033898305051</v>
      </c>
      <c r="O18" s="239">
        <f t="shared" si="4"/>
        <v>21.698426694915252</v>
      </c>
      <c r="P18" s="311">
        <f t="shared" si="5"/>
        <v>4361.3837656779651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7"/>
        <v>5811.2</v>
      </c>
      <c r="J19" s="272">
        <f t="shared" si="1"/>
        <v>697.34399999999994</v>
      </c>
      <c r="K19" s="128">
        <f t="shared" si="1"/>
        <v>203.39200000000002</v>
      </c>
      <c r="L19" s="119">
        <f t="shared" si="1"/>
        <v>0</v>
      </c>
      <c r="M19" s="230">
        <f t="shared" si="2"/>
        <v>4910.4639999999999</v>
      </c>
      <c r="N19" s="277">
        <f t="shared" si="3"/>
        <v>1098.3050847457628</v>
      </c>
      <c r="O19" s="239">
        <f t="shared" si="4"/>
        <v>30.043845423728811</v>
      </c>
      <c r="P19" s="311">
        <f t="shared" si="5"/>
        <v>6038.8129301694917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697.34399999999994</v>
      </c>
      <c r="K20" s="128">
        <f t="shared" si="1"/>
        <v>203.39200000000002</v>
      </c>
      <c r="L20" s="119">
        <f t="shared" si="1"/>
        <v>0</v>
      </c>
      <c r="M20" s="230">
        <f t="shared" si="2"/>
        <v>4910.4639999999999</v>
      </c>
      <c r="N20" s="277">
        <f t="shared" si="3"/>
        <v>1098.3050847457628</v>
      </c>
      <c r="O20" s="239">
        <f t="shared" si="4"/>
        <v>30.043845423728811</v>
      </c>
      <c r="P20" s="311">
        <f t="shared" si="5"/>
        <v>6038.8129301694917</v>
      </c>
      <c r="Q20" s="156"/>
      <c r="R20">
        <f>P20/21</f>
        <v>287.56252048426148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7"/>
        <v>8716.7999999999993</v>
      </c>
      <c r="J21" s="272">
        <f t="shared" si="1"/>
        <v>1046.0159999999998</v>
      </c>
      <c r="K21" s="128">
        <f t="shared" si="1"/>
        <v>305.08800000000002</v>
      </c>
      <c r="L21" s="119">
        <f t="shared" si="1"/>
        <v>0</v>
      </c>
      <c r="M21" s="230">
        <f t="shared" si="2"/>
        <v>7365.6959999999999</v>
      </c>
      <c r="N21" s="277">
        <f t="shared" si="3"/>
        <v>1647.4576271186443</v>
      </c>
      <c r="O21" s="239">
        <f t="shared" si="4"/>
        <v>45.065768135593224</v>
      </c>
      <c r="P21" s="311">
        <f t="shared" si="5"/>
        <v>9058.2193952542384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440</v>
      </c>
      <c r="I25" s="114">
        <f t="shared" ref="I25:M25" si="10">SUM(I16:I24)</f>
        <v>28733.200000000001</v>
      </c>
      <c r="J25" s="274">
        <f>SUM(J16:J24)</f>
        <v>3447.9839999999995</v>
      </c>
      <c r="K25" s="275">
        <f t="shared" si="10"/>
        <v>1005.662</v>
      </c>
      <c r="L25" s="276">
        <f t="shared" si="10"/>
        <v>0</v>
      </c>
      <c r="M25" s="232">
        <f t="shared" si="10"/>
        <v>24279.554</v>
      </c>
      <c r="N25" s="233">
        <f>SUM(N16:N24)</f>
        <v>5430.5084745762706</v>
      </c>
      <c r="O25" s="101">
        <f>SUM(O16:O24)</f>
        <v>148.55031237288136</v>
      </c>
      <c r="P25" s="113">
        <f>SUM(P16:P24)</f>
        <v>29858.612786949154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28733.200000000001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3447.9839999999995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1005.662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24279.554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5430.5084745762706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29710.062474576269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148.55031237288134</v>
      </c>
    </row>
    <row r="35" spans="2:16" ht="15.75" customHeight="1" thickBot="1" x14ac:dyDescent="0.4">
      <c r="N35" s="371" t="s">
        <v>88</v>
      </c>
      <c r="O35" s="372"/>
      <c r="P35" s="297">
        <f>+P33+P34</f>
        <v>29858.61278694915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502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8.7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8.7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46253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46252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2026-08-18T05:21:08Z</dcterms:modified>
</cp:coreProperties>
</file>