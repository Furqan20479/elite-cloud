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2017D4-D948-418B-9A6B-04DB380D588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<sst xmlns="http://schemas.openxmlformats.org/spreadsheetml/2006/main" count="3978" uniqueCount="534">
  <si>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</si>
  <si>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</si>
  <si>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</si>
  <si>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</si>
  <si>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</si>
  <si>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</si>
  <si>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</si>
  <si>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</si>
  <si>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</si>
  <si>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</si>
  <si>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</si>
  <si>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</si>
  <si>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</si>
  <si>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</si>
  <si>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</si>
  <si>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</si>
  <si>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</si>
  <si>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</si>
  <si>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</si>
  <si>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</si>
  <si>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</si>
  <si>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</si>
  <si>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</si>
  <si>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</si>
  <si>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</si>
  <si>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</si>
  <si>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</si>
  <si>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</si>
  <si>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</si>
  <si>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</si>
  <si>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</si>
  <si>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</si>
  <si>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</si>
  <si>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</si>
  <si>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</si>
  <si>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</si>
  <si>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</si>
  <si>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</si>
  <si>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</si>
  <si>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</si>
  <si>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</si>
  <si>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</si>
  <si>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</si>
  <si>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</si>
  <si>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</si>
  <si>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</si>
  <si>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</si>
  <si>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</si>
  <si>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</si>
  <si>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</si>
  <si>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</si>
  <si>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</si>
  <si>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</si>
  <si>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</si>
  <si>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</si>
  <si>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</si>
  <si>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</si>
  <si>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</si>
  <si>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</si>
  <si>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</si>
  <si>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</si>
  <si>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</si>
  <si>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</si>
  <si>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</si>
  <si>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</si>
  <si>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</si>
  <si>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</si>
  <si>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</si>
  <si>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</si>
  <si>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</si>
  <si>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</si>
  <si>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</si>
  <si>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</si>
  <si>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</si>
  <si>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</si>
  <si>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</si>
  <si>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</si>
  <si>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</si>
  <si>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</si>
  <si>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</si>
  <si>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</si>
  <si>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</si>
  <si>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</si>
  <si>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</si>
  <si>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</si>
  <si>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</si>
  <si>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</si>
  <si>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</si>
  <si>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</si>
  <si>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</si>
  <si>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</si>
  <si>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</si>
  <si>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</si>
  <si>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</si>
  <si>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</si>
  <si>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</si>
  <si>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</si>
  <si>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</si>
  <si>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</si>
  <si>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</si>
  <si>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</si>
  <si>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</si>
  <si>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</si>
  <si>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</si>
  <si>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</si>
  <si>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</si>
  <si>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</si>
  <si>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</si>
  <si>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</si>
  <si>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</si>
  <si>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</si>
  <si>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</si>
  <si>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</si>
  <si>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</si>
  <si>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</si>
  <si>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</si>
  <si>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</si>
  <si>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</si>
  <si>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</si>
  <si>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</si>
  <si>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</si>
  <si>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</si>
  <si>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</si>
  <si>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</si>
  <si>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</si>
  <si>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</si>
  <si>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</si>
  <si>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</si>
  <si>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</si>
  <si>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</si>
  <si>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</si>
  <si>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</si>
  <si>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</si>
  <si>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</si>
  <si>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</si>
  <si>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</si>
  <si>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</si>
  <si>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</si>
  <si>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</si>
  <si>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</si>
  <si>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</si>
  <si>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</si>
  <si>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</si>
  <si>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</si>
  <si>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</si>
  <si>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</si>
  <si>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</si>
  <si>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</si>
  <si>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</si>
  <si>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</si>
  <si>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</si>
  <si>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</si>
  <si>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</si>
  <si>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</si>
  <si>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</si>
  <si>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</si>
  <si>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</si>
  <si>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</si>
  <si>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</si>
  <si>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</si>
  <si>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</si>
  <si>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</si>
  <si>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</si>
  <si>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</si>
  <si>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</si>
  <si>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</si>
  <si>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</si>
  <si>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</si>
  <si>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</si>
  <si>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</si>
  <si>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</si>
  <si>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</si>
  <si>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</si>
  <si>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</si>
  <si>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</si>
  <si>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</si>
  <si>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</si>
  <si>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</si>
  <si>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</si>
  <si>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</si>
  <si>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</si>
  <si>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</si>
  <si>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</si>
  <si>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</si>
  <si>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</si>
  <si>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</si>
  <si>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</si>
  <si>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</si>
  <si>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</si>
  <si>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</si>
  <si>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</si>
  <si>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</si>
  <si>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</si>
  <si>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</si>
  <si>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</si>
  <si>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</si>
  <si>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</si>
  <si>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</si>
  <si>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</si>
  <si>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</si>
  <si>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</si>
  <si>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</si>
  <si>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</si>
  <si>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</si>
  <si>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</si>
  <si>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</si>
  <si>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</si>
  <si>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</si>
  <si>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</si>
  <si>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</si>
  <si>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</si>
  <si>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</si>
  <si>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</si>
  <si>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</si>
  <si>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</si>
  <si>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</si>
  <si>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</si>
  <si>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</si>
  <si>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</si>
  <si>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</si>
  <si>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</si>
  <si>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</si>
  <si>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</si>
  <si>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</si>
  <si>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</si>
  <si>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</si>
  <si>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</si>
  <si>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</si>
  <si>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</si>
  <si>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</si>
  <si>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</si>
  <si>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</si>
  <si>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</si>
  <si>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</si>
  <si>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</si>
  <si>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</si>
  <si>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</si>
  <si>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</si>
  <si>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</si>
  <si>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</si>
  <si>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</si>
  <si>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</si>
  <si>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</si>
  <si>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</si>
  <si>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</si>
  <si>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</si>
  <si>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</si>
  <si>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</si>
  <si>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</si>
  <si>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</si>
  <si>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</si>
  <si>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</si>
  <si>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</si>
  <si>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</si>
  <si>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</si>
  <si>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</si>
  <si>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</si>
  <si>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</si>
  <si>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</si>
  <si>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</si>
  <si>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</si>
  <si>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</si>
  <si>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</si>
  <si>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</si>
  <si>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</si>
  <si>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</si>
  <si>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</si>
  <si>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</si>
  <si>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</si>
  <si>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</si>
  <si>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</si>
  <si>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</si>
  <si>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</si>
  <si>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</si>
  <si>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</si>
  <si>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</si>
  <si>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</si>
  <si>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</si>
  <si>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</si>
  <si>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</si>
  <si>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</si>
  <si>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</si>
  <si>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</si>
  <si>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</si>
  <si>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</si>
  <si>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</si>
  <si>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</si>
  <si>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</si>
  <si>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</si>
  <si>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</si>
  <si>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</si>
  <si>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</si>
  <si>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</si>
  <si>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</si>
  <si>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</si>
  <si>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</si>
  <si>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</si>
  <si>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</si>
  <si>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</si>
  <si>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</si>
  <si>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</si>
  <si>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</si>
  <si>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</si>
  <si>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</si>
  <si>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</si>
  <si>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</si>
  <si>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</si>
  <si>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</si>
  <si>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</si>
  <si>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</si>
  <si>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</si>
  <si>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</si>
  <si>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</si>
  <si>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</si>
  <si>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</si>
  <si>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</si>
  <si>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</si>
  <si>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</si>
  <si>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</si>
  <si>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</si>
  <si>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</si>
  <si>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</si>
  <si>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</si>
  <si>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</si>
  <si>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</si>
  <si>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</si>
  <si>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</si>
  <si>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</si>
  <si>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</si>
  <si>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</si>
  <si>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</si>
  <si>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</si>
  <si>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</si>
  <si>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</si>
  <si>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</si>
  <si>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</si>
  <si>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</si>
  <si>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</si>
  <si>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</si>
  <si>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</si>
  <si>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</si>
  <si>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</si>
  <si>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</si>
  <si>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</si>
  <si>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</si>
  <si>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</si>
  <si>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</si>
  <si>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</si>
  <si>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</si>
  <si>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</si>
  <si>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</si>
  <si>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</si>
  <si>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</si>
  <si>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</si>
  <si>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</si>
  <si>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</si>
  <si>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</si>
  <si>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</si>
  <si>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</si>
  <si>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</si>
  <si>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</si>
  <si>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</si>
  <si>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</si>
  <si>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</si>
  <si>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</si>
  <si>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</si>
  <si>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</si>
  <si>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</si>
  <si>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</si>
  <si>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</si>
  <si>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</si>
  <si>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</si>
  <si>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</si>
  <si>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</si>
  <si>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</si>
  <si>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</si>
  <si>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</si>
  <si>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</si>
  <si>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</si>
  <si>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</si>
  <si>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</si>
  <si>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</si>
  <si>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</si>
  <si>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</si>
  <si>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</si>
  <si>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</si>
  <si>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</si>
  <si>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</si>
  <si>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</si>
  <si>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</si>
  <si>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</si>
  <si>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</si>
  <si>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</si>
  <si>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</si>
  <si>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</si>
  <si>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</si>
  <si>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</si>
  <si>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</si>
  <si>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</si>
  <si>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</si>
  <si>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</si>
  <si>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</si>
  <si>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</si>
  <si>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</si>
  <si>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</si>
  <si>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</si>
  <si>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</si>
  <si>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</si>
  <si>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</si>
  <si>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</si>
  <si>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</si>
  <si>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</si>
  <si>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</si>
  <si>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</si>
  <si>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</si>
  <si>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</si>
  <si>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</si>
  <si>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</si>
  <si>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</si>
  <si>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</si>
  <si>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</si>
  <si>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</si>
  <si>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</si>
  <si>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</si>
  <si>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</si>
  <si>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</si>
  <si>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</si>
  <si>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</si>
  <si>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</si>
  <si>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</si>
  <si>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</si>
  <si>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</si>
  <si>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</si>
  <si>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</si>
  <si>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</si>
  <si>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</si>
  <si>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</si>
  <si>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</si>
  <si>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</si>
  <si>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</si>
  <si>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</si>
  <si>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</si>
  <si>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</si>
  <si>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</si>
  <si>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</si>
  <si>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</si>
  <si>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</si>
  <si>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</si>
  <si>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</si>
  <si>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</si>
  <si>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</si>
  <si>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</si>
  <si>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</si>
  <si>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</si>
  <si>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</si>
  <si>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</si>
  <si>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</si>
  <si>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</si>
  <si>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</si>
  <si>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</si>
  <si>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</si>
  <si>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</si>
  <si>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</si>
  <si>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</si>
  <si>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</si>
  <si>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</si>
  <si>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</si>
  <si>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</si>
  <si>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</si>
  <si>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</si>
  <si>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</si>
  <si>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</si>
  <si>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</si>
  <si>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</si>
  <si>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</si>
  <si>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</si>
  <si>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</si>
  <si>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</si>
  <si>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</si>
  <si>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</si>
  <si>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</si>
  <si>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</si>
  <si>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</si>
  <si>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</si>
  <si>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</si>
  <si>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</si>
  <si>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</si>
  <si>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</si>
  <si>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</si>
  <si>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</si>
  <si>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</si>
  <si>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</si>
  <si>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</si>
  <si>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</si>
  <si>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</si>
  <si>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</si>
  <si>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</si>
  <si>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</si>
  <si>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</si>
  <si>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</si>
  <si>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</si>
  <si>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</si>
  <si>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</si>
  <si>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</si>
  <si>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</si>
  <si>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</si>
  <si>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</si>
  <si>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</si>
  <si>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</si>
  <si>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</si>
  <si>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</si>
  <si>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</si>
  <si>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</si>
  <si>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</si>
  <si>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</si>
  <si>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</si>
  <si>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</si>
  <si>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>Imran Kareyana Store</t>
  </si>
  <si>
    <t>Address: Shokat Town Ghazi Road</t>
  </si>
  <si>
    <t>Dua Book Store</t>
  </si>
  <si>
    <t xml:space="preserve">Address: Shokat Town </t>
  </si>
  <si>
    <t>Shaheen GS</t>
  </si>
  <si>
    <t xml:space="preserve">Address: Shoker Town </t>
  </si>
  <si>
    <t>Ahmad GS</t>
  </si>
  <si>
    <t xml:space="preserve">Malik Cash &amp; Carry </t>
  </si>
  <si>
    <t xml:space="preserve">Address: Punjab Society </t>
  </si>
  <si>
    <t>Punjab Store</t>
  </si>
  <si>
    <t xml:space="preserve">Address: Punjab Coprative </t>
  </si>
  <si>
    <t>Hassan Super Store</t>
  </si>
  <si>
    <t>Address: Punjab Coprative</t>
  </si>
  <si>
    <t>Marhaba Store</t>
  </si>
  <si>
    <t>Ajwa Store</t>
  </si>
  <si>
    <t>Address: Punjab coprative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</si>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</sst>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Imran Kareyana Store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Dua Book Store</v>
      </c>
      <c r="T4" s="301">
        <f>+'2'!P35</f>
        <v>2382.4803250983055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Shaheen GS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Ahmad GS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Malik Cash &amp; Carry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Punjab Store</v>
      </c>
      <c r="T8" s="301">
        <f>+'6'!P35</f>
        <v>20486.447423999998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Hassan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107</v>
      </c>
      <c r="I10" s="236">
        <f t="shared" si="0"/>
        <v>7772.4800000000005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621.79840000000002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272.03680000000003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6878.6448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1468.9830508474579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41.738139254237289</v>
      </c>
      <c r="P10" s="311">
        <f t="shared" si="2"/>
        <v>8389.3659901016945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Marhaba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639.23200000000008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7071.503999999999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42.908367457627122</v>
      </c>
      <c r="P11" s="311">
        <f t="shared" si="2"/>
        <v>8624.5818589830506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4">
        <v>9</v>
      </c>
      <c r="S11" s="300" t="str">
        <f>+'9'!A6:A6</f>
        <v>Ajwa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119</v>
      </c>
      <c r="I12" s="236">
        <f t="shared" si="0"/>
        <v>8644.16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691.53280000000007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302.54560000000004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7650.0815999999995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1633.7288135593221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46.419052067796606</v>
      </c>
      <c r="P12" s="311">
        <f t="shared" si="2"/>
        <v>9330.2294656271188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 xml:space="preserve">Urban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110</v>
      </c>
      <c r="I13" s="236">
        <f t="shared" si="0"/>
        <v>4315.3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215.76500000000004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151.03550000000001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220.08030000000002</v>
      </c>
      <c r="M13" s="230">
        <f t="shared" si="1"/>
        <v>3728.4192000000003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838.98305084745721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22.837011254237289</v>
      </c>
      <c r="P13" s="311">
        <f t="shared" si="2"/>
        <v>4590.2392621016943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12.15</v>
      </c>
      <c r="H16" s="113">
        <f t="shared" ref="H16:M16" si="3">SUM(H7:H15)</f>
        <v>486</v>
      </c>
      <c r="I16" s="114">
        <f t="shared" si="3"/>
        <v>30820.839999999997</v>
      </c>
      <c r="J16" s="274">
        <f>SUM(J7:J15)</f>
        <v>2336.2082</v>
      </c>
      <c r="K16" s="275">
        <f t="shared" si="3"/>
        <v>1078.7294000000002</v>
      </c>
      <c r="L16" s="276">
        <f t="shared" si="3"/>
        <v>220.08030000000002</v>
      </c>
      <c r="M16" s="232">
        <f t="shared" si="3"/>
        <v>27185.822100000001</v>
      </c>
      <c r="N16" s="233">
        <f>SUM(N7:N15)</f>
        <v>5848.4745762711864</v>
      </c>
      <c r="O16" s="101">
        <f>SUM(O7:O15)</f>
        <v>165.17148338135593</v>
      </c>
      <c r="P16" s="113">
        <f>SUM(P7:P15)</f>
        <v>33199.468159652541</v>
      </c>
      <c r="Q16" s="128">
        <f>SUM(Q7:Q15)</f>
        <v>200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30820.839999999997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2336.2082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1298.8097000000002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27185.822099999994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5848.4745762711864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33034.29667627118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165.17148338135593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33199.468159652533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33199.468159652541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30.508800000000004</v>
      </c>
      <c r="L25" s="276">
        <f t="shared" si="10"/>
        <v>0</v>
      </c>
      <c r="M25" s="232">
        <f t="shared" si="10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871.68000000000006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69.734400000000008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30.508800000000004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771.43680000000006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936.18256271186442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2" t="s">
        <v>88</v>
      </c>
      <c r="O35" s="343"/>
      <c r="P35" s="297">
        <f>+P33+P34</f>
        <v>940.86347552542372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113">
        <f>SUM(P16:P24)</f>
        <v>2382.480325098305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2214.1200000000003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163.00680000000003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101.50296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1949.6102400000002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2370.6271891525425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42" t="s">
        <v>88</v>
      </c>
      <c r="O35" s="343"/>
      <c r="P35" s="297">
        <f>+P33+P34</f>
        <v>2382.4803250983055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280</v>
      </c>
      <c r="I25" s="114">
        <f t="shared" si="7"/>
        <v>19002.8</v>
      </c>
      <c r="J25" s="274">
        <f>SUM(J16:J24)</f>
        <v>1473.1480000000001</v>
      </c>
      <c r="K25" s="275">
        <f t="shared" si="7"/>
        <v>665.09800000000007</v>
      </c>
      <c r="L25" s="276">
        <f t="shared" si="7"/>
        <v>80.029200000000003</v>
      </c>
      <c r="M25" s="232">
        <f t="shared" si="7"/>
        <v>16784.524799999999</v>
      </c>
      <c r="N25" s="233">
        <f>SUM(N16:N24)</f>
        <v>3600</v>
      </c>
      <c r="O25" s="101">
        <f>SUM(O16:O24)</f>
        <v>101.92262400000001</v>
      </c>
      <c r="P25" s="113">
        <f>SUM(P16:P24)</f>
        <v>20486.447424000002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19002.8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1473.1480000000001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745.12720000000013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16784.524799999999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3600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20384.524799999999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101.922624</v>
      </c>
    </row>
    <row r="35" spans="2:16" ht="15.75" customHeight="1" thickBot="1" x14ac:dyDescent="0.4">
      <c r="N35" s="342" t="s">
        <v>88</v>
      </c>
      <c r="O35" s="343"/>
      <c r="P35" s="297">
        <f>+P33+P34</f>
        <v>20486.447423999998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19" sqref="H19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2026-08-18T10:54:03Z</dcterms:modified>
</cp:coreProperties>
</file>