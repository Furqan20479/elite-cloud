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1564609-5BD2-42B3-8E18-0D5CF56A3204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M23" i="56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M16" i="58"/>
  <c r="M16" i="59"/>
  <c r="M23" i="72"/>
  <c r="O23" i="72" s="1"/>
  <c r="P23" i="72" s="1"/>
  <c r="M23" i="64"/>
  <c r="M23" i="59"/>
  <c r="M23" i="44"/>
  <c r="O23" i="44" s="1"/>
  <c r="P23" i="44" s="1"/>
  <c r="M16" i="66"/>
  <c r="M16" i="44"/>
  <c r="M20" i="70"/>
  <c r="O20" i="70" s="1"/>
  <c r="P20" i="70" s="1"/>
  <c r="R20" i="70" s="1"/>
  <c r="M23" i="65"/>
  <c r="M21" i="5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21" i="44"/>
  <c r="O21" i="44" s="1"/>
  <c r="P21" i="44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 s="1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48"/>
  <c r="O25" i="52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<sst xmlns="http://schemas.openxmlformats.org/spreadsheetml/2006/main" count="3948" uniqueCount="550">
  <si>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</si>
  <si>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</si>
  <si>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</si>
  <si>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</si>
  <si>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</si>
  <si>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</si>
  <si>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</si>
  <si>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</si>
  <si>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</si>
  <si>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</si>
  <si>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</si>
  <si>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</si>
  <si>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</si>
  <si>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</si>
  <si>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</si>
  <si>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</si>
  <si>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</si>
  <si>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</si>
  <si>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</si>
  <si>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</si>
  <si>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</si>
  <si>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</si>
  <si>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</si>
  <si>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</si>
  <si>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</si>
  <si>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</si>
  <si>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</si>
  <si>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</si>
  <si>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</si>
  <si>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</si>
  <si>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</si>
  <si>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</si>
  <si>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</si>
  <si>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</si>
  <si>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</si>
  <si>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</si>
  <si>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</si>
  <si>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</si>
  <si>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</si>
  <si>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</si>
  <si>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</si>
  <si>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</si>
  <si>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</si>
  <si>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</si>
  <si>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</si>
  <si>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</si>
  <si>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</si>
  <si>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</si>
  <si>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</si>
  <si>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</si>
  <si>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</si>
  <si>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</si>
  <si>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</si>
  <si>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</si>
  <si>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</si>
  <si>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</si>
  <si>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</si>
  <si>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</si>
  <si>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</si>
  <si>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</si>
  <si>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</si>
  <si>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</si>
  <si>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</si>
  <si>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</si>
  <si>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</si>
  <si>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</si>
  <si>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</si>
  <si>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</si>
  <si>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</si>
  <si>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</si>
  <si>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</si>
  <si>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</si>
  <si>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</si>
  <si>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</si>
  <si>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</si>
  <si>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</si>
  <si>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</si>
  <si>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</si>
  <si>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</si>
  <si>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</si>
  <si>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</si>
  <si>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</si>
  <si>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</si>
  <si>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</si>
  <si>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</si>
  <si>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</si>
  <si>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</si>
  <si>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</si>
  <si>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</si>
  <si>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</si>
  <si>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</si>
  <si>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</si>
  <si>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</si>
  <si>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</si>
  <si>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</si>
  <si>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</si>
  <si>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</si>
  <si>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</si>
  <si>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</si>
  <si>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</si>
  <si>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</si>
  <si>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</si>
  <si>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</si>
  <si>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</si>
  <si>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</si>
  <si>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</si>
  <si>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</si>
  <si>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</si>
  <si>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</si>
  <si>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</si>
  <si>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</si>
  <si>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</si>
  <si>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</si>
  <si>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</si>
  <si>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</si>
  <si>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</si>
  <si>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</si>
  <si>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</si>
  <si>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</si>
  <si>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</si>
  <si>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</si>
  <si>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</si>
  <si>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</si>
  <si>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</si>
  <si>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</si>
  <si>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</si>
  <si>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</si>
  <si>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</si>
  <si>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</si>
  <si>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</si>
  <si>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</si>
  <si>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</si>
  <si>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</si>
  <si>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</si>
  <si>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</si>
  <si>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</si>
  <si>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</si>
  <si>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</si>
  <si>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</si>
  <si>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</si>
  <si>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</si>
  <si>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</si>
  <si>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</si>
  <si>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</si>
  <si>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</si>
  <si>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</si>
  <si>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</si>
  <si>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</si>
  <si>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</si>
  <si>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</si>
  <si>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</si>
  <si>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</si>
  <si>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</si>
  <si>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</si>
  <si>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</si>
  <si>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</si>
  <si>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</si>
  <si>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</si>
  <si>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</si>
  <si>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</si>
  <si>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</si>
  <si>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</si>
  <si>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</si>
  <si>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</si>
  <si>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</si>
  <si>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</si>
  <si>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</si>
  <si>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</si>
  <si>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</si>
  <si>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</si>
  <si>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</si>
  <si>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</si>
  <si>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</si>
  <si>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</si>
  <si>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</si>
  <si>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</si>
  <si>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</si>
  <si>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</si>
  <si>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</si>
  <si>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</si>
  <si>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</si>
  <si>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</si>
  <si>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</si>
  <si>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</si>
  <si>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</si>
  <si>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</si>
  <si>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</si>
  <si>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</si>
  <si>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</si>
  <si>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</si>
  <si>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</si>
  <si>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</si>
  <si>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</si>
  <si>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</si>
  <si>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</si>
  <si>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</si>
  <si>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</si>
  <si>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</si>
  <si>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</si>
  <si>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</si>
  <si>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</si>
  <si>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</si>
  <si>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</si>
  <si>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</si>
  <si>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</si>
  <si>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</si>
  <si>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</si>
  <si>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</si>
  <si>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</si>
  <si>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</si>
  <si>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</si>
  <si>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</si>
  <si>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</si>
  <si>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</si>
  <si>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</si>
  <si>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</si>
  <si>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</si>
  <si>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</si>
  <si>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</si>
  <si>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</si>
  <si>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</si>
  <si>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</si>
  <si>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</si>
  <si>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</si>
  <si>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</si>
  <si>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</si>
  <si>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</si>
  <si>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</si>
  <si>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</si>
  <si>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</si>
  <si>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</si>
  <si>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</si>
  <si>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</si>
  <si>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</si>
  <si>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</si>
  <si>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</si>
  <si>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</si>
  <si>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</si>
  <si>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</si>
  <si>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</si>
  <si>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</si>
  <si>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</si>
  <si>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</si>
  <si>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</si>
  <si>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</si>
  <si>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</si>
  <si>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</si>
  <si>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</si>
  <si>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</si>
  <si>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</si>
  <si>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</si>
  <si>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</si>
  <si>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</si>
  <si>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</si>
  <si>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</si>
  <si>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</si>
  <si>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</si>
  <si>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</si>
  <si>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</si>
  <si>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</si>
  <si>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</si>
  <si>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</si>
  <si>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</si>
  <si>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</si>
  <si>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</si>
  <si>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</si>
  <si>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</si>
  <si>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</si>
  <si>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</si>
  <si>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</si>
  <si>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</si>
  <si>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</si>
  <si>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</si>
  <si>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</si>
  <si>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</si>
  <si>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</si>
  <si>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</si>
  <si>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</si>
  <si>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</si>
  <si>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</si>
  <si>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</si>
  <si>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</si>
  <si>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</si>
  <si>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</si>
  <si>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</si>
  <si>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</si>
  <si>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</si>
  <si>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</si>
  <si>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</si>
  <si>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</si>
  <si>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</si>
  <si>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</si>
  <si>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</si>
  <si>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</si>
  <si>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</si>
  <si>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</si>
  <si>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</si>
  <si>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</si>
  <si>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</si>
  <si>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</si>
  <si>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</si>
  <si>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</si>
  <si>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</si>
  <si>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</si>
  <si>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</si>
  <si>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</si>
  <si>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</si>
  <si>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</si>
  <si>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</si>
  <si>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</si>
  <si>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</si>
  <si>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</si>
  <si>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</si>
  <si>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</si>
  <si>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</si>
  <si>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</si>
  <si>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</si>
  <si>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</si>
  <si>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</si>
  <si>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</si>
  <si>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</si>
  <si>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</si>
  <si>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</si>
  <si>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</si>
  <si>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</si>
  <si>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</si>
  <si>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</si>
  <si>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</si>
  <si>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</si>
  <si>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</si>
  <si>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</si>
  <si>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</si>
  <si>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</si>
  <si>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</si>
  <si>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</si>
  <si>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</si>
  <si>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</si>
  <si>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</si>
  <si>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</si>
  <si>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</si>
  <si>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</si>
  <si>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</si>
  <si>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</si>
  <si>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</si>
  <si>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</si>
  <si>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</si>
  <si>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</si>
  <si>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</si>
  <si>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</si>
  <si>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</si>
  <si>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</si>
  <si>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</si>
  <si>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</si>
  <si>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</si>
  <si>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</si>
  <si>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</si>
  <si>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</si>
  <si>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</si>
  <si>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</si>
  <si>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</si>
  <si>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</si>
  <si>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</si>
  <si>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</si>
  <si>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</si>
  <si>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</si>
  <si>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</si>
  <si>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</si>
  <si>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</si>
  <si>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</si>
  <si>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</si>
  <si>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</si>
  <si>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</si>
  <si>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</si>
  <si>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</si>
  <si>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</si>
  <si>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</si>
  <si>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</si>
  <si>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</si>
  <si>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</si>
  <si>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</si>
  <si>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</si>
  <si>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</si>
  <si>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</si>
  <si>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</si>
  <si>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</si>
  <si>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</si>
  <si>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</si>
  <si>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</si>
  <si>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</si>
  <si>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</si>
  <si>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</si>
  <si>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</si>
  <si>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</si>
  <si>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</si>
  <si>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</si>
  <si>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</si>
  <si>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</si>
  <si>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</si>
  <si>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</si>
  <si>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</si>
  <si>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</si>
  <si>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</si>
  <si>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</si>
  <si>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</si>
  <si>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</si>
  <si>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</si>
  <si>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</si>
  <si>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</si>
  <si>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</si>
  <si>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</si>
  <si>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</si>
  <si>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</si>
  <si>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</si>
  <si>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</si>
  <si>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</si>
  <si>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</si>
  <si>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</si>
  <si>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</si>
  <si>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</si>
  <si>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</si>
  <si>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</si>
  <si>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</si>
  <si>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</si>
  <si>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</si>
  <si>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</si>
  <si>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</si>
  <si>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</si>
  <si>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</si>
  <si>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</si>
  <si>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</si>
  <si>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</si>
  <si>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</si>
  <si>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</si>
  <si>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</si>
  <si>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</si>
  <si>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</si>
  <si>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</si>
  <si>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</si>
  <si>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</si>
  <si>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</si>
  <si>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</si>
  <si>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</si>
  <si>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</si>
  <si>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</si>
  <si>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</si>
  <si>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</si>
  <si>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</si>
  <si>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</si>
  <si>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</si>
  <si>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</si>
  <si>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</si>
  <si>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</si>
  <si>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</si>
  <si>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</si>
  <si>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</si>
  <si>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</si>
  <si>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</si>
  <si>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</si>
  <si>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</si>
  <si>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</si>
  <si>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</si>
  <si>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</si>
  <si>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</si>
  <si>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</si>
  <si>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</si>
  <si>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</si>
  <si>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</si>
  <si>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</si>
  <si>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</si>
  <si>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</si>
  <si>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</si>
  <si>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</si>
  <si>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</si>
  <si>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</si>
  <si>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</si>
  <si>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</si>
  <si>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</si>
  <si>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</si>
  <si>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</si>
  <si>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</si>
  <si>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</si>
  <si>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</si>
  <si>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</si>
  <si>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</si>
  <si>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</si>
  <si>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</si>
  <si>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</si>
  <si>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</si>
  <si>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</si>
  <si>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</si>
  <si>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</si>
  <si>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</si>
  <si>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</si>
  <si>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</si>
  <si>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</si>
  <si>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</si>
  <si>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</si>
  <si>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</si>
  <si>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</si>
  <si>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</si>
  <si>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</si>
  <si>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</si>
  <si>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</si>
  <si>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</si>
  <si>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</si>
  <si>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</si>
  <si>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</si>
  <si>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</si>
  <si>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</si>
  <si>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</si>
  <si>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</si>
  <si>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</si>
  <si>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</si>
  <si>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</si>
  <si>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</si>
  <si>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</si>
  <si>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Gourmet Food Rehman Pura</t>
  </si>
  <si>
    <t>Address: Rehman Pura</t>
  </si>
  <si>
    <t>Gourmet Food Ghalib Market</t>
  </si>
  <si>
    <t>Address: Ghalib Market</t>
  </si>
  <si>
    <t xml:space="preserve">Gourmet Food Shama </t>
  </si>
  <si>
    <t xml:space="preserve">Address: Shahma </t>
  </si>
  <si>
    <t xml:space="preserve">Address: Muslim Town Ayubia </t>
  </si>
  <si>
    <t xml:space="preserve">Gourmet Food Muslim Town Ayubia </t>
  </si>
  <si>
    <t xml:space="preserve">Gourmet Food Walton </t>
  </si>
  <si>
    <t xml:space="preserve">Address: Walton </t>
  </si>
  <si>
    <t>Gourmet Food Barkat Market</t>
  </si>
  <si>
    <t>Address: Barker Market</t>
  </si>
  <si>
    <t xml:space="preserve">Gourmet Food Firdos Market </t>
  </si>
  <si>
    <t>Address:Firdos Market</t>
  </si>
  <si>
    <t xml:space="preserve">Gourmet Food Umer Chowk </t>
  </si>
  <si>
    <t xml:space="preserve">Address: Umer Chowk </t>
  </si>
  <si>
    <t>Gourmet Food Choung</t>
  </si>
  <si>
    <t>Address: Choung</t>
  </si>
  <si>
    <t xml:space="preserve">Address:  Johar Town </t>
  </si>
  <si>
    <t>Gourmet Food Link Road</t>
  </si>
  <si>
    <t>Address: Link Road</t>
  </si>
  <si>
    <t>Gourmet Food Riwind Road</t>
  </si>
  <si>
    <t>Address: Riwind Road</t>
  </si>
  <si>
    <t>Gourmet Food Moterway</t>
  </si>
  <si>
    <t>Address: Moterway</t>
  </si>
  <si>
    <t>Address: Militry Account</t>
  </si>
  <si>
    <t>Gourmet Food Militry Account</t>
  </si>
  <si>
    <t>Gourmet Food Iqbal Town</t>
  </si>
  <si>
    <t xml:space="preserve">Address: Iqbal Town Cream Block </t>
  </si>
  <si>
    <t>Gourmet Food Wahdat Road</t>
  </si>
  <si>
    <t>Address: Wahdat Road</t>
  </si>
  <si>
    <t>Gourmet Food Nadeem Shaheed</t>
  </si>
  <si>
    <t>Address: Nadeem Shaheed</t>
  </si>
  <si>
    <t>Invoice No # :10012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</si>
</sst>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7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515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510</v>
      </c>
      <c r="F3" s="359"/>
      <c r="G3" s="359"/>
      <c r="H3" s="356">
        <f ca="1">TODAY()</f>
        <v>46252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Gourmet Food</v>
      </c>
      <c r="T3" s="301">
        <f>+'1'!P35</f>
        <v>9796.7022358474551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Gourmet Food Rehman Pura</v>
      </c>
      <c r="T4" s="301">
        <f>+'2'!P35</f>
        <v>4898.3511179237294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509</v>
      </c>
      <c r="R5" s="314">
        <v>3</v>
      </c>
      <c r="S5" s="300" t="str">
        <f>+'3'!A6:A6</f>
        <v>Gourmet Food Ghalib Market</v>
      </c>
      <c r="T5" s="301">
        <f>+'3'!P35</f>
        <v>4898.3511179237294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508</v>
      </c>
      <c r="R6" s="314">
        <v>4</v>
      </c>
      <c r="S6" s="300" t="str">
        <f>+'4'!A6:A6</f>
        <v xml:space="preserve">Gourmet Food Shama </v>
      </c>
      <c r="T6" s="301">
        <f>+'4'!P35</f>
        <v>4898.3511179237294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1888.6499999999999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8236.6124999999993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51.09831673728813</v>
      </c>
      <c r="P7" s="310">
        <f>M7+N7+O7</f>
        <v>10270.761664194915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Gourmet Food Muslim Town Ayubia </v>
      </c>
      <c r="T7" s="301">
        <f>+'5'!P35</f>
        <v>4108.3046656779661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1888.6499999999999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8236.6124999999993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51.09831673728813</v>
      </c>
      <c r="P8" s="311">
        <f t="shared" ref="P8:P15" si="2">M8+N8+O8</f>
        <v>10270.761664194915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Gourmet Food Walton </v>
      </c>
      <c r="T8" s="301">
        <f>+'6'!P35</f>
        <v>7742.5499030084757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640</v>
      </c>
      <c r="I9" s="236">
        <f t="shared" si="0"/>
        <v>33576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6043.6799999999976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1175.1600000000001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26357.160000000003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6345.7627118644023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163.51461355932207</v>
      </c>
      <c r="P9" s="311">
        <f t="shared" si="2"/>
        <v>32866.437325423729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Gourmet Food Barkat Market</v>
      </c>
      <c r="T9" s="301">
        <f>+'7'!P35</f>
        <v>11850.854568686438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5230.079999999999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1016.9600000000002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22808.959999999999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141.50242711864405</v>
      </c>
      <c r="P10" s="311">
        <f t="shared" si="2"/>
        <v>28441.987850847458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Gourmet Food Firdos Market </v>
      </c>
      <c r="T10" s="301">
        <f>+'8'!P35</f>
        <v>9796.7022358474551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180</v>
      </c>
      <c r="I11" s="236">
        <f t="shared" si="0"/>
        <v>13075.2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2353.5359999999996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457.63200000000006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10264.032000000001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2471.1864406779664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63.676092203389828</v>
      </c>
      <c r="P11" s="311">
        <f t="shared" si="2"/>
        <v>12798.894532881357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Gourmet Food Umer Chowk </v>
      </c>
      <c r="T11" s="301">
        <f>+'9'!P35</f>
        <v>11850.854568686438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380</v>
      </c>
      <c r="I12" s="236">
        <f t="shared" si="0"/>
        <v>27603.200000000001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4968.5759999999991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966.11200000000008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21668.512000000002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5216.9491525423746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134.42730576271185</v>
      </c>
      <c r="P12" s="311">
        <f t="shared" si="2"/>
        <v>27019.888458305086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Gourmet Food Link Road</v>
      </c>
      <c r="T12" s="301">
        <f>+'10'!P35</f>
        <v>11850.854568686438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Gourmet Food Riwind Road</v>
      </c>
      <c r="T13" s="301">
        <f>+'11'!P35</f>
        <v>2844.1987850847459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Gourmet Food Choung</v>
      </c>
      <c r="T14" s="301">
        <f>+'12'!P35</f>
        <v>7742.5499030084757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Gourmet Food Moterway</v>
      </c>
      <c r="T15" s="301">
        <f>+'13'!P35</f>
        <v>6952.5034507627115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50</v>
      </c>
      <c r="H16" s="113">
        <f t="shared" ref="H16:M16" si="3">SUM(H7:H15)</f>
        <v>2000</v>
      </c>
      <c r="I16" s="114">
        <f t="shared" si="3"/>
        <v>124295.4</v>
      </c>
      <c r="J16" s="274">
        <f>SUM(J7:J15)</f>
        <v>22373.171999999999</v>
      </c>
      <c r="K16" s="275">
        <f t="shared" si="3"/>
        <v>4350.3389999999999</v>
      </c>
      <c r="L16" s="276">
        <f t="shared" si="3"/>
        <v>0</v>
      </c>
      <c r="M16" s="232">
        <f t="shared" si="3"/>
        <v>97571.88900000001</v>
      </c>
      <c r="N16" s="233">
        <f>SUM(N7:N15)</f>
        <v>23491.52542372881</v>
      </c>
      <c r="O16" s="101">
        <f>SUM(O7:O15)</f>
        <v>605.31707211864409</v>
      </c>
      <c r="P16" s="113">
        <f>SUM(P7:P15)</f>
        <v>121668.73149584745</v>
      </c>
      <c r="Q16" s="128">
        <f>SUM(Q7:Q15)</f>
        <v>0</v>
      </c>
      <c r="R16" s="314">
        <v>14</v>
      </c>
      <c r="S16" s="300" t="str">
        <f>+'14'!A6:A6</f>
        <v>Gourmet Food Militry Account</v>
      </c>
      <c r="T16" s="301">
        <f>+'14'!P35</f>
        <v>7742.5499030084757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Gourmet Food Iqbal Town</v>
      </c>
      <c r="T17" s="301">
        <f>+'15'!P35</f>
        <v>4898.3511179237294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Gourmet Food Wahdat Road</v>
      </c>
      <c r="T18" s="301">
        <f>+'16'!P35</f>
        <v>4898.3511179237294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124295.4</v>
      </c>
      <c r="R19" s="299">
        <v>17</v>
      </c>
      <c r="S19" s="300" t="str">
        <f>+'17'!A6:A6</f>
        <v>Gourmet Food Nadeem Shaheed</v>
      </c>
      <c r="T19" s="301">
        <f>+'17'!P35</f>
        <v>4898.3511179237294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22373.171999999999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4350.3389999999999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97571.888999999996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23491.52542372881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121063.4144237288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605.31707211864409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121668.73149584745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121668.73149584745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  <row r="49" spans="2:2" x14ac:dyDescent="0.35">
      <c r="B49" t="s">
        <v>511</v>
      </c>
    </row>
    <row r="50" spans="2:2" x14ac:dyDescent="0.35">
      <c r="B50" t="s">
        <v>512</v>
      </c>
    </row>
    <row r="51" spans="2:2" x14ac:dyDescent="0.35">
      <c r="B51" t="s">
        <v>513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5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7.2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534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10008.199999999999</v>
      </c>
      <c r="J25" s="274">
        <f>SUM(J16:J24)</f>
        <v>1801.4759999999997</v>
      </c>
      <c r="K25" s="275">
        <f t="shared" si="10"/>
        <v>350.28700000000003</v>
      </c>
      <c r="L25" s="276">
        <f t="shared" si="10"/>
        <v>0</v>
      </c>
      <c r="M25" s="232">
        <f t="shared" si="10"/>
        <v>7856.4369999999999</v>
      </c>
      <c r="N25" s="233">
        <f>SUM(N16:N24)</f>
        <v>1891.5254237288132</v>
      </c>
      <c r="O25" s="101">
        <f>SUM(O16:O24)</f>
        <v>48.739812118644068</v>
      </c>
      <c r="P25" s="113">
        <f>SUM(P16:P24)</f>
        <v>9796.7022358474569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10008.199999999999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1801.4759999999997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350.28700000000003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7856.4369999999981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9747.9624237288117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48.73981211864406</v>
      </c>
    </row>
    <row r="35" spans="2:16" ht="15.75" customHeight="1" thickBot="1" x14ac:dyDescent="0.4">
      <c r="N35" s="343" t="s">
        <v>88</v>
      </c>
      <c r="O35" s="344"/>
      <c r="P35" s="297">
        <f>+P33+P34</f>
        <v>9796.7022358474551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517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5004.1000000000004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900.73799999999983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175.14350000000002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3928.2185000000009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4873.9812118644077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3" t="s">
        <v>88</v>
      </c>
      <c r="O35" s="344"/>
      <c r="P35" s="297">
        <f>+P33+P34</f>
        <v>4898.3511179237294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8.75" customHeight="1" x14ac:dyDescent="0.4">
      <c r="A6" s="397" t="s">
        <v>518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519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5004.1000000000004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900.73799999999983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175.14350000000002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3928.2185000000009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4873.9812118644077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3" t="s">
        <v>88</v>
      </c>
      <c r="O35" s="344"/>
      <c r="P35" s="297">
        <f>+P33+P34</f>
        <v>4898.3511179237294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3928.2184999999995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5004.1000000000004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900.73799999999983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175.14350000000002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3928.2185000000009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4873.9812118644077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3" t="s">
        <v>88</v>
      </c>
      <c r="O35" s="344"/>
      <c r="P35" s="297">
        <f>+P33+P34</f>
        <v>4898.3511179237294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522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146.89500000000001</v>
      </c>
      <c r="L25" s="276">
        <f t="shared" si="7"/>
        <v>0</v>
      </c>
      <c r="M25" s="232">
        <f t="shared" si="7"/>
        <v>3294.645</v>
      </c>
      <c r="N25" s="233">
        <f>SUM(N16:N24)</f>
        <v>793.22033898305051</v>
      </c>
      <c r="O25" s="101">
        <f>SUM(O16:O24)</f>
        <v>20.439326694915252</v>
      </c>
      <c r="P25" s="113">
        <f>SUM(P16:P24)</f>
        <v>4108.3046656779661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4197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755.45999999999992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146.89500000000001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3294.645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4087.8653389830506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20.439326694915252</v>
      </c>
    </row>
    <row r="35" spans="2:16" ht="15.75" customHeight="1" thickBot="1" x14ac:dyDescent="0.4">
      <c r="N35" s="343" t="s">
        <v>88</v>
      </c>
      <c r="O35" s="344"/>
      <c r="P35" s="297">
        <f>+P33+P34</f>
        <v>4108.3046656779661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D7" sqref="D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276.83950000000004</v>
      </c>
      <c r="L25" s="276">
        <f t="shared" si="7"/>
        <v>0</v>
      </c>
      <c r="M25" s="232">
        <f t="shared" si="7"/>
        <v>6209.1144999999997</v>
      </c>
      <c r="N25" s="233">
        <f>SUM(N16:N24)</f>
        <v>1494.9152542372879</v>
      </c>
      <c r="O25" s="101">
        <f>SUM(O16:O24)</f>
        <v>38.520148771186442</v>
      </c>
      <c r="P25" s="113">
        <f>SUM(P16:P24)</f>
        <v>7742.5499030084738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7909.7000000000007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1423.7459999999996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276.83950000000004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6209.1145000000015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1494.9152542372879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7704.0297542372891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38.520148771186449</v>
      </c>
    </row>
    <row r="35" spans="2:16" ht="15.75" customHeight="1" thickBot="1" x14ac:dyDescent="0.4">
      <c r="N35" s="343" t="s">
        <v>88</v>
      </c>
      <c r="O35" s="344"/>
      <c r="P35" s="297">
        <f>+P33+P34</f>
        <v>7742.5499030084757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527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200</v>
      </c>
      <c r="I25" s="114">
        <f t="shared" si="7"/>
        <v>12106.699999999999</v>
      </c>
      <c r="J25" s="274">
        <f>SUM(J16:J24)</f>
        <v>2179.2059999999997</v>
      </c>
      <c r="K25" s="275">
        <f t="shared" si="7"/>
        <v>423.73450000000008</v>
      </c>
      <c r="L25" s="276">
        <f t="shared" si="7"/>
        <v>0</v>
      </c>
      <c r="M25" s="232">
        <f t="shared" si="7"/>
        <v>9503.7595000000001</v>
      </c>
      <c r="N25" s="233">
        <f>SUM(N16:N24)</f>
        <v>2288.1355932203383</v>
      </c>
      <c r="O25" s="101">
        <f>SUM(O16:O24)</f>
        <v>58.959475466101694</v>
      </c>
      <c r="P25" s="113">
        <f>SUM(P16:P24)</f>
        <v>11850.854568686438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12106.699999999999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2179.2059999999997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423.73450000000008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9503.7594999999983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11791.895093220337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58.959475466101686</v>
      </c>
    </row>
    <row r="35" spans="2:16" ht="15.75" customHeight="1" thickBot="1" x14ac:dyDescent="0.4">
      <c r="N35" s="343" t="s">
        <v>88</v>
      </c>
      <c r="O35" s="344"/>
      <c r="P35" s="297">
        <f>+P33+P34</f>
        <v>11850.854568686438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529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160</v>
      </c>
      <c r="I25" s="114">
        <f t="shared" si="7"/>
        <v>10008.199999999999</v>
      </c>
      <c r="J25" s="274">
        <f>SUM(J16:J24)</f>
        <v>1801.4759999999997</v>
      </c>
      <c r="K25" s="275">
        <f t="shared" si="7"/>
        <v>350.28700000000003</v>
      </c>
      <c r="L25" s="276">
        <f t="shared" si="7"/>
        <v>0</v>
      </c>
      <c r="M25" s="232">
        <f t="shared" si="7"/>
        <v>7856.4369999999999</v>
      </c>
      <c r="N25" s="233">
        <f>SUM(N16:N24)</f>
        <v>1891.5254237288132</v>
      </c>
      <c r="O25" s="101">
        <f>SUM(O16:O24)</f>
        <v>48.739812118644068</v>
      </c>
      <c r="P25" s="113">
        <f>SUM(P16:P24)</f>
        <v>9796.7022358474569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10008.199999999999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1801.4759999999997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350.28700000000003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7856.4369999999981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9747.9624237288117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48.73981211864406</v>
      </c>
    </row>
    <row r="35" spans="2:16" ht="15.75" customHeight="1" thickBot="1" x14ac:dyDescent="0.4">
      <c r="N35" s="343" t="s">
        <v>88</v>
      </c>
      <c r="O35" s="344"/>
      <c r="P35" s="297">
        <f>+P33+P34</f>
        <v>9796.7022358474551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530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200</v>
      </c>
      <c r="I25" s="114">
        <f t="shared" si="7"/>
        <v>12106.699999999999</v>
      </c>
      <c r="J25" s="274">
        <f>SUM(J16:J24)</f>
        <v>2179.2059999999997</v>
      </c>
      <c r="K25" s="275">
        <f t="shared" si="7"/>
        <v>423.73450000000008</v>
      </c>
      <c r="L25" s="276">
        <f t="shared" si="7"/>
        <v>0</v>
      </c>
      <c r="M25" s="232">
        <f t="shared" si="7"/>
        <v>9503.7595000000001</v>
      </c>
      <c r="N25" s="233">
        <f>SUM(N16:N24)</f>
        <v>2288.1355932203383</v>
      </c>
      <c r="O25" s="101">
        <f>SUM(O16:O24)</f>
        <v>58.959475466101694</v>
      </c>
      <c r="P25" s="113">
        <f>SUM(P16:P24)</f>
        <v>11850.854568686438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12106.699999999999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2179.2059999999997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423.73450000000008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9503.7594999999983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11791.895093220337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58.959475466101686</v>
      </c>
    </row>
    <row r="35" spans="2:16" ht="15.75" customHeight="1" thickBot="1" x14ac:dyDescent="0.4">
      <c r="N35" s="343" t="s">
        <v>88</v>
      </c>
      <c r="O35" s="344"/>
      <c r="P35" s="297">
        <f>+P33+P34</f>
        <v>11850.854568686438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2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535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536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200</v>
      </c>
      <c r="I25" s="114">
        <f t="shared" si="7"/>
        <v>12106.699999999999</v>
      </c>
      <c r="J25" s="274">
        <f>SUM(J16:J24)</f>
        <v>2179.2059999999997</v>
      </c>
      <c r="K25" s="275">
        <f t="shared" si="7"/>
        <v>423.73450000000008</v>
      </c>
      <c r="L25" s="276">
        <f t="shared" si="7"/>
        <v>0</v>
      </c>
      <c r="M25" s="232">
        <f t="shared" si="7"/>
        <v>9503.7595000000001</v>
      </c>
      <c r="N25" s="233">
        <f>SUM(N16:N24)</f>
        <v>2288.1355932203383</v>
      </c>
      <c r="O25" s="101">
        <f>SUM(O16:O24)</f>
        <v>58.959475466101694</v>
      </c>
      <c r="P25" s="113">
        <f>SUM(P16:P24)</f>
        <v>11850.854568686438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12106.699999999999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2179.2059999999997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423.73450000000008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9503.7594999999983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11791.895093220337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58.959475466101686</v>
      </c>
    </row>
    <row r="35" spans="2:16" ht="15.75" customHeight="1" thickBot="1" x14ac:dyDescent="0.4">
      <c r="N35" s="343" t="s">
        <v>88</v>
      </c>
      <c r="O35" s="344"/>
      <c r="P35" s="297">
        <f>+P33+P34</f>
        <v>11850.854568686438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537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538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523.00799999999992</v>
      </c>
      <c r="K25" s="275">
        <f t="shared" si="7"/>
        <v>101.69600000000001</v>
      </c>
      <c r="L25" s="276">
        <f t="shared" si="7"/>
        <v>0</v>
      </c>
      <c r="M25" s="232">
        <f t="shared" si="7"/>
        <v>2280.8959999999997</v>
      </c>
      <c r="N25" s="233">
        <f>SUM(N16:N24)</f>
        <v>549.15254237288138</v>
      </c>
      <c r="O25" s="101">
        <f>SUM(O16:O24)</f>
        <v>14.150242711864406</v>
      </c>
      <c r="P25" s="113">
        <f>SUM(P16:P24)</f>
        <v>2844.1987850847454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2905.6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523.00799999999992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101.69600000000001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2280.8960000000002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2830.0485423728815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14.150242711864408</v>
      </c>
    </row>
    <row r="35" spans="2:16" ht="15.75" customHeight="1" thickBot="1" x14ac:dyDescent="0.4">
      <c r="N35" s="343" t="s">
        <v>88</v>
      </c>
      <c r="O35" s="344"/>
      <c r="P35" s="297">
        <f>+P33+P34</f>
        <v>2844.1987850847459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532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533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276.83950000000004</v>
      </c>
      <c r="L25" s="276">
        <f t="shared" si="7"/>
        <v>0</v>
      </c>
      <c r="M25" s="232">
        <f t="shared" si="7"/>
        <v>6209.1144999999997</v>
      </c>
      <c r="N25" s="233">
        <f>SUM(N16:N24)</f>
        <v>1494.9152542372879</v>
      </c>
      <c r="O25" s="101">
        <f>SUM(O16:O24)</f>
        <v>38.520148771186442</v>
      </c>
      <c r="P25" s="113">
        <f>SUM(P16:P24)</f>
        <v>7742.5499030084738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7909.7000000000007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1423.7459999999996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276.83950000000004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6209.1145000000015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1494.9152542372879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7704.0297542372891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38.520148771186449</v>
      </c>
    </row>
    <row r="35" spans="2:16" ht="15.75" customHeight="1" thickBot="1" x14ac:dyDescent="0.4">
      <c r="N35" s="343" t="s">
        <v>88</v>
      </c>
      <c r="O35" s="344"/>
      <c r="P35" s="297">
        <f>+P33+P34</f>
        <v>7742.5499030084757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539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540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1278.4679999999998</v>
      </c>
      <c r="K25" s="275">
        <f t="shared" si="7"/>
        <v>248.59100000000001</v>
      </c>
      <c r="L25" s="276">
        <f t="shared" si="7"/>
        <v>0</v>
      </c>
      <c r="M25" s="232">
        <f t="shared" si="7"/>
        <v>5575.5409999999993</v>
      </c>
      <c r="N25" s="233">
        <f>SUM(N16:N24)</f>
        <v>1342.3728813559319</v>
      </c>
      <c r="O25" s="101">
        <f>SUM(O16:O24)</f>
        <v>34.58956940677966</v>
      </c>
      <c r="P25" s="113">
        <f>SUM(P16:P24)</f>
        <v>6952.5034507627115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7102.6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1278.4679999999998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248.59100000000001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5575.5410000000002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6917.9138813559321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34.58956940677966</v>
      </c>
    </row>
    <row r="35" spans="2:16" ht="15.75" customHeight="1" thickBot="1" x14ac:dyDescent="0.4">
      <c r="N35" s="343" t="s">
        <v>88</v>
      </c>
      <c r="O35" s="344"/>
      <c r="P35" s="297">
        <f>+P33+P34</f>
        <v>6952.5034507627115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542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276.83950000000004</v>
      </c>
      <c r="L25" s="276">
        <f t="shared" si="7"/>
        <v>0</v>
      </c>
      <c r="M25" s="232">
        <f t="shared" si="7"/>
        <v>6209.1144999999997</v>
      </c>
      <c r="N25" s="233">
        <f>SUM(N16:N24)</f>
        <v>1494.9152542372879</v>
      </c>
      <c r="O25" s="101">
        <f>SUM(O16:O24)</f>
        <v>38.520148771186442</v>
      </c>
      <c r="P25" s="113">
        <f>SUM(P16:P24)</f>
        <v>7742.5499030084738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7909.7000000000007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1423.7459999999996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276.83950000000004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6209.1145000000015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1494.9152542372879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7704.0297542372891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38.520148771186449</v>
      </c>
    </row>
    <row r="35" spans="2:16" ht="15.75" customHeight="1" thickBot="1" x14ac:dyDescent="0.4">
      <c r="N35" s="343" t="s">
        <v>88</v>
      </c>
      <c r="O35" s="344"/>
      <c r="P35" s="297">
        <f>+P33+P34</f>
        <v>7742.5499030084757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543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544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5004.1000000000004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900.73799999999983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175.14350000000002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3928.2185000000009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4873.9812118644077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3" t="s">
        <v>88</v>
      </c>
      <c r="O35" s="344"/>
      <c r="P35" s="297">
        <f>+P33+P34</f>
        <v>4898.3511179237294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545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546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5004.1000000000004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900.73799999999983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175.14350000000002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3928.2185000000009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4873.9812118644077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3" t="s">
        <v>88</v>
      </c>
      <c r="O35" s="344"/>
      <c r="P35" s="297">
        <f>+P33+P34</f>
        <v>4898.3511179237294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547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548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5004.1000000000004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900.73799999999983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175.14350000000002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3928.2185000000009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4873.9812118644077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3" t="s">
        <v>88</v>
      </c>
      <c r="O35" s="344"/>
      <c r="P35" s="297">
        <f>+P33+P34</f>
        <v>4898.3511179237294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549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46251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46253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46252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2026-08-18T08:41:37Z</dcterms:modified>
</cp:coreProperties>
</file>