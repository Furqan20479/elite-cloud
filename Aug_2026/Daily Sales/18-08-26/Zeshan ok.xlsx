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2ECCF7-2D6F-4231-9AC5-634F1AF77E9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R20" i="57" s="1"/>
  <c r="M21" i="53"/>
  <c r="O21" i="53" s="1"/>
  <c r="P21" i="53" s="1"/>
  <c r="M16" i="48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<sst xmlns="http://schemas.openxmlformats.org/spreadsheetml/2006/main" count="3978" uniqueCount="533">
  <si>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</si>
  <si>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</si>
  <si>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</si>
  <si>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</si>
  <si>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</si>
  <si>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</si>
  <si>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</si>
  <si>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</si>
  <si>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</si>
  <si>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</si>
  <si>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</si>
  <si>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</si>
  <si>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</si>
  <si>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</si>
  <si>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</si>
  <si>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</si>
  <si>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</si>
  <si>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</si>
  <si>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</si>
  <si>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</si>
  <si>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</si>
  <si>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</si>
  <si>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</si>
  <si>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</si>
  <si>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</si>
  <si>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</si>
  <si>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</si>
  <si>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</si>
  <si>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</si>
  <si>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</si>
  <si>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</si>
  <si>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</si>
  <si>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</si>
  <si>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</si>
  <si>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</si>
  <si>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</si>
  <si>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</si>
  <si>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</si>
  <si>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</si>
  <si>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</si>
  <si>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</si>
  <si>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</si>
  <si>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</si>
  <si>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</si>
  <si>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</si>
  <si>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</si>
  <si>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</si>
  <si>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</si>
  <si>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</si>
  <si>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</si>
  <si>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</si>
  <si>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</si>
  <si>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</si>
  <si>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</si>
  <si>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</si>
  <si>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</si>
  <si>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</si>
  <si>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</si>
  <si>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</si>
  <si>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</si>
  <si>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</si>
  <si>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</si>
  <si>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</si>
  <si>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</si>
  <si>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</si>
  <si>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</si>
  <si>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</si>
  <si>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</si>
  <si>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</si>
  <si>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</si>
  <si>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</si>
  <si>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</si>
  <si>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</si>
  <si>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</si>
  <si>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</si>
  <si>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</si>
  <si>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</si>
  <si>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</si>
  <si>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</si>
  <si>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</si>
  <si>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</si>
  <si>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</si>
  <si>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</si>
  <si>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</si>
  <si>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</si>
  <si>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</si>
  <si>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</si>
  <si>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</si>
  <si>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</si>
  <si>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</si>
  <si>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</si>
  <si>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</si>
  <si>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</si>
  <si>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</si>
  <si>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</si>
  <si>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</si>
  <si>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</si>
  <si>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</si>
  <si>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</si>
  <si>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</si>
  <si>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</si>
  <si>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</si>
  <si>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</si>
  <si>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</si>
  <si>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</si>
  <si>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</si>
  <si>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</si>
  <si>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</si>
  <si>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</si>
  <si>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</si>
  <si>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</si>
  <si>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</si>
  <si>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</si>
  <si>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</si>
  <si>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</si>
  <si>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</si>
  <si>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</si>
  <si>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</si>
  <si>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</si>
  <si>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</si>
  <si>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</si>
  <si>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</si>
  <si>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</si>
  <si>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</si>
  <si>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</si>
  <si>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</si>
  <si>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</si>
  <si>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</si>
  <si>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</si>
  <si>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</si>
  <si>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</si>
  <si>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</si>
  <si>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</si>
  <si>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</si>
  <si>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</si>
  <si>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</si>
  <si>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</si>
  <si>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</si>
  <si>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</si>
  <si>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</si>
  <si>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</si>
  <si>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</si>
  <si>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</si>
  <si>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</si>
  <si>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</si>
  <si>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</si>
  <si>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</si>
  <si>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</si>
  <si>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</si>
  <si>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</si>
  <si>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</si>
  <si>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</si>
  <si>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</si>
  <si>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</si>
  <si>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</si>
  <si>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</si>
  <si>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</si>
  <si>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</si>
  <si>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</si>
  <si>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</si>
  <si>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</si>
  <si>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</si>
  <si>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</si>
  <si>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</si>
  <si>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</si>
  <si>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</si>
  <si>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</si>
  <si>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</si>
  <si>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</si>
  <si>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</si>
  <si>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</si>
  <si>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</si>
  <si>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</si>
  <si>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</si>
  <si>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</si>
  <si>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</si>
  <si>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</si>
  <si>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</si>
  <si>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</si>
  <si>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</si>
  <si>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</si>
  <si>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</si>
  <si>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</si>
  <si>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</si>
  <si>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</si>
  <si>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</si>
  <si>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</si>
  <si>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</si>
  <si>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</si>
  <si>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</si>
  <si>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</si>
  <si>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</si>
  <si>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</si>
  <si>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</si>
  <si>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</si>
  <si>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</si>
  <si>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</si>
  <si>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</si>
  <si>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</si>
  <si>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</si>
  <si>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</si>
  <si>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</si>
  <si>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</si>
  <si>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</si>
  <si>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</si>
  <si>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</si>
  <si>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</si>
  <si>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</si>
  <si>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</si>
  <si>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</si>
  <si>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</si>
  <si>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</si>
  <si>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</si>
  <si>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</si>
  <si>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</si>
  <si>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</si>
  <si>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</si>
  <si>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</si>
  <si>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</si>
  <si>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</si>
  <si>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</si>
  <si>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</si>
  <si>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</si>
  <si>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</si>
  <si>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</si>
  <si>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</si>
  <si>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</si>
  <si>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</si>
  <si>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</si>
  <si>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</si>
  <si>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</si>
  <si>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</si>
  <si>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</si>
  <si>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</si>
  <si>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</si>
  <si>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</si>
  <si>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</si>
  <si>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</si>
  <si>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</si>
  <si>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</si>
  <si>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</si>
  <si>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</si>
  <si>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</si>
  <si>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</si>
  <si>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</si>
  <si>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</si>
  <si>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</si>
  <si>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</si>
  <si>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</si>
  <si>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</si>
  <si>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</si>
  <si>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</si>
  <si>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</si>
  <si>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</si>
  <si>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</si>
  <si>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</si>
  <si>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</si>
  <si>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</si>
  <si>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</si>
  <si>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</si>
  <si>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</si>
  <si>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</si>
  <si>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</si>
  <si>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</si>
  <si>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</si>
  <si>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</si>
  <si>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</si>
  <si>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</si>
  <si>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</si>
  <si>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</si>
  <si>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</si>
  <si>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</si>
  <si>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</si>
  <si>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</si>
  <si>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</si>
  <si>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</si>
  <si>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</si>
  <si>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</si>
  <si>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</si>
  <si>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</si>
  <si>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</si>
  <si>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</si>
  <si>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</si>
  <si>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</si>
  <si>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</si>
  <si>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</si>
  <si>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</si>
  <si>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</si>
  <si>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</si>
  <si>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</si>
  <si>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</si>
  <si>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</si>
  <si>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</si>
  <si>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</si>
  <si>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</si>
  <si>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</si>
  <si>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</si>
  <si>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</si>
  <si>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</si>
  <si>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</si>
  <si>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</si>
  <si>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</si>
  <si>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</si>
  <si>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</si>
  <si>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</si>
  <si>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</si>
  <si>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</si>
  <si>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</si>
  <si>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</si>
  <si>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</si>
  <si>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</si>
  <si>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</si>
  <si>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</si>
  <si>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</si>
  <si>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</si>
  <si>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</si>
  <si>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</si>
  <si>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</si>
  <si>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</si>
  <si>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</si>
  <si>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</si>
  <si>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</si>
  <si>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</si>
  <si>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</si>
  <si>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</si>
  <si>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</si>
  <si>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</si>
  <si>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</si>
  <si>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</si>
  <si>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</si>
  <si>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</si>
  <si>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</si>
  <si>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</si>
  <si>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</si>
  <si>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</si>
  <si>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</si>
  <si>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</si>
  <si>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</si>
  <si>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</si>
  <si>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</si>
  <si>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</si>
  <si>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</si>
  <si>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</si>
  <si>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</si>
  <si>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</si>
  <si>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</si>
  <si>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</si>
  <si>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</si>
  <si>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</si>
  <si>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</si>
  <si>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</si>
  <si>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</si>
  <si>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</si>
  <si>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</si>
  <si>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</si>
  <si>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</si>
  <si>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</si>
  <si>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</si>
  <si>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</si>
  <si>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</si>
  <si>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</si>
  <si>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</si>
  <si>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</si>
  <si>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</si>
  <si>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</si>
  <si>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</si>
  <si>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</si>
  <si>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</si>
  <si>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</si>
  <si>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</si>
  <si>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</si>
  <si>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</si>
  <si>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</si>
  <si>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</si>
  <si>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</si>
  <si>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</si>
  <si>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</si>
  <si>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</si>
  <si>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</si>
  <si>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</si>
  <si>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</si>
  <si>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</si>
  <si>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</si>
  <si>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</si>
  <si>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</si>
  <si>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</si>
  <si>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</si>
  <si>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</si>
  <si>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</si>
  <si>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</si>
  <si>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</si>
  <si>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</si>
  <si>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</si>
  <si>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</si>
  <si>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</si>
  <si>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</si>
  <si>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</si>
  <si>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</si>
  <si>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</si>
  <si>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</si>
  <si>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</si>
  <si>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</si>
  <si>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</si>
  <si>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</si>
  <si>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</si>
  <si>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</si>
  <si>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</si>
  <si>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</si>
  <si>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</si>
  <si>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</si>
  <si>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</si>
  <si>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</si>
  <si>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</si>
  <si>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</si>
  <si>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</si>
  <si>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</si>
  <si>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</si>
  <si>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</si>
  <si>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</si>
  <si>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</si>
  <si>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</si>
  <si>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</si>
  <si>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</si>
  <si>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</si>
  <si>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</si>
  <si>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</si>
  <si>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</si>
  <si>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</si>
  <si>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</si>
  <si>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</si>
  <si>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</si>
  <si>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</si>
  <si>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</si>
  <si>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</si>
  <si>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</si>
  <si>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</si>
  <si>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</si>
  <si>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</si>
  <si>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</si>
  <si>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</si>
  <si>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</si>
  <si>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</si>
  <si>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</si>
  <si>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</si>
  <si>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</si>
  <si>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</si>
  <si>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</si>
  <si>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</si>
  <si>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</si>
  <si>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</si>
  <si>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</si>
  <si>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</si>
  <si>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</si>
  <si>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</si>
  <si>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</si>
  <si>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</si>
  <si>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</si>
  <si>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</si>
  <si>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</si>
  <si>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</si>
  <si>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</si>
  <si>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</si>
  <si>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</si>
  <si>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</si>
  <si>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</si>
  <si>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</si>
  <si>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</si>
  <si>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</si>
  <si>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</si>
  <si>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</si>
  <si>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</si>
  <si>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</si>
  <si>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</si>
  <si>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</si>
  <si>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</si>
  <si>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</si>
  <si>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</si>
  <si>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</si>
  <si>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</si>
  <si>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</si>
  <si>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</si>
  <si>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</si>
  <si>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</si>
  <si>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</si>
  <si>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</si>
  <si>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</si>
  <si>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</si>
  <si>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</si>
  <si>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</si>
  <si>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</si>
  <si>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</si>
  <si>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</si>
  <si>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</si>
  <si>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</si>
  <si>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</si>
  <si>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</si>
  <si>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</si>
  <si>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</si>
  <si>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</si>
  <si>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</si>
  <si>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</si>
  <si>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</si>
  <si>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</si>
  <si>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</si>
  <si>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</si>
  <si>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</si>
  <si>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</si>
  <si>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</si>
  <si>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</si>
  <si>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</si>
  <si>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</si>
  <si>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</si>
  <si>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</si>
  <si>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</si>
  <si>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</si>
  <si>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</si>
  <si>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>Address: Rifal Range Road</t>
  </si>
  <si>
    <t>Mirch Mehal Store</t>
  </si>
  <si>
    <t>Daim Store</t>
  </si>
  <si>
    <t xml:space="preserve">Madni Bakers </t>
  </si>
  <si>
    <t>Umer Store</t>
  </si>
  <si>
    <t>Madina Store</t>
  </si>
  <si>
    <t>Khan Store</t>
  </si>
  <si>
    <t>786 Store</t>
  </si>
  <si>
    <t xml:space="preserve">Bread &amp; Butter </t>
  </si>
  <si>
    <t>Ahmad Pharmacy</t>
  </si>
  <si>
    <t>Hyper Store</t>
  </si>
  <si>
    <t>Best Mart</t>
  </si>
  <si>
    <t xml:space="preserve">Shamza Bakers </t>
  </si>
  <si>
    <t>Khwaja Store</t>
  </si>
  <si>
    <t xml:space="preserve">Bin Hadi </t>
  </si>
  <si>
    <t>Awan Store</t>
  </si>
  <si>
    <t>Kashmir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</si>
</sst>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3" workbookViewId="0">
      <selection activeCell="F36" sqref="F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Mirch Mehal Store</v>
      </c>
      <c r="T3" s="301">
        <f>+'1'!P35</f>
        <v>3970.8005418305079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Daim Store</v>
      </c>
      <c r="T4" s="301">
        <f>+'2'!P35</f>
        <v>1290.7284250461862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 xml:space="preserve">Madni Bakers 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Umer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</v>
      </c>
      <c r="I7" s="235">
        <f>(G7*D7)*F7+H7*F7</f>
        <v>419.7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33.576000000000001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14.689500000000001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371.43449999999996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79.322033898305051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2.2537826694915255</v>
      </c>
      <c r="P7" s="310">
        <f>M7+N7+O7</f>
        <v>453.01031656779651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Madina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43</v>
      </c>
      <c r="I8" s="236">
        <f t="shared" ref="I8:I14" si="0">(G8*D8)*F8+H8*F8</f>
        <v>2255.8874999999998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180.47099999999998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78.956062500000002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1996.4604374999999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426.35593220338967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12.11408184851695</v>
      </c>
      <c r="P8" s="311">
        <f t="shared" ref="P8:P15" si="2">M8+N8+O8</f>
        <v>2434.9304515519066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Khan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786 Store</v>
      </c>
      <c r="T9" s="301">
        <f>+'7'!P35</f>
        <v>491.7786870413135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 xml:space="preserve">Bread &amp; Butter </v>
      </c>
      <c r="T10" s="301">
        <f>+'8'!P35</f>
        <v>5937.9152899957635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43</v>
      </c>
      <c r="I11" s="236">
        <f t="shared" si="0"/>
        <v>3123.52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249.88159999999999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109.32320000000001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2764.3152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590.33898305084745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16.773270915254237</v>
      </c>
      <c r="P11" s="311">
        <f t="shared" si="2"/>
        <v>3371.4274539661019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Ahmad Pharmacy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67</v>
      </c>
      <c r="I12" s="236">
        <f t="shared" si="0"/>
        <v>4866.88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389.35039999999998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170.3408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4307.1887999999999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919.83050847457639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26.135096542372885</v>
      </c>
      <c r="P12" s="311">
        <f t="shared" si="2"/>
        <v>5253.1544050169487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Hyper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189</v>
      </c>
      <c r="I13" s="236">
        <f t="shared" si="0"/>
        <v>7414.4700000000012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370.72350000000006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259.50645000000009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378.13797</v>
      </c>
      <c r="M13" s="230">
        <f t="shared" si="1"/>
        <v>6406.1020800000006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1441.5254237288127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39.238137518644066</v>
      </c>
      <c r="P13" s="311">
        <f t="shared" si="2"/>
        <v>7886.8656412474575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40</v>
      </c>
      <c r="R13" s="314">
        <v>11</v>
      </c>
      <c r="S13" s="300" t="str">
        <f>+'11'!A6:A6</f>
        <v>Best Mart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Shamza Bakers 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Khwaja Store</v>
      </c>
      <c r="T15" s="301">
        <f>+'13'!P35</f>
        <v>784.05289627118646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10.25</v>
      </c>
      <c r="H16" s="113">
        <f t="shared" ref="H16:M16" si="3">SUM(H7:H15)</f>
        <v>410</v>
      </c>
      <c r="I16" s="114">
        <f t="shared" si="3"/>
        <v>22438.857500000002</v>
      </c>
      <c r="J16" s="274">
        <f>SUM(J7:J15)</f>
        <v>1572.6745000000001</v>
      </c>
      <c r="K16" s="275">
        <f t="shared" si="3"/>
        <v>785.36001250000004</v>
      </c>
      <c r="L16" s="276">
        <f t="shared" si="3"/>
        <v>378.13797</v>
      </c>
      <c r="M16" s="232">
        <f t="shared" si="3"/>
        <v>19702.6850175</v>
      </c>
      <c r="N16" s="233">
        <f>SUM(N7:N15)</f>
        <v>4281.1016949152536</v>
      </c>
      <c r="O16" s="101">
        <f>SUM(O7:O15)</f>
        <v>119.91893356207628</v>
      </c>
      <c r="P16" s="113">
        <f>SUM(P7:P15)</f>
        <v>24103.70564597733</v>
      </c>
      <c r="Q16" s="128">
        <f>SUM(Q7:Q15)</f>
        <v>80</v>
      </c>
      <c r="R16" s="314">
        <v>14</v>
      </c>
      <c r="S16" s="300" t="str">
        <f>+'14'!A6:A6</f>
        <v xml:space="preserve">Bin Hadi 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Awan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Kashmir Store</v>
      </c>
      <c r="T18" s="301">
        <f>+'16'!P35</f>
        <v>6474.5674120677959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22438.857500000002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1572.6745000000001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1163.4979825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19702.6850175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4281.1016949152536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23983.786712415254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119.91893356207628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24103.70564597733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24103.70564597733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3690.2</v>
      </c>
      <c r="J25" s="274">
        <f>SUM(J16:J24)</f>
        <v>271.678</v>
      </c>
      <c r="K25" s="275">
        <f t="shared" si="10"/>
        <v>129.15700000000001</v>
      </c>
      <c r="L25" s="276">
        <f t="shared" si="10"/>
        <v>40.014600000000002</v>
      </c>
      <c r="M25" s="232">
        <f t="shared" si="10"/>
        <v>3249.3503999999998</v>
      </c>
      <c r="N25" s="233">
        <f>SUM(N16:N24)</f>
        <v>701.69491525423723</v>
      </c>
      <c r="O25" s="101">
        <f>SUM(O16:O24)</f>
        <v>19.755226576271188</v>
      </c>
      <c r="P25" s="113">
        <f>SUM(P16:P24)</f>
        <v>3970.8005418305083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3690.2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271.678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169.17160000000001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3249.3503999999998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701.69491525423723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3951.0453152542368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19.755226576271184</v>
      </c>
    </row>
    <row r="35" spans="2:16" ht="15.75" customHeight="1" thickBot="1" x14ac:dyDescent="0.4">
      <c r="N35" s="342" t="s">
        <v>88</v>
      </c>
      <c r="O35" s="343"/>
      <c r="P35" s="297">
        <f>+P33+P34</f>
        <v>3970.8005418305079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310">
        <f>M16+N16+O16</f>
        <v>169.87886871292372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311">
        <f t="shared" ref="P17:P24" si="5">M17+N17+O17</f>
        <v>169.87886871292372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311">
        <f t="shared" si="5"/>
        <v>166.91779134915254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1198.095</v>
      </c>
      <c r="J25" s="274">
        <f>SUM(J16:J24)</f>
        <v>91.14</v>
      </c>
      <c r="K25" s="275">
        <f t="shared" si="7"/>
        <v>41.933325000000011</v>
      </c>
      <c r="L25" s="276">
        <f t="shared" si="7"/>
        <v>8.0029199999999996</v>
      </c>
      <c r="M25" s="232">
        <f t="shared" si="7"/>
        <v>1057.0187550000001</v>
      </c>
      <c r="N25" s="233">
        <f>SUM(N16:N24)</f>
        <v>227.28813559322029</v>
      </c>
      <c r="O25" s="101">
        <f>SUM(O16:O24)</f>
        <v>6.4215344529661023</v>
      </c>
      <c r="P25" s="113">
        <f>SUM(P16:P24)</f>
        <v>1290.7284250461864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1198.095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91.14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49.936245000000014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1057.0187549999998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227.28813559322029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1284.30689059322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6.4215344529661005</v>
      </c>
    </row>
    <row r="35" spans="2:16" ht="15.75" customHeight="1" thickBot="1" x14ac:dyDescent="0.4">
      <c r="N35" s="342" t="s">
        <v>88</v>
      </c>
      <c r="O35" s="343"/>
      <c r="P35" s="297">
        <f>+P33+P34</f>
        <v>1290.7284250461862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458.46250000000003</v>
      </c>
      <c r="J25" s="274">
        <f>SUM(J16:J24)</f>
        <v>30.792500000000004</v>
      </c>
      <c r="K25" s="275">
        <f t="shared" si="7"/>
        <v>16.046187500000002</v>
      </c>
      <c r="L25" s="276">
        <f t="shared" si="7"/>
        <v>10.00365</v>
      </c>
      <c r="M25" s="232">
        <f t="shared" si="7"/>
        <v>401.62016250000005</v>
      </c>
      <c r="N25" s="233">
        <f>SUM(N16:N24)</f>
        <v>87.711864406779625</v>
      </c>
      <c r="O25" s="101">
        <f>SUM(O16:O24)</f>
        <v>2.4466601345338983</v>
      </c>
      <c r="P25" s="113">
        <f>SUM(P16:P24)</f>
        <v>491.77868704131356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458.46250000000003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30.792500000000004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26.049837500000002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401.62016249999999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87.711864406779625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489.33202690677962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2.4466601345338983</v>
      </c>
    </row>
    <row r="35" spans="2:16" ht="15.75" customHeight="1" thickBot="1" x14ac:dyDescent="0.4">
      <c r="N35" s="342" t="s">
        <v>88</v>
      </c>
      <c r="O35" s="343"/>
      <c r="P35" s="297">
        <f>+P33+P34</f>
        <v>491.7786870413135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100</v>
      </c>
      <c r="I25" s="114">
        <f t="shared" si="7"/>
        <v>5524.0500000000011</v>
      </c>
      <c r="J25" s="274">
        <f>SUM(J16:J24)</f>
        <v>394.84800000000001</v>
      </c>
      <c r="K25" s="275">
        <f t="shared" si="7"/>
        <v>193.34175000000005</v>
      </c>
      <c r="L25" s="276">
        <f t="shared" si="7"/>
        <v>80.029200000000003</v>
      </c>
      <c r="M25" s="232">
        <f t="shared" si="7"/>
        <v>4855.8310500000007</v>
      </c>
      <c r="N25" s="233">
        <f>SUM(N16:N24)</f>
        <v>1052.5423728813557</v>
      </c>
      <c r="O25" s="101">
        <f>SUM(O16:O24)</f>
        <v>29.541867114406777</v>
      </c>
      <c r="P25" s="113">
        <f>SUM(P16:P24)</f>
        <v>5937.9152899957626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5524.0500000000011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394.84800000000001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273.37095000000005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4855.8310500000007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1052.5423728813557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5908.3734228813564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29.541867114406784</v>
      </c>
    </row>
    <row r="35" spans="2:16" ht="15.75" customHeight="1" thickBot="1" x14ac:dyDescent="0.4">
      <c r="N35" s="342" t="s">
        <v>88</v>
      </c>
      <c r="O35" s="343"/>
      <c r="P35" s="297">
        <f>+P33+P34</f>
        <v>5937.9152899957635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524.625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41.97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18.361875000000001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464.29312499999997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563.4456673728813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2" t="s">
        <v>88</v>
      </c>
      <c r="O35" s="343"/>
      <c r="P35" s="297">
        <f>+P33+P34</f>
        <v>566.26289570974575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726.4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58.112000000000002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25.424000000000003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642.86400000000003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780.15213559322035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2" t="s">
        <v>88</v>
      </c>
      <c r="O35" s="343"/>
      <c r="P35" s="297">
        <f>+P33+P34</f>
        <v>784.05289627118646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504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6044</v>
      </c>
      <c r="J25" s="274">
        <f>SUM(J16:J24)</f>
        <v>389.36800000000005</v>
      </c>
      <c r="K25" s="275">
        <f t="shared" si="7"/>
        <v>211.54000000000002</v>
      </c>
      <c r="L25" s="276">
        <f t="shared" si="7"/>
        <v>160.05840000000001</v>
      </c>
      <c r="M25" s="232">
        <f t="shared" si="7"/>
        <v>5283.0336000000007</v>
      </c>
      <c r="N25" s="233">
        <f>SUM(N16:N24)</f>
        <v>1159.3220338983047</v>
      </c>
      <c r="O25" s="101">
        <f>SUM(O16:O24)</f>
        <v>32.211778169491524</v>
      </c>
      <c r="P25" s="113">
        <f>SUM(P16:P24)</f>
        <v>6474.5674120677968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6044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389.36800000000005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371.59840000000003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5283.0335999999998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1159.3220338983047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6442.3556338983044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32.211778169491524</v>
      </c>
    </row>
    <row r="35" spans="2:16" ht="15.75" customHeight="1" thickBot="1" x14ac:dyDescent="0.4">
      <c r="N35" s="342" t="s">
        <v>88</v>
      </c>
      <c r="O35" s="343"/>
      <c r="P35" s="297">
        <f>+P33+P34</f>
        <v>6474.5674120677959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46251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2026-08-18T10:51:28Z</dcterms:modified>
</cp:coreProperties>
</file>