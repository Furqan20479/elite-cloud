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4917F47-CBAC-4ED7-97FF-B1048CC4FFE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<sst xmlns="http://schemas.openxmlformats.org/spreadsheetml/2006/main" count="3978" uniqueCount="534">
  <si>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</si>
  <si>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</si>
  <si>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</si>
  <si>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</si>
  <si>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</si>
  <si>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</si>
  <si>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</si>
  <si>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</si>
  <si>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</si>
  <si>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</si>
  <si>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</si>
  <si>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</si>
  <si>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</si>
  <si>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</si>
  <si>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</si>
  <si>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</si>
  <si>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</si>
  <si>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</si>
  <si>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</si>
  <si>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</si>
  <si>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</si>
  <si>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</si>
  <si>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</si>
  <si>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</si>
  <si>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</si>
  <si>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</si>
  <si>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</si>
  <si>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</si>
  <si>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</si>
  <si>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</si>
  <si>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</si>
  <si>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</si>
  <si>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</si>
  <si>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</si>
  <si>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</si>
  <si>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</si>
  <si>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</si>
  <si>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</si>
  <si>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</si>
  <si>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</si>
  <si>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</si>
  <si>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</si>
  <si>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</si>
  <si>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</si>
  <si>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</si>
  <si>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</si>
  <si>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</si>
  <si>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</si>
  <si>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</si>
  <si>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</si>
  <si>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</si>
  <si>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</si>
  <si>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</si>
  <si>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</si>
  <si>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</si>
  <si>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</si>
  <si>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</si>
  <si>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</si>
  <si>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</si>
  <si>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</si>
  <si>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</si>
  <si>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</si>
  <si>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</si>
  <si>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</si>
  <si>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</si>
  <si>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</si>
  <si>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</si>
  <si>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</si>
  <si>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</si>
  <si>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</si>
  <si>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</si>
  <si>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</si>
  <si>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</si>
  <si>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</si>
  <si>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</si>
  <si>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</si>
  <si>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</si>
  <si>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</si>
  <si>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</si>
  <si>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</si>
  <si>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</si>
  <si>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</si>
  <si>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</si>
  <si>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</si>
  <si>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</si>
  <si>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</si>
  <si>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</si>
  <si>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</si>
  <si>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</si>
  <si>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</si>
  <si>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</si>
  <si>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</si>
  <si>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</si>
  <si>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</si>
  <si>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</si>
  <si>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</si>
  <si>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</si>
  <si>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</si>
  <si>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</si>
  <si>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</si>
  <si>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</si>
  <si>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</si>
  <si>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</si>
  <si>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</si>
  <si>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</si>
  <si>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</si>
  <si>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</si>
  <si>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</si>
  <si>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</si>
  <si>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</si>
  <si>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</si>
  <si>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</si>
  <si>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</si>
  <si>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</si>
  <si>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</si>
  <si>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</si>
  <si>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</si>
  <si>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</si>
  <si>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</si>
  <si>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</si>
  <si>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</si>
  <si>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</si>
  <si>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</si>
  <si>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</si>
  <si>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</si>
  <si>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</si>
  <si>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</si>
  <si>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</si>
  <si>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</si>
  <si>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</si>
  <si>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</si>
  <si>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</si>
  <si>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</si>
  <si>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</si>
  <si>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</si>
  <si>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</si>
  <si>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</si>
  <si>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</si>
  <si>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</si>
  <si>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</si>
  <si>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</si>
  <si>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</si>
  <si>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</si>
  <si>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</si>
  <si>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</si>
  <si>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</si>
  <si>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</si>
  <si>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</si>
  <si>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</si>
  <si>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</si>
  <si>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</si>
  <si>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</si>
  <si>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</si>
  <si>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</si>
  <si>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</si>
  <si>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</si>
  <si>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</si>
  <si>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</si>
  <si>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</si>
  <si>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</si>
  <si>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</si>
  <si>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</si>
  <si>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</si>
  <si>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</si>
  <si>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</si>
  <si>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</si>
  <si>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</si>
  <si>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</si>
  <si>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</si>
  <si>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</si>
  <si>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</si>
  <si>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</si>
  <si>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</si>
  <si>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</si>
  <si>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</si>
  <si>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</si>
  <si>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</si>
  <si>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</si>
  <si>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</si>
  <si>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</si>
  <si>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</si>
  <si>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</si>
  <si>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</si>
  <si>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</si>
  <si>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</si>
  <si>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</si>
  <si>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</si>
  <si>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</si>
  <si>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</si>
  <si>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</si>
  <si>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</si>
  <si>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</si>
  <si>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</si>
  <si>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</si>
  <si>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</si>
  <si>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</si>
  <si>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</si>
  <si>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</si>
  <si>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</si>
  <si>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</si>
  <si>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</si>
  <si>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</si>
  <si>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</si>
  <si>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</si>
  <si>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</si>
  <si>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</si>
  <si>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</si>
  <si>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</si>
  <si>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</si>
  <si>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</si>
  <si>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</si>
  <si>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</si>
  <si>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</si>
  <si>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</si>
  <si>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</si>
  <si>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</si>
  <si>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</si>
  <si>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</si>
  <si>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</si>
  <si>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</si>
  <si>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</si>
  <si>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</si>
  <si>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</si>
  <si>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</si>
  <si>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</si>
  <si>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</si>
  <si>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</si>
  <si>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</si>
  <si>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</si>
  <si>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</si>
  <si>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</si>
  <si>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</si>
  <si>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</si>
  <si>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</si>
  <si>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</si>
  <si>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</si>
  <si>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</si>
  <si>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</si>
  <si>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</si>
  <si>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</si>
  <si>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</si>
  <si>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</si>
  <si>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</si>
  <si>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</si>
  <si>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</si>
  <si>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</si>
  <si>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</si>
  <si>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</si>
  <si>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</si>
  <si>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</si>
  <si>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</si>
  <si>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</si>
  <si>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</si>
  <si>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</si>
  <si>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</si>
  <si>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</si>
  <si>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</si>
  <si>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</si>
  <si>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</si>
  <si>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</si>
  <si>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</si>
  <si>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</si>
  <si>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</si>
  <si>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</si>
  <si>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</si>
  <si>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</si>
  <si>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</si>
  <si>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</si>
  <si>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</si>
  <si>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</si>
  <si>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</si>
  <si>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</si>
  <si>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</si>
  <si>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</si>
  <si>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</si>
  <si>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</si>
  <si>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</si>
  <si>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</si>
  <si>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</si>
  <si>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</si>
  <si>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</si>
  <si>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</si>
  <si>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</si>
  <si>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</si>
  <si>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</si>
  <si>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</si>
  <si>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</si>
  <si>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</si>
  <si>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</si>
  <si>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</si>
  <si>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</si>
  <si>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</si>
  <si>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</si>
  <si>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</si>
  <si>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</si>
  <si>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</si>
  <si>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</si>
  <si>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</si>
  <si>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</si>
  <si>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</si>
  <si>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</si>
  <si>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</si>
  <si>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</si>
  <si>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</si>
  <si>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</si>
  <si>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</si>
  <si>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</si>
  <si>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</si>
  <si>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</si>
  <si>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</si>
  <si>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</si>
  <si>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</si>
  <si>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</si>
  <si>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</si>
  <si>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</si>
  <si>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</si>
  <si>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</si>
  <si>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</si>
  <si>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</si>
  <si>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</si>
  <si>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</si>
  <si>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</si>
  <si>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</si>
  <si>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</si>
  <si>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</si>
  <si>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</si>
  <si>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</si>
  <si>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</si>
  <si>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</si>
  <si>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</si>
  <si>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</si>
  <si>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</si>
  <si>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</si>
  <si>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</si>
  <si>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</si>
  <si>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</si>
  <si>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</si>
  <si>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</si>
  <si>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</si>
  <si>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</si>
  <si>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</si>
  <si>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</si>
  <si>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</si>
  <si>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</si>
  <si>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</si>
  <si>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</si>
  <si>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</si>
  <si>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</si>
  <si>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</si>
  <si>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</si>
  <si>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</si>
  <si>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</si>
  <si>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</si>
  <si>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</si>
  <si>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</si>
  <si>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</si>
  <si>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</si>
  <si>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</si>
  <si>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</si>
  <si>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</si>
  <si>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</si>
  <si>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</si>
  <si>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</si>
  <si>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</si>
  <si>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</si>
  <si>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</si>
  <si>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</si>
  <si>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</si>
  <si>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</si>
  <si>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</si>
  <si>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</si>
  <si>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</si>
  <si>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</si>
  <si>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</si>
  <si>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</si>
  <si>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</si>
  <si>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</si>
  <si>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</si>
  <si>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</si>
  <si>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</si>
  <si>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</si>
  <si>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</si>
  <si>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</si>
  <si>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</si>
  <si>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</si>
  <si>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</si>
  <si>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</si>
  <si>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</si>
  <si>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</si>
  <si>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</si>
  <si>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</si>
  <si>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</si>
  <si>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</si>
  <si>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</si>
  <si>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</si>
  <si>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</si>
  <si>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</si>
  <si>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</si>
  <si>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</si>
  <si>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</si>
  <si>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</si>
  <si>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</si>
  <si>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</si>
  <si>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</si>
  <si>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</si>
  <si>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</si>
  <si>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</si>
  <si>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</si>
  <si>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</si>
  <si>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</si>
  <si>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</si>
  <si>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</si>
  <si>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</si>
  <si>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</si>
  <si>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</si>
  <si>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</si>
  <si>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</si>
  <si>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</si>
  <si>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</si>
  <si>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</si>
  <si>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</si>
  <si>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</si>
  <si>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</si>
  <si>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</si>
  <si>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</si>
  <si>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</si>
  <si>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</si>
  <si>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</si>
  <si>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</si>
  <si>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</si>
  <si>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</si>
  <si>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</si>
  <si>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</si>
  <si>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</si>
  <si>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</si>
  <si>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</si>
  <si>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</si>
  <si>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</si>
  <si>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</si>
  <si>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</si>
  <si>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</si>
  <si>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</si>
  <si>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</si>
  <si>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</si>
  <si>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</si>
  <si>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</si>
  <si>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</si>
  <si>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</si>
  <si>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</si>
  <si>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</si>
  <si>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</si>
  <si>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</si>
  <si>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</si>
  <si>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</si>
  <si>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</si>
  <si>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</si>
  <si>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</si>
  <si>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</si>
  <si>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</si>
  <si>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</si>
  <si>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</si>
  <si>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</si>
  <si>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</si>
  <si>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</si>
  <si>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</si>
  <si>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</si>
  <si>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</si>
  <si>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</si>
  <si>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</si>
  <si>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</si>
  <si>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</si>
  <si>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</si>
  <si>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</si>
  <si>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</si>
  <si>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</si>
  <si>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</si>
  <si>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</si>
  <si>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</si>
  <si>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</si>
  <si>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</si>
  <si>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</si>
  <si>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</si>
  <si>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</si>
  <si>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</si>
  <si>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</si>
  <si>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</si>
  <si>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</si>
  <si>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</si>
  <si>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</si>
  <si>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</si>
  <si>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</si>
  <si>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</si>
  <si>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</si>
  <si>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</si>
  <si>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</si>
  <si>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</si>
  <si>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</si>
  <si>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</si>
  <si>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</si>
  <si>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</si>
  <si>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</si>
  <si>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</si>
  <si>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</si>
  <si>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</si>
  <si>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</si>
  <si>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</si>
  <si>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</si>
  <si>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</si>
  <si>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</si>
  <si>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</si>
  <si>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</si>
  <si>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</si>
  <si>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</si>
  <si>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</si>
  <si>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</si>
  <si>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</si>
  <si>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</si>
  <si>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>Imran Kareyana Store</t>
  </si>
  <si>
    <t>Address: Shokat Town Ghazi Road</t>
  </si>
  <si>
    <t>Dua Book Store</t>
  </si>
  <si>
    <t xml:space="preserve">Address: Shokat Town </t>
  </si>
  <si>
    <t>Shaheen GS</t>
  </si>
  <si>
    <t xml:space="preserve">Address: Shoker Town </t>
  </si>
  <si>
    <t>Ahmad GS</t>
  </si>
  <si>
    <t xml:space="preserve">Malik Cash &amp; Carry </t>
  </si>
  <si>
    <t xml:space="preserve">Address: Punjab Society </t>
  </si>
  <si>
    <t>Punjab Store</t>
  </si>
  <si>
    <t xml:space="preserve">Address: Punjab Coprative </t>
  </si>
  <si>
    <t>Hassan Super Store</t>
  </si>
  <si>
    <t>Address: Punjab Coprative</t>
  </si>
  <si>
    <t>Marhaba Store</t>
  </si>
  <si>
    <t>Ajwa Store</t>
  </si>
  <si>
    <t>Address: Punjab coprative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</si>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</sst>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Imran Kareyana Store</v>
      </c>
      <c r="T3" s="301">
        <f>+'1'!P35</f>
        <v>940.86347552542372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Dua Book Store</v>
      </c>
      <c r="T4" s="301">
        <f>+'2'!P35</f>
        <v>2382.4803250983055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Shaheen GS</v>
      </c>
      <c r="T5" s="301">
        <f>+'3'!P35</f>
        <v>250.37668702372881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Ahmad GS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Malik Cash &amp; Carry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Punjab Store</v>
      </c>
      <c r="T8" s="301">
        <f>+'6'!P35</f>
        <v>20486.447423999998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Hassan Super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147</v>
      </c>
      <c r="I10" s="236">
        <f t="shared" si="0"/>
        <v>10678.08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854.24639999999999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373.73280000000005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9450.1008000000002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2018.1355932203392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57.341181966101701</v>
      </c>
      <c r="P10" s="311">
        <f t="shared" si="2"/>
        <v>11525.57757518644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Marhaba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156</v>
      </c>
      <c r="I11" s="236">
        <f t="shared" si="0"/>
        <v>11331.84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906.54720000000009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396.61440000000005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10028.678400000001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2141.6949152542375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60.851866576271192</v>
      </c>
      <c r="P11" s="311">
        <f t="shared" si="2"/>
        <v>12231.225181830509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Ajwa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153</v>
      </c>
      <c r="I12" s="236">
        <f t="shared" si="0"/>
        <v>11113.92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889.11360000000002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388.98720000000009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9835.8191999999999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2100.5084745762711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59.681638372881352</v>
      </c>
      <c r="P12" s="311">
        <f t="shared" si="2"/>
        <v>11996.009312949152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Urban Mart </v>
      </c>
      <c r="T12" s="301">
        <f>+'10'!P35</f>
        <v>12746.990582237289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190</v>
      </c>
      <c r="I13" s="236">
        <f t="shared" si="0"/>
        <v>7453.7000000000007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372.68500000000006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260.87950000000001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380.13870000000003</v>
      </c>
      <c r="M13" s="230">
        <f t="shared" si="1"/>
        <v>6439.9968000000008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1449.1525423728806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39.445746711864409</v>
      </c>
      <c r="P13" s="311">
        <f t="shared" si="2"/>
        <v>7928.5950890847462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17.149999999999999</v>
      </c>
      <c r="H16" s="113">
        <f t="shared" ref="H16:M16" si="3">SUM(H7:H15)</f>
        <v>686</v>
      </c>
      <c r="I16" s="114">
        <f t="shared" si="3"/>
        <v>42676.039999999994</v>
      </c>
      <c r="J16" s="274">
        <f>SUM(J7:J15)</f>
        <v>3190.4722000000002</v>
      </c>
      <c r="K16" s="275">
        <f t="shared" si="3"/>
        <v>1493.6614000000002</v>
      </c>
      <c r="L16" s="276">
        <f t="shared" si="3"/>
        <v>380.13870000000003</v>
      </c>
      <c r="M16" s="232">
        <f t="shared" si="3"/>
        <v>37611.767700000004</v>
      </c>
      <c r="N16" s="233">
        <f>SUM(N7:N15)</f>
        <v>8106.1016949152536</v>
      </c>
      <c r="O16" s="101">
        <f>SUM(O7:O15)</f>
        <v>228.58934697457627</v>
      </c>
      <c r="P16" s="113">
        <f>SUM(P7:P15)</f>
        <v>45946.45874188983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42676.039999999994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3190.4722000000002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1873.8001000000002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37611.767699999989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8106.1016949152536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45717.869394915244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228.58934697457627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45946.458741889823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45946.45874188983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871.68000000000006</v>
      </c>
      <c r="J25" s="274">
        <f>SUM(J16:J24)</f>
        <v>69.734400000000008</v>
      </c>
      <c r="K25" s="275">
        <f t="shared" si="10"/>
        <v>30.508800000000004</v>
      </c>
      <c r="L25" s="276">
        <f t="shared" si="10"/>
        <v>0</v>
      </c>
      <c r="M25" s="232">
        <f t="shared" si="10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113">
        <f>SUM(P16:P24)</f>
        <v>2382.480325098305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2214.1200000000003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163.00680000000003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101.50296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1949.6102400000002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2370.6271891525425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71" t="s">
        <v>88</v>
      </c>
      <c r="O35" s="372"/>
      <c r="P35" s="297">
        <f>+P33+P34</f>
        <v>2382.4803250983055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280</v>
      </c>
      <c r="I25" s="114">
        <f t="shared" si="7"/>
        <v>19002.8</v>
      </c>
      <c r="J25" s="274">
        <f>SUM(J16:J24)</f>
        <v>1473.1480000000001</v>
      </c>
      <c r="K25" s="275">
        <f t="shared" si="7"/>
        <v>665.09800000000007</v>
      </c>
      <c r="L25" s="276">
        <f t="shared" si="7"/>
        <v>80.029200000000003</v>
      </c>
      <c r="M25" s="232">
        <f t="shared" si="7"/>
        <v>16784.524799999999</v>
      </c>
      <c r="N25" s="233">
        <f>SUM(N16:N24)</f>
        <v>3600</v>
      </c>
      <c r="O25" s="101">
        <f>SUM(O16:O24)</f>
        <v>101.92262400000001</v>
      </c>
      <c r="P25" s="113">
        <f>SUM(P16:P24)</f>
        <v>20486.447424000002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19002.8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1473.1480000000001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745.12720000000013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16784.524799999999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3600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20384.524799999999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101.922624</v>
      </c>
    </row>
    <row r="35" spans="2:16" ht="15.75" customHeight="1" thickBot="1" x14ac:dyDescent="0.4">
      <c r="N35" s="371" t="s">
        <v>88</v>
      </c>
      <c r="O35" s="372"/>
      <c r="P35" s="297">
        <f>+P33+P34</f>
        <v>20486.447423999998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529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529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113">
        <f>SUM(P16:P24)</f>
        <v>12746.990582237289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11855.2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854.26400000000012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574.99040000000002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10425.945600000001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12683.572718644069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71" t="s">
        <v>88</v>
      </c>
      <c r="O35" s="372"/>
      <c r="P35" s="297">
        <f>+P33+P34</f>
        <v>12746.990582237289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2026-08-17T11:33:29Z</dcterms:modified>
</cp:coreProperties>
</file>