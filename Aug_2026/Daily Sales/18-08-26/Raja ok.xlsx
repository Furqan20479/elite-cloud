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40BFDB-2A94-4399-A77A-404F565233B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69"/>
  <c r="O21" i="69" s="1"/>
  <c r="P21" i="69" s="1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<sst xmlns="http://schemas.openxmlformats.org/spreadsheetml/2006/main" count="3947" uniqueCount="516">
  <si>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</si>
  <si>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</si>
  <si>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</si>
  <si>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</si>
  <si>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</si>
  <si>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</si>
  <si>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</si>
  <si>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</si>
  <si>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</si>
  <si>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</si>
  <si>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</si>
  <si>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</si>
  <si>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</si>
  <si>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</si>
  <si>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</si>
  <si>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</si>
  <si>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</si>
  <si>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</si>
  <si>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</si>
  <si>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</si>
  <si>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</si>
  <si>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</si>
  <si>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</si>
  <si>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</si>
  <si>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</si>
  <si>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</si>
  <si>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</si>
  <si>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</si>
  <si>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</si>
  <si>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</si>
  <si>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</si>
  <si>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</si>
  <si>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</si>
  <si>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</si>
  <si>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</si>
  <si>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</si>
  <si>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</si>
  <si>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</si>
  <si>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</si>
  <si>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</si>
  <si>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</si>
  <si>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</si>
  <si>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</si>
  <si>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</si>
  <si>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</si>
  <si>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</si>
  <si>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</si>
  <si>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</si>
  <si>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</si>
  <si>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</si>
  <si>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</si>
  <si>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</si>
  <si>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</si>
  <si>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</si>
  <si>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</si>
  <si>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</si>
  <si>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</si>
  <si>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</si>
  <si>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</si>
  <si>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</si>
  <si>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</si>
  <si>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</si>
  <si>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</si>
  <si>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</si>
  <si>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</si>
  <si>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</si>
  <si>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</si>
  <si>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</si>
  <si>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</si>
  <si>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</si>
  <si>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</si>
  <si>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</si>
  <si>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</si>
  <si>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</si>
  <si>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</si>
  <si>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</si>
  <si>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</si>
  <si>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</si>
  <si>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</si>
  <si>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</si>
  <si>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</si>
  <si>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</si>
  <si>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</si>
  <si>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</si>
  <si>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</si>
  <si>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</si>
  <si>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</si>
  <si>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</si>
  <si>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</si>
  <si>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</si>
  <si>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</si>
  <si>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</si>
  <si>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</si>
  <si>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</si>
  <si>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</si>
  <si>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</si>
  <si>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</si>
  <si>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</si>
  <si>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</si>
  <si>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</si>
  <si>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</si>
  <si>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</si>
  <si>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</si>
  <si>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</si>
  <si>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</si>
  <si>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</si>
  <si>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</si>
  <si>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</si>
  <si>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</si>
  <si>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</si>
  <si>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</si>
  <si>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</si>
  <si>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</si>
  <si>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</si>
  <si>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</si>
  <si>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</si>
  <si>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</si>
  <si>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</si>
  <si>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</si>
  <si>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</si>
  <si>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</si>
  <si>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</si>
  <si>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</si>
  <si>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</si>
  <si>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</si>
  <si>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</si>
  <si>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</si>
  <si>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</si>
  <si>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</si>
  <si>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</si>
  <si>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</si>
  <si>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</si>
  <si>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</si>
  <si>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</si>
  <si>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</si>
  <si>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</si>
  <si>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</si>
  <si>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</si>
  <si>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</si>
  <si>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</si>
  <si>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</si>
  <si>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</si>
  <si>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</si>
  <si>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</si>
  <si>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</si>
  <si>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</si>
  <si>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</si>
  <si>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</si>
  <si>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</si>
  <si>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</si>
  <si>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</si>
  <si>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</si>
  <si>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</si>
  <si>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</si>
  <si>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</si>
  <si>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</si>
  <si>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</si>
  <si>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</si>
  <si>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</si>
  <si>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</si>
  <si>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</si>
  <si>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</si>
  <si>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</si>
  <si>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</si>
  <si>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</si>
  <si>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</si>
  <si>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</si>
  <si>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</si>
  <si>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</si>
  <si>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</si>
  <si>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</si>
  <si>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</si>
  <si>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</si>
  <si>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</si>
  <si>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</si>
  <si>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</si>
  <si>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</si>
  <si>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</si>
  <si>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</si>
  <si>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</si>
  <si>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</si>
  <si>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</si>
  <si>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</si>
  <si>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</si>
  <si>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</si>
  <si>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</si>
  <si>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</si>
  <si>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</si>
  <si>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</si>
  <si>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</si>
  <si>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</si>
  <si>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</si>
  <si>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</si>
  <si>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</si>
  <si>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</si>
  <si>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</si>
  <si>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</si>
  <si>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</si>
  <si>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</si>
  <si>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</si>
  <si>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</si>
  <si>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</si>
  <si>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</si>
  <si>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</si>
  <si>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</si>
  <si>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</si>
  <si>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</si>
  <si>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</si>
  <si>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</si>
  <si>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</si>
  <si>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</si>
  <si>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</si>
  <si>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</si>
  <si>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</si>
  <si>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</si>
  <si>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</si>
  <si>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</si>
  <si>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</si>
  <si>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</si>
  <si>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</si>
  <si>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</si>
  <si>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</si>
  <si>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</si>
  <si>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</si>
  <si>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</si>
  <si>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</si>
  <si>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</si>
  <si>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</si>
  <si>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</si>
  <si>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</si>
  <si>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</si>
  <si>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</si>
  <si>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</si>
  <si>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</si>
  <si>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</si>
  <si>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</si>
  <si>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</si>
  <si>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</si>
  <si>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</si>
  <si>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</si>
  <si>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</si>
  <si>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</si>
  <si>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</si>
  <si>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</si>
  <si>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</si>
  <si>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</si>
  <si>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</si>
  <si>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</si>
  <si>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</si>
  <si>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</si>
  <si>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</si>
  <si>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</si>
  <si>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</si>
  <si>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</si>
  <si>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</si>
  <si>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</si>
  <si>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</si>
  <si>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</si>
  <si>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</si>
  <si>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</si>
  <si>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</si>
  <si>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</si>
  <si>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</si>
  <si>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</si>
  <si>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</si>
  <si>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</si>
  <si>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</si>
  <si>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</si>
  <si>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</si>
  <si>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</si>
  <si>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</si>
  <si>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</si>
  <si>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</si>
  <si>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</si>
  <si>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</si>
  <si>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</si>
  <si>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</si>
  <si>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</si>
  <si>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</si>
  <si>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</si>
  <si>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</si>
  <si>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</si>
  <si>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</si>
  <si>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</si>
  <si>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</si>
  <si>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</si>
  <si>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</si>
  <si>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</si>
  <si>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</si>
  <si>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</si>
  <si>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</si>
  <si>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</si>
  <si>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</si>
  <si>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</si>
  <si>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</si>
  <si>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</si>
  <si>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</si>
  <si>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</si>
  <si>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</si>
  <si>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</si>
  <si>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</si>
  <si>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</si>
  <si>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</si>
  <si>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</si>
  <si>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</si>
  <si>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</si>
  <si>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</si>
  <si>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</si>
  <si>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</si>
  <si>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</si>
  <si>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</si>
  <si>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</si>
  <si>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</si>
  <si>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</si>
  <si>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</si>
  <si>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</si>
  <si>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</si>
  <si>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</si>
  <si>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</si>
  <si>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</si>
  <si>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</si>
  <si>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</si>
  <si>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</si>
  <si>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</si>
  <si>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</si>
  <si>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</si>
  <si>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</si>
  <si>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</si>
  <si>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</si>
  <si>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</si>
  <si>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</si>
  <si>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</si>
  <si>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</si>
  <si>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</si>
  <si>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</si>
  <si>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</si>
  <si>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</si>
  <si>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</si>
  <si>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</si>
  <si>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</si>
  <si>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</si>
  <si>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</si>
  <si>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</si>
  <si>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</si>
  <si>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</si>
  <si>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</si>
  <si>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</si>
  <si>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</si>
  <si>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</si>
  <si>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</si>
  <si>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</si>
  <si>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</si>
  <si>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</si>
  <si>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</si>
  <si>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</si>
  <si>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</si>
  <si>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</si>
  <si>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</si>
  <si>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</si>
  <si>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</si>
  <si>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</si>
  <si>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</si>
  <si>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</si>
  <si>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</si>
  <si>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</si>
  <si>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</si>
  <si>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</si>
  <si>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</si>
  <si>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</si>
  <si>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</si>
  <si>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</si>
  <si>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</si>
  <si>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</si>
  <si>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</si>
  <si>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</si>
  <si>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</si>
  <si>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</si>
  <si>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</si>
  <si>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</si>
  <si>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</si>
  <si>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</si>
  <si>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</si>
  <si>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</si>
  <si>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</si>
  <si>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</si>
  <si>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</si>
  <si>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</si>
  <si>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</si>
  <si>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</si>
  <si>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</si>
  <si>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</si>
  <si>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</si>
  <si>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</si>
  <si>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</si>
  <si>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</si>
  <si>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</si>
  <si>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</si>
  <si>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</si>
  <si>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</si>
  <si>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</si>
  <si>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</si>
  <si>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</si>
  <si>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</si>
  <si>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</si>
  <si>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</si>
  <si>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</si>
  <si>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</si>
  <si>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</si>
  <si>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</si>
  <si>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</si>
  <si>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</si>
  <si>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</si>
  <si>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</si>
  <si>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</si>
  <si>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</si>
  <si>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</si>
  <si>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</si>
  <si>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</si>
  <si>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</si>
  <si>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</si>
  <si>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</si>
  <si>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</si>
  <si>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</si>
  <si>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</si>
  <si>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</si>
  <si>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</si>
  <si>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</si>
  <si>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</si>
  <si>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</si>
  <si>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</si>
  <si>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</si>
  <si>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</si>
  <si>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</si>
  <si>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</si>
  <si>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</si>
  <si>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</si>
  <si>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</si>
  <si>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</si>
  <si>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</si>
  <si>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</si>
  <si>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</si>
  <si>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</si>
  <si>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</si>
  <si>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</si>
  <si>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</si>
  <si>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</si>
  <si>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</si>
  <si>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</si>
  <si>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</si>
  <si>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</si>
  <si>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</si>
  <si>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</si>
  <si>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</si>
  <si>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</si>
  <si>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</si>
  <si>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</si>
  <si>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</si>
  <si>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</si>
  <si>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</si>
  <si>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</si>
  <si>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</si>
  <si>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</si>
  <si>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</si>
  <si>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</si>
  <si>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</si>
  <si>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</si>
  <si>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</si>
  <si>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</si>
  <si>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</si>
  <si>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</si>
  <si>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</si>
  <si>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</si>
  <si>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</si>
  <si>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</si>
  <si>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</si>
  <si>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</si>
  <si>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</si>
  <si>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</si>
  <si>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</si>
  <si>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</si>
  <si>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</si>
  <si>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</si>
  <si>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</si>
  <si>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</si>
  <si>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</si>
  <si>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</si>
  <si>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</si>
  <si>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</si>
  <si>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</si>
  <si>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</si>
  <si>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</si>
  <si>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</si>
  <si>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</si>
  <si>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</si>
  <si>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</si>
  <si>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</si>
  <si>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</si>
  <si>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</si>
  <si>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</si>
  <si>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</si>
  <si>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</si>
  <si>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</si>
  <si>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</si>
  <si>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</si>
  <si>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</si>
  <si>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</si>
  <si>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</si>
  <si>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</si>
  <si>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</si>
  <si>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</si>
  <si>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</si>
  <si>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</si>
  <si>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RAJA SAHIB</t>
  </si>
  <si>
    <t>NTN #:  3612722-1</t>
  </si>
  <si>
    <t xml:space="preserve">Address: Wapda Town </t>
  </si>
  <si>
    <t>Invoice No # : 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</si>
</sst>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RAJA SAHIB</v>
      </c>
      <c r="T3" s="301">
        <f>+'1'!P35</f>
        <v>41892.448915042369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RAJA SAHIB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RAJA SAHIB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RAJA SAHIB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RAJA SAHIB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RAJA SAHIB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1049.25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9076.0125000000007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55.29531673728814</v>
      </c>
      <c r="P9" s="311">
        <f t="shared" si="2"/>
        <v>11114.358664194917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RAJA SAHIB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RAJA SAHIB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RAJA SAHIB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120</v>
      </c>
      <c r="R12" s="314">
        <v>10</v>
      </c>
      <c r="S12" s="300" t="str">
        <f>+'10'!A6:A6</f>
        <v>RAJA SAHIB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RAJA SAHIB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RAJA SAHIB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RAJA SAHIB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</v>
      </c>
      <c r="H16" s="113">
        <f t="shared" ref="H16:M16" si="3">SUM(H7:H15)</f>
        <v>600</v>
      </c>
      <c r="I16" s="114">
        <f t="shared" si="3"/>
        <v>39548.5</v>
      </c>
      <c r="J16" s="274">
        <f>SUM(J7:J15)</f>
        <v>3954.85</v>
      </c>
      <c r="K16" s="275">
        <f t="shared" si="3"/>
        <v>1384.1975000000002</v>
      </c>
      <c r="L16" s="276">
        <f t="shared" si="3"/>
        <v>0</v>
      </c>
      <c r="M16" s="232">
        <f t="shared" si="3"/>
        <v>34209.452499999999</v>
      </c>
      <c r="N16" s="233">
        <f>SUM(N7:N15)</f>
        <v>7474.57627118644</v>
      </c>
      <c r="O16" s="101">
        <f>SUM(O7:O15)</f>
        <v>208.4201438559322</v>
      </c>
      <c r="P16" s="113">
        <f>SUM(P7:P15)</f>
        <v>41892.448915042376</v>
      </c>
      <c r="Q16" s="128">
        <f>SUM(Q7:Q15)</f>
        <v>120</v>
      </c>
      <c r="R16" s="314">
        <v>14</v>
      </c>
      <c r="S16" s="300" t="str">
        <f>+'14'!A6:A6</f>
        <v>RAJA SAHIB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RAJA SAHIB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RAJA SAHIB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39548.5</v>
      </c>
      <c r="R19" s="299">
        <v>17</v>
      </c>
      <c r="S19" s="300" t="str">
        <f>+'17'!A6:A6</f>
        <v>RAJA SAHIB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3954.85</v>
      </c>
      <c r="R20" s="299">
        <v>18</v>
      </c>
      <c r="S20" s="300" t="str">
        <f>+'18'!A6:A6</f>
        <v>RAJA SAHIB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1384.1975000000002</v>
      </c>
      <c r="R21" s="299">
        <v>19</v>
      </c>
      <c r="S21" s="300" t="str">
        <f>+'19'!A6:A6</f>
        <v>RAJA SAHIB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34209.452499999999</v>
      </c>
      <c r="R22" s="299">
        <v>20</v>
      </c>
      <c r="S22" s="300" t="str">
        <f>+'20'!A6:A6</f>
        <v>RAJA SAHIB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7474.57627118644</v>
      </c>
      <c r="R23" s="299">
        <v>21</v>
      </c>
      <c r="S23" s="300" t="str">
        <f>+'21'!A6:A6</f>
        <v>RAJA SAHIB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41684.028771186437</v>
      </c>
      <c r="R24" s="299">
        <v>22</v>
      </c>
      <c r="S24" s="300" t="str">
        <f>+'22'!A6:A6</f>
        <v>RAJA SAHIB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208.4201438559322</v>
      </c>
      <c r="R25" s="299">
        <v>23</v>
      </c>
      <c r="S25" s="300" t="str">
        <f>+'23'!A6:A6</f>
        <v>RAJA SAHIB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41892.448915042369</v>
      </c>
      <c r="R26" s="299">
        <v>24</v>
      </c>
      <c r="S26" s="300" t="str">
        <f>+'24'!A6:A6</f>
        <v>RAJA SAHIB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RAJA SAHIB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RAJA SAHIB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RAJA SAHIB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RAJA SAHIB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RAJA SAHIB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RAJA SAHIB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41892.448915042369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5" workbookViewId="0">
      <selection activeCell="I26" sqref="I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1049.25</v>
      </c>
      <c r="K18" s="128">
        <f t="shared" si="1"/>
        <v>367.23750000000001</v>
      </c>
      <c r="L18" s="119">
        <f t="shared" si="1"/>
        <v>0</v>
      </c>
      <c r="M18" s="230">
        <f t="shared" si="2"/>
        <v>9076.0125000000007</v>
      </c>
      <c r="N18" s="277">
        <f t="shared" si="3"/>
        <v>1983.0508474576263</v>
      </c>
      <c r="O18" s="239">
        <f t="shared" si="4"/>
        <v>55.29531673728814</v>
      </c>
      <c r="P18" s="311">
        <f t="shared" si="5"/>
        <v>11114.358664194917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413">
        <v>120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39548.5</v>
      </c>
      <c r="J25" s="274">
        <f>SUM(J16:J24)</f>
        <v>3954.85</v>
      </c>
      <c r="K25" s="275">
        <f t="shared" si="10"/>
        <v>1384.1975000000002</v>
      </c>
      <c r="L25" s="276">
        <f t="shared" si="10"/>
        <v>0</v>
      </c>
      <c r="M25" s="232">
        <f t="shared" si="10"/>
        <v>34209.452499999999</v>
      </c>
      <c r="N25" s="233">
        <f>SUM(N16:N24)</f>
        <v>7474.57627118644</v>
      </c>
      <c r="O25" s="101">
        <f>SUM(O16:O24)</f>
        <v>208.4201438559322</v>
      </c>
      <c r="P25" s="113">
        <f>SUM(P16:P24)</f>
        <v>41892.448915042376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39548.5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3954.85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1384.1975000000002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34209.452499999999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7474.57627118644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41684.028771186437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208.4201438559322</v>
      </c>
    </row>
    <row r="35" spans="2:16" ht="15.75" customHeight="1" thickBot="1" x14ac:dyDescent="0.4">
      <c r="N35" s="372" t="s">
        <v>88</v>
      </c>
      <c r="O35" s="373"/>
      <c r="P35" s="297">
        <f>+P33+P34</f>
        <v>41892.448915042369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2026-08-19T05:56:49Z</dcterms:modified>
</cp:coreProperties>
</file>