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35DE660-6B9E-4710-A806-DE94ABD19F73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<sst xmlns="http://schemas.openxmlformats.org/spreadsheetml/2006/main" count="3978" uniqueCount="522">
  <si>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</si>
  <si>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</si>
  <si>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</si>
  <si>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</si>
  <si>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</si>
  <si>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</si>
  <si>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</si>
  <si>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</si>
  <si>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</si>
  <si>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</si>
  <si>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</si>
  <si>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</si>
  <si>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</si>
  <si>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</si>
  <si>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</si>
  <si>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</si>
  <si>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</si>
  <si>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</si>
  <si>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</si>
  <si>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</si>
  <si>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</si>
  <si>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</si>
  <si>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</si>
  <si>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</si>
  <si>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</si>
  <si>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</si>
  <si>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</si>
  <si>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</si>
  <si>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</si>
  <si>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</si>
  <si>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</si>
  <si>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</si>
  <si>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</si>
  <si>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</si>
  <si>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</si>
  <si>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</si>
  <si>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</si>
  <si>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</si>
  <si>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</si>
  <si>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</si>
  <si>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</si>
  <si>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</si>
  <si>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</si>
  <si>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</si>
  <si>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</si>
  <si>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</si>
  <si>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</si>
  <si>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</si>
  <si>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</si>
  <si>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</si>
  <si>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</si>
  <si>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</si>
  <si>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</si>
  <si>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</si>
  <si>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</si>
  <si>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</si>
  <si>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</si>
  <si>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</si>
  <si>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</si>
  <si>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</si>
  <si>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</si>
  <si>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</si>
  <si>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</si>
  <si>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</si>
  <si>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</si>
  <si>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</si>
  <si>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</si>
  <si>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</si>
  <si>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</si>
  <si>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</si>
  <si>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</si>
  <si>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</si>
  <si>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</si>
  <si>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</si>
  <si>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</si>
  <si>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</si>
  <si>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</si>
  <si>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</si>
  <si>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</si>
  <si>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</si>
  <si>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</si>
  <si>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</si>
  <si>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</si>
  <si>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</si>
  <si>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</si>
  <si>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</si>
  <si>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</si>
  <si>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</si>
  <si>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</si>
  <si>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</si>
  <si>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</si>
  <si>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</si>
  <si>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</si>
  <si>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</si>
  <si>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</si>
  <si>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</si>
  <si>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</si>
  <si>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</si>
  <si>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</si>
  <si>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</si>
  <si>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</si>
  <si>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</si>
  <si>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</si>
  <si>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</si>
  <si>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</si>
  <si>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</si>
  <si>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</si>
  <si>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</si>
  <si>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</si>
  <si>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</si>
  <si>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</si>
  <si>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</si>
  <si>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</si>
  <si>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</si>
  <si>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</si>
  <si>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</si>
  <si>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</si>
  <si>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</si>
  <si>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</si>
  <si>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</si>
  <si>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</si>
  <si>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</si>
  <si>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</si>
  <si>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</si>
  <si>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</si>
  <si>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</si>
  <si>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</si>
  <si>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</si>
  <si>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</si>
  <si>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</si>
  <si>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</si>
  <si>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</si>
  <si>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</si>
  <si>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</si>
  <si>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</si>
  <si>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</si>
  <si>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</si>
  <si>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</si>
  <si>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</si>
  <si>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</si>
  <si>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</si>
  <si>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</si>
  <si>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</si>
  <si>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</si>
  <si>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</si>
  <si>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</si>
  <si>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</si>
  <si>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</si>
  <si>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</si>
  <si>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</si>
  <si>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</si>
  <si>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</si>
  <si>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</si>
  <si>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</si>
  <si>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</si>
  <si>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</si>
  <si>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</si>
  <si>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</si>
  <si>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</si>
  <si>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</si>
  <si>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</si>
  <si>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</si>
  <si>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</si>
  <si>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</si>
  <si>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</si>
  <si>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</si>
  <si>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</si>
  <si>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</si>
  <si>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</si>
  <si>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</si>
  <si>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</si>
  <si>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</si>
  <si>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</si>
  <si>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</si>
  <si>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</si>
  <si>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</si>
  <si>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</si>
  <si>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</si>
  <si>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</si>
  <si>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</si>
  <si>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</si>
  <si>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</si>
  <si>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</si>
  <si>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</si>
  <si>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</si>
  <si>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</si>
  <si>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</si>
  <si>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</si>
  <si>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</si>
  <si>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</si>
  <si>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</si>
  <si>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</si>
  <si>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</si>
  <si>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</si>
  <si>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</si>
  <si>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</si>
  <si>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</si>
  <si>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</si>
  <si>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</si>
  <si>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</si>
  <si>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</si>
  <si>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</si>
  <si>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</si>
  <si>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</si>
  <si>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</si>
  <si>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</si>
  <si>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</si>
  <si>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</si>
  <si>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</si>
  <si>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</si>
  <si>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</si>
  <si>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</si>
  <si>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</si>
  <si>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</si>
  <si>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</si>
  <si>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</si>
  <si>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</si>
  <si>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</si>
  <si>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</si>
  <si>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</si>
  <si>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</si>
  <si>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</si>
  <si>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</si>
  <si>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</si>
  <si>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</si>
  <si>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</si>
  <si>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</si>
  <si>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</si>
  <si>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</si>
  <si>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</si>
  <si>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</si>
  <si>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</si>
  <si>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</si>
  <si>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</si>
  <si>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</si>
  <si>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</si>
  <si>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</si>
  <si>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</si>
  <si>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</si>
  <si>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</si>
  <si>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</si>
  <si>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</si>
  <si>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</si>
  <si>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</si>
  <si>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</si>
  <si>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</si>
  <si>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</si>
  <si>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</si>
  <si>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</si>
  <si>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</si>
  <si>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</si>
  <si>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</si>
  <si>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</si>
  <si>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</si>
  <si>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</si>
  <si>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</si>
  <si>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</si>
  <si>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</si>
  <si>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</si>
  <si>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</si>
  <si>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</si>
  <si>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</si>
  <si>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</si>
  <si>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</si>
  <si>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</si>
  <si>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</si>
  <si>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</si>
  <si>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</si>
  <si>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</si>
  <si>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</si>
  <si>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</si>
  <si>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</si>
  <si>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</si>
  <si>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</si>
  <si>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</si>
  <si>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</si>
  <si>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</si>
  <si>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</si>
  <si>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</si>
  <si>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</si>
  <si>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</si>
  <si>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</si>
  <si>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</si>
  <si>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</si>
  <si>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</si>
  <si>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</si>
  <si>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</si>
  <si>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</si>
  <si>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</si>
  <si>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</si>
  <si>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</si>
  <si>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</si>
  <si>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</si>
  <si>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</si>
  <si>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</si>
  <si>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</si>
  <si>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</si>
  <si>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</si>
  <si>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</si>
  <si>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</si>
  <si>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</si>
  <si>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</si>
  <si>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</si>
  <si>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</si>
  <si>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</si>
  <si>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</si>
  <si>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</si>
  <si>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</si>
  <si>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</si>
  <si>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</si>
  <si>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</si>
  <si>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</si>
  <si>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</si>
  <si>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</si>
  <si>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</si>
  <si>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</si>
  <si>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</si>
  <si>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</si>
  <si>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</si>
  <si>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</si>
  <si>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</si>
  <si>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</si>
  <si>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</si>
  <si>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</si>
  <si>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</si>
  <si>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</si>
  <si>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</si>
  <si>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</si>
  <si>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</si>
  <si>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</si>
  <si>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</si>
  <si>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</si>
  <si>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</si>
  <si>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</si>
  <si>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</si>
  <si>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</si>
  <si>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</si>
  <si>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</si>
  <si>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</si>
  <si>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</si>
  <si>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</si>
  <si>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</si>
  <si>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</si>
  <si>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</si>
  <si>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</si>
  <si>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</si>
  <si>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</si>
  <si>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</si>
  <si>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</si>
  <si>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</si>
  <si>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</si>
  <si>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</si>
  <si>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</si>
  <si>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</si>
  <si>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</si>
  <si>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</si>
  <si>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</si>
  <si>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</si>
  <si>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</si>
  <si>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</si>
  <si>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</si>
  <si>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</si>
  <si>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</si>
  <si>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</si>
  <si>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</si>
  <si>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</si>
  <si>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</si>
  <si>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</si>
  <si>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</si>
  <si>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</si>
  <si>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</si>
  <si>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</si>
  <si>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</si>
  <si>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</si>
  <si>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</si>
  <si>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</si>
  <si>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</si>
  <si>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</si>
  <si>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</si>
  <si>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</si>
  <si>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</si>
  <si>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</si>
  <si>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</si>
  <si>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</si>
  <si>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</si>
  <si>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</si>
  <si>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</si>
  <si>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</si>
  <si>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</si>
  <si>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</si>
  <si>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</si>
  <si>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</si>
  <si>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</si>
  <si>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</si>
  <si>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</si>
  <si>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</si>
  <si>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</si>
  <si>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</si>
  <si>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</si>
  <si>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</si>
  <si>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</si>
  <si>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</si>
  <si>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</si>
  <si>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</si>
  <si>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</si>
  <si>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</si>
  <si>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</si>
  <si>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</si>
  <si>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</si>
  <si>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</si>
  <si>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</si>
  <si>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</si>
  <si>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</si>
  <si>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</si>
  <si>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</si>
  <si>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</si>
  <si>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</si>
  <si>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</si>
  <si>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</si>
  <si>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</si>
  <si>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</si>
  <si>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</si>
  <si>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</si>
  <si>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</si>
  <si>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</si>
  <si>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</si>
  <si>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</si>
  <si>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</si>
  <si>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</si>
  <si>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</si>
  <si>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</si>
  <si>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</si>
  <si>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</si>
  <si>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</si>
  <si>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</si>
  <si>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</si>
  <si>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</si>
  <si>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</si>
  <si>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</si>
  <si>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</si>
  <si>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</si>
  <si>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</si>
  <si>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</si>
  <si>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</si>
  <si>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</si>
  <si>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</si>
  <si>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</si>
  <si>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</si>
  <si>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</si>
  <si>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</si>
  <si>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</si>
  <si>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</si>
  <si>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</si>
  <si>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</si>
  <si>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</si>
  <si>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</si>
  <si>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</si>
  <si>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</si>
  <si>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</si>
  <si>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</si>
  <si>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</si>
  <si>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</si>
  <si>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</si>
  <si>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</si>
  <si>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</si>
  <si>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</si>
  <si>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</si>
  <si>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</si>
  <si>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</si>
  <si>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</si>
  <si>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</si>
  <si>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</si>
  <si>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</si>
  <si>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</si>
  <si>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</si>
  <si>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</si>
  <si>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</si>
  <si>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</si>
  <si>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</si>
  <si>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</si>
  <si>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</si>
  <si>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</si>
  <si>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</si>
  <si>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</si>
  <si>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</si>
  <si>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</si>
  <si>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</si>
  <si>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</si>
  <si>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</si>
  <si>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</si>
  <si>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</si>
  <si>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</si>
  <si>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</si>
  <si>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</si>
  <si>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</si>
  <si>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</si>
  <si>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</si>
  <si>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</si>
  <si>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</si>
  <si>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</si>
  <si>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</si>
  <si>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</si>
  <si>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</si>
  <si>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</si>
  <si>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</si>
  <si>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</si>
  <si>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</si>
  <si>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</si>
  <si>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</si>
  <si>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</si>
  <si>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</si>
  <si>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</si>
  <si>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</si>
  <si>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</si>
  <si>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</si>
  <si>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</si>
  <si>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</si>
  <si>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</si>
  <si>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Jabbar </t>
  </si>
  <si>
    <t>Ali Store</t>
  </si>
  <si>
    <t xml:space="preserve">Address: Sami Town </t>
  </si>
  <si>
    <t>Usman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</si>
</sst>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Q41" sqref="Q4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518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514</v>
      </c>
      <c r="F3" s="358"/>
      <c r="G3" s="358"/>
      <c r="H3" s="355">
        <f ca="1">TODAY()</f>
        <v>46251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Ali Store</v>
      </c>
      <c r="T3" s="301">
        <f>+'1'!P35</f>
        <v>1340.4725562947035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Usman store</v>
      </c>
      <c r="T4" s="301">
        <f>+'2'!P35</f>
        <v>1298.7431084574157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</v>
      </c>
      <c r="I7" s="235">
        <f>(G7*D7)*F7+H7*F7</f>
        <v>314.77499999999998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25.181999999999999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11.017125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278.575875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59.491525423728788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1.6903370021186439</v>
      </c>
      <c r="P7" s="310">
        <f>M7+N7+O7</f>
        <v>339.75773742584744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</v>
      </c>
      <c r="I8" s="236">
        <f t="shared" ref="I8:I14" si="0">(G8*D8)*F8+H8*F8</f>
        <v>314.77499999999998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25.181999999999999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11.017125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278.575875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59.491525423728788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1.6903370021186439</v>
      </c>
      <c r="P8" s="311">
        <f t="shared" ref="P8:P15" si="2">M8+N8+O8</f>
        <v>339.75773742584744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</v>
      </c>
      <c r="I9" s="236">
        <f t="shared" si="0"/>
        <v>314.77499999999998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25.181999999999999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11.017125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278.575875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59.491525423728788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1.6903370021186439</v>
      </c>
      <c r="P9" s="311">
        <f t="shared" si="2"/>
        <v>339.75773742584744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</v>
      </c>
      <c r="I10" s="236">
        <f t="shared" si="0"/>
        <v>435.84000000000003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34.867200000000004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15.254400000000002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385.71840000000003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82.372881355932208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2.3404564067796612</v>
      </c>
      <c r="P10" s="311">
        <f t="shared" si="2"/>
        <v>470.43173776271186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</v>
      </c>
      <c r="I11" s="236">
        <f t="shared" si="0"/>
        <v>435.84000000000003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34.867200000000004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15.254400000000002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385.71840000000003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82.372881355932208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2.3404564067796612</v>
      </c>
      <c r="P11" s="311">
        <f t="shared" si="2"/>
        <v>470.43173776271186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</v>
      </c>
      <c r="I12" s="236">
        <f t="shared" si="0"/>
        <v>435.84000000000003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34.867200000000004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15.254400000000002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385.71840000000003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82.372881355932208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2.3404564067796612</v>
      </c>
      <c r="P12" s="311">
        <f t="shared" si="2"/>
        <v>470.43173776271186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5</v>
      </c>
      <c r="I13" s="236">
        <f t="shared" si="0"/>
        <v>196.15000000000003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9.807500000000001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6.8652500000000014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10.00365</v>
      </c>
      <c r="M13" s="230">
        <f t="shared" si="1"/>
        <v>169.47360000000003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38.135593220338961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1.038045966101695</v>
      </c>
      <c r="P13" s="311">
        <f t="shared" si="2"/>
        <v>208.64723918644069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1.0249999999999999</v>
      </c>
      <c r="H16" s="113">
        <f t="shared" ref="H16:M16" si="3">SUM(H7:H15)</f>
        <v>41</v>
      </c>
      <c r="I16" s="114">
        <f t="shared" si="3"/>
        <v>2447.9950000000003</v>
      </c>
      <c r="J16" s="274">
        <f>SUM(J7:J15)</f>
        <v>189.95509999999999</v>
      </c>
      <c r="K16" s="275">
        <f t="shared" si="3"/>
        <v>85.679825000000008</v>
      </c>
      <c r="L16" s="276">
        <f t="shared" si="3"/>
        <v>10.00365</v>
      </c>
      <c r="M16" s="232">
        <f t="shared" si="3"/>
        <v>2162.3564249999999</v>
      </c>
      <c r="N16" s="233">
        <f>SUM(N7:N15)</f>
        <v>463.72881355932202</v>
      </c>
      <c r="O16" s="101">
        <f>SUM(O7:O15)</f>
        <v>13.130426192796609</v>
      </c>
      <c r="P16" s="113">
        <f>SUM(P7:P15)</f>
        <v>2639.2156647521188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2447.9950000000003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189.95509999999999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95.683475000000016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2162.3564250000004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463.72881355932202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2626.0852385593225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13.130426192796609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2639.2156647521192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2639.2156647521192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7.2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310">
        <f>M16+N16+O16</f>
        <v>169.87886871292372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311">
        <f t="shared" ref="P17:P24" si="5">M17+N17+O17</f>
        <v>169.87886871292372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ref="I18:I21" si="7">(G18*D18)*F18+H18*F18</f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311">
        <f t="shared" si="5"/>
        <v>169.87886871292372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7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7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7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3</v>
      </c>
      <c r="I22" s="236">
        <f t="shared" si="0"/>
        <v>117.69000000000001</v>
      </c>
      <c r="J22" s="272">
        <f t="shared" si="1"/>
        <v>5.884500000000001</v>
      </c>
      <c r="K22" s="128">
        <f t="shared" si="1"/>
        <v>4.1191500000000012</v>
      </c>
      <c r="L22" s="119">
        <f t="shared" si="1"/>
        <v>6.0021900000000006</v>
      </c>
      <c r="M22" s="230">
        <f t="shared" si="2"/>
        <v>101.68416000000001</v>
      </c>
      <c r="N22" s="277">
        <f t="shared" si="3"/>
        <v>22.881355932203377</v>
      </c>
      <c r="O22" s="239">
        <f t="shared" si="4"/>
        <v>0.62282757966101687</v>
      </c>
      <c r="P22" s="311">
        <f t="shared" si="5"/>
        <v>125.1883435118644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21</v>
      </c>
      <c r="I25" s="114">
        <f t="shared" ref="I25:M25" si="10">SUM(I16:I24)</f>
        <v>1243.6125000000002</v>
      </c>
      <c r="J25" s="274">
        <f>SUM(J16:J24)</f>
        <v>95.958299999999994</v>
      </c>
      <c r="K25" s="275">
        <f t="shared" si="10"/>
        <v>43.5264375</v>
      </c>
      <c r="L25" s="276">
        <f t="shared" si="10"/>
        <v>6.0021900000000006</v>
      </c>
      <c r="M25" s="232">
        <f t="shared" si="10"/>
        <v>1098.1255724999999</v>
      </c>
      <c r="N25" s="233">
        <f>SUM(N16:N24)</f>
        <v>235.67796610169492</v>
      </c>
      <c r="O25" s="101">
        <f>SUM(O16:O24)</f>
        <v>6.6690176930084739</v>
      </c>
      <c r="P25" s="113">
        <f>SUM(P16:P24)</f>
        <v>1340.4725562947033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1243.6125000000002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95.958299999999994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49.528627499999999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1098.1255725000001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235.67796610169492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1333.803538601695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6.6690176930084748</v>
      </c>
    </row>
    <row r="35" spans="2:16" ht="15.75" customHeight="1" thickBot="1" x14ac:dyDescent="0.4">
      <c r="N35" s="342" t="s">
        <v>88</v>
      </c>
      <c r="O35" s="343"/>
      <c r="P35" s="297">
        <f>+P33+P34</f>
        <v>1340.4725562947035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310">
        <f>M16+N16+O16</f>
        <v>169.87886871292372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311">
        <f t="shared" ref="P17:P24" si="5">M17+N17+O17</f>
        <v>169.87886871292372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311">
        <f t="shared" si="5"/>
        <v>169.87886871292372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</v>
      </c>
      <c r="I22" s="236">
        <f t="shared" si="0"/>
        <v>78.460000000000008</v>
      </c>
      <c r="J22" s="272">
        <f t="shared" si="1"/>
        <v>3.9230000000000005</v>
      </c>
      <c r="K22" s="128">
        <f t="shared" si="1"/>
        <v>2.7461000000000007</v>
      </c>
      <c r="L22" s="119">
        <f t="shared" si="1"/>
        <v>4.0014599999999998</v>
      </c>
      <c r="M22" s="230">
        <f t="shared" si="2"/>
        <v>67.789440000000013</v>
      </c>
      <c r="N22" s="277">
        <f t="shared" si="3"/>
        <v>15.254237288135585</v>
      </c>
      <c r="O22" s="239">
        <f t="shared" si="4"/>
        <v>0.41521838644067799</v>
      </c>
      <c r="P22" s="311">
        <f t="shared" si="5"/>
        <v>83.458895674576269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</v>
      </c>
      <c r="I25" s="114">
        <f t="shared" si="7"/>
        <v>1204.3825000000002</v>
      </c>
      <c r="J25" s="274">
        <f>SUM(J16:J24)</f>
        <v>93.996799999999993</v>
      </c>
      <c r="K25" s="275">
        <f t="shared" si="7"/>
        <v>42.153387500000001</v>
      </c>
      <c r="L25" s="276">
        <f t="shared" si="7"/>
        <v>4.0014599999999998</v>
      </c>
      <c r="M25" s="232">
        <f t="shared" si="7"/>
        <v>1064.2308524999999</v>
      </c>
      <c r="N25" s="233">
        <f>SUM(N16:N24)</f>
        <v>228.05084745762713</v>
      </c>
      <c r="O25" s="101">
        <f>SUM(O16:O24)</f>
        <v>6.4614084997881349</v>
      </c>
      <c r="P25" s="113">
        <f>SUM(P16:P24)</f>
        <v>1298.7431084574152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1204.3825000000002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93.996799999999993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46.154847500000002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1064.2308525000003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228.05084745762713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1292.2816999576276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6.4614084997881376</v>
      </c>
    </row>
    <row r="35" spans="2:16" ht="15.75" customHeight="1" thickBot="1" x14ac:dyDescent="0.4">
      <c r="N35" s="342" t="s">
        <v>88</v>
      </c>
      <c r="O35" s="343"/>
      <c r="P35" s="297">
        <f>+P33+P34</f>
        <v>1298.7431084574157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8.7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8.75" customHeight="1" x14ac:dyDescent="0.4">
      <c r="A6" s="396" t="s">
        <v>504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46251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2026-08-17T11:41:55Z</dcterms:modified>
</cp:coreProperties>
</file>