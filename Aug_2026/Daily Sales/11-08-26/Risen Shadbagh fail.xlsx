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0FAF46A-E1C0-4A00-A6EA-2504BEA312F9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<sst xmlns="http://schemas.openxmlformats.org/spreadsheetml/2006/main" count="3948" uniqueCount="517">
  <si>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</si>
  <si>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</si>
  <si>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</si>
  <si>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</si>
  <si>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</si>
  <si>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</si>
  <si>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</si>
  <si>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</si>
  <si>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</si>
  <si>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</si>
  <si>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</si>
  <si>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</si>
  <si>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</si>
  <si>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</si>
  <si>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</si>
  <si>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</si>
  <si>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</si>
  <si>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</si>
  <si>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</si>
  <si>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</si>
  <si>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</si>
  <si>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</si>
  <si>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</si>
  <si>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</si>
  <si>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</si>
  <si>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</si>
  <si>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</si>
  <si>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</si>
  <si>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</si>
  <si>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</si>
  <si>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</si>
  <si>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</si>
  <si>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</si>
  <si>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</si>
  <si>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</si>
  <si>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</si>
  <si>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</si>
  <si>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</si>
  <si>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</si>
  <si>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</si>
  <si>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</si>
  <si>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</si>
  <si>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</si>
  <si>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</si>
  <si>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</si>
  <si>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</si>
  <si>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</si>
  <si>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</si>
  <si>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</si>
  <si>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</si>
  <si>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</si>
  <si>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</si>
  <si>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</si>
  <si>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</si>
  <si>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</si>
  <si>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</si>
  <si>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</si>
  <si>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</si>
  <si>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</si>
  <si>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</si>
  <si>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</si>
  <si>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</si>
  <si>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</si>
  <si>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</si>
  <si>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</si>
  <si>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</si>
  <si>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</si>
  <si>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</si>
  <si>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</si>
  <si>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</si>
  <si>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</si>
  <si>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</si>
  <si>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</si>
  <si>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</si>
  <si>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</si>
  <si>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</si>
  <si>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</si>
  <si>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</si>
  <si>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</si>
  <si>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</si>
  <si>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</si>
  <si>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</si>
  <si>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</si>
  <si>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</si>
  <si>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</si>
  <si>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</si>
  <si>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</si>
  <si>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</si>
  <si>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</si>
  <si>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</si>
  <si>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</si>
  <si>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</si>
  <si>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</si>
  <si>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</si>
  <si>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</si>
  <si>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</si>
  <si>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</si>
  <si>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</si>
  <si>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</si>
  <si>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</si>
  <si>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</si>
  <si>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</si>
  <si>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</si>
  <si>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</si>
  <si>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</si>
  <si>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</si>
  <si>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</si>
  <si>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</si>
  <si>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</si>
  <si>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</si>
  <si>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</si>
  <si>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</si>
  <si>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</si>
  <si>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</si>
  <si>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</si>
  <si>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</si>
  <si>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</si>
  <si>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</si>
  <si>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</si>
  <si>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</si>
  <si>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</si>
  <si>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</si>
  <si>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</si>
  <si>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</si>
  <si>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</si>
  <si>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</si>
  <si>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</si>
  <si>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</si>
  <si>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</si>
  <si>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</si>
  <si>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</si>
  <si>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</si>
  <si>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</si>
  <si>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</si>
  <si>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</si>
  <si>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</si>
  <si>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</si>
  <si>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</si>
  <si>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</si>
  <si>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</si>
  <si>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</si>
  <si>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</si>
  <si>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</si>
  <si>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</si>
  <si>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</si>
  <si>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</si>
  <si>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</si>
  <si>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</si>
  <si>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</si>
  <si>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</si>
  <si>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</si>
  <si>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</si>
  <si>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</si>
  <si>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</si>
  <si>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</si>
  <si>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</si>
  <si>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</si>
  <si>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</si>
  <si>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</si>
  <si>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</si>
  <si>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</si>
  <si>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</si>
  <si>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</si>
  <si>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</si>
  <si>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</si>
  <si>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</si>
  <si>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</si>
  <si>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</si>
  <si>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</si>
  <si>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</si>
  <si>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</si>
  <si>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</si>
  <si>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</si>
  <si>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</si>
  <si>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</si>
  <si>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</si>
  <si>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</si>
  <si>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</si>
  <si>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</si>
  <si>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</si>
  <si>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</si>
  <si>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</si>
  <si>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</si>
  <si>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</si>
  <si>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</si>
  <si>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</si>
  <si>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</si>
  <si>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</si>
  <si>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</si>
  <si>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</si>
  <si>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</si>
  <si>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</si>
  <si>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</si>
  <si>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</si>
  <si>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</si>
  <si>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</si>
  <si>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</si>
  <si>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</si>
  <si>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</si>
  <si>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</si>
  <si>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</si>
  <si>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</si>
  <si>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</si>
  <si>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</si>
  <si>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</si>
  <si>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</si>
  <si>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</si>
  <si>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</si>
  <si>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</si>
  <si>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</si>
  <si>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</si>
  <si>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</si>
  <si>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</si>
  <si>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</si>
  <si>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</si>
  <si>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</si>
  <si>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</si>
  <si>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</si>
  <si>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</si>
  <si>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</si>
  <si>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</si>
  <si>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</si>
  <si>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</si>
  <si>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</si>
  <si>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</si>
  <si>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</si>
  <si>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</si>
  <si>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</si>
  <si>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</si>
  <si>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</si>
  <si>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</si>
  <si>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</si>
  <si>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</si>
  <si>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</si>
  <si>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</si>
  <si>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</si>
  <si>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</si>
  <si>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</si>
  <si>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</si>
  <si>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</si>
  <si>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</si>
  <si>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</si>
  <si>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</si>
  <si>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</si>
  <si>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</si>
  <si>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</si>
  <si>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</si>
  <si>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</si>
  <si>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</si>
  <si>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</si>
  <si>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</si>
  <si>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</si>
  <si>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</si>
  <si>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</si>
  <si>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</si>
  <si>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</si>
  <si>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</si>
  <si>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</si>
  <si>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</si>
  <si>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</si>
  <si>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</si>
  <si>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</si>
  <si>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</si>
  <si>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</si>
  <si>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</si>
  <si>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</si>
  <si>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</si>
  <si>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</si>
  <si>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</si>
  <si>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</si>
  <si>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</si>
  <si>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</si>
  <si>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</si>
  <si>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</si>
  <si>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</si>
  <si>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</si>
  <si>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</si>
  <si>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</si>
  <si>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</si>
  <si>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</si>
  <si>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</si>
  <si>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</si>
  <si>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</si>
  <si>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</si>
  <si>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</si>
  <si>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</si>
  <si>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</si>
  <si>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</si>
  <si>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</si>
  <si>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</si>
  <si>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</si>
  <si>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</si>
  <si>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</si>
  <si>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</si>
  <si>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</si>
  <si>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</si>
  <si>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</si>
  <si>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</si>
  <si>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</si>
  <si>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</si>
  <si>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</si>
  <si>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</si>
  <si>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</si>
  <si>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</si>
  <si>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</si>
  <si>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</si>
  <si>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</si>
  <si>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</si>
  <si>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</si>
  <si>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</si>
  <si>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</si>
  <si>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</si>
  <si>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</si>
  <si>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</si>
  <si>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</si>
  <si>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</si>
  <si>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</si>
  <si>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</si>
  <si>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</si>
  <si>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</si>
  <si>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</si>
  <si>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</si>
  <si>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</si>
  <si>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</si>
  <si>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</si>
  <si>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</si>
  <si>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</si>
  <si>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</si>
  <si>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</si>
  <si>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</si>
  <si>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</si>
  <si>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</si>
  <si>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</si>
  <si>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</si>
  <si>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</si>
  <si>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</si>
  <si>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</si>
  <si>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</si>
  <si>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</si>
  <si>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</si>
  <si>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</si>
  <si>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</si>
  <si>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</si>
  <si>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</si>
  <si>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</si>
  <si>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</si>
  <si>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</si>
  <si>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</si>
  <si>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</si>
  <si>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</si>
  <si>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</si>
  <si>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</si>
  <si>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</si>
  <si>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</si>
  <si>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</si>
  <si>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</si>
  <si>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</si>
  <si>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</si>
  <si>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</si>
  <si>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</si>
  <si>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</si>
  <si>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</si>
  <si>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</si>
  <si>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</si>
  <si>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</si>
  <si>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</si>
  <si>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</si>
  <si>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</si>
  <si>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</si>
  <si>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</si>
  <si>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</si>
  <si>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</si>
  <si>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</si>
  <si>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</si>
  <si>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</si>
  <si>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</si>
  <si>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</si>
  <si>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</si>
  <si>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</si>
  <si>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</si>
  <si>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</si>
  <si>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</si>
  <si>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</si>
  <si>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</si>
  <si>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</si>
  <si>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</si>
  <si>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</si>
  <si>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</si>
  <si>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</si>
  <si>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</si>
  <si>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</si>
  <si>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</si>
  <si>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</si>
  <si>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</si>
  <si>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</si>
  <si>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</si>
  <si>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</si>
  <si>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</si>
  <si>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</si>
  <si>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</si>
  <si>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</si>
  <si>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</si>
  <si>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</si>
  <si>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</si>
  <si>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</si>
  <si>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</si>
  <si>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</si>
  <si>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</si>
  <si>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</si>
  <si>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</si>
  <si>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</si>
  <si>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</si>
  <si>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</si>
  <si>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</si>
  <si>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</si>
  <si>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</si>
  <si>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</si>
  <si>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</si>
  <si>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</si>
  <si>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</si>
  <si>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</si>
  <si>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</si>
  <si>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</si>
  <si>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</si>
  <si>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</si>
  <si>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</si>
  <si>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</si>
  <si>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</si>
  <si>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</si>
  <si>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</si>
  <si>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</si>
  <si>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</si>
  <si>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</si>
  <si>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</si>
  <si>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</si>
  <si>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</si>
  <si>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</si>
  <si>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</si>
  <si>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</si>
  <si>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</si>
  <si>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</si>
  <si>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</si>
  <si>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</si>
  <si>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</si>
  <si>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</si>
  <si>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</si>
  <si>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</si>
  <si>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</si>
  <si>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</si>
  <si>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</si>
  <si>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</si>
  <si>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</si>
  <si>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</si>
  <si>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</si>
  <si>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</si>
  <si>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</si>
  <si>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</si>
  <si>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</si>
  <si>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</si>
  <si>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</si>
  <si>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</si>
  <si>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</si>
  <si>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</si>
  <si>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</si>
  <si>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</si>
  <si>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</si>
  <si>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</si>
  <si>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</si>
  <si>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</si>
  <si>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</si>
  <si>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</si>
  <si>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</si>
  <si>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</si>
  <si>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</si>
  <si>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</si>
  <si>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</si>
  <si>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</si>
  <si>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</si>
  <si>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</si>
  <si>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</si>
  <si>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</si>
  <si>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</si>
  <si>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</si>
  <si>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</si>
  <si>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</si>
  <si>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</si>
  <si>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</si>
  <si>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</si>
  <si>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</si>
  <si>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</si>
  <si>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</si>
  <si>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</si>
  <si>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</si>
  <si>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</si>
  <si>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</si>
  <si>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</si>
  <si>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</si>
  <si>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</si>
  <si>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</si>
  <si>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</si>
  <si>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</si>
  <si>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</si>
  <si>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</si>
  <si>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</si>
  <si>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</si>
  <si>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</si>
  <si>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</si>
  <si>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</si>
  <si>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</si>
  <si>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</si>
  <si>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</si>
  <si>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</si>
  <si>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 #: 4692648-8</t>
  </si>
  <si>
    <t>Address:Gajjumata</t>
  </si>
  <si>
    <t xml:space="preserve"> _FR TRADERS (Risen)</t>
  </si>
  <si>
    <t>Invoice No # :9991</t>
  </si>
  <si>
    <t xml:space="preserve">Address: Shadbagh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</si>
</sst>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Q4" sqref="Q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514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46244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 _FR TRADERS (Risen)</v>
      </c>
      <c r="T3" s="301">
        <f>+'1'!P35</f>
        <v>20891.592040042367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 _FR TRADERS (Risen)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 _FR TRADERS (Risen)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 _FR TRADERS (Risen)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4">
        <v>5</v>
      </c>
      <c r="S7" s="300" t="str">
        <f>+'5'!A6:A6</f>
        <v xml:space="preserve"> _FR TRADERS (Risen)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 _FR TRADERS (Risen)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 _FR TRADERS (Risen)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 _FR TRADERS (Risen)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 _FR TRADERS (Risen)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</v>
      </c>
      <c r="R12" s="314">
        <v>10</v>
      </c>
      <c r="S12" s="300" t="str">
        <f>+'10'!A6:A6</f>
        <v xml:space="preserve"> _FR TRADERS (Risen)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 _FR TRADERS (Risen)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 _FR TRADERS (Risen)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 _FR TRADERS (Risen)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9</v>
      </c>
      <c r="H16" s="113">
        <f t="shared" ref="H16:M16" si="3">SUM(H7:H15)</f>
        <v>360</v>
      </c>
      <c r="I16" s="114">
        <f t="shared" si="3"/>
        <v>20500.7</v>
      </c>
      <c r="J16" s="274">
        <f>SUM(J7:J15)</f>
        <v>2870.0980000000004</v>
      </c>
      <c r="K16" s="275">
        <f t="shared" si="3"/>
        <v>717.5245000000001</v>
      </c>
      <c r="L16" s="276">
        <f t="shared" si="3"/>
        <v>0</v>
      </c>
      <c r="M16" s="232">
        <f t="shared" si="3"/>
        <v>16913.077499999999</v>
      </c>
      <c r="N16" s="233">
        <f>SUM(N7:N15)</f>
        <v>3874.576271186439</v>
      </c>
      <c r="O16" s="101">
        <f>SUM(O7:O15)</f>
        <v>103.93826885593219</v>
      </c>
      <c r="P16" s="113">
        <f>SUM(P7:P15)</f>
        <v>20891.592040042371</v>
      </c>
      <c r="Q16" s="128">
        <f>SUM(Q7:Q15)</f>
        <v>4</v>
      </c>
      <c r="R16" s="314">
        <v>14</v>
      </c>
      <c r="S16" s="300" t="str">
        <f>+'14'!A6:A6</f>
        <v xml:space="preserve"> _FR TRADERS (Risen)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 _FR TRADERS (Risen)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 _FR TRADERS (Risen)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20500.7</v>
      </c>
      <c r="R19" s="299">
        <v>17</v>
      </c>
      <c r="S19" s="300" t="str">
        <f>+'17'!A6:A6</f>
        <v xml:space="preserve"> _FR TRADERS (Risen)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2870.0980000000004</v>
      </c>
      <c r="R20" s="299">
        <v>18</v>
      </c>
      <c r="S20" s="300" t="str">
        <f>+'18'!A6:A6</f>
        <v xml:space="preserve"> _FR TRADERS (Risen)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717.5245000000001</v>
      </c>
      <c r="R21" s="299">
        <v>19</v>
      </c>
      <c r="S21" s="300" t="str">
        <f>+'19'!A6:A6</f>
        <v xml:space="preserve"> _FR TRADERS (Risen)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16913.077499999999</v>
      </c>
      <c r="R22" s="299">
        <v>20</v>
      </c>
      <c r="S22" s="300" t="str">
        <f>+'20'!A6:A6</f>
        <v xml:space="preserve"> _FR TRADERS (Risen)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3874.576271186439</v>
      </c>
      <c r="R23" s="299">
        <v>21</v>
      </c>
      <c r="S23" s="300" t="str">
        <f>+'21'!A6:A6</f>
        <v xml:space="preserve"> _FR TRADERS (Risen)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20787.653771186437</v>
      </c>
      <c r="R24" s="299">
        <v>22</v>
      </c>
      <c r="S24" s="300" t="str">
        <f>+'22'!A6:A6</f>
        <v xml:space="preserve"> _FR TRADERS (Risen)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103.93826885593219</v>
      </c>
      <c r="R25" s="299">
        <v>23</v>
      </c>
      <c r="S25" s="300" t="str">
        <f>+'23'!A6:A6</f>
        <v xml:space="preserve"> _FR TRADERS (Risen)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20891.592040042367</v>
      </c>
      <c r="R26" s="299">
        <v>24</v>
      </c>
      <c r="S26" s="300" t="str">
        <f>+'24'!A6:A6</f>
        <v xml:space="preserve"> _FR TRADERS (Risen)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 _FR TRADERS (Risen)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 _FR TRADERS (Risen)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 _FR TRADERS (Risen)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 _FR TRADERS (Risen)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 _FR TRADERS (Risen)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 _FR TRADERS (Risen)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20891.592040042367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46243</v>
      </c>
      <c r="O5" s="392"/>
      <c r="P5" s="392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>
        <v>2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>
        <v>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20500.7</v>
      </c>
      <c r="J25" s="274">
        <f>SUM(J16:J24)</f>
        <v>2870.0980000000004</v>
      </c>
      <c r="K25" s="275">
        <f t="shared" si="10"/>
        <v>717.5245000000001</v>
      </c>
      <c r="L25" s="276">
        <f t="shared" si="10"/>
        <v>0</v>
      </c>
      <c r="M25" s="232">
        <f t="shared" si="10"/>
        <v>16913.077499999999</v>
      </c>
      <c r="N25" s="233">
        <f>SUM(N16:N24)</f>
        <v>3874.576271186439</v>
      </c>
      <c r="O25" s="101">
        <f>SUM(O16:O24)</f>
        <v>103.93826885593219</v>
      </c>
      <c r="P25" s="113">
        <f>SUM(P16:P24)</f>
        <v>20891.592040042371</v>
      </c>
      <c r="Q25" s="128">
        <f>SUM(Q16:Q24)</f>
        <v>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20500.7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2870.0980000000004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717.5245000000001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16913.077499999999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3874.576271186439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20787.653771186437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103.93826885593218</v>
      </c>
    </row>
    <row r="35" spans="2:16" ht="15.75" customHeight="1" thickBot="1" x14ac:dyDescent="0.4">
      <c r="N35" s="372" t="s">
        <v>88</v>
      </c>
      <c r="O35" s="373"/>
      <c r="P35" s="297">
        <f>+P33+P34</f>
        <v>20891.592040042367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46245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46244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2026-08-10T05:14:50Z</dcterms:modified>
</cp:coreProperties>
</file>