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20D7834-E145-4B7F-B5BD-714DDD6558B4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16" i="44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<sst xmlns="http://schemas.openxmlformats.org/spreadsheetml/2006/main" count="3978" uniqueCount="528">
  <si>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</si>
  <si>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</si>
  <si>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</si>
  <si>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</si>
  <si>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</si>
  <si>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</si>
  <si>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</si>
  <si>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</si>
  <si>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</si>
  <si>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</si>
  <si>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</si>
  <si>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</si>
  <si>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</si>
  <si>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</si>
  <si>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</si>
  <si>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</si>
  <si>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</si>
  <si>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</si>
  <si>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</si>
  <si>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</si>
  <si>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</si>
  <si>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</si>
  <si>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</si>
  <si>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</si>
  <si>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</si>
  <si>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</si>
  <si>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</si>
  <si>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</si>
  <si>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</si>
  <si>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</si>
  <si>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</si>
  <si>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</si>
  <si>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</si>
  <si>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</si>
  <si>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</si>
  <si>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</si>
  <si>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</si>
  <si>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</si>
  <si>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</si>
  <si>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</si>
  <si>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</si>
  <si>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</si>
  <si>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</si>
  <si>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</si>
  <si>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</si>
  <si>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</si>
  <si>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</si>
  <si>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</si>
  <si>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</si>
  <si>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</si>
  <si>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</si>
  <si>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</si>
  <si>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</si>
  <si>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</si>
  <si>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</si>
  <si>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</si>
  <si>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</si>
  <si>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</si>
  <si>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</si>
  <si>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</si>
  <si>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</si>
  <si>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</si>
  <si>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</si>
  <si>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</si>
  <si>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</si>
  <si>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</si>
  <si>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</si>
  <si>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</si>
  <si>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</si>
  <si>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</si>
  <si>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</si>
  <si>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</si>
  <si>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</si>
  <si>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</si>
  <si>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</si>
  <si>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</si>
  <si>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</si>
  <si>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</si>
  <si>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</si>
  <si>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</si>
  <si>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</si>
  <si>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</si>
  <si>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</si>
  <si>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</si>
  <si>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</si>
  <si>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</si>
  <si>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</si>
  <si>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</si>
  <si>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</si>
  <si>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</si>
  <si>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</si>
  <si>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</si>
  <si>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</si>
  <si>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</si>
  <si>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</si>
  <si>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</si>
  <si>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</si>
  <si>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</si>
  <si>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</si>
  <si>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</si>
  <si>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</si>
  <si>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</si>
  <si>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</si>
  <si>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</si>
  <si>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</si>
  <si>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</si>
  <si>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</si>
  <si>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</si>
  <si>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</si>
  <si>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</si>
  <si>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</si>
  <si>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</si>
  <si>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</si>
  <si>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</si>
  <si>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</si>
  <si>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</si>
  <si>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</si>
  <si>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</si>
  <si>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</si>
  <si>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</si>
  <si>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</si>
  <si>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</si>
  <si>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</si>
  <si>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</si>
  <si>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</si>
  <si>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</si>
  <si>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</si>
  <si>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</si>
  <si>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</si>
  <si>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</si>
  <si>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</si>
  <si>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</si>
  <si>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</si>
  <si>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</si>
  <si>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</si>
  <si>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</si>
  <si>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</si>
  <si>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</si>
  <si>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</si>
  <si>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</si>
  <si>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</si>
  <si>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</si>
  <si>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</si>
  <si>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</si>
  <si>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</si>
  <si>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</si>
  <si>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</si>
  <si>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</si>
  <si>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</si>
  <si>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</si>
  <si>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</si>
  <si>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</si>
  <si>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</si>
  <si>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</si>
  <si>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</si>
  <si>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</si>
  <si>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</si>
  <si>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</si>
  <si>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</si>
  <si>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</si>
  <si>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</si>
  <si>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</si>
  <si>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</si>
  <si>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</si>
  <si>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</si>
  <si>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</si>
  <si>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</si>
  <si>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</si>
  <si>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</si>
  <si>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</si>
  <si>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</si>
  <si>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</si>
  <si>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</si>
  <si>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</si>
  <si>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</si>
  <si>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</si>
  <si>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</si>
  <si>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</si>
  <si>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</si>
  <si>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</si>
  <si>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</si>
  <si>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</si>
  <si>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</si>
  <si>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</si>
  <si>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</si>
  <si>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</si>
  <si>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</si>
  <si>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</si>
  <si>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</si>
  <si>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</si>
  <si>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</si>
  <si>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</si>
  <si>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</si>
  <si>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</si>
  <si>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</si>
  <si>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</si>
  <si>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</si>
  <si>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</si>
  <si>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</si>
  <si>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</si>
  <si>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</si>
  <si>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</si>
  <si>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</si>
  <si>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</si>
  <si>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</si>
  <si>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</si>
  <si>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</si>
  <si>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</si>
  <si>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</si>
  <si>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</si>
  <si>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</si>
  <si>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</si>
  <si>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</si>
  <si>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</si>
  <si>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</si>
  <si>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</si>
  <si>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</si>
  <si>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</si>
  <si>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</si>
  <si>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</si>
  <si>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</si>
  <si>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</si>
  <si>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</si>
  <si>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</si>
  <si>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</si>
  <si>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</si>
  <si>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</si>
  <si>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</si>
  <si>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</si>
  <si>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</si>
  <si>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</si>
  <si>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</si>
  <si>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</si>
  <si>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</si>
  <si>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</si>
  <si>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</si>
  <si>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</si>
  <si>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</si>
  <si>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</si>
  <si>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</si>
  <si>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</si>
  <si>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</si>
  <si>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</si>
  <si>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</si>
  <si>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</si>
  <si>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</si>
  <si>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</si>
  <si>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</si>
  <si>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</si>
  <si>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</si>
  <si>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</si>
  <si>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</si>
  <si>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</si>
  <si>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</si>
  <si>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</si>
  <si>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</si>
  <si>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</si>
  <si>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</si>
  <si>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</si>
  <si>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</si>
  <si>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</si>
  <si>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</si>
  <si>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</si>
  <si>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</si>
  <si>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</si>
  <si>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</si>
  <si>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</si>
  <si>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</si>
  <si>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</si>
  <si>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</si>
  <si>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</si>
  <si>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</si>
  <si>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</si>
  <si>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</si>
  <si>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</si>
  <si>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</si>
  <si>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</si>
  <si>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</si>
  <si>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</si>
  <si>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</si>
  <si>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</si>
  <si>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</si>
  <si>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</si>
  <si>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</si>
  <si>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</si>
  <si>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</si>
  <si>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</si>
  <si>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</si>
  <si>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</si>
  <si>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</si>
  <si>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</si>
  <si>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</si>
  <si>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</si>
  <si>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</si>
  <si>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</si>
  <si>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</si>
  <si>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</si>
  <si>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</si>
  <si>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</si>
  <si>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</si>
  <si>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</si>
  <si>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</si>
  <si>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</si>
  <si>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</si>
  <si>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</si>
  <si>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</si>
  <si>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</si>
  <si>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</si>
  <si>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</si>
  <si>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</si>
  <si>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</si>
  <si>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</si>
  <si>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</si>
  <si>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</si>
  <si>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</si>
  <si>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</si>
  <si>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</si>
  <si>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</si>
  <si>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</si>
  <si>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</si>
  <si>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</si>
  <si>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</si>
  <si>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</si>
  <si>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</si>
  <si>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</si>
  <si>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</si>
  <si>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</si>
  <si>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</si>
  <si>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</si>
  <si>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</si>
  <si>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</si>
  <si>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</si>
  <si>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</si>
  <si>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</si>
  <si>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</si>
  <si>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</si>
  <si>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</si>
  <si>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</si>
  <si>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</si>
  <si>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</si>
  <si>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</si>
  <si>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</si>
  <si>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</si>
  <si>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</si>
  <si>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</si>
  <si>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</si>
  <si>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</si>
  <si>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</si>
  <si>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</si>
  <si>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</si>
  <si>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</si>
  <si>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</si>
  <si>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</si>
  <si>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</si>
  <si>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</si>
  <si>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</si>
  <si>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</si>
  <si>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</si>
  <si>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</si>
  <si>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</si>
  <si>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</si>
  <si>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</si>
  <si>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</si>
  <si>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</si>
  <si>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</si>
  <si>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</si>
  <si>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</si>
  <si>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</si>
  <si>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</si>
  <si>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</si>
  <si>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</si>
  <si>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</si>
  <si>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</si>
  <si>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</si>
  <si>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</si>
  <si>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</si>
  <si>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</si>
  <si>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</si>
  <si>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</si>
  <si>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</si>
  <si>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</si>
  <si>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</si>
  <si>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</si>
  <si>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</si>
  <si>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</si>
  <si>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</si>
  <si>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</si>
  <si>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</si>
  <si>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</si>
  <si>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</si>
  <si>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</si>
  <si>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</si>
  <si>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</si>
  <si>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</si>
  <si>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</si>
  <si>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</si>
  <si>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</si>
  <si>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</si>
  <si>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</si>
  <si>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</si>
  <si>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</si>
  <si>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</si>
  <si>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</si>
  <si>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</si>
  <si>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</si>
  <si>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</si>
  <si>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</si>
  <si>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</si>
  <si>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</si>
  <si>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</si>
  <si>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</si>
  <si>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</si>
  <si>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</si>
  <si>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</si>
  <si>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</si>
  <si>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</si>
  <si>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</si>
  <si>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</si>
  <si>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</si>
  <si>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</si>
  <si>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</si>
  <si>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</si>
  <si>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</si>
  <si>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</si>
  <si>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</si>
  <si>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</si>
  <si>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</si>
  <si>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</si>
  <si>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</si>
  <si>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</si>
  <si>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</si>
  <si>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</si>
  <si>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</si>
  <si>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</si>
  <si>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</si>
  <si>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</si>
  <si>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</si>
  <si>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</si>
  <si>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</si>
  <si>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</si>
  <si>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</si>
  <si>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</si>
  <si>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</si>
  <si>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</si>
  <si>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</si>
  <si>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</si>
  <si>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</si>
  <si>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</si>
  <si>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</si>
  <si>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</si>
  <si>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</si>
  <si>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</si>
  <si>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</si>
  <si>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</si>
  <si>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</si>
  <si>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</si>
  <si>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</si>
  <si>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</si>
  <si>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</si>
  <si>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</si>
  <si>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</si>
  <si>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</si>
  <si>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</si>
  <si>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</si>
  <si>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</si>
  <si>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</si>
  <si>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</si>
  <si>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</si>
  <si>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</si>
  <si>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</si>
  <si>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</si>
  <si>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</si>
  <si>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</si>
  <si>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</si>
  <si>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</si>
  <si>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</si>
  <si>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</si>
  <si>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</si>
  <si>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</si>
  <si>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</si>
  <si>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</si>
  <si>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</si>
  <si>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</si>
  <si>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</si>
  <si>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</si>
  <si>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</si>
  <si>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</si>
  <si>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</si>
  <si>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</si>
  <si>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</si>
  <si>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</si>
  <si>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</si>
  <si>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</si>
  <si>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</si>
  <si>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</si>
  <si>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</si>
  <si>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</si>
  <si>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</si>
  <si>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</si>
  <si>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</si>
  <si>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</si>
  <si>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</si>
  <si>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</si>
  <si>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</si>
  <si>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</si>
  <si>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</si>
  <si>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</si>
  <si>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</si>
  <si>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</si>
  <si>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</si>
  <si>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</si>
  <si>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</si>
  <si>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</si>
  <si>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</si>
  <si>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</si>
  <si>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</si>
  <si>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Salman</t>
  </si>
  <si>
    <t>Moiz Store</t>
  </si>
  <si>
    <t xml:space="preserve">Address: Shell Tuck Shop </t>
  </si>
  <si>
    <t xml:space="preserve">Al Madina Bakers </t>
  </si>
  <si>
    <t>Food Rite Super Store</t>
  </si>
  <si>
    <t>Bhai Bhai Mdical Store</t>
  </si>
  <si>
    <t>Imran Store</t>
  </si>
  <si>
    <t>Address: Shell Tuck Shop</t>
  </si>
  <si>
    <t>Tanveer Store</t>
  </si>
  <si>
    <t>Toqeer GS</t>
  </si>
  <si>
    <t>Al Falah Store</t>
  </si>
  <si>
    <t xml:space="preserve">Address: Shell tuck Shop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</si>
</sst>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7" sqref="U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46245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Moiz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Al Madina Bakers </v>
      </c>
      <c r="T4" s="301">
        <f>+'2'!P35</f>
        <v>6272.4231701694916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Food Rite Super Store</v>
      </c>
      <c r="T5" s="301">
        <f>+'3'!P35</f>
        <v>8537.4747530084751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Bhai Bhai Mdical Store</v>
      </c>
      <c r="T6" s="301">
        <f>+'4'!P35</f>
        <v>2931.3217996131361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19</v>
      </c>
      <c r="I7" s="235">
        <f>(G7*D7)*F7+H7*F7</f>
        <v>996.78750000000002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79.742999999999995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34.887562500000001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882.15693750000003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188.38983050847452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5.3527338400423723</v>
      </c>
      <c r="P7" s="310">
        <f>M7+N7+O7</f>
        <v>1075.899501848517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Imran Store</v>
      </c>
      <c r="T7" s="301">
        <f>+'5'!P35</f>
        <v>6272.4231701694916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18</v>
      </c>
      <c r="I8" s="236">
        <f t="shared" ref="I8:I14" si="0">(G8*D8)*F8+H8*F8</f>
        <v>944.32499999999993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75.545999999999992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33.051375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835.72762499999999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178.47457627118638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5.0710110063559313</v>
      </c>
      <c r="P8" s="311">
        <f t="shared" ref="P8:P15" si="2">M8+N8+O8</f>
        <v>1019.2732122775423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Tanveer Store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21</v>
      </c>
      <c r="I9" s="236">
        <f t="shared" si="0"/>
        <v>1101.7124999999999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88.137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38.559937500000004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975.01556249999987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208.22033898305074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5.9161795074152543</v>
      </c>
      <c r="P9" s="311">
        <f t="shared" si="2"/>
        <v>1189.1520809904659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Toqeer GS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146</v>
      </c>
      <c r="I10" s="236">
        <f t="shared" si="0"/>
        <v>10605.44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848.43520000000001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371.19040000000012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9385.8144000000011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2004.4067796610175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56.95110589830508</v>
      </c>
      <c r="P10" s="311">
        <f t="shared" si="2"/>
        <v>11447.172285559323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Al Falah Store</v>
      </c>
      <c r="T10" s="301">
        <f>+'8'!P35</f>
        <v>3136.2115850847458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86</v>
      </c>
      <c r="I11" s="236">
        <f t="shared" si="0"/>
        <v>6247.04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499.7632000000001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218.64640000000003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5528.6304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1180.6779661016951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33.546541830508474</v>
      </c>
      <c r="P11" s="311">
        <f t="shared" si="2"/>
        <v>6742.8549079322038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186</v>
      </c>
      <c r="I12" s="236">
        <f t="shared" si="0"/>
        <v>13511.04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1080.8832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472.88640000000009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11957.270400000001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2553.5593220338988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72.554148610169491</v>
      </c>
      <c r="P12" s="311">
        <f t="shared" si="2"/>
        <v>14583.383870644071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</v>
      </c>
      <c r="I13" s="236">
        <f t="shared" si="0"/>
        <v>470.76000000000005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23.538000000000004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16.476600000000005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24.008760000000002</v>
      </c>
      <c r="M13" s="230">
        <f t="shared" si="1"/>
        <v>406.73664000000002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91.525423728813507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2.4913103186440675</v>
      </c>
      <c r="P13" s="311">
        <f t="shared" si="2"/>
        <v>500.75337404745761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12.2</v>
      </c>
      <c r="H16" s="113">
        <f t="shared" ref="H16:M16" si="3">SUM(H7:H15)</f>
        <v>488</v>
      </c>
      <c r="I16" s="114">
        <f t="shared" si="3"/>
        <v>33877.105000000003</v>
      </c>
      <c r="J16" s="274">
        <f>SUM(J7:J15)</f>
        <v>2696.0455999999999</v>
      </c>
      <c r="K16" s="275">
        <f t="shared" si="3"/>
        <v>1185.6986750000001</v>
      </c>
      <c r="L16" s="276">
        <f t="shared" si="3"/>
        <v>24.008760000000002</v>
      </c>
      <c r="M16" s="232">
        <f t="shared" si="3"/>
        <v>29971.351965000002</v>
      </c>
      <c r="N16" s="233">
        <f>SUM(N7:N15)</f>
        <v>6405.2542372881371</v>
      </c>
      <c r="O16" s="101">
        <f>SUM(O7:O15)</f>
        <v>181.88303101144066</v>
      </c>
      <c r="P16" s="113">
        <f>SUM(P7:P15)</f>
        <v>36558.489233299588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33877.105000000003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2696.0455999999999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1209.707435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29971.351965000002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6405.2542372881371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36376.606202288138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181.88303101144066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36558.489233299581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36558.489233299581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5811.2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464.89600000000002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203.39200000000002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5142.9120000000003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6241.2170847457628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2" t="s">
        <v>88</v>
      </c>
      <c r="O35" s="343"/>
      <c r="P35" s="297">
        <f>+P33+P34</f>
        <v>6272.4231701694916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8.7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310">
        <f>M16+N16+O16</f>
        <v>736.14176442266944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632.77599999999995</v>
      </c>
      <c r="K25" s="275">
        <f t="shared" si="7"/>
        <v>276.83950000000004</v>
      </c>
      <c r="L25" s="276">
        <f t="shared" si="7"/>
        <v>0</v>
      </c>
      <c r="M25" s="232">
        <f t="shared" si="7"/>
        <v>7000.0844999999999</v>
      </c>
      <c r="N25" s="233">
        <f>SUM(N16:N24)</f>
        <v>1494.9152542372881</v>
      </c>
      <c r="O25" s="101">
        <f>SUM(O16:O24)</f>
        <v>42.474998771186435</v>
      </c>
      <c r="P25" s="113">
        <f>SUM(P16:P24)</f>
        <v>8537.4747530084751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7909.7000000000007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632.77599999999995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276.83950000000004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7000.0845000000008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8494.9997542372894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42.474998771186449</v>
      </c>
    </row>
    <row r="35" spans="2:16" ht="15.75" customHeight="1" thickBot="1" x14ac:dyDescent="0.4">
      <c r="N35" s="342" t="s">
        <v>88</v>
      </c>
      <c r="O35" s="343"/>
      <c r="P35" s="297">
        <f>+P33+P34</f>
        <v>8537.4747530084751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311">
        <f t="shared" si="5"/>
        <v>339.75773742584744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48</v>
      </c>
      <c r="I25" s="114">
        <f t="shared" si="7"/>
        <v>2722.6050000000005</v>
      </c>
      <c r="J25" s="274">
        <f>SUM(J16:J24)</f>
        <v>203.68559999999999</v>
      </c>
      <c r="K25" s="275">
        <f t="shared" si="7"/>
        <v>95.29117500000001</v>
      </c>
      <c r="L25" s="276">
        <f t="shared" si="7"/>
        <v>24.008760000000002</v>
      </c>
      <c r="M25" s="232">
        <f t="shared" si="7"/>
        <v>2399.6194649999998</v>
      </c>
      <c r="N25" s="233">
        <f>SUM(N16:N24)</f>
        <v>517.11864406779659</v>
      </c>
      <c r="O25" s="101">
        <f>SUM(O16:O24)</f>
        <v>14.583690545338982</v>
      </c>
      <c r="P25" s="113">
        <f>SUM(P16:P24)</f>
        <v>2931.3217996131357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2722.6050000000005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203.68559999999999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119.299935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2399.6194650000007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517.11864406779659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2916.7381090677973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14.583690545338987</v>
      </c>
    </row>
    <row r="35" spans="2:16" ht="15.75" customHeight="1" thickBot="1" x14ac:dyDescent="0.4">
      <c r="N35" s="342" t="s">
        <v>88</v>
      </c>
      <c r="O35" s="343"/>
      <c r="P35" s="297">
        <f>+P33+P34</f>
        <v>2931.3217996131361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523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5811.2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464.89600000000002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203.39200000000002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5142.9120000000003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6241.2170847457628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2" t="s">
        <v>88</v>
      </c>
      <c r="O35" s="343"/>
      <c r="P35" s="297">
        <f>+P33+P34</f>
        <v>6272.4231701694916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232.44799999999998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2026-08-11T11:34:11Z</dcterms:modified>
</cp:coreProperties>
</file>