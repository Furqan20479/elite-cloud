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38E5844-3D0D-46F6-A2DB-49B50D27784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59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<sst xmlns="http://schemas.openxmlformats.org/spreadsheetml/2006/main" count="3976" uniqueCount="517">
  <si>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</si>
  <si>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</si>
  <si>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</si>
  <si>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</si>
  <si>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</si>
  <si>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</si>
  <si>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</si>
  <si>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</si>
  <si>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</si>
  <si>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</si>
  <si>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</si>
  <si>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</si>
  <si>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</si>
  <si>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</si>
  <si>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</si>
  <si>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</si>
  <si>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</si>
  <si>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</si>
  <si>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</si>
  <si>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</si>
  <si>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</si>
  <si>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</si>
  <si>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</si>
  <si>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</si>
  <si>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</si>
  <si>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</si>
  <si>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</si>
  <si>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</si>
  <si>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</si>
  <si>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</si>
  <si>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</si>
  <si>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</si>
  <si>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</si>
  <si>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</si>
  <si>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</si>
  <si>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</si>
  <si>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</si>
  <si>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</si>
  <si>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</si>
  <si>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</si>
  <si>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</si>
  <si>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</si>
  <si>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</si>
  <si>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</si>
  <si>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</si>
  <si>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</si>
  <si>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</si>
  <si>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</si>
  <si>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</si>
  <si>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</si>
  <si>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</si>
  <si>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</si>
  <si>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</si>
  <si>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</si>
  <si>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</si>
  <si>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</si>
  <si>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</si>
  <si>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</si>
  <si>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</si>
  <si>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</si>
  <si>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</si>
  <si>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</si>
  <si>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</si>
  <si>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</si>
  <si>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</si>
  <si>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</si>
  <si>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</si>
  <si>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</si>
  <si>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</si>
  <si>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</si>
  <si>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</si>
  <si>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</si>
  <si>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</si>
  <si>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</si>
  <si>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</si>
  <si>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</si>
  <si>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</si>
  <si>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</si>
  <si>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</si>
  <si>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</si>
  <si>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</si>
  <si>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</si>
  <si>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</si>
  <si>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</si>
  <si>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</si>
  <si>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</si>
  <si>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</si>
  <si>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</si>
  <si>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</si>
  <si>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</si>
  <si>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</si>
  <si>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</si>
  <si>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</si>
  <si>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</si>
  <si>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</si>
  <si>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</si>
  <si>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</si>
  <si>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</si>
  <si>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</si>
  <si>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</si>
  <si>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</si>
  <si>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</si>
  <si>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</si>
  <si>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</si>
  <si>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</si>
  <si>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</si>
  <si>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</si>
  <si>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</si>
  <si>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</si>
  <si>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</si>
  <si>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</si>
  <si>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</si>
  <si>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</si>
  <si>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</si>
  <si>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</si>
  <si>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</si>
  <si>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</si>
  <si>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</si>
  <si>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</si>
  <si>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</si>
  <si>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</si>
  <si>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</si>
  <si>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</si>
  <si>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</si>
  <si>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</si>
  <si>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</si>
  <si>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</si>
  <si>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</si>
  <si>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</si>
  <si>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</si>
  <si>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</si>
  <si>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</si>
  <si>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</si>
  <si>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</si>
  <si>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</si>
  <si>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</si>
  <si>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</si>
  <si>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</si>
  <si>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</si>
  <si>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</si>
  <si>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</si>
  <si>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</si>
  <si>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</si>
  <si>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</si>
  <si>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</si>
  <si>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</si>
  <si>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</si>
  <si>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</si>
  <si>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</si>
  <si>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</si>
  <si>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</si>
  <si>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</si>
  <si>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</si>
  <si>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</si>
  <si>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</si>
  <si>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</si>
  <si>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</si>
  <si>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</si>
  <si>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</si>
  <si>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</si>
  <si>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</si>
  <si>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</si>
  <si>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</si>
  <si>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</si>
  <si>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</si>
  <si>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</si>
  <si>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</si>
  <si>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</si>
  <si>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</si>
  <si>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</si>
  <si>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</si>
  <si>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</si>
  <si>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</si>
  <si>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</si>
  <si>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</si>
  <si>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</si>
  <si>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</si>
  <si>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</si>
  <si>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</si>
  <si>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</si>
  <si>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</si>
  <si>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</si>
  <si>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</si>
  <si>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</si>
  <si>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</si>
  <si>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</si>
  <si>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</si>
  <si>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</si>
  <si>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</si>
  <si>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</si>
  <si>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</si>
  <si>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</si>
  <si>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</si>
  <si>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</si>
  <si>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</si>
  <si>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</si>
  <si>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</si>
  <si>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</si>
  <si>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</si>
  <si>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</si>
  <si>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</si>
  <si>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</si>
  <si>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</si>
  <si>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</si>
  <si>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</si>
  <si>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</si>
  <si>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</si>
  <si>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</si>
  <si>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</si>
  <si>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</si>
  <si>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</si>
  <si>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</si>
  <si>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</si>
  <si>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</si>
  <si>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</si>
  <si>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</si>
  <si>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</si>
  <si>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</si>
  <si>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</si>
  <si>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</si>
  <si>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</si>
  <si>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</si>
  <si>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</si>
  <si>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</si>
  <si>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</si>
  <si>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</si>
  <si>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</si>
  <si>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</si>
  <si>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</si>
  <si>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</si>
  <si>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</si>
  <si>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</si>
  <si>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</si>
  <si>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</si>
  <si>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</si>
  <si>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</si>
  <si>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</si>
  <si>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</si>
  <si>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</si>
  <si>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</si>
  <si>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</si>
  <si>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</si>
  <si>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</si>
  <si>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</si>
  <si>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</si>
  <si>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</si>
  <si>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</si>
  <si>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</si>
  <si>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</si>
  <si>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</si>
  <si>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</si>
  <si>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</si>
  <si>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</si>
  <si>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</si>
  <si>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</si>
  <si>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</si>
  <si>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</si>
  <si>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</si>
  <si>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</si>
  <si>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</si>
  <si>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</si>
  <si>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</si>
  <si>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</si>
  <si>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</si>
  <si>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</si>
  <si>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</si>
  <si>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</si>
  <si>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</si>
  <si>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</si>
  <si>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</si>
  <si>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</si>
  <si>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</si>
  <si>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</si>
  <si>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</si>
  <si>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</si>
  <si>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</si>
  <si>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</si>
  <si>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</si>
  <si>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</si>
  <si>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</si>
  <si>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</si>
  <si>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</si>
  <si>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</si>
  <si>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</si>
  <si>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</si>
  <si>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</si>
  <si>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</si>
  <si>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</si>
  <si>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</si>
  <si>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</si>
  <si>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</si>
  <si>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</si>
  <si>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</si>
  <si>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</si>
  <si>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</si>
  <si>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</si>
  <si>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</si>
  <si>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</si>
  <si>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</si>
  <si>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</si>
  <si>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</si>
  <si>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</si>
  <si>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</si>
  <si>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</si>
  <si>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</si>
  <si>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</si>
  <si>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</si>
  <si>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</si>
  <si>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</si>
  <si>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</si>
  <si>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</si>
  <si>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</si>
  <si>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</si>
  <si>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</si>
  <si>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</si>
  <si>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</si>
  <si>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</si>
  <si>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</si>
  <si>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</si>
  <si>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</si>
  <si>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</si>
  <si>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</si>
  <si>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</si>
  <si>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</si>
  <si>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</si>
  <si>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</si>
  <si>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</si>
  <si>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</si>
  <si>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</si>
  <si>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</si>
  <si>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</si>
  <si>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</si>
  <si>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</si>
  <si>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</si>
  <si>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</si>
  <si>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</si>
  <si>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</si>
  <si>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</si>
  <si>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</si>
  <si>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</si>
  <si>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</si>
  <si>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</si>
  <si>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</si>
  <si>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</si>
  <si>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</si>
  <si>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</si>
  <si>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</si>
  <si>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</si>
  <si>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</si>
  <si>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</si>
  <si>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</si>
  <si>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</si>
  <si>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</si>
  <si>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</si>
  <si>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</si>
  <si>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</si>
  <si>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</si>
  <si>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</si>
  <si>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</si>
  <si>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</si>
  <si>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</si>
  <si>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</si>
  <si>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</si>
  <si>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</si>
  <si>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</si>
  <si>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</si>
  <si>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</si>
  <si>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</si>
  <si>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</si>
  <si>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</si>
  <si>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</si>
  <si>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</si>
  <si>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</si>
  <si>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</si>
  <si>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</si>
  <si>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</si>
  <si>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</si>
  <si>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</si>
  <si>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</si>
  <si>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</si>
  <si>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</si>
  <si>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</si>
  <si>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</si>
  <si>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</si>
  <si>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</si>
  <si>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</si>
  <si>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</si>
  <si>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</si>
  <si>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</si>
  <si>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</si>
  <si>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</si>
  <si>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</si>
  <si>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</si>
  <si>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</si>
  <si>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</si>
  <si>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</si>
  <si>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</si>
  <si>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</si>
  <si>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</si>
  <si>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</si>
  <si>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</si>
  <si>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</si>
  <si>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</si>
  <si>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</si>
  <si>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</si>
  <si>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</si>
  <si>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</si>
  <si>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</si>
  <si>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</si>
  <si>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</si>
  <si>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</si>
  <si>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</si>
  <si>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</si>
  <si>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</si>
  <si>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</si>
  <si>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</si>
  <si>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</si>
  <si>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</si>
  <si>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</si>
  <si>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</si>
  <si>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</si>
  <si>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</si>
  <si>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</si>
  <si>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</si>
  <si>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</si>
  <si>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</si>
  <si>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</si>
  <si>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</si>
  <si>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</si>
  <si>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</si>
  <si>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</si>
  <si>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</si>
  <si>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</si>
  <si>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</si>
  <si>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</si>
  <si>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</si>
  <si>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</si>
  <si>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</si>
  <si>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</si>
  <si>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</si>
  <si>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</si>
  <si>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</si>
  <si>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</si>
  <si>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</si>
  <si>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</si>
  <si>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</si>
  <si>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</si>
  <si>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</si>
  <si>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</si>
  <si>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</si>
  <si>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</si>
  <si>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</si>
  <si>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</si>
  <si>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</si>
  <si>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</si>
  <si>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</si>
  <si>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</si>
  <si>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</si>
  <si>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</si>
  <si>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</si>
  <si>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</si>
  <si>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</si>
  <si>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</si>
  <si>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</si>
  <si>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</si>
  <si>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</si>
  <si>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</si>
  <si>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</si>
  <si>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</si>
  <si>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</si>
  <si>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</si>
  <si>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</si>
  <si>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</si>
  <si>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</si>
  <si>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</si>
  <si>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</si>
  <si>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</si>
  <si>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</si>
  <si>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</si>
  <si>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</si>
  <si>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</si>
  <si>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</si>
  <si>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</si>
  <si>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</si>
  <si>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</si>
  <si>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</si>
  <si>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</si>
  <si>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</si>
  <si>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</si>
  <si>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</si>
  <si>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</si>
  <si>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</si>
  <si>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</si>
  <si>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</si>
  <si>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</si>
  <si>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</si>
  <si>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</si>
  <si>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</si>
  <si>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</si>
  <si>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</si>
  <si>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</si>
  <si>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</si>
  <si>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</si>
  <si>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</si>
  <si>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</si>
  <si>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</si>
  <si>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</si>
  <si>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</si>
  <si>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</si>
  <si>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</si>
  <si>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</si>
  <si>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</si>
  <si>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Address: Fateh Gher </t>
  </si>
  <si>
    <t xml:space="preserve">Ha Mega Mart </t>
  </si>
  <si>
    <t>NTN://  B132902-8</t>
  </si>
  <si>
    <t xml:space="preserve">HA Mega Mart </t>
  </si>
  <si>
    <t>Invoice No # :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</si>
</sst>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46245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HA Mega Mart </v>
      </c>
      <c r="T3" s="301">
        <f>+'1'!P35</f>
        <v>18565.184211784956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 Mega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 Mega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 Mega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39</v>
      </c>
      <c r="I7" s="235">
        <f>(G7*D7)*F7+H7*F7</f>
        <v>2046.0374999999999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245.52449999999999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71.611312499999997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1728.9016875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386.69491525423712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10.577983013771187</v>
      </c>
      <c r="P7" s="310">
        <f>M7+N7+O7</f>
        <v>2126.1745857680085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</v>
      </c>
      <c r="R7" s="314">
        <v>5</v>
      </c>
      <c r="S7" s="300" t="str">
        <f>+'5'!A6:A6</f>
        <v xml:space="preserve">Ha Mega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Ha Mega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 Mega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2455.232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15.021922711864406</v>
      </c>
      <c r="P10" s="311">
        <f t="shared" si="2"/>
        <v>3019.4064650847458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Ha Mega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 Mega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Ha Mega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Ha Mega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 Mega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Ha Mega Mart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6.9749999999999996</v>
      </c>
      <c r="H16" s="113">
        <f t="shared" ref="H16:M16" si="3">SUM(H7:H15)</f>
        <v>279</v>
      </c>
      <c r="I16" s="114">
        <f t="shared" si="3"/>
        <v>17865.4375</v>
      </c>
      <c r="J16" s="274">
        <f>SUM(J7:J15)</f>
        <v>2143.8525</v>
      </c>
      <c r="K16" s="275">
        <f t="shared" si="3"/>
        <v>625.29031250000003</v>
      </c>
      <c r="L16" s="276">
        <f t="shared" si="3"/>
        <v>0</v>
      </c>
      <c r="M16" s="232">
        <f t="shared" si="3"/>
        <v>15096.2946875</v>
      </c>
      <c r="N16" s="233">
        <f>SUM(N7:N15)</f>
        <v>3376.5254237288132</v>
      </c>
      <c r="O16" s="101">
        <f>SUM(O7:O15)</f>
        <v>92.364100556144066</v>
      </c>
      <c r="P16" s="113">
        <f>SUM(P7:P15)</f>
        <v>18565.184211784956</v>
      </c>
      <c r="Q16" s="128">
        <f>SUM(Q7:Q15)</f>
        <v>1</v>
      </c>
      <c r="R16" s="314">
        <v>14</v>
      </c>
      <c r="S16" s="300" t="str">
        <f>+'14'!A6:A6</f>
        <v xml:space="preserve">Ha Mega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 Mega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Ha Mega Mart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17865.4375</v>
      </c>
      <c r="R19" s="299">
        <v>17</v>
      </c>
      <c r="S19" s="300" t="str">
        <f>+'17'!A6:A6</f>
        <v xml:space="preserve">Ha Mega Mart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2143.8525</v>
      </c>
      <c r="R20" s="299">
        <v>18</v>
      </c>
      <c r="S20" s="300" t="str">
        <f>+'18'!A6:A6</f>
        <v xml:space="preserve">Ha Mega Mart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625.29031250000003</v>
      </c>
      <c r="R21" s="299">
        <v>19</v>
      </c>
      <c r="S21" s="300" t="str">
        <f>+'19'!A6:A6</f>
        <v xml:space="preserve">Ha Mega Mart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15096.2946875</v>
      </c>
      <c r="R22" s="299">
        <v>20</v>
      </c>
      <c r="S22" s="300" t="str">
        <f>+'20'!A6:A6</f>
        <v xml:space="preserve">Ha Mega Mart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3376.5254237288132</v>
      </c>
      <c r="R23" s="299">
        <v>21</v>
      </c>
      <c r="S23" s="300" t="str">
        <f>+'21'!A6:A6</f>
        <v xml:space="preserve">Ha Mega Mart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18472.820111228812</v>
      </c>
      <c r="R24" s="299">
        <v>22</v>
      </c>
      <c r="S24" s="300" t="str">
        <f>+'22'!A6:A6</f>
        <v xml:space="preserve">Ha Mega Mart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92.364100556144066</v>
      </c>
      <c r="R25" s="299">
        <v>23</v>
      </c>
      <c r="S25" s="300" t="str">
        <f>+'23'!A6:A6</f>
        <v xml:space="preserve">Ha Mega Mart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18565.184211784956</v>
      </c>
      <c r="R26" s="299">
        <v>24</v>
      </c>
      <c r="S26" s="300" t="str">
        <f>+'24'!A6:A6</f>
        <v xml:space="preserve">Ha Mega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Ha Mega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Ha Mega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 Mega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Ha Mega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Ha Mega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Ha Mega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18565.184211784956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8" sqref="E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46243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39</v>
      </c>
      <c r="I16" s="235">
        <f>(G16*D16)*F16+H16*F16</f>
        <v>2046.0374999999999</v>
      </c>
      <c r="J16" s="271">
        <f>$I16*S16</f>
        <v>245.52449999999999</v>
      </c>
      <c r="K16" s="127">
        <f>$I16*T16</f>
        <v>71.611312499999997</v>
      </c>
      <c r="L16" s="118">
        <f>$I16*U16</f>
        <v>0</v>
      </c>
      <c r="M16" s="229">
        <f>I16-SUM(J16:L16)</f>
        <v>1728.9016875</v>
      </c>
      <c r="N16" s="248">
        <f>+(G16*D16+H16)*V16</f>
        <v>386.69491525423712</v>
      </c>
      <c r="O16" s="238">
        <f>(N16+M16)*$O$15</f>
        <v>10.577983013771187</v>
      </c>
      <c r="P16" s="310">
        <f>M16+N16+O16</f>
        <v>2126.1745857680085</v>
      </c>
      <c r="Q16" s="313">
        <v>1</v>
      </c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348.67199999999997</v>
      </c>
      <c r="K19" s="128">
        <f t="shared" si="1"/>
        <v>101.69600000000001</v>
      </c>
      <c r="L19" s="119">
        <f t="shared" si="1"/>
        <v>0</v>
      </c>
      <c r="M19" s="230">
        <f t="shared" si="2"/>
        <v>2455.232</v>
      </c>
      <c r="N19" s="277">
        <f t="shared" si="3"/>
        <v>549.15254237288138</v>
      </c>
      <c r="O19" s="239">
        <f t="shared" si="4"/>
        <v>15.021922711864406</v>
      </c>
      <c r="P19" s="311">
        <f t="shared" si="5"/>
        <v>3019.4064650847458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279</v>
      </c>
      <c r="I25" s="114">
        <f t="shared" ref="I25:M25" si="10">SUM(I16:I24)</f>
        <v>17865.4375</v>
      </c>
      <c r="J25" s="274">
        <f>SUM(J16:J24)</f>
        <v>2143.8525</v>
      </c>
      <c r="K25" s="275">
        <f t="shared" si="10"/>
        <v>625.29031250000003</v>
      </c>
      <c r="L25" s="276">
        <f t="shared" si="10"/>
        <v>0</v>
      </c>
      <c r="M25" s="232">
        <f t="shared" si="10"/>
        <v>15096.2946875</v>
      </c>
      <c r="N25" s="233">
        <f>SUM(N16:N24)</f>
        <v>3376.5254237288132</v>
      </c>
      <c r="O25" s="101">
        <f>SUM(O16:O24)</f>
        <v>92.364100556144066</v>
      </c>
      <c r="P25" s="113">
        <f>SUM(P16:P24)</f>
        <v>18565.184211784956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17865.4375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2143.8525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625.29031250000003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15096.2946875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3376.5254237288132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18472.820111228812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92.364100556144066</v>
      </c>
    </row>
    <row r="35" spans="2:16" ht="15.75" customHeight="1" thickBot="1" x14ac:dyDescent="0.4">
      <c r="N35" s="372" t="s">
        <v>88</v>
      </c>
      <c r="O35" s="373"/>
      <c r="P35" s="297">
        <f>+P33+P34</f>
        <v>18565.184211784956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46246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46245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2026-08-11T12:03:01Z</dcterms:modified>
</cp:coreProperties>
</file>