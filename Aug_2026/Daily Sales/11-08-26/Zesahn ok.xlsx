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C5EBDE7-63CE-4F55-842C-0C8DDE880967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3" l="1"/>
  <c r="O20" i="43" s="1"/>
  <c r="P20" i="43" s="1"/>
  <c r="R20" i="43" s="1"/>
  <c r="K12" i="62"/>
  <c r="M21" i="47"/>
  <c r="O21" i="47" s="1"/>
  <c r="P21" i="47" s="1"/>
  <c r="M20" i="47"/>
  <c r="O20" i="47" s="1"/>
  <c r="P20" i="47" s="1"/>
  <c r="R20" i="47" s="1"/>
  <c r="M21" i="44"/>
  <c r="O21" i="44" s="1"/>
  <c r="P21" i="44" s="1"/>
  <c r="M17" i="44"/>
  <c r="O17" i="44" s="1"/>
  <c r="P17" i="44" s="1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<sst xmlns="http://schemas.openxmlformats.org/spreadsheetml/2006/main" count="3978" uniqueCount="529">
  <si>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</si>
  <si>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</si>
  <si>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</si>
  <si>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</si>
  <si>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</si>
  <si>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</si>
  <si>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</si>
  <si>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</si>
  <si>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</si>
  <si>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</si>
  <si>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</si>
  <si>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</si>
  <si>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</si>
  <si>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</si>
  <si>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</si>
  <si>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</si>
  <si>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</si>
  <si>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</si>
  <si>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</si>
  <si>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</si>
  <si>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</si>
  <si>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</si>
  <si>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</si>
  <si>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</si>
  <si>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</si>
  <si>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</si>
  <si>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</si>
  <si>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</si>
  <si>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</si>
  <si>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</si>
  <si>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</si>
  <si>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</si>
  <si>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</si>
  <si>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</si>
  <si>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</si>
  <si>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</si>
  <si>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</si>
  <si>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</si>
  <si>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</si>
  <si>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</si>
  <si>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</si>
  <si>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</si>
  <si>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</si>
  <si>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</si>
  <si>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</si>
  <si>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</si>
  <si>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</si>
  <si>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</si>
  <si>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</si>
  <si>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</si>
  <si>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</si>
  <si>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</si>
  <si>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</si>
  <si>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</si>
  <si>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</si>
  <si>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</si>
  <si>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</si>
  <si>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</si>
  <si>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</si>
  <si>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</si>
  <si>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</si>
  <si>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</si>
  <si>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</si>
  <si>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</si>
  <si>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</si>
  <si>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</si>
  <si>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</si>
  <si>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</si>
  <si>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</si>
  <si>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</si>
  <si>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</si>
  <si>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</si>
  <si>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</si>
  <si>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</si>
  <si>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</si>
  <si>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</si>
  <si>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</si>
  <si>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</si>
  <si>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</si>
  <si>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</si>
  <si>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</si>
  <si>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</si>
  <si>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</si>
  <si>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</si>
  <si>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</si>
  <si>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</si>
  <si>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</si>
  <si>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</si>
  <si>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</si>
  <si>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</si>
  <si>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</si>
  <si>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</si>
  <si>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</si>
  <si>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</si>
  <si>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</si>
  <si>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</si>
  <si>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</si>
  <si>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</si>
  <si>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</si>
  <si>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</si>
  <si>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</si>
  <si>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</si>
  <si>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</si>
  <si>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</si>
  <si>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</si>
  <si>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</si>
  <si>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</si>
  <si>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</si>
  <si>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</si>
  <si>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</si>
  <si>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</si>
  <si>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</si>
  <si>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</si>
  <si>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</si>
  <si>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</si>
  <si>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</si>
  <si>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</si>
  <si>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</si>
  <si>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</si>
  <si>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</si>
  <si>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</si>
  <si>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</si>
  <si>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</si>
  <si>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</si>
  <si>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</si>
  <si>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</si>
  <si>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</si>
  <si>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</si>
  <si>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</si>
  <si>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</si>
  <si>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</si>
  <si>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</si>
  <si>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</si>
  <si>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</si>
  <si>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</si>
  <si>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</si>
  <si>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</si>
  <si>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</si>
  <si>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</si>
  <si>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</si>
  <si>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</si>
  <si>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</si>
  <si>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</si>
  <si>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</si>
  <si>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</si>
  <si>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</si>
  <si>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</si>
  <si>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</si>
  <si>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</si>
  <si>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</si>
  <si>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</si>
  <si>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</si>
  <si>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</si>
  <si>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</si>
  <si>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</si>
  <si>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</si>
  <si>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</si>
  <si>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</si>
  <si>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</si>
  <si>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</si>
  <si>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</si>
  <si>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</si>
  <si>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</si>
  <si>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</si>
  <si>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</si>
  <si>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</si>
  <si>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</si>
  <si>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</si>
  <si>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</si>
  <si>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</si>
  <si>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</si>
  <si>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</si>
  <si>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</si>
  <si>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</si>
  <si>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</si>
  <si>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</si>
  <si>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</si>
  <si>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</si>
  <si>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</si>
  <si>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</si>
  <si>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</si>
  <si>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</si>
  <si>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</si>
  <si>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</si>
  <si>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</si>
  <si>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</si>
  <si>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</si>
  <si>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</si>
  <si>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</si>
  <si>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</si>
  <si>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</si>
  <si>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</si>
  <si>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</si>
  <si>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</si>
  <si>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</si>
  <si>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</si>
  <si>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</si>
  <si>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</si>
  <si>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</si>
  <si>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</si>
  <si>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</si>
  <si>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</si>
  <si>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</si>
  <si>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</si>
  <si>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</si>
  <si>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</si>
  <si>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</si>
  <si>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</si>
  <si>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</si>
  <si>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</si>
  <si>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</si>
  <si>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</si>
  <si>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</si>
  <si>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</si>
  <si>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</si>
  <si>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</si>
  <si>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</si>
  <si>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</si>
  <si>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</si>
  <si>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</si>
  <si>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</si>
  <si>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</si>
  <si>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</si>
  <si>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</si>
  <si>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</si>
  <si>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</si>
  <si>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</si>
  <si>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</si>
  <si>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</si>
  <si>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</si>
  <si>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</si>
  <si>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</si>
  <si>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</si>
  <si>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</si>
  <si>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</si>
  <si>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</si>
  <si>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</si>
  <si>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</si>
  <si>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</si>
  <si>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</si>
  <si>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</si>
  <si>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</si>
  <si>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</si>
  <si>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</si>
  <si>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</si>
  <si>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</si>
  <si>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</si>
  <si>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</si>
  <si>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</si>
  <si>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</si>
  <si>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</si>
  <si>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</si>
  <si>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</si>
  <si>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</si>
  <si>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</si>
  <si>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</si>
  <si>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</si>
  <si>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</si>
  <si>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</si>
  <si>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</si>
  <si>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</si>
  <si>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</si>
  <si>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</si>
  <si>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</si>
  <si>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</si>
  <si>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</si>
  <si>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</si>
  <si>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</si>
  <si>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</si>
  <si>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</si>
  <si>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</si>
  <si>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</si>
  <si>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</si>
  <si>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</si>
  <si>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</si>
  <si>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</si>
  <si>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</si>
  <si>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</si>
  <si>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</si>
  <si>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</si>
  <si>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</si>
  <si>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</si>
  <si>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</si>
  <si>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</si>
  <si>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</si>
  <si>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</si>
  <si>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</si>
  <si>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</si>
  <si>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</si>
  <si>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</si>
  <si>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</si>
  <si>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</si>
  <si>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</si>
  <si>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</si>
  <si>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</si>
  <si>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</si>
  <si>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</si>
  <si>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</si>
  <si>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</si>
  <si>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</si>
  <si>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</si>
  <si>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</si>
  <si>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</si>
  <si>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</si>
  <si>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</si>
  <si>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</si>
  <si>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</si>
  <si>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</si>
  <si>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</si>
  <si>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</si>
  <si>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</si>
  <si>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</si>
  <si>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</si>
  <si>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</si>
  <si>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</si>
  <si>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</si>
  <si>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</si>
  <si>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</si>
  <si>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</si>
  <si>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</si>
  <si>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</si>
  <si>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</si>
  <si>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</si>
  <si>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</si>
  <si>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</si>
  <si>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</si>
  <si>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</si>
  <si>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</si>
  <si>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</si>
  <si>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</si>
  <si>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</si>
  <si>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</si>
  <si>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</si>
  <si>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</si>
  <si>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</si>
  <si>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</si>
  <si>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</si>
  <si>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</si>
  <si>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</si>
  <si>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</si>
  <si>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</si>
  <si>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</si>
  <si>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</si>
  <si>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</si>
  <si>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</si>
  <si>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</si>
  <si>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</si>
  <si>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</si>
  <si>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</si>
  <si>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</si>
  <si>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</si>
  <si>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</si>
  <si>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</si>
  <si>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</si>
  <si>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</si>
  <si>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</si>
  <si>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</si>
  <si>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</si>
  <si>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</si>
  <si>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</si>
  <si>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</si>
  <si>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</si>
  <si>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</si>
  <si>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</si>
  <si>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</si>
  <si>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</si>
  <si>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</si>
  <si>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</si>
  <si>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</si>
  <si>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</si>
  <si>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</si>
  <si>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</si>
  <si>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</si>
  <si>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</si>
  <si>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</si>
  <si>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</si>
  <si>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</si>
  <si>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</si>
  <si>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</si>
  <si>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</si>
  <si>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</si>
  <si>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</si>
  <si>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</si>
  <si>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</si>
  <si>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</si>
  <si>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</si>
  <si>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</si>
  <si>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</si>
  <si>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</si>
  <si>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</si>
  <si>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</si>
  <si>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</si>
  <si>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</si>
  <si>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</si>
  <si>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</si>
  <si>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</si>
  <si>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</si>
  <si>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</si>
  <si>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</si>
  <si>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</si>
  <si>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</si>
  <si>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</si>
  <si>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</si>
  <si>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</si>
  <si>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</si>
  <si>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</si>
  <si>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</si>
  <si>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</si>
  <si>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</si>
  <si>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</si>
  <si>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</si>
  <si>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</si>
  <si>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</si>
  <si>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</si>
  <si>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</si>
  <si>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</si>
  <si>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</si>
  <si>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</si>
  <si>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</si>
  <si>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</si>
  <si>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</si>
  <si>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</si>
  <si>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</si>
  <si>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</si>
  <si>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</si>
  <si>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</si>
  <si>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</si>
  <si>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</si>
  <si>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</si>
  <si>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</si>
  <si>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</si>
  <si>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</si>
  <si>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</si>
  <si>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</si>
  <si>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</si>
  <si>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</si>
  <si>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</si>
  <si>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</si>
  <si>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</si>
  <si>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</si>
  <si>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</si>
  <si>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</si>
  <si>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</si>
  <si>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</si>
  <si>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</si>
  <si>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</si>
  <si>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</si>
  <si>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</si>
  <si>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</si>
  <si>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</si>
  <si>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</si>
  <si>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</si>
  <si>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</si>
  <si>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</si>
  <si>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</si>
  <si>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</si>
  <si>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</si>
  <si>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</si>
  <si>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</si>
  <si>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</si>
  <si>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</si>
  <si>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</si>
  <si>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</si>
  <si>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</si>
  <si>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</si>
  <si>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</si>
  <si>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</si>
  <si>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</si>
  <si>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</si>
  <si>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</si>
  <si>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</si>
  <si>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</si>
  <si>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</si>
  <si>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</si>
  <si>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</si>
  <si>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</si>
  <si>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</si>
  <si>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</si>
  <si>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</si>
  <si>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</si>
  <si>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</si>
  <si>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</si>
  <si>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</si>
  <si>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</si>
  <si>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</si>
  <si>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</si>
  <si>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</si>
  <si>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</si>
  <si>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</si>
  <si>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</si>
  <si>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</si>
  <si>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</si>
  <si>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</si>
  <si>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</si>
  <si>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</si>
  <si>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</si>
  <si>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</si>
  <si>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</si>
  <si>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</si>
  <si>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</si>
  <si>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</si>
  <si>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</si>
  <si>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</si>
  <si>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</si>
  <si>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</si>
  <si>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</si>
  <si>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</si>
  <si>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</si>
  <si>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</si>
  <si>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</si>
  <si>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</si>
  <si>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</si>
  <si>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</si>
  <si>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</si>
  <si>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</si>
  <si>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</si>
  <si>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Zeshan</t>
  </si>
  <si>
    <t>Daim Store</t>
  </si>
  <si>
    <t>Address: Rifal Range Road</t>
  </si>
  <si>
    <t>Al Makkah Store</t>
  </si>
  <si>
    <t>Khan Store</t>
  </si>
  <si>
    <t xml:space="preserve">Hikers </t>
  </si>
  <si>
    <t xml:space="preserve">Best Mart </t>
  </si>
  <si>
    <t>Address:Rifal Range Road</t>
  </si>
  <si>
    <t xml:space="preserve">Shamza Mart </t>
  </si>
  <si>
    <t xml:space="preserve">Address: Rifal Range Road </t>
  </si>
  <si>
    <t>Khawaja Store</t>
  </si>
  <si>
    <t>Bin Hadi Store</t>
  </si>
  <si>
    <t xml:space="preserve">Kashmir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</si>
</sst>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E38" sqref="E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46245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Daim Store</v>
      </c>
      <c r="T3" s="301">
        <f>+'1'!P35</f>
        <v>1290.7284250461862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Al Makkah Store</v>
      </c>
      <c r="T4" s="301">
        <f>+'2'!P35</f>
        <v>5120.056174383687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Khan Store</v>
      </c>
      <c r="T5" s="301">
        <f>+'3'!P35</f>
        <v>3901.9789586059323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Hikers </v>
      </c>
      <c r="T6" s="301">
        <f>+'4'!P35</f>
        <v>940.86347552542372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56</v>
      </c>
      <c r="I7" s="235">
        <f>(G7*D7)*F7+H7*F7</f>
        <v>2937.9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235.03199999999998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102.8265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2600.0415000000003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555.2542372881353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15.776478686440678</v>
      </c>
      <c r="P7" s="310">
        <f>M7+N7+O7</f>
        <v>3171.0722159745765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Best Mart </v>
      </c>
      <c r="T7" s="301">
        <f>+'5'!P35</f>
        <v>3934.229496330508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53</v>
      </c>
      <c r="I8" s="236">
        <f t="shared" ref="I8:I14" si="0">(G8*D8)*F8+H8*F8</f>
        <v>2780.5124999999998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222.441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97.317937500000014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2460.7535625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525.50847457627094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14.931310185381355</v>
      </c>
      <c r="P8" s="311">
        <f t="shared" ref="P8:P15" si="2">M8+N8+O8</f>
        <v>3001.1933472616524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Shamza Mart </v>
      </c>
      <c r="T8" s="301">
        <f>+'6'!P35</f>
        <v>1290.7284250461862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3</v>
      </c>
      <c r="R9" s="314">
        <v>7</v>
      </c>
      <c r="S9" s="300" t="str">
        <f>+'7'!A6:A6</f>
        <v>Khawaja Store</v>
      </c>
      <c r="T9" s="301">
        <f>+'7'!P35</f>
        <v>2822.5904265762711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58</v>
      </c>
      <c r="I10" s="236">
        <f t="shared" si="0"/>
        <v>4213.12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337.04960000000005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147.45920000000001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3728.6111999999998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796.27118644067798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22.62441193220339</v>
      </c>
      <c r="P10" s="311">
        <f t="shared" si="2"/>
        <v>4547.5067983728813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3</v>
      </c>
      <c r="R10" s="314">
        <v>8</v>
      </c>
      <c r="S10" s="300" t="str">
        <f>+'8'!A6:A6</f>
        <v>Bin Hadi Store</v>
      </c>
      <c r="T10" s="301">
        <f>+'8'!P35</f>
        <v>4805.3894985762709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53</v>
      </c>
      <c r="I11" s="236">
        <f t="shared" si="0"/>
        <v>3849.92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307.99360000000007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134.74720000000002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3407.1792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727.62711864406788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20.674031593220342</v>
      </c>
      <c r="P11" s="311">
        <f t="shared" si="2"/>
        <v>4155.4803502372879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</v>
      </c>
      <c r="R11" s="314">
        <v>9</v>
      </c>
      <c r="S11" s="300" t="str">
        <f>+'9'!A6:A6</f>
        <v xml:space="preserve">Kashmir Bakers </v>
      </c>
      <c r="T11" s="301">
        <f>+'9'!P35</f>
        <v>3338.355826983051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56</v>
      </c>
      <c r="I12" s="236">
        <f t="shared" si="0"/>
        <v>4067.84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325.42720000000003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142.37440000000001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3600.0384000000004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768.81355932203394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21.844259796610171</v>
      </c>
      <c r="P12" s="311">
        <f t="shared" si="2"/>
        <v>4390.6962191186449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7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196</v>
      </c>
      <c r="I13" s="236">
        <f t="shared" si="0"/>
        <v>7689.0800000000008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384.45400000000006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269.1178000000001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392.14308</v>
      </c>
      <c r="M13" s="230">
        <f t="shared" si="1"/>
        <v>6643.3651200000004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1494.9152542372872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40.691401871186443</v>
      </c>
      <c r="P13" s="311">
        <f t="shared" si="2"/>
        <v>8178.9717761084739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2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11.8</v>
      </c>
      <c r="H16" s="113">
        <f t="shared" ref="H16:M16" si="3">SUM(H7:H15)</f>
        <v>472</v>
      </c>
      <c r="I16" s="114">
        <f t="shared" si="3"/>
        <v>25538.372500000005</v>
      </c>
      <c r="J16" s="274">
        <f>SUM(J7:J15)</f>
        <v>1812.3974000000003</v>
      </c>
      <c r="K16" s="275">
        <f t="shared" si="3"/>
        <v>893.84303750000015</v>
      </c>
      <c r="L16" s="276">
        <f t="shared" si="3"/>
        <v>392.14308</v>
      </c>
      <c r="M16" s="232">
        <f t="shared" si="3"/>
        <v>22439.988982499999</v>
      </c>
      <c r="N16" s="233">
        <f>SUM(N7:N15)</f>
        <v>4868.3898305084731</v>
      </c>
      <c r="O16" s="101">
        <f>SUM(O7:O15)</f>
        <v>136.54189406504236</v>
      </c>
      <c r="P16" s="113">
        <f>SUM(P7:P15)</f>
        <v>27444.920707073521</v>
      </c>
      <c r="Q16" s="128">
        <f>SUM(Q7:Q15)</f>
        <v>16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25538.372500000005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1812.3974000000003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1285.9861175000001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22439.988982500003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4868.3898305084731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27308.378813008476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136.54189406504236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27444.920707073517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27444.920707073514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7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7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7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311">
        <f t="shared" si="5"/>
        <v>313.62115850847459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</v>
      </c>
      <c r="I22" s="236">
        <f t="shared" si="0"/>
        <v>156.92000000000002</v>
      </c>
      <c r="J22" s="272">
        <f t="shared" si="1"/>
        <v>7.846000000000001</v>
      </c>
      <c r="K22" s="128">
        <f t="shared" si="1"/>
        <v>5.4922000000000013</v>
      </c>
      <c r="L22" s="119">
        <f t="shared" si="1"/>
        <v>8.0029199999999996</v>
      </c>
      <c r="M22" s="230">
        <f t="shared" si="2"/>
        <v>135.57888000000003</v>
      </c>
      <c r="N22" s="277">
        <f t="shared" si="3"/>
        <v>30.508474576271169</v>
      </c>
      <c r="O22" s="239">
        <f t="shared" si="4"/>
        <v>0.83043677288135598</v>
      </c>
      <c r="P22" s="311">
        <f t="shared" si="5"/>
        <v>166.91779134915254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1198.095</v>
      </c>
      <c r="J25" s="274">
        <f>SUM(J16:J24)</f>
        <v>91.14</v>
      </c>
      <c r="K25" s="275">
        <f t="shared" si="10"/>
        <v>41.933325000000011</v>
      </c>
      <c r="L25" s="276">
        <f t="shared" si="10"/>
        <v>8.0029199999999996</v>
      </c>
      <c r="M25" s="232">
        <f t="shared" si="10"/>
        <v>1057.0187550000001</v>
      </c>
      <c r="N25" s="233">
        <f>SUM(N16:N24)</f>
        <v>227.28813559322032</v>
      </c>
      <c r="O25" s="101">
        <f>SUM(O16:O24)</f>
        <v>6.4215344529661014</v>
      </c>
      <c r="P25" s="113">
        <f>SUM(P16:P24)</f>
        <v>1290.7284250461864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1198.095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91.14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49.936245000000014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1057.0187549999998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227.28813559322032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1284.30689059322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6.4215344529661005</v>
      </c>
    </row>
    <row r="35" spans="2:16" ht="15.75" customHeight="1" thickBot="1" x14ac:dyDescent="0.4">
      <c r="N35" s="342" t="s">
        <v>88</v>
      </c>
      <c r="O35" s="343"/>
      <c r="P35" s="297">
        <f>+P33+P34</f>
        <v>1290.7284250461862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3" workbookViewId="0">
      <selection activeCell="Q18" sqref="Q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17</v>
      </c>
      <c r="I17" s="236">
        <f t="shared" ref="I17:I23" si="0">(G17*D17)*F17+H17*F17</f>
        <v>891.86249999999995</v>
      </c>
      <c r="J17" s="272">
        <f t="shared" ref="J17:L24" si="1">$I17*S17</f>
        <v>71.349000000000004</v>
      </c>
      <c r="K17" s="128">
        <f>$I17*T17</f>
        <v>31.215187500000003</v>
      </c>
      <c r="L17" s="119">
        <f>$I17*U17</f>
        <v>0</v>
      </c>
      <c r="M17" s="230">
        <f t="shared" ref="M17:M24" si="2">I17-SUM(J17:L17)</f>
        <v>789.29831249999995</v>
      </c>
      <c r="N17" s="277">
        <f t="shared" ref="N17:N24" si="3">+(G17*D17+H17)*V17</f>
        <v>168.55932203389824</v>
      </c>
      <c r="O17" s="239">
        <f t="shared" ref="O17:O24" si="4">(N17+M17)*$O$15</f>
        <v>4.7892881726694911</v>
      </c>
      <c r="P17" s="311">
        <f t="shared" ref="P17:P24" si="5">M17+N17+O17</f>
        <v>962.64692270656758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3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>
        <v>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9</v>
      </c>
      <c r="I20" s="236">
        <f t="shared" si="0"/>
        <v>653.76</v>
      </c>
      <c r="J20" s="272">
        <f t="shared" si="1"/>
        <v>52.300800000000002</v>
      </c>
      <c r="K20" s="128">
        <f t="shared" si="1"/>
        <v>22.881600000000002</v>
      </c>
      <c r="L20" s="119">
        <f t="shared" si="1"/>
        <v>0</v>
      </c>
      <c r="M20" s="230">
        <f t="shared" si="2"/>
        <v>578.57759999999996</v>
      </c>
      <c r="N20" s="277">
        <f t="shared" si="3"/>
        <v>123.55932203389831</v>
      </c>
      <c r="O20" s="239">
        <f t="shared" si="4"/>
        <v>3.5106846101694913</v>
      </c>
      <c r="P20" s="311">
        <f t="shared" si="5"/>
        <v>705.64760664406776</v>
      </c>
      <c r="Q20" s="156">
        <v>1</v>
      </c>
      <c r="R20">
        <f>P20/21</f>
        <v>33.602266983050846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0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311">
        <f t="shared" si="5"/>
        <v>627.24231701694919</v>
      </c>
      <c r="Q21" s="156">
        <v>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18</v>
      </c>
      <c r="I22" s="236">
        <f t="shared" si="0"/>
        <v>706.1400000000001</v>
      </c>
      <c r="J22" s="272">
        <f t="shared" si="1"/>
        <v>35.307000000000009</v>
      </c>
      <c r="K22" s="128">
        <f t="shared" si="1"/>
        <v>24.714900000000007</v>
      </c>
      <c r="L22" s="119">
        <f t="shared" si="1"/>
        <v>36.01314</v>
      </c>
      <c r="M22" s="230">
        <f t="shared" si="2"/>
        <v>610.10496000000012</v>
      </c>
      <c r="N22" s="277">
        <f t="shared" si="3"/>
        <v>137.28813559322026</v>
      </c>
      <c r="O22" s="239">
        <f t="shared" si="4"/>
        <v>3.7369654779661019</v>
      </c>
      <c r="P22" s="311">
        <f t="shared" si="5"/>
        <v>751.13006107118645</v>
      </c>
      <c r="Q22" s="156">
        <v>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84</v>
      </c>
      <c r="I25" s="114">
        <f t="shared" si="7"/>
        <v>4753.8125</v>
      </c>
      <c r="J25" s="274">
        <f>SUM(J16:J24)</f>
        <v>359.12079999999997</v>
      </c>
      <c r="K25" s="275">
        <f t="shared" si="7"/>
        <v>166.38343750000001</v>
      </c>
      <c r="L25" s="276">
        <f t="shared" si="7"/>
        <v>36.01314</v>
      </c>
      <c r="M25" s="232">
        <f t="shared" si="7"/>
        <v>4192.2951224999997</v>
      </c>
      <c r="N25" s="233">
        <f>SUM(N16:N24)</f>
        <v>902.2881355932202</v>
      </c>
      <c r="O25" s="101">
        <f>SUM(O16:O24)</f>
        <v>25.472916290466099</v>
      </c>
      <c r="P25" s="113">
        <f>SUM(P16:P24)</f>
        <v>5120.0561743836861</v>
      </c>
      <c r="Q25" s="128">
        <f>SUM(Q16:Q24)</f>
        <v>16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4753.8125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359.12079999999997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202.39657750000001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4192.2951225000006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902.2881355932202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5094.583258093221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25.472916290466106</v>
      </c>
    </row>
    <row r="35" spans="2:16" ht="15.75" customHeight="1" thickBot="1" x14ac:dyDescent="0.4">
      <c r="N35" s="342" t="s">
        <v>88</v>
      </c>
      <c r="O35" s="343"/>
      <c r="P35" s="297">
        <f>+P33+P34</f>
        <v>5120.056174383687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60</v>
      </c>
      <c r="I25" s="114">
        <f t="shared" si="7"/>
        <v>3620.7500000000005</v>
      </c>
      <c r="J25" s="274">
        <f>SUM(J16:J24)</f>
        <v>277.89100000000002</v>
      </c>
      <c r="K25" s="275">
        <f t="shared" si="7"/>
        <v>126.72625000000002</v>
      </c>
      <c r="L25" s="276">
        <f t="shared" si="7"/>
        <v>20.007300000000001</v>
      </c>
      <c r="M25" s="232">
        <f t="shared" si="7"/>
        <v>3196.1254500000005</v>
      </c>
      <c r="N25" s="233">
        <f>SUM(N16:N24)</f>
        <v>686.44067796610148</v>
      </c>
      <c r="O25" s="101">
        <f>SUM(O16:O24)</f>
        <v>19.412830639830506</v>
      </c>
      <c r="P25" s="113">
        <f>SUM(P16:P24)</f>
        <v>3901.9789586059323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3620.7500000000005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277.89100000000002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146.73355000000004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3196.1254500000005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686.44067796610148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3882.5661279661017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19.41283063983051</v>
      </c>
    </row>
    <row r="35" spans="2:16" ht="15.75" customHeight="1" thickBot="1" x14ac:dyDescent="0.4">
      <c r="N35" s="342" t="s">
        <v>88</v>
      </c>
      <c r="O35" s="343"/>
      <c r="P35" s="297">
        <f>+P33+P34</f>
        <v>3901.9789586059323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871.68000000000006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69.734400000000008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30.508800000000004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771.43680000000006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936.18256271186442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2" t="s">
        <v>88</v>
      </c>
      <c r="O35" s="343"/>
      <c r="P35" s="297">
        <f>+P33+P34</f>
        <v>940.86347552542372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523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3667.7000000000003</v>
      </c>
      <c r="J25" s="274">
        <f>SUM(J16:J24)</f>
        <v>246.34000000000003</v>
      </c>
      <c r="K25" s="275">
        <f t="shared" si="7"/>
        <v>128.36950000000002</v>
      </c>
      <c r="L25" s="276">
        <f t="shared" si="7"/>
        <v>80.029200000000003</v>
      </c>
      <c r="M25" s="232">
        <f t="shared" si="7"/>
        <v>3212.9613000000004</v>
      </c>
      <c r="N25" s="233">
        <f>SUM(N16:N24)</f>
        <v>701.694915254237</v>
      </c>
      <c r="O25" s="101">
        <f>SUM(O16:O24)</f>
        <v>19.573281076271186</v>
      </c>
      <c r="P25" s="113">
        <f>SUM(P16:P24)</f>
        <v>3934.2294963305085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3667.7000000000003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246.34000000000003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208.39870000000002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3212.9612999999999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701.694915254237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3914.6562152542369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19.573281076271186</v>
      </c>
    </row>
    <row r="35" spans="2:16" ht="15.75" customHeight="1" thickBot="1" x14ac:dyDescent="0.4">
      <c r="N35" s="342" t="s">
        <v>88</v>
      </c>
      <c r="O35" s="343"/>
      <c r="P35" s="297">
        <f>+P33+P34</f>
        <v>3934.229496330508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8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311">
        <f t="shared" si="5"/>
        <v>313.62115850847459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</v>
      </c>
      <c r="I22" s="236">
        <f t="shared" si="0"/>
        <v>156.92000000000002</v>
      </c>
      <c r="J22" s="272">
        <f t="shared" si="1"/>
        <v>7.846000000000001</v>
      </c>
      <c r="K22" s="128">
        <f t="shared" si="1"/>
        <v>5.4922000000000013</v>
      </c>
      <c r="L22" s="119">
        <f t="shared" si="1"/>
        <v>8.0029199999999996</v>
      </c>
      <c r="M22" s="230">
        <f t="shared" si="2"/>
        <v>135.57888000000003</v>
      </c>
      <c r="N22" s="277">
        <f t="shared" si="3"/>
        <v>30.508474576271169</v>
      </c>
      <c r="O22" s="239">
        <f t="shared" si="4"/>
        <v>0.83043677288135598</v>
      </c>
      <c r="P22" s="311">
        <f t="shared" si="5"/>
        <v>166.91779134915254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1198.095</v>
      </c>
      <c r="J25" s="274">
        <f>SUM(J16:J24)</f>
        <v>91.14</v>
      </c>
      <c r="K25" s="275">
        <f t="shared" si="7"/>
        <v>41.933325000000011</v>
      </c>
      <c r="L25" s="276">
        <f t="shared" si="7"/>
        <v>8.0029199999999996</v>
      </c>
      <c r="M25" s="232">
        <f t="shared" si="7"/>
        <v>1057.0187550000001</v>
      </c>
      <c r="N25" s="233">
        <f>SUM(N16:N24)</f>
        <v>227.28813559322032</v>
      </c>
      <c r="O25" s="101">
        <f>SUM(O16:O24)</f>
        <v>6.4215344529661014</v>
      </c>
      <c r="P25" s="113">
        <f>SUM(P16:P24)</f>
        <v>1290.7284250461864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1198.095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91.14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49.936245000000014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1057.0187549999998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227.28813559322032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1284.30689059322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6.4215344529661005</v>
      </c>
    </row>
    <row r="35" spans="2:16" ht="15.75" customHeight="1" thickBot="1" x14ac:dyDescent="0.4">
      <c r="N35" s="342" t="s">
        <v>88</v>
      </c>
      <c r="O35" s="343"/>
      <c r="P35" s="297">
        <f>+P33+P34</f>
        <v>1290.7284250461862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36</v>
      </c>
      <c r="I25" s="114">
        <f t="shared" si="7"/>
        <v>2615.04</v>
      </c>
      <c r="J25" s="274">
        <f>SUM(J16:J24)</f>
        <v>209.20320000000004</v>
      </c>
      <c r="K25" s="275">
        <f t="shared" si="7"/>
        <v>91.52640000000001</v>
      </c>
      <c r="L25" s="276">
        <f t="shared" si="7"/>
        <v>0</v>
      </c>
      <c r="M25" s="232">
        <f t="shared" si="7"/>
        <v>2314.3104000000003</v>
      </c>
      <c r="N25" s="233">
        <f>SUM(N16:N24)</f>
        <v>494.23728813559325</v>
      </c>
      <c r="O25" s="101">
        <f>SUM(O16:O24)</f>
        <v>14.042738440677967</v>
      </c>
      <c r="P25" s="113">
        <f>SUM(P16:P24)</f>
        <v>2822.5904265762711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2615.04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209.20320000000004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91.52640000000001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2314.3103999999998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494.23728813559325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2808.547688135593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14.042738440677965</v>
      </c>
    </row>
    <row r="35" spans="2:16" ht="15.75" customHeight="1" thickBot="1" x14ac:dyDescent="0.4">
      <c r="N35" s="342" t="s">
        <v>88</v>
      </c>
      <c r="O35" s="343"/>
      <c r="P35" s="297">
        <f>+P33+P34</f>
        <v>2822.5904265762711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8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3927.2447999999999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113">
        <f>SUM(P16:P24)</f>
        <v>3338.355826983051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3138.4000000000005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156.92000000000004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269.90240000000006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2711.5776000000005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3321.7470915254239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42" t="s">
        <v>88</v>
      </c>
      <c r="O35" s="343"/>
      <c r="P35" s="297">
        <f>+P33+P34</f>
        <v>3338.355826983051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2026-08-11T10:47:08Z</dcterms:modified>
</cp:coreProperties>
</file>