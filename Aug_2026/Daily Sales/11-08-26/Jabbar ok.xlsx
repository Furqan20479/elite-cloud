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1806D639-CA0D-4EDE-A66C-843AF7F48A2B}" xr6:coauthVersionLast="47" xr6:coauthVersionMax="47" xr10:uidLastSave="{00000000-0000-0000-0000-000000000000}"/>
  <bookViews>
    <workbookView xWindow="-110" yWindow="-110" windowWidth="19420" windowHeight="10420" tabRatio="59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4" l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2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<sst xmlns="http://schemas.openxmlformats.org/spreadsheetml/2006/main" count="3978" uniqueCount="525">
  <si>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</si>
  <si>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</si>
  <si>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</si>
  <si>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</si>
  <si>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</si>
  <si>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</si>
  <si>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</si>
  <si>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</si>
  <si>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</si>
  <si>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</si>
  <si>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</si>
  <si>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</si>
  <si>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</si>
  <si>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</si>
  <si>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</si>
  <si>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</si>
  <si>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</si>
  <si>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</si>
  <si>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</si>
  <si>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</si>
  <si>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</si>
  <si>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</si>
  <si>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</si>
  <si>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</si>
  <si>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</si>
  <si>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</si>
  <si>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</si>
  <si>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</si>
  <si>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</si>
  <si>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</si>
  <si>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</si>
  <si>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</si>
  <si>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</si>
  <si>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</si>
  <si>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</si>
  <si>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</si>
  <si>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</si>
  <si>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</si>
  <si>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</si>
  <si>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</si>
  <si>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</si>
  <si>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</si>
  <si>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</si>
  <si>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</si>
  <si>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</si>
  <si>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</si>
  <si>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</si>
  <si>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</si>
  <si>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</si>
  <si>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</si>
  <si>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</si>
  <si>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</si>
  <si>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</si>
  <si>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</si>
  <si>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</si>
  <si>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</si>
  <si>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</si>
  <si>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</si>
  <si>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</si>
  <si>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</si>
  <si>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</si>
  <si>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</si>
  <si>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</si>
  <si>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</si>
  <si>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</si>
  <si>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</si>
  <si>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</si>
  <si>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</si>
  <si>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</si>
  <si>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</si>
  <si>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</si>
  <si>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</si>
  <si>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</si>
  <si>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</si>
  <si>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</si>
  <si>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</si>
  <si>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</si>
  <si>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</si>
  <si>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</si>
  <si>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</si>
  <si>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</si>
  <si>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</si>
  <si>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</si>
  <si>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</si>
  <si>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</si>
  <si>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</si>
  <si>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</si>
  <si>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</si>
  <si>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</si>
  <si>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</si>
  <si>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</si>
  <si>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</si>
  <si>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</si>
  <si>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</si>
  <si>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</si>
  <si>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</si>
  <si>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</si>
  <si>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</si>
  <si>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</si>
  <si>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</si>
  <si>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</si>
  <si>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</si>
  <si>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</si>
  <si>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</si>
  <si>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</si>
  <si>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</si>
  <si>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</si>
  <si>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</si>
  <si>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</si>
  <si>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</si>
  <si>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</si>
  <si>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</si>
  <si>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</si>
  <si>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</si>
  <si>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</si>
  <si>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</si>
  <si>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</si>
  <si>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</si>
  <si>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</si>
  <si>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</si>
  <si>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</si>
  <si>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</si>
  <si>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</si>
  <si>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</si>
  <si>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</si>
  <si>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</si>
  <si>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</si>
  <si>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</si>
  <si>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</si>
  <si>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</si>
  <si>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</si>
  <si>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</si>
  <si>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</si>
  <si>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</si>
  <si>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</si>
  <si>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</si>
  <si>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</si>
  <si>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</si>
  <si>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</si>
  <si>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</si>
  <si>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</si>
  <si>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</si>
  <si>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</si>
  <si>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</si>
  <si>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</si>
  <si>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</si>
  <si>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</si>
  <si>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</si>
  <si>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</si>
  <si>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</si>
  <si>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</si>
  <si>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</si>
  <si>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</si>
  <si>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</si>
  <si>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</si>
  <si>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</si>
  <si>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</si>
  <si>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</si>
  <si>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</si>
  <si>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</si>
  <si>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</si>
  <si>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</si>
  <si>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</si>
  <si>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</si>
  <si>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</si>
  <si>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</si>
  <si>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</si>
  <si>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</si>
  <si>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</si>
  <si>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</si>
  <si>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</si>
  <si>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</si>
  <si>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</si>
  <si>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</si>
  <si>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</si>
  <si>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</si>
  <si>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</si>
  <si>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</si>
  <si>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</si>
  <si>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</si>
  <si>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</si>
  <si>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</si>
  <si>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</si>
  <si>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</si>
  <si>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</si>
  <si>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</si>
  <si>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</si>
  <si>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</si>
  <si>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</si>
  <si>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</si>
  <si>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</si>
  <si>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</si>
  <si>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</si>
  <si>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</si>
  <si>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</si>
  <si>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</si>
  <si>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</si>
  <si>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</si>
  <si>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</si>
  <si>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</si>
  <si>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</si>
  <si>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</si>
  <si>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</si>
  <si>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</si>
  <si>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</si>
  <si>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</si>
  <si>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</si>
  <si>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</si>
  <si>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</si>
  <si>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</si>
  <si>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</si>
  <si>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</si>
  <si>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</si>
  <si>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</si>
  <si>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</si>
  <si>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</si>
  <si>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</si>
  <si>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</si>
  <si>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</si>
  <si>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</si>
  <si>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</si>
  <si>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</si>
  <si>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</si>
  <si>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</si>
  <si>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</si>
  <si>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</si>
  <si>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</si>
  <si>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</si>
  <si>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</si>
  <si>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</si>
  <si>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</si>
  <si>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</si>
  <si>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</si>
  <si>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</si>
  <si>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</si>
  <si>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</si>
  <si>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</si>
  <si>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</si>
  <si>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</si>
  <si>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</si>
  <si>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</si>
  <si>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</si>
  <si>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</si>
  <si>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</si>
  <si>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</si>
  <si>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</si>
  <si>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</si>
  <si>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</si>
  <si>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</si>
  <si>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</si>
  <si>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</si>
  <si>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</si>
  <si>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</si>
  <si>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</si>
  <si>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</si>
  <si>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</si>
  <si>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</si>
  <si>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</si>
  <si>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</si>
  <si>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</si>
  <si>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</si>
  <si>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</si>
  <si>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</si>
  <si>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</si>
  <si>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</si>
  <si>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</si>
  <si>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</si>
  <si>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</si>
  <si>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</si>
  <si>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</si>
  <si>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</si>
  <si>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</si>
  <si>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</si>
  <si>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</si>
  <si>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</si>
  <si>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</si>
  <si>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</si>
  <si>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</si>
  <si>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</si>
  <si>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</si>
  <si>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</si>
  <si>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</si>
  <si>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</si>
  <si>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</si>
  <si>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</si>
  <si>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</si>
  <si>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</si>
  <si>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</si>
  <si>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</si>
  <si>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</si>
  <si>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</si>
  <si>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</si>
  <si>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</si>
  <si>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</si>
  <si>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</si>
  <si>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</si>
  <si>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</si>
  <si>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</si>
  <si>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</si>
  <si>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</si>
  <si>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</si>
  <si>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</si>
  <si>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</si>
  <si>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</si>
  <si>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</si>
  <si>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</si>
  <si>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</si>
  <si>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</si>
  <si>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</si>
  <si>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</si>
  <si>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</si>
  <si>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</si>
  <si>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</si>
  <si>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</si>
  <si>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</si>
  <si>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</si>
  <si>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</si>
  <si>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</si>
  <si>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</si>
  <si>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</si>
  <si>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</si>
  <si>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</si>
  <si>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</si>
  <si>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</si>
  <si>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</si>
  <si>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</si>
  <si>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</si>
  <si>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</si>
  <si>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</si>
  <si>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</si>
  <si>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</si>
  <si>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</si>
  <si>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</si>
  <si>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</si>
  <si>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</si>
  <si>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</si>
  <si>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</si>
  <si>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</si>
  <si>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</si>
  <si>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</si>
  <si>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</si>
  <si>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</si>
  <si>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</si>
  <si>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</si>
  <si>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</si>
  <si>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</si>
  <si>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</si>
  <si>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</si>
  <si>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</si>
  <si>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</si>
  <si>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</si>
  <si>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</si>
  <si>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</si>
  <si>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</si>
  <si>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</si>
  <si>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</si>
  <si>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</si>
  <si>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</si>
  <si>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</si>
  <si>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</si>
  <si>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</si>
  <si>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</si>
  <si>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</si>
  <si>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</si>
  <si>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</si>
  <si>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</si>
  <si>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</si>
  <si>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</si>
  <si>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</si>
  <si>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</si>
  <si>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</si>
  <si>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</si>
  <si>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</si>
  <si>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</si>
  <si>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</si>
  <si>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</si>
  <si>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</si>
  <si>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</si>
  <si>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</si>
  <si>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</si>
  <si>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</si>
  <si>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</si>
  <si>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</si>
  <si>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</si>
  <si>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</si>
  <si>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</si>
  <si>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</si>
  <si>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</si>
  <si>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</si>
  <si>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</si>
  <si>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</si>
  <si>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</si>
  <si>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</si>
  <si>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</si>
  <si>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</si>
  <si>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</si>
  <si>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</si>
  <si>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</si>
  <si>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</si>
  <si>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</si>
  <si>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</si>
  <si>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</si>
  <si>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</si>
  <si>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</si>
  <si>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</si>
  <si>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</si>
  <si>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</si>
  <si>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</si>
  <si>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</si>
  <si>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</si>
  <si>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</si>
  <si>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</si>
  <si>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</si>
  <si>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</si>
  <si>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</si>
  <si>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</si>
  <si>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</si>
  <si>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</si>
  <si>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</si>
  <si>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</si>
  <si>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</si>
  <si>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</si>
  <si>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</si>
  <si>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</si>
  <si>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</si>
  <si>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</si>
  <si>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</si>
  <si>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</si>
  <si>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</si>
  <si>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</si>
  <si>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</si>
  <si>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</si>
  <si>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</si>
  <si>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</si>
  <si>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</si>
  <si>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</si>
  <si>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</si>
  <si>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</si>
  <si>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</si>
  <si>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</si>
  <si>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</si>
  <si>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</si>
  <si>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</si>
  <si>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</si>
  <si>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</si>
  <si>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</si>
  <si>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</si>
  <si>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</si>
  <si>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</si>
  <si>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</si>
  <si>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</si>
  <si>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</si>
  <si>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</si>
  <si>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</si>
  <si>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</si>
  <si>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</si>
  <si>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</si>
  <si>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</si>
  <si>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</si>
  <si>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</si>
  <si>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</si>
  <si>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</si>
  <si>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</si>
  <si>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</si>
  <si>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</si>
  <si>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</si>
  <si>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</si>
  <si>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</si>
  <si>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</si>
  <si>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</si>
  <si>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</si>
  <si>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</si>
  <si>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</si>
  <si>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</si>
  <si>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</si>
  <si>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</si>
  <si>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</si>
  <si>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</si>
  <si>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</si>
  <si>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</si>
  <si>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</si>
  <si>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</si>
  <si>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</si>
  <si>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</si>
  <si>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</si>
  <si>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</si>
  <si>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</si>
  <si>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</si>
  <si>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</si>
  <si>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</si>
  <si>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</si>
  <si>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</si>
  <si>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</si>
  <si>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</si>
  <si>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</si>
  <si>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</si>
  <si>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</si>
  <si>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</si>
  <si>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</si>
  <si>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</si>
  <si>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</si>
  <si>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</si>
  <si>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</si>
  <si>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</si>
  <si>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</si>
  <si>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</si>
  <si>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</si>
  <si>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</si>
  <si>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</si>
  <si>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</si>
  <si>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</si>
  <si>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</si>
  <si>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</si>
  <si>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</si>
  <si>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</si>
  <si>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</si>
  <si>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Jabbar</t>
  </si>
  <si>
    <t xml:space="preserve">Prince Bakery </t>
  </si>
  <si>
    <t xml:space="preserve">Address: LDA Flat </t>
  </si>
  <si>
    <t xml:space="preserve">Kashmir Bakery </t>
  </si>
  <si>
    <t>786 Store</t>
  </si>
  <si>
    <t>Address: Railway Officer Colony</t>
  </si>
  <si>
    <t>Haji Store</t>
  </si>
  <si>
    <t>Khan Store</t>
  </si>
  <si>
    <t>Address: Rilway Officer Colony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</si>
</sst>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C1" workbookViewId="0">
      <selection activeCell="S7" sqref="S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0" t="s">
        <v>91</v>
      </c>
      <c r="B2" s="390"/>
      <c r="C2" s="390"/>
      <c r="E2" s="382" t="s">
        <v>499</v>
      </c>
      <c r="F2" s="383"/>
      <c r="G2" s="383"/>
      <c r="H2" s="380" t="s">
        <v>516</v>
      </c>
      <c r="I2" s="380"/>
      <c r="J2" s="381"/>
      <c r="R2" s="377" t="s">
        <v>498</v>
      </c>
      <c r="S2" s="378"/>
      <c r="T2" s="379"/>
    </row>
    <row r="3" spans="1:20 16377:16378" ht="21.75" customHeight="1" thickBot="1" x14ac:dyDescent="0.4">
      <c r="A3" s="391" t="s">
        <v>92</v>
      </c>
      <c r="B3" s="391"/>
      <c r="C3" s="391"/>
      <c r="E3" s="386" t="s">
        <v>512</v>
      </c>
      <c r="F3" s="387"/>
      <c r="G3" s="387"/>
      <c r="H3" s="384">
        <f ca="1">TODAY()</f>
        <v>46253</v>
      </c>
      <c r="I3" s="384"/>
      <c r="J3" s="385"/>
      <c r="K3" s="392" t="s">
        <v>43</v>
      </c>
      <c r="L3" s="392"/>
      <c r="M3" s="392"/>
      <c r="N3" s="391"/>
      <c r="O3" s="391"/>
      <c r="P3" s="391"/>
      <c r="R3" s="299">
        <v>1</v>
      </c>
      <c r="S3" s="300" t="str">
        <f>+'1'!A6:A6</f>
        <v xml:space="preserve">Prince Bakery </v>
      </c>
      <c r="T3" s="301">
        <f>+'1'!P35</f>
        <v>1019.2732122775423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Kashmir Bakery </v>
      </c>
      <c r="T4" s="301">
        <f>+'2'!P35</f>
        <v>10133.510575500002</v>
      </c>
      <c r="XEX4" t="s">
        <v>105</v>
      </c>
    </row>
    <row r="5" spans="1:20 16377:16378" ht="21.75" customHeight="1" thickBot="1" x14ac:dyDescent="0.4">
      <c r="A5" s="342" t="s">
        <v>51</v>
      </c>
      <c r="B5" s="343"/>
      <c r="C5" s="346" t="s">
        <v>90</v>
      </c>
      <c r="D5" s="115" t="s">
        <v>52</v>
      </c>
      <c r="E5" s="348" t="s">
        <v>58</v>
      </c>
      <c r="F5" s="349"/>
      <c r="G5" s="350" t="s">
        <v>54</v>
      </c>
      <c r="H5" s="351"/>
      <c r="I5" s="352" t="s">
        <v>77</v>
      </c>
      <c r="J5" s="389" t="s">
        <v>55</v>
      </c>
      <c r="K5" s="350"/>
      <c r="L5" s="351"/>
      <c r="M5" s="343" t="s">
        <v>84</v>
      </c>
      <c r="N5" s="388" t="s">
        <v>495</v>
      </c>
      <c r="O5" s="103" t="s">
        <v>89</v>
      </c>
      <c r="P5" s="115" t="s">
        <v>56</v>
      </c>
      <c r="Q5" s="315" t="s">
        <v>511</v>
      </c>
      <c r="R5" s="314">
        <v>3</v>
      </c>
      <c r="S5" s="300" t="str">
        <f>+'3'!A6:A6</f>
        <v>786 Store</v>
      </c>
      <c r="T5" s="301">
        <f>+'3'!P35</f>
        <v>2038.5464245550845</v>
      </c>
      <c r="XEX5" t="s">
        <v>106</v>
      </c>
    </row>
    <row r="6" spans="1:20 16377:16378" ht="21.75" customHeight="1" thickBot="1" x14ac:dyDescent="0.4">
      <c r="A6" s="344"/>
      <c r="B6" s="345"/>
      <c r="C6" s="34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3"/>
      <c r="J6" s="143" t="s">
        <v>59</v>
      </c>
      <c r="K6" s="144" t="s">
        <v>39</v>
      </c>
      <c r="L6" s="145" t="s">
        <v>493</v>
      </c>
      <c r="M6" s="345"/>
      <c r="N6" s="353"/>
      <c r="O6" s="228" t="e">
        <f>IF(#REF!="Filer",0.5%,2.5%)</f>
        <v>#REF!</v>
      </c>
      <c r="P6" s="111" t="s">
        <v>38</v>
      </c>
      <c r="Q6" s="315" t="s">
        <v>510</v>
      </c>
      <c r="R6" s="314">
        <v>4</v>
      </c>
      <c r="S6" s="300" t="str">
        <f>+'4'!A6:A6</f>
        <v>Haji Store</v>
      </c>
      <c r="T6" s="301">
        <f>+'4'!P35</f>
        <v>2205.4642159042369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74</v>
      </c>
      <c r="I7" s="235">
        <f>(G7*D7)*F7+H7*F7</f>
        <v>3882.2249999999999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310.57799999999997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135.87787500000002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3435.7691249999998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733.72881355932168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20.847489692796611</v>
      </c>
      <c r="P7" s="310">
        <f>M7+N7+O7</f>
        <v>4190.3454282521179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Khan Store</v>
      </c>
      <c r="T7" s="301">
        <f>+'5'!P35</f>
        <v>679.51547485169476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74</v>
      </c>
      <c r="I8" s="236">
        <f t="shared" ref="I8:I14" si="0">(G8*D8)*F8+H8*F8</f>
        <v>3882.2249999999999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310.57799999999997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135.87787500000002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3435.7691249999998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733.72881355932168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20.847489692796611</v>
      </c>
      <c r="P8" s="311">
        <f t="shared" ref="P8:P15" si="2">M8+N8+O8</f>
        <v>4190.3454282521179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74</v>
      </c>
      <c r="I9" s="236">
        <f t="shared" si="0"/>
        <v>3882.2249999999999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310.57799999999997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135.87787500000002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3435.7691249999998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733.72881355932168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20.847489692796611</v>
      </c>
      <c r="P9" s="311">
        <f t="shared" si="2"/>
        <v>4190.3454282521179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84</v>
      </c>
      <c r="I13" s="236">
        <f t="shared" si="0"/>
        <v>3295.32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164.76600000000005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115.33620000000002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168.06131999999999</v>
      </c>
      <c r="M13" s="230">
        <f t="shared" si="1"/>
        <v>2847.1564800000001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640.67796610169455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17.439172230508476</v>
      </c>
      <c r="P13" s="311">
        <f t="shared" si="2"/>
        <v>3505.2736183322031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12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93">
        <f>COUNT(A7:A15)</f>
        <v>0</v>
      </c>
      <c r="B16" s="354"/>
      <c r="C16" s="354" t="s">
        <v>40</v>
      </c>
      <c r="D16" s="354"/>
      <c r="E16" s="354"/>
      <c r="F16" s="355"/>
      <c r="G16" s="117">
        <f>H16/40</f>
        <v>7.65</v>
      </c>
      <c r="H16" s="113">
        <f t="shared" ref="H16:M16" si="3">SUM(H7:H15)</f>
        <v>306</v>
      </c>
      <c r="I16" s="114">
        <f t="shared" si="3"/>
        <v>14941.994999999999</v>
      </c>
      <c r="J16" s="274">
        <f>SUM(J7:J15)</f>
        <v>1096.5</v>
      </c>
      <c r="K16" s="275">
        <f t="shared" si="3"/>
        <v>522.96982500000013</v>
      </c>
      <c r="L16" s="276">
        <f t="shared" si="3"/>
        <v>168.06131999999999</v>
      </c>
      <c r="M16" s="232">
        <f t="shared" si="3"/>
        <v>13154.463855</v>
      </c>
      <c r="N16" s="233">
        <f>SUM(N7:N15)</f>
        <v>2841.8644067796595</v>
      </c>
      <c r="O16" s="101">
        <f>SUM(O7:O15)</f>
        <v>79.981641308898304</v>
      </c>
      <c r="P16" s="113">
        <f>SUM(P7:P15)</f>
        <v>16076.309903088557</v>
      </c>
      <c r="Q16" s="128">
        <f>SUM(Q7:Q15)</f>
        <v>12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56" t="s">
        <v>64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8"/>
      <c r="N19" s="365" t="s">
        <v>60</v>
      </c>
      <c r="O19" s="366"/>
      <c r="P19" s="139">
        <f>I16</f>
        <v>14941.994999999999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59"/>
      <c r="C20" s="360"/>
      <c r="D20" s="360"/>
      <c r="E20" s="360"/>
      <c r="F20" s="360"/>
      <c r="G20" s="360"/>
      <c r="H20" s="360"/>
      <c r="I20" s="360"/>
      <c r="J20" s="360"/>
      <c r="K20" s="360"/>
      <c r="L20" s="361"/>
      <c r="N20" s="367" t="s">
        <v>85</v>
      </c>
      <c r="O20" s="368"/>
      <c r="P20" s="140">
        <f>+J16</f>
        <v>1096.5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59"/>
      <c r="C21" s="360"/>
      <c r="D21" s="360"/>
      <c r="E21" s="360"/>
      <c r="F21" s="360"/>
      <c r="G21" s="360"/>
      <c r="H21" s="360"/>
      <c r="I21" s="360"/>
      <c r="J21" s="360"/>
      <c r="K21" s="360"/>
      <c r="L21" s="361"/>
      <c r="N21" s="367" t="s">
        <v>86</v>
      </c>
      <c r="O21" s="368"/>
      <c r="P21" s="140">
        <f>+K16+L16</f>
        <v>691.03114500000015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59"/>
      <c r="C22" s="360"/>
      <c r="D22" s="360"/>
      <c r="E22" s="360"/>
      <c r="F22" s="360"/>
      <c r="G22" s="360"/>
      <c r="H22" s="360"/>
      <c r="I22" s="360"/>
      <c r="J22" s="360"/>
      <c r="K22" s="360"/>
      <c r="L22" s="361"/>
      <c r="M22" s="131"/>
      <c r="N22" s="367" t="s">
        <v>87</v>
      </c>
      <c r="O22" s="368"/>
      <c r="P22" s="140">
        <f>P19-P20-P21</f>
        <v>13154.463854999998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59"/>
      <c r="C23" s="360"/>
      <c r="D23" s="360"/>
      <c r="E23" s="360"/>
      <c r="F23" s="360"/>
      <c r="G23" s="360"/>
      <c r="H23" s="360"/>
      <c r="I23" s="360"/>
      <c r="J23" s="360"/>
      <c r="K23" s="360"/>
      <c r="L23" s="361"/>
      <c r="M23" s="131"/>
      <c r="N23" s="136" t="s">
        <v>61</v>
      </c>
      <c r="O23" s="133">
        <v>0.18</v>
      </c>
      <c r="P23" s="140">
        <f>+N16</f>
        <v>2841.8644067796595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59"/>
      <c r="C24" s="360"/>
      <c r="D24" s="360"/>
      <c r="E24" s="360"/>
      <c r="F24" s="360"/>
      <c r="G24" s="360"/>
      <c r="H24" s="360"/>
      <c r="I24" s="360"/>
      <c r="J24" s="360"/>
      <c r="K24" s="360"/>
      <c r="L24" s="361"/>
      <c r="M24" s="131"/>
      <c r="N24" s="369" t="s">
        <v>76</v>
      </c>
      <c r="O24" s="370"/>
      <c r="P24" s="140">
        <f>P22+P23</f>
        <v>15996.328261779658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62"/>
      <c r="C25" s="363"/>
      <c r="D25" s="363"/>
      <c r="E25" s="363"/>
      <c r="F25" s="363"/>
      <c r="G25" s="363"/>
      <c r="H25" s="363"/>
      <c r="I25" s="363"/>
      <c r="J25" s="363"/>
      <c r="K25" s="363"/>
      <c r="L25" s="364"/>
      <c r="M25" s="99"/>
      <c r="N25" s="138" t="s">
        <v>83</v>
      </c>
      <c r="O25" s="137" t="e">
        <f>IF(#REF!="Filer",0.5%,2.5%)</f>
        <v>#REF!</v>
      </c>
      <c r="P25" s="140">
        <f>+O16</f>
        <v>79.981641308898304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71" t="s">
        <v>88</v>
      </c>
      <c r="O26" s="372"/>
      <c r="P26" s="297">
        <f>+P24+P25</f>
        <v>16076.309903088555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3"/>
      <c r="D27" s="373"/>
      <c r="E27" s="373"/>
      <c r="F27" s="373"/>
      <c r="G27" s="373"/>
      <c r="H27" s="373"/>
      <c r="I27" s="374"/>
      <c r="J27" s="375"/>
      <c r="K27" s="376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16076.309903088561</v>
      </c>
    </row>
    <row r="44" spans="2:20" x14ac:dyDescent="0.35">
      <c r="B44" t="s">
        <v>504</v>
      </c>
    </row>
    <row r="45" spans="2:20" x14ac:dyDescent="0.35">
      <c r="B45" t="s">
        <v>505</v>
      </c>
    </row>
    <row r="46" spans="2:20" x14ac:dyDescent="0.35">
      <c r="B46" t="s">
        <v>506</v>
      </c>
    </row>
    <row r="47" spans="2:20" x14ac:dyDescent="0.35">
      <c r="B47" t="s">
        <v>507</v>
      </c>
    </row>
    <row r="48" spans="2:20" x14ac:dyDescent="0.35">
      <c r="B48" t="s">
        <v>508</v>
      </c>
    </row>
    <row r="49" spans="2:2" x14ac:dyDescent="0.35">
      <c r="B49" t="s">
        <v>513</v>
      </c>
    </row>
    <row r="50" spans="2:2" x14ac:dyDescent="0.35">
      <c r="B50" t="s">
        <v>515</v>
      </c>
    </row>
    <row r="51" spans="2:2" x14ac:dyDescent="0.35">
      <c r="B51" t="s">
        <v>514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7.25" customHeight="1" x14ac:dyDescent="0.4">
      <c r="A6" s="397" t="s">
        <v>517</v>
      </c>
      <c r="B6" s="397"/>
      <c r="C6" s="397"/>
      <c r="F6" s="85"/>
      <c r="G6" s="86"/>
      <c r="K6" s="392" t="s">
        <v>69</v>
      </c>
      <c r="L6" s="392"/>
      <c r="M6" s="392"/>
      <c r="N6" s="394" t="s">
        <v>513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518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310">
        <f>M16+N16+O16</f>
        <v>339.75773742584744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311">
        <f t="shared" ref="P17:P24" si="5">M17+N17+O17</f>
        <v>339.75773742584744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6</v>
      </c>
      <c r="I18" s="236">
        <f t="shared" ref="I18:I21" si="7">(G18*D18)*F18+H18*F18</f>
        <v>314.77499999999998</v>
      </c>
      <c r="J18" s="272">
        <f t="shared" si="1"/>
        <v>25.181999999999999</v>
      </c>
      <c r="K18" s="128">
        <f t="shared" si="1"/>
        <v>11.017125</v>
      </c>
      <c r="L18" s="119">
        <f t="shared" si="1"/>
        <v>0</v>
      </c>
      <c r="M18" s="230">
        <f t="shared" si="2"/>
        <v>278.575875</v>
      </c>
      <c r="N18" s="277">
        <f t="shared" si="3"/>
        <v>59.491525423728788</v>
      </c>
      <c r="O18" s="239">
        <f t="shared" si="4"/>
        <v>1.6903370021186439</v>
      </c>
      <c r="P18" s="311">
        <f t="shared" si="5"/>
        <v>339.75773742584744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" si="8">SUM(G16:G24)</f>
        <v>0</v>
      </c>
      <c r="H25" s="113">
        <f t="shared" ref="H25" si="9">SUM(H16:H24)</f>
        <v>18</v>
      </c>
      <c r="I25" s="114">
        <f t="shared" ref="I25:M25" si="10">SUM(I16:I24)</f>
        <v>944.32499999999993</v>
      </c>
      <c r="J25" s="274">
        <f>SUM(J16:J24)</f>
        <v>75.545999999999992</v>
      </c>
      <c r="K25" s="275">
        <f t="shared" si="10"/>
        <v>33.051375</v>
      </c>
      <c r="L25" s="276">
        <f t="shared" si="10"/>
        <v>0</v>
      </c>
      <c r="M25" s="232">
        <f t="shared" si="10"/>
        <v>835.72762499999999</v>
      </c>
      <c r="N25" s="233">
        <f>SUM(N16:N24)</f>
        <v>178.47457627118638</v>
      </c>
      <c r="O25" s="101">
        <f>SUM(O16:O24)</f>
        <v>5.0710110063559313</v>
      </c>
      <c r="P25" s="113">
        <f>SUM(P16:P24)</f>
        <v>1019.2732122775424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944.32499999999993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75.545999999999992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33.051375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835.72762499999999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178.47457627118638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1014.2022012711864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5.0710110063559322</v>
      </c>
    </row>
    <row r="35" spans="2:16" ht="15.75" customHeight="1" thickBot="1" x14ac:dyDescent="0.4">
      <c r="N35" s="371" t="s">
        <v>88</v>
      </c>
      <c r="O35" s="372"/>
      <c r="P35" s="297">
        <f>+P33+P34</f>
        <v>1019.2732122775423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8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519</v>
      </c>
      <c r="B6" s="397"/>
      <c r="C6" s="397"/>
      <c r="F6" s="85"/>
      <c r="G6" s="86"/>
      <c r="K6" s="392" t="s">
        <v>69</v>
      </c>
      <c r="L6" s="392"/>
      <c r="M6" s="392"/>
      <c r="N6" s="394" t="s">
        <v>513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518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310">
        <f>M16+N16+O16</f>
        <v>2265.051582838983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311">
        <f t="shared" ref="P17:P24" si="5">M17+N17+O17</f>
        <v>2265.051582838983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311">
        <f t="shared" si="5"/>
        <v>2265.051582838983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80</v>
      </c>
      <c r="I22" s="236">
        <f t="shared" si="0"/>
        <v>3138.4000000000005</v>
      </c>
      <c r="J22" s="272">
        <f t="shared" si="1"/>
        <v>156.92000000000004</v>
      </c>
      <c r="K22" s="128">
        <f t="shared" si="1"/>
        <v>109.84400000000002</v>
      </c>
      <c r="L22" s="119">
        <f t="shared" si="1"/>
        <v>160.05840000000001</v>
      </c>
      <c r="M22" s="230">
        <f t="shared" si="2"/>
        <v>2711.5776000000005</v>
      </c>
      <c r="N22" s="277">
        <f t="shared" si="3"/>
        <v>610.16949152542338</v>
      </c>
      <c r="O22" s="239">
        <f t="shared" si="4"/>
        <v>16.60873545762712</v>
      </c>
      <c r="P22" s="311">
        <f t="shared" si="5"/>
        <v>3338.355826983051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200</v>
      </c>
      <c r="I25" s="114">
        <f t="shared" si="7"/>
        <v>9433.9000000000015</v>
      </c>
      <c r="J25" s="274">
        <f>SUM(J16:J24)</f>
        <v>660.56000000000006</v>
      </c>
      <c r="K25" s="275">
        <f t="shared" si="7"/>
        <v>330.18650000000002</v>
      </c>
      <c r="L25" s="276">
        <f t="shared" si="7"/>
        <v>160.05840000000001</v>
      </c>
      <c r="M25" s="232">
        <f t="shared" si="7"/>
        <v>8283.0951000000005</v>
      </c>
      <c r="N25" s="233">
        <f>SUM(N16:N24)</f>
        <v>1799.9999999999991</v>
      </c>
      <c r="O25" s="101">
        <f>SUM(O16:O24)</f>
        <v>50.415475499999999</v>
      </c>
      <c r="P25" s="113">
        <f>SUM(P16:P24)</f>
        <v>10133.5105755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9433.9000000000015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660.56000000000006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490.24490000000003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8283.0951000000023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1799.9999999999991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10083.095100000002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50.415475500000014</v>
      </c>
    </row>
    <row r="35" spans="2:16" ht="15.75" customHeight="1" thickBot="1" x14ac:dyDescent="0.4">
      <c r="N35" s="371" t="s">
        <v>88</v>
      </c>
      <c r="O35" s="372"/>
      <c r="P35" s="297">
        <f>+P33+P34</f>
        <v>10133.510575500002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8.75" customHeight="1" x14ac:dyDescent="0.4">
      <c r="A6" s="397" t="s">
        <v>520</v>
      </c>
      <c r="B6" s="397"/>
      <c r="C6" s="397"/>
      <c r="F6" s="85"/>
      <c r="G6" s="86"/>
      <c r="K6" s="392" t="s">
        <v>69</v>
      </c>
      <c r="L6" s="392"/>
      <c r="M6" s="392"/>
      <c r="N6" s="394" t="s">
        <v>513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521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310">
        <f>M16+N16+O16</f>
        <v>679.51547485169488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311">
        <f t="shared" ref="P17:P24" si="5">M17+N17+O17</f>
        <v>679.51547485169488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311">
        <f t="shared" si="5"/>
        <v>679.51547485169488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36</v>
      </c>
      <c r="I25" s="114">
        <f t="shared" si="7"/>
        <v>1888.6499999999999</v>
      </c>
      <c r="J25" s="274">
        <f>SUM(J16:J24)</f>
        <v>151.09199999999998</v>
      </c>
      <c r="K25" s="275">
        <f t="shared" si="7"/>
        <v>66.10275</v>
      </c>
      <c r="L25" s="276">
        <f t="shared" si="7"/>
        <v>0</v>
      </c>
      <c r="M25" s="232">
        <f t="shared" si="7"/>
        <v>1671.45525</v>
      </c>
      <c r="N25" s="233">
        <f>SUM(N16:N24)</f>
        <v>356.94915254237276</v>
      </c>
      <c r="O25" s="101">
        <f>SUM(O16:O24)</f>
        <v>10.142022012711863</v>
      </c>
      <c r="P25" s="113">
        <f>SUM(P16:P24)</f>
        <v>2038.5464245550847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1888.6499999999999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151.09199999999998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66.10275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1671.45525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356.94915254237276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2028.4044025423727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10.142022012711864</v>
      </c>
    </row>
    <row r="35" spans="2:16" ht="15.75" customHeight="1" thickBot="1" x14ac:dyDescent="0.4">
      <c r="N35" s="371" t="s">
        <v>88</v>
      </c>
      <c r="O35" s="372"/>
      <c r="P35" s="297">
        <f>+P33+P34</f>
        <v>2038.5464245550845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522</v>
      </c>
      <c r="B6" s="397"/>
      <c r="C6" s="397"/>
      <c r="F6" s="85"/>
      <c r="G6" s="86"/>
      <c r="K6" s="392" t="s">
        <v>69</v>
      </c>
      <c r="L6" s="392"/>
      <c r="M6" s="392"/>
      <c r="N6" s="394" t="s">
        <v>513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521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310">
        <f>M16+N16+O16</f>
        <v>679.51547485169488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311">
        <f t="shared" ref="P17:P24" si="5">M17+N17+O17</f>
        <v>679.51547485169488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311">
        <f t="shared" si="5"/>
        <v>679.51547485169488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</v>
      </c>
      <c r="I22" s="236">
        <f t="shared" si="0"/>
        <v>156.92000000000002</v>
      </c>
      <c r="J22" s="272">
        <f t="shared" si="1"/>
        <v>7.846000000000001</v>
      </c>
      <c r="K22" s="128">
        <f t="shared" si="1"/>
        <v>5.4922000000000013</v>
      </c>
      <c r="L22" s="119">
        <f t="shared" si="1"/>
        <v>8.0029199999999996</v>
      </c>
      <c r="M22" s="230">
        <f t="shared" si="2"/>
        <v>135.57888000000003</v>
      </c>
      <c r="N22" s="277">
        <f t="shared" si="3"/>
        <v>30.508474576271169</v>
      </c>
      <c r="O22" s="239">
        <f t="shared" si="4"/>
        <v>0.83043677288135598</v>
      </c>
      <c r="P22" s="311">
        <f t="shared" si="5"/>
        <v>166.91779134915254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40</v>
      </c>
      <c r="I25" s="114">
        <f t="shared" si="7"/>
        <v>2045.57</v>
      </c>
      <c r="J25" s="274">
        <f>SUM(J16:J24)</f>
        <v>158.93799999999999</v>
      </c>
      <c r="K25" s="275">
        <f t="shared" si="7"/>
        <v>71.594949999999997</v>
      </c>
      <c r="L25" s="276">
        <f t="shared" si="7"/>
        <v>8.0029199999999996</v>
      </c>
      <c r="M25" s="232">
        <f t="shared" si="7"/>
        <v>1807.03413</v>
      </c>
      <c r="N25" s="233">
        <f>SUM(N16:N24)</f>
        <v>387.45762711864393</v>
      </c>
      <c r="O25" s="101">
        <f>SUM(O16:O24)</f>
        <v>10.972458785593219</v>
      </c>
      <c r="P25" s="113">
        <f>SUM(P16:P24)</f>
        <v>2205.4642159042373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2045.57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158.93799999999999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79.59787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1807.03413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387.45762711864393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2194.4917571186438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10.972458785593219</v>
      </c>
    </row>
    <row r="35" spans="2:16" ht="15.75" customHeight="1" thickBot="1" x14ac:dyDescent="0.4">
      <c r="N35" s="371" t="s">
        <v>88</v>
      </c>
      <c r="O35" s="372"/>
      <c r="P35" s="297">
        <f>+P33+P34</f>
        <v>2205.4642159042369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523</v>
      </c>
      <c r="B6" s="397"/>
      <c r="C6" s="397"/>
      <c r="F6" s="85"/>
      <c r="G6" s="86"/>
      <c r="K6" s="392" t="s">
        <v>69</v>
      </c>
      <c r="L6" s="392"/>
      <c r="M6" s="392"/>
      <c r="N6" s="394" t="s">
        <v>513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524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</v>
      </c>
      <c r="I16" s="235">
        <f>(G16*D16)*F16+H16*F16</f>
        <v>209.85</v>
      </c>
      <c r="J16" s="271">
        <f>$I16*S16</f>
        <v>16.788</v>
      </c>
      <c r="K16" s="127">
        <f>$I16*T16</f>
        <v>7.3447500000000003</v>
      </c>
      <c r="L16" s="118">
        <f>$I16*U16</f>
        <v>0</v>
      </c>
      <c r="M16" s="229">
        <f>I16-SUM(J16:L16)</f>
        <v>185.71724999999998</v>
      </c>
      <c r="N16" s="248">
        <f>+(G16*D16+H16)*V16</f>
        <v>39.661016949152526</v>
      </c>
      <c r="O16" s="238">
        <f>(N16+M16)*$O$15</f>
        <v>1.1268913347457625</v>
      </c>
      <c r="P16" s="310">
        <f>M16+N16+O16</f>
        <v>226.50515828389825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</v>
      </c>
      <c r="I17" s="236">
        <f t="shared" ref="I17:I23" si="0">(G17*D17)*F17+H17*F17</f>
        <v>209.85</v>
      </c>
      <c r="J17" s="272">
        <f t="shared" ref="J17:L24" si="1">$I17*S17</f>
        <v>16.788</v>
      </c>
      <c r="K17" s="128">
        <f>$I17*T17</f>
        <v>7.3447500000000003</v>
      </c>
      <c r="L17" s="119">
        <f>$I17*U17</f>
        <v>0</v>
      </c>
      <c r="M17" s="230">
        <f t="shared" ref="M17:M24" si="2">I17-SUM(J17:L17)</f>
        <v>185.71724999999998</v>
      </c>
      <c r="N17" s="277">
        <f t="shared" ref="N17:N24" si="3">+(G17*D17+H17)*V17</f>
        <v>39.661016949152526</v>
      </c>
      <c r="O17" s="239">
        <f t="shared" ref="O17:O24" si="4">(N17+M17)*$O$15</f>
        <v>1.1268913347457625</v>
      </c>
      <c r="P17" s="311">
        <f t="shared" ref="P17:P24" si="5">M17+N17+O17</f>
        <v>226.50515828389825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</v>
      </c>
      <c r="I18" s="236">
        <f t="shared" si="0"/>
        <v>209.85</v>
      </c>
      <c r="J18" s="272">
        <f t="shared" si="1"/>
        <v>16.788</v>
      </c>
      <c r="K18" s="128">
        <f t="shared" si="1"/>
        <v>7.3447500000000003</v>
      </c>
      <c r="L18" s="119">
        <f t="shared" si="1"/>
        <v>0</v>
      </c>
      <c r="M18" s="230">
        <f t="shared" si="2"/>
        <v>185.71724999999998</v>
      </c>
      <c r="N18" s="277">
        <f t="shared" si="3"/>
        <v>39.661016949152526</v>
      </c>
      <c r="O18" s="239">
        <f t="shared" si="4"/>
        <v>1.1268913347457625</v>
      </c>
      <c r="P18" s="311">
        <f t="shared" si="5"/>
        <v>226.50515828389825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>
        <v>12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12</v>
      </c>
      <c r="I25" s="114">
        <f t="shared" si="7"/>
        <v>629.54999999999995</v>
      </c>
      <c r="J25" s="274">
        <f>SUM(J16:J24)</f>
        <v>50.364000000000004</v>
      </c>
      <c r="K25" s="275">
        <f t="shared" si="7"/>
        <v>22.03425</v>
      </c>
      <c r="L25" s="276">
        <f t="shared" si="7"/>
        <v>0</v>
      </c>
      <c r="M25" s="232">
        <f t="shared" si="7"/>
        <v>557.15174999999999</v>
      </c>
      <c r="N25" s="233">
        <f>SUM(N16:N24)</f>
        <v>118.98305084745758</v>
      </c>
      <c r="O25" s="101">
        <f>SUM(O16:O24)</f>
        <v>3.3806740042372878</v>
      </c>
      <c r="P25" s="113">
        <f>SUM(P16:P24)</f>
        <v>679.51547485169476</v>
      </c>
      <c r="Q25" s="128">
        <f>SUM(Q16:Q24)</f>
        <v>12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629.54999999999995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50.364000000000004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22.03425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557.15174999999988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118.98305084745758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676.13480084745743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3.3806740042372874</v>
      </c>
    </row>
    <row r="35" spans="2:16" ht="15.75" customHeight="1" thickBot="1" x14ac:dyDescent="0.4">
      <c r="N35" s="371" t="s">
        <v>88</v>
      </c>
      <c r="O35" s="372"/>
      <c r="P35" s="297">
        <f>+P33+P34</f>
        <v>679.51547485169476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500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501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8.75" customHeight="1" x14ac:dyDescent="0.4">
      <c r="A6" s="397" t="s">
        <v>502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0" t="s">
        <v>91</v>
      </c>
      <c r="B2" s="390"/>
      <c r="C2" s="390"/>
    </row>
    <row r="3" spans="1:18 16382:16383" ht="15" customHeight="1" x14ac:dyDescent="0.35">
      <c r="A3" s="391" t="s">
        <v>92</v>
      </c>
      <c r="B3" s="391"/>
      <c r="C3" s="391"/>
      <c r="F3" s="85"/>
      <c r="G3" s="1"/>
      <c r="J3" s="392" t="s">
        <v>43</v>
      </c>
      <c r="K3" s="392"/>
      <c r="L3" s="392"/>
      <c r="M3" s="391"/>
      <c r="N3" s="391"/>
      <c r="O3" s="39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1" t="s">
        <v>65</v>
      </c>
      <c r="B4" s="391"/>
      <c r="C4" s="391"/>
      <c r="F4" s="85"/>
      <c r="G4" s="1"/>
      <c r="J4" s="392" t="s">
        <v>44</v>
      </c>
      <c r="K4" s="392"/>
      <c r="L4" s="392"/>
      <c r="M4" s="395">
        <f ca="1">TODAY()+1</f>
        <v>46254</v>
      </c>
      <c r="N4" s="395"/>
      <c r="O4" s="39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92" t="s">
        <v>45</v>
      </c>
      <c r="K5" s="392"/>
      <c r="L5" s="392"/>
      <c r="M5" s="395">
        <f ca="1">M4-1</f>
        <v>46253</v>
      </c>
      <c r="N5" s="391"/>
      <c r="O5" s="391"/>
      <c r="Q5" s="85"/>
      <c r="R5" s="1"/>
    </row>
    <row r="6" spans="1:18 16382:16383" ht="15" customHeight="1" x14ac:dyDescent="0.35">
      <c r="A6" s="392" t="s">
        <v>94</v>
      </c>
      <c r="B6" s="392"/>
      <c r="C6" s="392"/>
      <c r="F6" s="85"/>
      <c r="G6" s="86"/>
      <c r="J6" s="392" t="s">
        <v>69</v>
      </c>
      <c r="K6" s="392"/>
      <c r="L6" s="392"/>
      <c r="M6" s="394" t="s">
        <v>62</v>
      </c>
      <c r="N6" s="394"/>
      <c r="O6" s="39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2" t="s">
        <v>73</v>
      </c>
      <c r="B7" s="392"/>
      <c r="C7" s="392"/>
      <c r="F7" s="85"/>
      <c r="G7" s="86"/>
      <c r="J7" s="392" t="s">
        <v>66</v>
      </c>
      <c r="K7" s="392"/>
      <c r="L7" s="392"/>
      <c r="M7" s="394" t="s">
        <v>70</v>
      </c>
      <c r="N7" s="394"/>
      <c r="O7" s="39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92" t="s">
        <v>67</v>
      </c>
      <c r="K8" s="392"/>
      <c r="L8" s="392"/>
      <c r="M8" s="394" t="s">
        <v>71</v>
      </c>
      <c r="N8" s="394"/>
      <c r="O8" s="394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92" t="s">
        <v>68</v>
      </c>
      <c r="K9" s="392"/>
      <c r="L9" s="392"/>
      <c r="M9" s="394" t="s">
        <v>104</v>
      </c>
      <c r="N9" s="394"/>
      <c r="O9" s="394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92" t="s">
        <v>46</v>
      </c>
      <c r="K10" s="392"/>
      <c r="L10" s="392"/>
      <c r="M10" s="391" t="s">
        <v>47</v>
      </c>
      <c r="N10" s="391"/>
      <c r="O10" s="39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2" t="s">
        <v>48</v>
      </c>
      <c r="K11" s="392"/>
      <c r="L11" s="392"/>
      <c r="M11" s="391" t="s">
        <v>49</v>
      </c>
      <c r="N11" s="391"/>
      <c r="O11" s="39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2" t="s">
        <v>50</v>
      </c>
      <c r="K12" s="392"/>
      <c r="L12" s="392"/>
      <c r="M12" s="391"/>
      <c r="N12" s="391"/>
      <c r="O12" s="39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2" t="s">
        <v>51</v>
      </c>
      <c r="B14" s="343"/>
      <c r="C14" s="346" t="s">
        <v>90</v>
      </c>
      <c r="D14" s="88" t="s">
        <v>52</v>
      </c>
      <c r="E14" s="95" t="s">
        <v>74</v>
      </c>
      <c r="F14" s="115" t="s">
        <v>53</v>
      </c>
      <c r="G14" s="389" t="s">
        <v>54</v>
      </c>
      <c r="H14" s="351"/>
      <c r="I14" s="352" t="s">
        <v>77</v>
      </c>
      <c r="J14" s="350" t="s">
        <v>55</v>
      </c>
      <c r="K14" s="351"/>
      <c r="L14" s="35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4"/>
      <c r="B15" s="345"/>
      <c r="C15" s="34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3"/>
      <c r="J15" s="144" t="s">
        <v>39</v>
      </c>
      <c r="K15" s="145" t="s">
        <v>59</v>
      </c>
      <c r="L15" s="35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8"/>
      <c r="M28" s="365" t="s">
        <v>60</v>
      </c>
      <c r="N28" s="366"/>
      <c r="O28" s="139">
        <f>I25</f>
        <v>1452.8</v>
      </c>
    </row>
    <row r="29" spans="1:18 16383:16383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1"/>
      <c r="M29" s="367" t="s">
        <v>85</v>
      </c>
      <c r="N29" s="368"/>
      <c r="O29" s="140">
        <f>K25</f>
        <v>0</v>
      </c>
    </row>
    <row r="30" spans="1:18 16383:16383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1"/>
      <c r="M30" s="367" t="s">
        <v>86</v>
      </c>
      <c r="N30" s="368"/>
      <c r="O30" s="140">
        <f>J25</f>
        <v>50.848000000000006</v>
      </c>
    </row>
    <row r="31" spans="1:18 16383:16383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1"/>
      <c r="L31" s="131"/>
      <c r="M31" s="367" t="s">
        <v>87</v>
      </c>
      <c r="N31" s="368"/>
      <c r="O31" s="140">
        <f>O28-O29-O30</f>
        <v>1401.952</v>
      </c>
    </row>
    <row r="32" spans="1:18 16383:16383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1"/>
      <c r="L33" s="131"/>
      <c r="M33" s="369" t="s">
        <v>76</v>
      </c>
      <c r="N33" s="370"/>
      <c r="O33" s="140">
        <f>O31+O32</f>
        <v>1710.3814400000001</v>
      </c>
    </row>
    <row r="34" spans="2:15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1" t="s">
        <v>88</v>
      </c>
      <c r="N35" s="372"/>
      <c r="O35" s="141">
        <f>O28-O29+O31+O34</f>
        <v>2897.511536</v>
      </c>
    </row>
    <row r="36" spans="2:15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2" t="s">
        <v>439</v>
      </c>
      <c r="E1" s="334" t="s">
        <v>58</v>
      </c>
      <c r="F1" s="334"/>
      <c r="G1" s="335" t="s">
        <v>440</v>
      </c>
      <c r="H1" s="335"/>
      <c r="I1" s="403" t="s">
        <v>441</v>
      </c>
      <c r="J1" s="403"/>
      <c r="K1" s="403" t="s">
        <v>442</v>
      </c>
      <c r="L1" s="403"/>
      <c r="M1" s="399" t="s">
        <v>484</v>
      </c>
      <c r="N1" s="400"/>
      <c r="O1" s="401"/>
    </row>
    <row r="2" spans="3:24" ht="29" x14ac:dyDescent="0.35">
      <c r="C2" s="334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4" t="s">
        <v>476</v>
      </c>
      <c r="D6" s="404"/>
      <c r="E6" s="404"/>
      <c r="F6" s="404"/>
      <c r="G6" s="404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6" t="s">
        <v>58</v>
      </c>
      <c r="F7" s="406"/>
      <c r="G7" s="407" t="s">
        <v>440</v>
      </c>
      <c r="H7" s="335"/>
      <c r="I7" s="336" t="s">
        <v>441</v>
      </c>
      <c r="J7" s="337"/>
      <c r="K7" s="336" t="s">
        <v>442</v>
      </c>
      <c r="L7" s="337"/>
      <c r="M7" s="399" t="s">
        <v>484</v>
      </c>
      <c r="N7" s="400"/>
      <c r="O7" s="401"/>
      <c r="P7" s="256" t="s">
        <v>475</v>
      </c>
      <c r="Q7" s="242" t="s">
        <v>473</v>
      </c>
      <c r="R7" s="402" t="s">
        <v>475</v>
      </c>
      <c r="S7" s="402" t="s">
        <v>485</v>
      </c>
      <c r="T7" s="408" t="s">
        <v>486</v>
      </c>
      <c r="U7" s="408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7"/>
      <c r="U8" s="40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5" t="s">
        <v>477</v>
      </c>
      <c r="D12" s="405"/>
      <c r="E12" s="405"/>
      <c r="F12" s="405"/>
      <c r="G12" s="405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399" t="s">
        <v>484</v>
      </c>
      <c r="N13" s="400"/>
      <c r="O13" s="401"/>
      <c r="P13" s="256" t="s">
        <v>475</v>
      </c>
      <c r="Q13" s="242" t="s">
        <v>473</v>
      </c>
      <c r="R13" s="402" t="s">
        <v>475</v>
      </c>
      <c r="S13" s="402" t="s">
        <v>485</v>
      </c>
      <c r="T13" s="408" t="s">
        <v>486</v>
      </c>
      <c r="U13" s="408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7"/>
      <c r="U14" s="40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4" t="s">
        <v>478</v>
      </c>
      <c r="D19" s="404"/>
      <c r="E19" s="404"/>
      <c r="F19" s="404"/>
      <c r="G19" s="404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399" t="s">
        <v>484</v>
      </c>
      <c r="N20" s="400"/>
      <c r="O20" s="401"/>
      <c r="P20" s="256" t="s">
        <v>475</v>
      </c>
      <c r="Q20" s="242" t="s">
        <v>473</v>
      </c>
      <c r="R20" s="402" t="s">
        <v>475</v>
      </c>
      <c r="S20" s="402" t="s">
        <v>485</v>
      </c>
      <c r="T20" s="408" t="s">
        <v>486</v>
      </c>
      <c r="U20" s="408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7"/>
      <c r="U21" s="40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4" t="s">
        <v>479</v>
      </c>
      <c r="D26" s="404"/>
      <c r="E26" s="404"/>
      <c r="F26" s="404"/>
      <c r="G26" s="404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399" t="s">
        <v>484</v>
      </c>
      <c r="N27" s="400"/>
      <c r="O27" s="401"/>
      <c r="P27" s="256" t="s">
        <v>475</v>
      </c>
      <c r="Q27" s="242" t="s">
        <v>473</v>
      </c>
      <c r="R27" s="402" t="s">
        <v>475</v>
      </c>
      <c r="S27" s="402" t="s">
        <v>485</v>
      </c>
      <c r="T27" s="408" t="s">
        <v>486</v>
      </c>
      <c r="U27" s="408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7"/>
      <c r="U28" s="40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2" t="s">
        <v>439</v>
      </c>
      <c r="D1" s="334" t="s">
        <v>58</v>
      </c>
      <c r="E1" s="334"/>
      <c r="F1" s="335" t="s">
        <v>440</v>
      </c>
      <c r="G1" s="335"/>
      <c r="H1" s="403" t="s">
        <v>441</v>
      </c>
      <c r="I1" s="403"/>
      <c r="J1" s="403" t="s">
        <v>442</v>
      </c>
      <c r="K1" s="403"/>
      <c r="L1" s="399" t="s">
        <v>484</v>
      </c>
      <c r="M1" s="400"/>
      <c r="N1" s="401"/>
    </row>
    <row r="2" spans="2:17" ht="29" x14ac:dyDescent="0.35">
      <c r="B2" s="334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2026-08-19T05:55:20Z</dcterms:modified>
</cp:coreProperties>
</file>