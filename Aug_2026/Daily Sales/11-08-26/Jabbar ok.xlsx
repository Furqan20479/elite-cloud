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148A1F-FA21-4C5D-AAF0-A6DAEFDD5E8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<sst xmlns="http://schemas.openxmlformats.org/spreadsheetml/2006/main" count="3978" uniqueCount="525">
  <si>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</si>
  <si>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</si>
  <si>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</si>
  <si>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</si>
  <si>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</si>
  <si>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</si>
  <si>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</si>
  <si>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</si>
  <si>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</si>
  <si>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</si>
  <si>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</si>
  <si>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</si>
  <si>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</si>
  <si>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</si>
  <si>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</si>
  <si>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</si>
  <si>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</si>
  <si>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</si>
  <si>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</si>
  <si>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</si>
  <si>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</si>
  <si>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</si>
  <si>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</si>
  <si>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</si>
  <si>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</si>
  <si>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</si>
  <si>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</si>
  <si>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</si>
  <si>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</si>
  <si>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</si>
  <si>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</si>
  <si>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</si>
  <si>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</si>
  <si>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</si>
  <si>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</si>
  <si>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</si>
  <si>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</si>
  <si>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</si>
  <si>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</si>
  <si>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</si>
  <si>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</si>
  <si>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</si>
  <si>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</si>
  <si>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</si>
  <si>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</si>
  <si>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</si>
  <si>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</si>
  <si>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</si>
  <si>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</si>
  <si>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</si>
  <si>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</si>
  <si>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</si>
  <si>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</si>
  <si>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</si>
  <si>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</si>
  <si>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</si>
  <si>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</si>
  <si>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</si>
  <si>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</si>
  <si>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</si>
  <si>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</si>
  <si>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</si>
  <si>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</si>
  <si>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</si>
  <si>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</si>
  <si>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</si>
  <si>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</si>
  <si>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</si>
  <si>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</si>
  <si>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</si>
  <si>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</si>
  <si>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</si>
  <si>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</si>
  <si>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</si>
  <si>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</si>
  <si>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</si>
  <si>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</si>
  <si>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</si>
  <si>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</si>
  <si>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</si>
  <si>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</si>
  <si>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</si>
  <si>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</si>
  <si>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</si>
  <si>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</si>
  <si>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</si>
  <si>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</si>
  <si>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</si>
  <si>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</si>
  <si>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</si>
  <si>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</si>
  <si>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</si>
  <si>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</si>
  <si>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</si>
  <si>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</si>
  <si>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</si>
  <si>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</si>
  <si>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</si>
  <si>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</si>
  <si>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</si>
  <si>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</si>
  <si>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</si>
  <si>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</si>
  <si>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</si>
  <si>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</si>
  <si>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</si>
  <si>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</si>
  <si>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</si>
  <si>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</si>
  <si>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</si>
  <si>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</si>
  <si>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</si>
  <si>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</si>
  <si>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</si>
  <si>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</si>
  <si>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</si>
  <si>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</si>
  <si>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</si>
  <si>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</si>
  <si>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</si>
  <si>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</si>
  <si>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</si>
  <si>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</si>
  <si>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</si>
  <si>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</si>
  <si>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</si>
  <si>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</si>
  <si>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</si>
  <si>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</si>
  <si>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</si>
  <si>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</si>
  <si>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</si>
  <si>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</si>
  <si>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</si>
  <si>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</si>
  <si>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</si>
  <si>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</si>
  <si>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</si>
  <si>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</si>
  <si>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</si>
  <si>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</si>
  <si>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</si>
  <si>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</si>
  <si>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</si>
  <si>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</si>
  <si>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</si>
  <si>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</si>
  <si>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</si>
  <si>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</si>
  <si>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</si>
  <si>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</si>
  <si>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</si>
  <si>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</si>
  <si>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</si>
  <si>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</si>
  <si>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</si>
  <si>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</si>
  <si>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</si>
  <si>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</si>
  <si>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</si>
  <si>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</si>
  <si>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</si>
  <si>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</si>
  <si>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</si>
  <si>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</si>
  <si>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</si>
  <si>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</si>
  <si>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</si>
  <si>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</si>
  <si>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</si>
  <si>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</si>
  <si>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</si>
  <si>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</si>
  <si>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</si>
  <si>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</si>
  <si>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</si>
  <si>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</si>
  <si>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</si>
  <si>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</si>
  <si>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</si>
  <si>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</si>
  <si>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</si>
  <si>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</si>
  <si>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</si>
  <si>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</si>
  <si>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</si>
  <si>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</si>
  <si>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</si>
  <si>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</si>
  <si>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</si>
  <si>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</si>
  <si>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</si>
  <si>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</si>
  <si>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</si>
  <si>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</si>
  <si>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</si>
  <si>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</si>
  <si>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</si>
  <si>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</si>
  <si>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</si>
  <si>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</si>
  <si>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</si>
  <si>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</si>
  <si>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</si>
  <si>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</si>
  <si>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</si>
  <si>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</si>
  <si>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</si>
  <si>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</si>
  <si>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</si>
  <si>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</si>
  <si>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</si>
  <si>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</si>
  <si>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</si>
  <si>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</si>
  <si>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</si>
  <si>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</si>
  <si>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</si>
  <si>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</si>
  <si>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</si>
  <si>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</si>
  <si>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</si>
  <si>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</si>
  <si>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</si>
  <si>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</si>
  <si>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</si>
  <si>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</si>
  <si>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</si>
  <si>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</si>
  <si>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</si>
  <si>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</si>
  <si>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</si>
  <si>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</si>
  <si>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</si>
  <si>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</si>
  <si>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</si>
  <si>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</si>
  <si>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</si>
  <si>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</si>
  <si>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</si>
  <si>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</si>
  <si>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</si>
  <si>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</si>
  <si>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</si>
  <si>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</si>
  <si>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</si>
  <si>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</si>
  <si>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</si>
  <si>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</si>
  <si>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</si>
  <si>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</si>
  <si>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</si>
  <si>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</si>
  <si>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</si>
  <si>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</si>
  <si>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</si>
  <si>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</si>
  <si>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</si>
  <si>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</si>
  <si>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</si>
  <si>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</si>
  <si>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</si>
  <si>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</si>
  <si>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</si>
  <si>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</si>
  <si>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</si>
  <si>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</si>
  <si>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</si>
  <si>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</si>
  <si>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</si>
  <si>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</si>
  <si>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</si>
  <si>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</si>
  <si>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</si>
  <si>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</si>
  <si>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</si>
  <si>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</si>
  <si>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</si>
  <si>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</si>
  <si>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</si>
  <si>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</si>
  <si>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</si>
  <si>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</si>
  <si>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</si>
  <si>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</si>
  <si>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</si>
  <si>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</si>
  <si>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</si>
  <si>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</si>
  <si>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</si>
  <si>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</si>
  <si>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</si>
  <si>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</si>
  <si>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</si>
  <si>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</si>
  <si>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</si>
  <si>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</si>
  <si>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</si>
  <si>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</si>
  <si>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</si>
  <si>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</si>
  <si>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</si>
  <si>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</si>
  <si>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</si>
  <si>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</si>
  <si>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</si>
  <si>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</si>
  <si>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</si>
  <si>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</si>
  <si>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</si>
  <si>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</si>
  <si>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</si>
  <si>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</si>
  <si>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</si>
  <si>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</si>
  <si>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</si>
  <si>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</si>
  <si>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</si>
  <si>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</si>
  <si>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</si>
  <si>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</si>
  <si>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</si>
  <si>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</si>
  <si>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</si>
  <si>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</si>
  <si>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</si>
  <si>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</si>
  <si>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</si>
  <si>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</si>
  <si>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</si>
  <si>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</si>
  <si>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</si>
  <si>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</si>
  <si>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</si>
  <si>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</si>
  <si>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</si>
  <si>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</si>
  <si>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</si>
  <si>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</si>
  <si>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</si>
  <si>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</si>
  <si>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</si>
  <si>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</si>
  <si>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</si>
  <si>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</si>
  <si>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</si>
  <si>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</si>
  <si>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</si>
  <si>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</si>
  <si>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</si>
  <si>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</si>
  <si>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</si>
  <si>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</si>
  <si>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</si>
  <si>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</si>
  <si>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</si>
  <si>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</si>
  <si>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</si>
  <si>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</si>
  <si>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</si>
  <si>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</si>
  <si>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</si>
  <si>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</si>
  <si>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</si>
  <si>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</si>
  <si>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</si>
  <si>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</si>
  <si>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</si>
  <si>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</si>
  <si>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</si>
  <si>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</si>
  <si>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</si>
  <si>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</si>
  <si>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</si>
  <si>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</si>
  <si>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</si>
  <si>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</si>
  <si>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</si>
  <si>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</si>
  <si>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</si>
  <si>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</si>
  <si>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</si>
  <si>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</si>
  <si>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</si>
  <si>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</si>
  <si>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</si>
  <si>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</si>
  <si>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</si>
  <si>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</si>
  <si>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</si>
  <si>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</si>
  <si>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</si>
  <si>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</si>
  <si>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</si>
  <si>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</si>
  <si>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</si>
  <si>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</si>
  <si>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</si>
  <si>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</si>
  <si>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</si>
  <si>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</si>
  <si>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</si>
  <si>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</si>
  <si>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</si>
  <si>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</si>
  <si>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</si>
  <si>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</si>
  <si>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</si>
  <si>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</si>
  <si>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</si>
  <si>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</si>
  <si>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</si>
  <si>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</si>
  <si>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</si>
  <si>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</si>
  <si>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</si>
  <si>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</si>
  <si>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</si>
  <si>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</si>
  <si>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</si>
  <si>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</si>
  <si>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</si>
  <si>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</si>
  <si>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</si>
  <si>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</si>
  <si>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</si>
  <si>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</si>
  <si>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</si>
  <si>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</si>
  <si>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</si>
  <si>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</si>
  <si>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</si>
  <si>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</si>
  <si>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</si>
  <si>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</si>
  <si>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</si>
  <si>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</si>
  <si>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</si>
  <si>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</si>
  <si>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</si>
  <si>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</si>
  <si>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</si>
  <si>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</si>
  <si>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</si>
  <si>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</si>
  <si>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</si>
  <si>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</si>
  <si>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</si>
  <si>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</si>
  <si>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</si>
  <si>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</si>
  <si>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</si>
  <si>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</si>
  <si>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</si>
  <si>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</si>
  <si>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</si>
  <si>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</si>
  <si>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</si>
  <si>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</si>
  <si>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</si>
  <si>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</si>
  <si>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</si>
  <si>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</si>
  <si>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</si>
  <si>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</si>
  <si>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</si>
  <si>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</si>
  <si>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</si>
  <si>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</si>
  <si>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</si>
  <si>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</si>
  <si>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</si>
  <si>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</si>
  <si>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</si>
  <si>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</si>
  <si>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</si>
  <si>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</si>
  <si>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</si>
  <si>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</si>
  <si>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</si>
  <si>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</si>
  <si>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</si>
  <si>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</si>
  <si>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</si>
  <si>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</si>
  <si>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</si>
  <si>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</si>
  <si>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</si>
  <si>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</si>
  <si>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</si>
  <si>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</si>
  <si>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</si>
  <si>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</si>
  <si>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</si>
  <si>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</si>
  <si>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</si>
  <si>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</si>
  <si>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</si>
  <si>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</si>
  <si>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</si>
  <si>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</si>
  <si>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</si>
  <si>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</si>
  <si>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</si>
  <si>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</si>
  <si>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</si>
  <si>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</si>
  <si>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</si>
  <si>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</si>
  <si>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</si>
  <si>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</si>
  <si>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</si>
  <si>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</si>
  <si>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</si>
  <si>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</si>
  <si>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</si>
  <si>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</si>
  <si>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Prince Bakery </t>
  </si>
  <si>
    <t xml:space="preserve">Address: LDA Flat </t>
  </si>
  <si>
    <t xml:space="preserve">Kashmir Bakery </t>
  </si>
  <si>
    <t>786 Store</t>
  </si>
  <si>
    <t>Address: Railway Officer Colony</t>
  </si>
  <si>
    <t>Haji Store</t>
  </si>
  <si>
    <t>Khan Store</t>
  </si>
  <si>
    <t>Address: Rilway Officer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</si>
</sst>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I36" sqref="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Prince Bakery </v>
      </c>
      <c r="T3" s="301">
        <f>+'1'!P35</f>
        <v>1019.2732122775423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Kashmir Bakery </v>
      </c>
      <c r="T4" s="301">
        <f>+'2'!P35</f>
        <v>10133.510575500002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786 Store</v>
      </c>
      <c r="T5" s="301">
        <f>+'3'!P35</f>
        <v>2038.5464245550845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Haji Store</v>
      </c>
      <c r="T6" s="301">
        <f>+'4'!P35</f>
        <v>2205.4642159042369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74</v>
      </c>
      <c r="I7" s="235">
        <f>(G7*D7)*F7+H7*F7</f>
        <v>3882.2249999999999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310.57799999999997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135.87787500000002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3435.7691249999998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733.72881355932168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20.847489692796611</v>
      </c>
      <c r="P7" s="310">
        <f>M7+N7+O7</f>
        <v>4190.3454282521179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Khan Store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74</v>
      </c>
      <c r="I8" s="236">
        <f t="shared" ref="I8:I14" si="0">(G8*D8)*F8+H8*F8</f>
        <v>3882.2249999999999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310.57799999999997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135.87787500000002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3435.7691249999998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733.72881355932168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20.847489692796611</v>
      </c>
      <c r="P8" s="311">
        <f t="shared" ref="P8:P15" si="2">M8+N8+O8</f>
        <v>4190.3454282521179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74</v>
      </c>
      <c r="I9" s="236">
        <f t="shared" si="0"/>
        <v>3882.2249999999999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310.57799999999997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135.87787500000002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3435.7691249999998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733.72881355932168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20.847489692796611</v>
      </c>
      <c r="P9" s="311">
        <f t="shared" si="2"/>
        <v>4190.3454282521179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84</v>
      </c>
      <c r="I13" s="236">
        <f t="shared" si="0"/>
        <v>3295.32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164.76600000000005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115.33620000000002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168.06131999999999</v>
      </c>
      <c r="M13" s="230">
        <f t="shared" si="1"/>
        <v>2847.1564800000001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640.67796610169455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17.439172230508476</v>
      </c>
      <c r="P13" s="311">
        <f t="shared" si="2"/>
        <v>3505.2736183322031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7.65</v>
      </c>
      <c r="H16" s="113">
        <f t="shared" ref="H16:M16" si="3">SUM(H7:H15)</f>
        <v>306</v>
      </c>
      <c r="I16" s="114">
        <f t="shared" si="3"/>
        <v>14941.994999999999</v>
      </c>
      <c r="J16" s="274">
        <f>SUM(J7:J15)</f>
        <v>1096.5</v>
      </c>
      <c r="K16" s="275">
        <f t="shared" si="3"/>
        <v>522.96982500000013</v>
      </c>
      <c r="L16" s="276">
        <f t="shared" si="3"/>
        <v>168.06131999999999</v>
      </c>
      <c r="M16" s="232">
        <f t="shared" si="3"/>
        <v>13154.463855</v>
      </c>
      <c r="N16" s="233">
        <f>SUM(N7:N15)</f>
        <v>2841.8644067796595</v>
      </c>
      <c r="O16" s="101">
        <f>SUM(O7:O15)</f>
        <v>79.981641308898304</v>
      </c>
      <c r="P16" s="113">
        <f>SUM(P7:P15)</f>
        <v>16076.309903088557</v>
      </c>
      <c r="Q16" s="128">
        <f>SUM(Q7:Q15)</f>
        <v>12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14941.994999999999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1096.5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691.03114500000015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13154.463854999998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2841.8644067796595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15996.328261779658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79.981641308898304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16076.309903088555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16076.309903088561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944.32499999999993</v>
      </c>
      <c r="J25" s="274">
        <f>SUM(J16:J24)</f>
        <v>75.545999999999992</v>
      </c>
      <c r="K25" s="275">
        <f t="shared" si="10"/>
        <v>33.051375</v>
      </c>
      <c r="L25" s="276">
        <f t="shared" si="10"/>
        <v>0</v>
      </c>
      <c r="M25" s="232">
        <f t="shared" si="10"/>
        <v>835.72762499999999</v>
      </c>
      <c r="N25" s="233">
        <f>SUM(N16:N24)</f>
        <v>178.47457627118638</v>
      </c>
      <c r="O25" s="101">
        <f>SUM(O16:O24)</f>
        <v>5.0710110063559313</v>
      </c>
      <c r="P25" s="113">
        <f>SUM(P16:P24)</f>
        <v>1019.2732122775424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944.32499999999993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75.545999999999992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33.051375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835.72762499999999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1014.2022012711864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2" t="s">
        <v>88</v>
      </c>
      <c r="O35" s="343"/>
      <c r="P35" s="297">
        <f>+P33+P34</f>
        <v>1019.2732122775423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9433.9000000000015</v>
      </c>
      <c r="J25" s="274">
        <f>SUM(J16:J24)</f>
        <v>660.56000000000006</v>
      </c>
      <c r="K25" s="275">
        <f t="shared" si="7"/>
        <v>330.18650000000002</v>
      </c>
      <c r="L25" s="276">
        <f t="shared" si="7"/>
        <v>160.05840000000001</v>
      </c>
      <c r="M25" s="232">
        <f t="shared" si="7"/>
        <v>8283.0951000000005</v>
      </c>
      <c r="N25" s="233">
        <f>SUM(N16:N24)</f>
        <v>1799.9999999999991</v>
      </c>
      <c r="O25" s="101">
        <f>SUM(O16:O24)</f>
        <v>50.415475499999999</v>
      </c>
      <c r="P25" s="113">
        <f>SUM(P16:P24)</f>
        <v>10133.5105755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9433.9000000000015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660.56000000000006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490.24490000000003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8283.0951000000023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1799.9999999999991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10083.095100000002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50.415475500000014</v>
      </c>
    </row>
    <row r="35" spans="2:16" ht="15.75" customHeight="1" thickBot="1" x14ac:dyDescent="0.4">
      <c r="N35" s="342" t="s">
        <v>88</v>
      </c>
      <c r="O35" s="343"/>
      <c r="P35" s="297">
        <f>+P33+P34</f>
        <v>10133.510575500002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113">
        <f>SUM(P16:P24)</f>
        <v>2038.5464245550847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1888.6499999999999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151.09199999999998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66.10275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1671.45525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2028.4044025423727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42" t="s">
        <v>88</v>
      </c>
      <c r="O35" s="343"/>
      <c r="P35" s="297">
        <f>+P33+P34</f>
        <v>2038.5464245550845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2045.57</v>
      </c>
      <c r="J25" s="274">
        <f>SUM(J16:J24)</f>
        <v>158.93799999999999</v>
      </c>
      <c r="K25" s="275">
        <f t="shared" si="7"/>
        <v>71.594949999999997</v>
      </c>
      <c r="L25" s="276">
        <f t="shared" si="7"/>
        <v>8.0029199999999996</v>
      </c>
      <c r="M25" s="232">
        <f t="shared" si="7"/>
        <v>1807.03413</v>
      </c>
      <c r="N25" s="233">
        <f>SUM(N16:N24)</f>
        <v>387.45762711864393</v>
      </c>
      <c r="O25" s="101">
        <f>SUM(O16:O24)</f>
        <v>10.972458785593219</v>
      </c>
      <c r="P25" s="113">
        <f>SUM(P16:P24)</f>
        <v>2205.4642159042373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2045.57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158.93799999999999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79.59787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1807.03413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387.45762711864393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2194.4917571186438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10.972458785593219</v>
      </c>
    </row>
    <row r="35" spans="2:16" ht="15.75" customHeight="1" thickBot="1" x14ac:dyDescent="0.4">
      <c r="N35" s="342" t="s">
        <v>88</v>
      </c>
      <c r="O35" s="343"/>
      <c r="P35" s="297">
        <f>+P33+P34</f>
        <v>2205.4642159042369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629.54999999999995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50.364000000000004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22.03425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557.15174999999988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676.13480084745743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2" t="s">
        <v>88</v>
      </c>
      <c r="O35" s="343"/>
      <c r="P35" s="297">
        <f>+P33+P34</f>
        <v>679.51547485169476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2026-08-11T10:49:34Z</dcterms:modified>
</cp:coreProperties>
</file>