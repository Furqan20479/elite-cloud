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filterPrivacy="1" defaultThemeVersion="124226"/>
  <xr:revisionPtr revIDLastSave="0" documentId="13_ncr:1_{CFC052B5-90A5-45C6-B1E5-B623904373CF}" xr6:coauthVersionLast="47" xr6:coauthVersionMax="47" xr10:uidLastSave="{00000000-0000-0000-0000-000000000000}"/>
  <bookViews>
    <workbookView xWindow="-110" yWindow="-110" windowWidth="19420" windowHeight="10420" tabRatio="594" firstSheet="3" activeTab="3" xr2:uid="{00000000-000D-0000-FFFF-FFFF00000000}"/>
  </bookViews>
  <sheets>
    <sheet name="Dist Price List (2)" sheetId="41" state="hidden" r:id="rId1"/>
    <sheet name="Dist Price List" sheetId="5" state="hidden" r:id="rId2"/>
    <sheet name="Cust. Price List" sheetId="6" state="hidden" r:id="rId3"/>
    <sheet name="Summary" sheetId="62" r:id="rId4"/>
    <sheet name="1" sheetId="11" r:id="rId5"/>
    <sheet name="2" sheetId="43" r:id="rId6"/>
    <sheet name="3" sheetId="44" r:id="rId7"/>
    <sheet name="4" sheetId="45" r:id="rId8"/>
    <sheet name="5" sheetId="46" r:id="rId9"/>
    <sheet name="6" sheetId="47" r:id="rId10"/>
    <sheet name="7" sheetId="48" r:id="rId11"/>
    <sheet name="8" sheetId="49" r:id="rId12"/>
    <sheet name="9" sheetId="50" r:id="rId13"/>
    <sheet name="10" sheetId="51" r:id="rId14"/>
    <sheet name="11" sheetId="52" r:id="rId15"/>
    <sheet name="12" sheetId="53" r:id="rId16"/>
    <sheet name="13" sheetId="54" r:id="rId17"/>
    <sheet name="14" sheetId="55" r:id="rId18"/>
    <sheet name="15" sheetId="56" r:id="rId19"/>
    <sheet name="16" sheetId="57" r:id="rId20"/>
    <sheet name="17" sheetId="58" r:id="rId21"/>
    <sheet name="18" sheetId="59" r:id="rId22"/>
    <sheet name="19" sheetId="60" r:id="rId23"/>
    <sheet name="20" sheetId="61" r:id="rId24"/>
    <sheet name="21" sheetId="63" r:id="rId25"/>
    <sheet name="22" sheetId="64" r:id="rId26"/>
    <sheet name="23" sheetId="65" r:id="rId27"/>
    <sheet name="24" sheetId="66" r:id="rId28"/>
    <sheet name="25" sheetId="67" r:id="rId29"/>
    <sheet name="26" sheetId="68" r:id="rId30"/>
    <sheet name="27" sheetId="69" r:id="rId31"/>
    <sheet name="28" sheetId="70" r:id="rId32"/>
    <sheet name="29" sheetId="71" r:id="rId33"/>
    <sheet name="30" sheetId="72" r:id="rId34"/>
    <sheet name="Customer Invoice (2)" sheetId="16" state="hidden" r:id="rId35"/>
    <sheet name="Sheet1" sheetId="14" state="hidden" r:id="rId36"/>
    <sheet name="Sheet3" sheetId="15" state="hidden" r:id="rId37"/>
    <sheet name="Sheet2" sheetId="13" state="hidden" r:id="rId38"/>
  </sheets>
  <definedNames>
    <definedName name="_xlnm._FilterDatabase" localSheetId="2" hidden="1">'Cust. Price List'!$A$7:$Q$7</definedName>
  </definedNames>
  <calcPr calcId="191029"/>
</workbook>
</file>

<file path=xl/calcChain.xml><?xml version="1.0" encoding="utf-8"?>
<calcChain xmlns="http://schemas.openxmlformats.org/spreadsheetml/2006/main">
  <c r="H3" i="62" l="1"/>
  <c r="Q8" i="62"/>
  <c r="Q9" i="62"/>
  <c r="Q10" i="62"/>
  <c r="Q11" i="62"/>
  <c r="Q12" i="62"/>
  <c r="Q13" i="62"/>
  <c r="Q14" i="62"/>
  <c r="Q15" i="62"/>
  <c r="Q7" i="62"/>
  <c r="Q25" i="43"/>
  <c r="Q25" i="44"/>
  <c r="Q25" i="45"/>
  <c r="Q25" i="46"/>
  <c r="Q25" i="47"/>
  <c r="Q25" i="48"/>
  <c r="Q25" i="49"/>
  <c r="Q25" i="50"/>
  <c r="Q25" i="51"/>
  <c r="Q25" i="52"/>
  <c r="Q25" i="53"/>
  <c r="Q25" i="54"/>
  <c r="Q25" i="55"/>
  <c r="Q25" i="56"/>
  <c r="Q25" i="57"/>
  <c r="Q25" i="58"/>
  <c r="Q25" i="59"/>
  <c r="Q25" i="60"/>
  <c r="Q25" i="61"/>
  <c r="Q25" i="63"/>
  <c r="Q25" i="64"/>
  <c r="Q25" i="65"/>
  <c r="Q25" i="66"/>
  <c r="Q25" i="67"/>
  <c r="Q25" i="68"/>
  <c r="Q25" i="69"/>
  <c r="Q25" i="70"/>
  <c r="Q25" i="71"/>
  <c r="Q25" i="72"/>
  <c r="Q25" i="11"/>
  <c r="H15" i="62"/>
  <c r="H14" i="62"/>
  <c r="H13" i="62"/>
  <c r="H12" i="62"/>
  <c r="H11" i="62"/>
  <c r="H10" i="62"/>
  <c r="H9" i="62"/>
  <c r="H8" i="62"/>
  <c r="H7" i="62"/>
  <c r="G15" i="62"/>
  <c r="G14" i="62"/>
  <c r="G13" i="62"/>
  <c r="G12" i="62"/>
  <c r="G11" i="62"/>
  <c r="G10" i="62"/>
  <c r="G9" i="62"/>
  <c r="G8" i="62"/>
  <c r="G7" i="62"/>
  <c r="S32" i="62"/>
  <c r="S31" i="62"/>
  <c r="S30" i="62"/>
  <c r="S29" i="62"/>
  <c r="S28" i="62"/>
  <c r="S27" i="62"/>
  <c r="S26" i="62"/>
  <c r="S25" i="62"/>
  <c r="S24" i="62"/>
  <c r="S23" i="62"/>
  <c r="Q16" i="62" l="1"/>
  <c r="N5" i="11"/>
  <c r="O34" i="72"/>
  <c r="H25" i="72"/>
  <c r="G25" i="72"/>
  <c r="A25" i="72"/>
  <c r="E24" i="72"/>
  <c r="V24" i="72" s="1"/>
  <c r="D24" i="72"/>
  <c r="B24" i="72"/>
  <c r="C24" i="72" s="1"/>
  <c r="U23" i="72"/>
  <c r="U24" i="72" s="1"/>
  <c r="T23" i="72"/>
  <c r="T24" i="72" s="1"/>
  <c r="E23" i="72"/>
  <c r="V23" i="72" s="1"/>
  <c r="D23" i="72"/>
  <c r="B23" i="72"/>
  <c r="C23" i="72" s="1"/>
  <c r="E22" i="72"/>
  <c r="V22" i="72" s="1"/>
  <c r="D22" i="72"/>
  <c r="B22" i="72"/>
  <c r="C22" i="72" s="1"/>
  <c r="E21" i="72"/>
  <c r="V21" i="72" s="1"/>
  <c r="D21" i="72"/>
  <c r="B21" i="72"/>
  <c r="C21" i="72" s="1"/>
  <c r="T20" i="72"/>
  <c r="T21" i="72" s="1"/>
  <c r="E20" i="72"/>
  <c r="V20" i="72" s="1"/>
  <c r="D20" i="72"/>
  <c r="B20" i="72"/>
  <c r="C20" i="72" s="1"/>
  <c r="V19" i="72"/>
  <c r="E19" i="72"/>
  <c r="D19" i="72"/>
  <c r="B19" i="72"/>
  <c r="C19" i="72" s="1"/>
  <c r="E18" i="72"/>
  <c r="V18" i="72" s="1"/>
  <c r="D18" i="72"/>
  <c r="B18" i="72"/>
  <c r="C18" i="72" s="1"/>
  <c r="T17" i="72"/>
  <c r="T18" i="72" s="1"/>
  <c r="S17" i="72"/>
  <c r="S18" i="72" s="1"/>
  <c r="S19" i="72" s="1"/>
  <c r="S20" i="72" s="1"/>
  <c r="S21" i="72" s="1"/>
  <c r="E17" i="72"/>
  <c r="V17" i="72" s="1"/>
  <c r="D17" i="72"/>
  <c r="B17" i="72"/>
  <c r="C17" i="72" s="1"/>
  <c r="E16" i="72"/>
  <c r="V16" i="72" s="1"/>
  <c r="D16" i="72"/>
  <c r="C16" i="72"/>
  <c r="B16" i="72"/>
  <c r="O15" i="72"/>
  <c r="C12" i="72"/>
  <c r="C11" i="72"/>
  <c r="N5" i="72"/>
  <c r="O34" i="71"/>
  <c r="C11" i="71" s="1"/>
  <c r="H25" i="71"/>
  <c r="G25" i="71"/>
  <c r="A25" i="71"/>
  <c r="E24" i="71"/>
  <c r="V24" i="71" s="1"/>
  <c r="D24" i="71"/>
  <c r="B24" i="71"/>
  <c r="C24" i="71" s="1"/>
  <c r="U23" i="71"/>
  <c r="U24" i="71" s="1"/>
  <c r="T23" i="71"/>
  <c r="T24" i="71" s="1"/>
  <c r="E23" i="71"/>
  <c r="V23" i="71" s="1"/>
  <c r="D23" i="71"/>
  <c r="B23" i="71"/>
  <c r="C23" i="71" s="1"/>
  <c r="E22" i="71"/>
  <c r="V22" i="71" s="1"/>
  <c r="D22" i="71"/>
  <c r="B22" i="71"/>
  <c r="C22" i="71" s="1"/>
  <c r="E21" i="71"/>
  <c r="V21" i="71" s="1"/>
  <c r="D21" i="71"/>
  <c r="B21" i="71"/>
  <c r="C21" i="71" s="1"/>
  <c r="T20" i="71"/>
  <c r="T21" i="71" s="1"/>
  <c r="E20" i="71"/>
  <c r="V20" i="71" s="1"/>
  <c r="D20" i="71"/>
  <c r="B20" i="71"/>
  <c r="C20" i="71" s="1"/>
  <c r="V19" i="71"/>
  <c r="E19" i="71"/>
  <c r="D19" i="71"/>
  <c r="B19" i="71"/>
  <c r="C19" i="71" s="1"/>
  <c r="E18" i="71"/>
  <c r="V18" i="71" s="1"/>
  <c r="D18" i="71"/>
  <c r="B18" i="71"/>
  <c r="C18" i="71" s="1"/>
  <c r="T17" i="71"/>
  <c r="T18" i="71" s="1"/>
  <c r="S17" i="71"/>
  <c r="S18" i="71" s="1"/>
  <c r="S19" i="71" s="1"/>
  <c r="S20" i="71" s="1"/>
  <c r="S21" i="71" s="1"/>
  <c r="E17" i="71"/>
  <c r="V17" i="71" s="1"/>
  <c r="D17" i="71"/>
  <c r="B17" i="71"/>
  <c r="C17" i="71" s="1"/>
  <c r="E16" i="71"/>
  <c r="V16" i="71" s="1"/>
  <c r="D16" i="71"/>
  <c r="C16" i="71"/>
  <c r="B16" i="71"/>
  <c r="O15" i="71"/>
  <c r="C12" i="71"/>
  <c r="N5" i="71"/>
  <c r="O34" i="70"/>
  <c r="C11" i="70" s="1"/>
  <c r="H25" i="70"/>
  <c r="G25" i="70"/>
  <c r="A25" i="70"/>
  <c r="E24" i="70"/>
  <c r="V24" i="70" s="1"/>
  <c r="D24" i="70"/>
  <c r="N24" i="70" s="1"/>
  <c r="B24" i="70"/>
  <c r="C24" i="70" s="1"/>
  <c r="U23" i="70"/>
  <c r="U24" i="70" s="1"/>
  <c r="T23" i="70"/>
  <c r="T24" i="70" s="1"/>
  <c r="E23" i="70"/>
  <c r="V23" i="70" s="1"/>
  <c r="D23" i="70"/>
  <c r="B23" i="70"/>
  <c r="C23" i="70" s="1"/>
  <c r="E22" i="70"/>
  <c r="V22" i="70" s="1"/>
  <c r="D22" i="70"/>
  <c r="B22" i="70"/>
  <c r="C22" i="70" s="1"/>
  <c r="E21" i="70"/>
  <c r="V21" i="70" s="1"/>
  <c r="D21" i="70"/>
  <c r="B21" i="70"/>
  <c r="C21" i="70" s="1"/>
  <c r="T20" i="70"/>
  <c r="T21" i="70" s="1"/>
  <c r="E20" i="70"/>
  <c r="V20" i="70" s="1"/>
  <c r="D20" i="70"/>
  <c r="C20" i="70"/>
  <c r="B20" i="70"/>
  <c r="E19" i="70"/>
  <c r="V19" i="70" s="1"/>
  <c r="D19" i="70"/>
  <c r="B19" i="70"/>
  <c r="C19" i="70" s="1"/>
  <c r="E18" i="70"/>
  <c r="V18" i="70" s="1"/>
  <c r="D18" i="70"/>
  <c r="B18" i="70"/>
  <c r="C18" i="70" s="1"/>
  <c r="T17" i="70"/>
  <c r="T18" i="70" s="1"/>
  <c r="S17" i="70"/>
  <c r="S18" i="70" s="1"/>
  <c r="S19" i="70" s="1"/>
  <c r="S20" i="70" s="1"/>
  <c r="S21" i="70" s="1"/>
  <c r="E17" i="70"/>
  <c r="V17" i="70" s="1"/>
  <c r="D17" i="70"/>
  <c r="B17" i="70"/>
  <c r="C17" i="70" s="1"/>
  <c r="E16" i="70"/>
  <c r="V16" i="70" s="1"/>
  <c r="D16" i="70"/>
  <c r="C16" i="70"/>
  <c r="B16" i="70"/>
  <c r="O15" i="70"/>
  <c r="C12" i="70"/>
  <c r="N5" i="70"/>
  <c r="O34" i="69"/>
  <c r="H25" i="69"/>
  <c r="G25" i="69"/>
  <c r="A25" i="69"/>
  <c r="E24" i="69"/>
  <c r="V24" i="69" s="1"/>
  <c r="D24" i="69"/>
  <c r="B24" i="69"/>
  <c r="C24" i="69" s="1"/>
  <c r="U23" i="69"/>
  <c r="U24" i="69" s="1"/>
  <c r="T23" i="69"/>
  <c r="T24" i="69" s="1"/>
  <c r="E23" i="69"/>
  <c r="V23" i="69" s="1"/>
  <c r="D23" i="69"/>
  <c r="B23" i="69"/>
  <c r="C23" i="69" s="1"/>
  <c r="E22" i="69"/>
  <c r="V22" i="69" s="1"/>
  <c r="D22" i="69"/>
  <c r="B22" i="69"/>
  <c r="C22" i="69" s="1"/>
  <c r="E21" i="69"/>
  <c r="V21" i="69" s="1"/>
  <c r="D21" i="69"/>
  <c r="B21" i="69"/>
  <c r="C21" i="69" s="1"/>
  <c r="T20" i="69"/>
  <c r="T21" i="69" s="1"/>
  <c r="E20" i="69"/>
  <c r="V20" i="69" s="1"/>
  <c r="D20" i="69"/>
  <c r="N20" i="69" s="1"/>
  <c r="B20" i="69"/>
  <c r="C20" i="69" s="1"/>
  <c r="E19" i="69"/>
  <c r="V19" i="69" s="1"/>
  <c r="D19" i="69"/>
  <c r="B19" i="69"/>
  <c r="C19" i="69" s="1"/>
  <c r="E18" i="69"/>
  <c r="V18" i="69" s="1"/>
  <c r="D18" i="69"/>
  <c r="B18" i="69"/>
  <c r="C18" i="69" s="1"/>
  <c r="T17" i="69"/>
  <c r="T18" i="69" s="1"/>
  <c r="S17" i="69"/>
  <c r="S18" i="69" s="1"/>
  <c r="S19" i="69" s="1"/>
  <c r="S20" i="69" s="1"/>
  <c r="S21" i="69" s="1"/>
  <c r="E17" i="69"/>
  <c r="V17" i="69" s="1"/>
  <c r="D17" i="69"/>
  <c r="B17" i="69"/>
  <c r="C17" i="69" s="1"/>
  <c r="V16" i="69"/>
  <c r="E16" i="69"/>
  <c r="D16" i="69"/>
  <c r="C16" i="69"/>
  <c r="B16" i="69"/>
  <c r="O15" i="69"/>
  <c r="C12" i="69"/>
  <c r="C11" i="69"/>
  <c r="N5" i="69"/>
  <c r="O34" i="68"/>
  <c r="H25" i="68"/>
  <c r="G25" i="68"/>
  <c r="A25" i="68"/>
  <c r="E24" i="68"/>
  <c r="V24" i="68" s="1"/>
  <c r="D24" i="68"/>
  <c r="N24" i="68" s="1"/>
  <c r="B24" i="68"/>
  <c r="C24" i="68" s="1"/>
  <c r="U23" i="68"/>
  <c r="U24" i="68" s="1"/>
  <c r="T23" i="68"/>
  <c r="T24" i="68" s="1"/>
  <c r="E23" i="68"/>
  <c r="V23" i="68" s="1"/>
  <c r="D23" i="68"/>
  <c r="B23" i="68"/>
  <c r="C23" i="68" s="1"/>
  <c r="V22" i="68"/>
  <c r="E22" i="68"/>
  <c r="D22" i="68"/>
  <c r="B22" i="68"/>
  <c r="C22" i="68" s="1"/>
  <c r="E21" i="68"/>
  <c r="V21" i="68" s="1"/>
  <c r="D21" i="68"/>
  <c r="B21" i="68"/>
  <c r="C21" i="68" s="1"/>
  <c r="T20" i="68"/>
  <c r="T21" i="68" s="1"/>
  <c r="E20" i="68"/>
  <c r="V20" i="68" s="1"/>
  <c r="D20" i="68"/>
  <c r="B20" i="68"/>
  <c r="C20" i="68" s="1"/>
  <c r="E19" i="68"/>
  <c r="V19" i="68" s="1"/>
  <c r="D19" i="68"/>
  <c r="B19" i="68"/>
  <c r="C19" i="68" s="1"/>
  <c r="E18" i="68"/>
  <c r="V18" i="68" s="1"/>
  <c r="D18" i="68"/>
  <c r="B18" i="68"/>
  <c r="C18" i="68" s="1"/>
  <c r="T17" i="68"/>
  <c r="T18" i="68" s="1"/>
  <c r="S17" i="68"/>
  <c r="S18" i="68" s="1"/>
  <c r="S19" i="68" s="1"/>
  <c r="S20" i="68" s="1"/>
  <c r="S21" i="68" s="1"/>
  <c r="E17" i="68"/>
  <c r="V17" i="68" s="1"/>
  <c r="D17" i="68"/>
  <c r="B17" i="68"/>
  <c r="C17" i="68" s="1"/>
  <c r="V16" i="68"/>
  <c r="E16" i="68"/>
  <c r="D16" i="68"/>
  <c r="C16" i="68"/>
  <c r="B16" i="68"/>
  <c r="O15" i="68"/>
  <c r="C12" i="68"/>
  <c r="C11" i="68"/>
  <c r="N5" i="68"/>
  <c r="O34" i="67"/>
  <c r="H25" i="67"/>
  <c r="G25" i="67"/>
  <c r="A25" i="67"/>
  <c r="E24" i="67"/>
  <c r="V24" i="67" s="1"/>
  <c r="D24" i="67"/>
  <c r="B24" i="67"/>
  <c r="C24" i="67" s="1"/>
  <c r="U23" i="67"/>
  <c r="U24" i="67" s="1"/>
  <c r="T23" i="67"/>
  <c r="T24" i="67" s="1"/>
  <c r="E23" i="67"/>
  <c r="V23" i="67" s="1"/>
  <c r="D23" i="67"/>
  <c r="B23" i="67"/>
  <c r="C23" i="67" s="1"/>
  <c r="V22" i="67"/>
  <c r="E22" i="67"/>
  <c r="D22" i="67"/>
  <c r="B22" i="67"/>
  <c r="C22" i="67" s="1"/>
  <c r="E21" i="67"/>
  <c r="V21" i="67" s="1"/>
  <c r="D21" i="67"/>
  <c r="B21" i="67"/>
  <c r="C21" i="67" s="1"/>
  <c r="T20" i="67"/>
  <c r="T21" i="67" s="1"/>
  <c r="E20" i="67"/>
  <c r="V20" i="67" s="1"/>
  <c r="D20" i="67"/>
  <c r="B20" i="67"/>
  <c r="C20" i="67" s="1"/>
  <c r="E19" i="67"/>
  <c r="V19" i="67" s="1"/>
  <c r="D19" i="67"/>
  <c r="B19" i="67"/>
  <c r="C19" i="67" s="1"/>
  <c r="E18" i="67"/>
  <c r="V18" i="67" s="1"/>
  <c r="D18" i="67"/>
  <c r="B18" i="67"/>
  <c r="C18" i="67" s="1"/>
  <c r="T17" i="67"/>
  <c r="T18" i="67" s="1"/>
  <c r="S17" i="67"/>
  <c r="S18" i="67" s="1"/>
  <c r="S19" i="67" s="1"/>
  <c r="S20" i="67" s="1"/>
  <c r="S21" i="67" s="1"/>
  <c r="E17" i="67"/>
  <c r="V17" i="67" s="1"/>
  <c r="D17" i="67"/>
  <c r="B17" i="67"/>
  <c r="C17" i="67" s="1"/>
  <c r="V16" i="67"/>
  <c r="E16" i="67"/>
  <c r="D16" i="67"/>
  <c r="C16" i="67"/>
  <c r="B16" i="67"/>
  <c r="O15" i="67"/>
  <c r="C12" i="67"/>
  <c r="C11" i="67"/>
  <c r="N5" i="67"/>
  <c r="O34" i="66"/>
  <c r="H25" i="66"/>
  <c r="G25" i="66"/>
  <c r="A25" i="66"/>
  <c r="E24" i="66"/>
  <c r="V24" i="66" s="1"/>
  <c r="D24" i="66"/>
  <c r="N24" i="66" s="1"/>
  <c r="B24" i="66"/>
  <c r="C24" i="66" s="1"/>
  <c r="U23" i="66"/>
  <c r="U24" i="66" s="1"/>
  <c r="T23" i="66"/>
  <c r="T24" i="66" s="1"/>
  <c r="E23" i="66"/>
  <c r="V23" i="66" s="1"/>
  <c r="D23" i="66"/>
  <c r="B23" i="66"/>
  <c r="C23" i="66" s="1"/>
  <c r="V22" i="66"/>
  <c r="E22" i="66"/>
  <c r="D22" i="66"/>
  <c r="B22" i="66"/>
  <c r="C22" i="66" s="1"/>
  <c r="E21" i="66"/>
  <c r="V21" i="66" s="1"/>
  <c r="D21" i="66"/>
  <c r="B21" i="66"/>
  <c r="C21" i="66" s="1"/>
  <c r="T20" i="66"/>
  <c r="T21" i="66" s="1"/>
  <c r="E20" i="66"/>
  <c r="V20" i="66" s="1"/>
  <c r="D20" i="66"/>
  <c r="B20" i="66"/>
  <c r="C20" i="66" s="1"/>
  <c r="E19" i="66"/>
  <c r="V19" i="66" s="1"/>
  <c r="D19" i="66"/>
  <c r="B19" i="66"/>
  <c r="C19" i="66" s="1"/>
  <c r="E18" i="66"/>
  <c r="V18" i="66" s="1"/>
  <c r="D18" i="66"/>
  <c r="B18" i="66"/>
  <c r="C18" i="66" s="1"/>
  <c r="T17" i="66"/>
  <c r="T18" i="66" s="1"/>
  <c r="S17" i="66"/>
  <c r="S18" i="66" s="1"/>
  <c r="S19" i="66" s="1"/>
  <c r="S20" i="66" s="1"/>
  <c r="S21" i="66" s="1"/>
  <c r="E17" i="66"/>
  <c r="V17" i="66" s="1"/>
  <c r="D17" i="66"/>
  <c r="B17" i="66"/>
  <c r="C17" i="66" s="1"/>
  <c r="E16" i="66"/>
  <c r="V16" i="66" s="1"/>
  <c r="D16" i="66"/>
  <c r="C16" i="66"/>
  <c r="B16" i="66"/>
  <c r="O15" i="66"/>
  <c r="C12" i="66"/>
  <c r="C11" i="66"/>
  <c r="N5" i="66"/>
  <c r="O34" i="65"/>
  <c r="H25" i="65"/>
  <c r="G25" i="65"/>
  <c r="A25" i="65"/>
  <c r="E24" i="65"/>
  <c r="V24" i="65" s="1"/>
  <c r="D24" i="65"/>
  <c r="B24" i="65"/>
  <c r="C24" i="65" s="1"/>
  <c r="U23" i="65"/>
  <c r="U24" i="65" s="1"/>
  <c r="T23" i="65"/>
  <c r="T24" i="65" s="1"/>
  <c r="E23" i="65"/>
  <c r="V23" i="65" s="1"/>
  <c r="D23" i="65"/>
  <c r="B23" i="65"/>
  <c r="C23" i="65" s="1"/>
  <c r="V22" i="65"/>
  <c r="E22" i="65"/>
  <c r="D22" i="65"/>
  <c r="B22" i="65"/>
  <c r="C22" i="65" s="1"/>
  <c r="E21" i="65"/>
  <c r="V21" i="65" s="1"/>
  <c r="D21" i="65"/>
  <c r="B21" i="65"/>
  <c r="C21" i="65" s="1"/>
  <c r="T20" i="65"/>
  <c r="T21" i="65" s="1"/>
  <c r="E20" i="65"/>
  <c r="V20" i="65" s="1"/>
  <c r="D20" i="65"/>
  <c r="B20" i="65"/>
  <c r="C20" i="65" s="1"/>
  <c r="V19" i="65"/>
  <c r="E19" i="65"/>
  <c r="D19" i="65"/>
  <c r="B19" i="65"/>
  <c r="C19" i="65" s="1"/>
  <c r="E18" i="65"/>
  <c r="V18" i="65" s="1"/>
  <c r="D18" i="65"/>
  <c r="B18" i="65"/>
  <c r="C18" i="65" s="1"/>
  <c r="T17" i="65"/>
  <c r="T18" i="65" s="1"/>
  <c r="S17" i="65"/>
  <c r="S18" i="65" s="1"/>
  <c r="S19" i="65" s="1"/>
  <c r="S20" i="65" s="1"/>
  <c r="S21" i="65" s="1"/>
  <c r="E17" i="65"/>
  <c r="V17" i="65" s="1"/>
  <c r="D17" i="65"/>
  <c r="B17" i="65"/>
  <c r="C17" i="65" s="1"/>
  <c r="E16" i="65"/>
  <c r="V16" i="65" s="1"/>
  <c r="D16" i="65"/>
  <c r="C16" i="65"/>
  <c r="B16" i="65"/>
  <c r="O15" i="65"/>
  <c r="C12" i="65"/>
  <c r="C11" i="65"/>
  <c r="N5" i="65"/>
  <c r="O34" i="64"/>
  <c r="C11" i="64" s="1"/>
  <c r="H25" i="64"/>
  <c r="G25" i="64"/>
  <c r="A25" i="64"/>
  <c r="E24" i="64"/>
  <c r="V24" i="64" s="1"/>
  <c r="D24" i="64"/>
  <c r="B24" i="64"/>
  <c r="C24" i="64" s="1"/>
  <c r="U23" i="64"/>
  <c r="U24" i="64" s="1"/>
  <c r="T23" i="64"/>
  <c r="T24" i="64" s="1"/>
  <c r="E23" i="64"/>
  <c r="V23" i="64" s="1"/>
  <c r="D23" i="64"/>
  <c r="B23" i="64"/>
  <c r="C23" i="64" s="1"/>
  <c r="E22" i="64"/>
  <c r="V22" i="64" s="1"/>
  <c r="D22" i="64"/>
  <c r="B22" i="64"/>
  <c r="C22" i="64" s="1"/>
  <c r="E21" i="64"/>
  <c r="V21" i="64" s="1"/>
  <c r="D21" i="64"/>
  <c r="B21" i="64"/>
  <c r="C21" i="64" s="1"/>
  <c r="T20" i="64"/>
  <c r="T21" i="64" s="1"/>
  <c r="E20" i="64"/>
  <c r="V20" i="64" s="1"/>
  <c r="D20" i="64"/>
  <c r="B20" i="64"/>
  <c r="C20" i="64" s="1"/>
  <c r="V19" i="64"/>
  <c r="E19" i="64"/>
  <c r="D19" i="64"/>
  <c r="B19" i="64"/>
  <c r="C19" i="64" s="1"/>
  <c r="E18" i="64"/>
  <c r="V18" i="64" s="1"/>
  <c r="D18" i="64"/>
  <c r="B18" i="64"/>
  <c r="C18" i="64" s="1"/>
  <c r="T17" i="64"/>
  <c r="T18" i="64" s="1"/>
  <c r="S17" i="64"/>
  <c r="S18" i="64" s="1"/>
  <c r="S19" i="64" s="1"/>
  <c r="S20" i="64" s="1"/>
  <c r="S21" i="64" s="1"/>
  <c r="E17" i="64"/>
  <c r="V17" i="64" s="1"/>
  <c r="D17" i="64"/>
  <c r="B17" i="64"/>
  <c r="C17" i="64" s="1"/>
  <c r="E16" i="64"/>
  <c r="V16" i="64" s="1"/>
  <c r="D16" i="64"/>
  <c r="C16" i="64"/>
  <c r="B16" i="64"/>
  <c r="O15" i="64"/>
  <c r="C12" i="64"/>
  <c r="N5" i="64"/>
  <c r="N16" i="64" l="1"/>
  <c r="N16" i="65"/>
  <c r="N24" i="69"/>
  <c r="N16" i="71"/>
  <c r="N16" i="72"/>
  <c r="N16" i="70"/>
  <c r="N16" i="67"/>
  <c r="N16" i="68"/>
  <c r="N16" i="69"/>
  <c r="N24" i="72"/>
  <c r="N20" i="72"/>
  <c r="N23" i="72"/>
  <c r="N17" i="72"/>
  <c r="N18" i="72"/>
  <c r="N19" i="72"/>
  <c r="N21" i="72"/>
  <c r="N22" i="72"/>
  <c r="N24" i="71"/>
  <c r="N20" i="71"/>
  <c r="N23" i="71"/>
  <c r="N17" i="71"/>
  <c r="N18" i="71"/>
  <c r="N19" i="71"/>
  <c r="N21" i="71"/>
  <c r="N22" i="71"/>
  <c r="N20" i="70"/>
  <c r="N23" i="70"/>
  <c r="N17" i="70"/>
  <c r="N19" i="70"/>
  <c r="N22" i="70"/>
  <c r="N18" i="70"/>
  <c r="N21" i="70"/>
  <c r="N23" i="69"/>
  <c r="N17" i="69"/>
  <c r="N18" i="69"/>
  <c r="N19" i="69"/>
  <c r="N21" i="69"/>
  <c r="N22" i="69"/>
  <c r="N20" i="68"/>
  <c r="N23" i="68"/>
  <c r="N17" i="68"/>
  <c r="N18" i="68"/>
  <c r="N19" i="68"/>
  <c r="N21" i="68"/>
  <c r="N22" i="68"/>
  <c r="N24" i="67"/>
  <c r="N20" i="67"/>
  <c r="N23" i="67"/>
  <c r="N17" i="67"/>
  <c r="N18" i="67"/>
  <c r="N19" i="67"/>
  <c r="N21" i="67"/>
  <c r="N22" i="67"/>
  <c r="N16" i="66"/>
  <c r="N20" i="66"/>
  <c r="N23" i="66"/>
  <c r="N17" i="66"/>
  <c r="N18" i="66"/>
  <c r="N19" i="66"/>
  <c r="N21" i="66"/>
  <c r="N22" i="66"/>
  <c r="N20" i="65"/>
  <c r="N24" i="65"/>
  <c r="N23" i="65"/>
  <c r="N17" i="65"/>
  <c r="N18" i="65"/>
  <c r="N19" i="65"/>
  <c r="N21" i="65"/>
  <c r="N22" i="65"/>
  <c r="N24" i="64"/>
  <c r="N20" i="64"/>
  <c r="N23" i="64"/>
  <c r="N18" i="64"/>
  <c r="N21" i="64"/>
  <c r="N22" i="64"/>
  <c r="N17" i="64"/>
  <c r="N19" i="64"/>
  <c r="O34" i="63"/>
  <c r="H25" i="63"/>
  <c r="G25" i="63"/>
  <c r="A25" i="63"/>
  <c r="E24" i="63"/>
  <c r="V24" i="63" s="1"/>
  <c r="D24" i="63"/>
  <c r="B24" i="63"/>
  <c r="C24" i="63" s="1"/>
  <c r="U23" i="63"/>
  <c r="U24" i="63" s="1"/>
  <c r="T23" i="63"/>
  <c r="T24" i="63" s="1"/>
  <c r="E23" i="63"/>
  <c r="V23" i="63" s="1"/>
  <c r="D23" i="63"/>
  <c r="B23" i="63"/>
  <c r="C23" i="63" s="1"/>
  <c r="E22" i="63"/>
  <c r="V22" i="63" s="1"/>
  <c r="D22" i="63"/>
  <c r="B22" i="63"/>
  <c r="C22" i="63" s="1"/>
  <c r="E21" i="63"/>
  <c r="V21" i="63" s="1"/>
  <c r="D21" i="63"/>
  <c r="B21" i="63"/>
  <c r="C21" i="63" s="1"/>
  <c r="T20" i="63"/>
  <c r="T21" i="63" s="1"/>
  <c r="E20" i="63"/>
  <c r="V20" i="63" s="1"/>
  <c r="D20" i="63"/>
  <c r="B20" i="63"/>
  <c r="C20" i="63" s="1"/>
  <c r="V19" i="63"/>
  <c r="E19" i="63"/>
  <c r="D19" i="63"/>
  <c r="B19" i="63"/>
  <c r="C19" i="63" s="1"/>
  <c r="E18" i="63"/>
  <c r="V18" i="63" s="1"/>
  <c r="D18" i="63"/>
  <c r="B18" i="63"/>
  <c r="C18" i="63" s="1"/>
  <c r="T17" i="63"/>
  <c r="T18" i="63" s="1"/>
  <c r="S17" i="63"/>
  <c r="S18" i="63" s="1"/>
  <c r="S19" i="63" s="1"/>
  <c r="S20" i="63" s="1"/>
  <c r="S21" i="63" s="1"/>
  <c r="E17" i="63"/>
  <c r="V17" i="63" s="1"/>
  <c r="D17" i="63"/>
  <c r="B17" i="63"/>
  <c r="C17" i="63" s="1"/>
  <c r="V16" i="63"/>
  <c r="E16" i="63"/>
  <c r="D16" i="63"/>
  <c r="N16" i="63" s="1"/>
  <c r="C16" i="63"/>
  <c r="B16" i="63"/>
  <c r="O15" i="63"/>
  <c r="C12" i="63"/>
  <c r="C11" i="63"/>
  <c r="N5" i="63"/>
  <c r="S22" i="62"/>
  <c r="S21" i="62"/>
  <c r="S20" i="62"/>
  <c r="S19" i="62"/>
  <c r="S18" i="62"/>
  <c r="S17" i="62"/>
  <c r="S16" i="62"/>
  <c r="S15" i="62"/>
  <c r="S14" i="62"/>
  <c r="S13" i="62"/>
  <c r="S12" i="62"/>
  <c r="S11" i="62"/>
  <c r="S10" i="62"/>
  <c r="S9" i="62"/>
  <c r="S8" i="62"/>
  <c r="S7" i="62"/>
  <c r="S6" i="62"/>
  <c r="S5" i="62"/>
  <c r="S4" i="62"/>
  <c r="S3" i="62"/>
  <c r="O25" i="62"/>
  <c r="A16" i="62"/>
  <c r="E15" i="62"/>
  <c r="D15" i="62"/>
  <c r="B15" i="62"/>
  <c r="C15" i="62" s="1"/>
  <c r="E14" i="62"/>
  <c r="D14" i="62"/>
  <c r="B14" i="62"/>
  <c r="C14" i="62" s="1"/>
  <c r="E13" i="62"/>
  <c r="D13" i="62"/>
  <c r="B13" i="62"/>
  <c r="C13" i="62" s="1"/>
  <c r="E12" i="62"/>
  <c r="D12" i="62"/>
  <c r="B12" i="62"/>
  <c r="C12" i="62" s="1"/>
  <c r="E11" i="62"/>
  <c r="D11" i="62"/>
  <c r="B11" i="62"/>
  <c r="C11" i="62" s="1"/>
  <c r="E10" i="62"/>
  <c r="D10" i="62"/>
  <c r="B10" i="62"/>
  <c r="C10" i="62" s="1"/>
  <c r="E9" i="62"/>
  <c r="D9" i="62"/>
  <c r="B9" i="62"/>
  <c r="C9" i="62" s="1"/>
  <c r="E8" i="62"/>
  <c r="D8" i="62"/>
  <c r="B8" i="62"/>
  <c r="C8" i="62" s="1"/>
  <c r="E7" i="62"/>
  <c r="D7" i="62"/>
  <c r="C7" i="62"/>
  <c r="B7" i="62"/>
  <c r="O6" i="62"/>
  <c r="O34" i="61"/>
  <c r="H25" i="61"/>
  <c r="G25" i="61"/>
  <c r="A25" i="61"/>
  <c r="E24" i="61"/>
  <c r="V24" i="61" s="1"/>
  <c r="D24" i="61"/>
  <c r="B24" i="61"/>
  <c r="C24" i="61" s="1"/>
  <c r="U23" i="61"/>
  <c r="U24" i="61" s="1"/>
  <c r="T23" i="61"/>
  <c r="T24" i="61" s="1"/>
  <c r="E23" i="61"/>
  <c r="V23" i="61" s="1"/>
  <c r="D23" i="61"/>
  <c r="B23" i="61"/>
  <c r="C23" i="61" s="1"/>
  <c r="E22" i="61"/>
  <c r="V22" i="61" s="1"/>
  <c r="D22" i="61"/>
  <c r="B22" i="61"/>
  <c r="C22" i="61" s="1"/>
  <c r="E21" i="61"/>
  <c r="V21" i="61" s="1"/>
  <c r="D21" i="61"/>
  <c r="B21" i="61"/>
  <c r="C21" i="61" s="1"/>
  <c r="T20" i="61"/>
  <c r="T21" i="61" s="1"/>
  <c r="E20" i="61"/>
  <c r="V20" i="61" s="1"/>
  <c r="D20" i="61"/>
  <c r="B20" i="61"/>
  <c r="C20" i="61" s="1"/>
  <c r="E19" i="61"/>
  <c r="V19" i="61" s="1"/>
  <c r="D19" i="61"/>
  <c r="B19" i="61"/>
  <c r="C19" i="61" s="1"/>
  <c r="E18" i="61"/>
  <c r="V18" i="61" s="1"/>
  <c r="D18" i="61"/>
  <c r="B18" i="61"/>
  <c r="C18" i="61" s="1"/>
  <c r="T17" i="61"/>
  <c r="T18" i="61" s="1"/>
  <c r="S17" i="61"/>
  <c r="S18" i="61" s="1"/>
  <c r="S19" i="61" s="1"/>
  <c r="S20" i="61" s="1"/>
  <c r="S21" i="61" s="1"/>
  <c r="E17" i="61"/>
  <c r="V17" i="61" s="1"/>
  <c r="D17" i="61"/>
  <c r="B17" i="61"/>
  <c r="C17" i="61" s="1"/>
  <c r="V16" i="61"/>
  <c r="E16" i="61"/>
  <c r="D16" i="61"/>
  <c r="C16" i="61"/>
  <c r="B16" i="61"/>
  <c r="O15" i="61"/>
  <c r="C12" i="61"/>
  <c r="C11" i="61"/>
  <c r="N5" i="61"/>
  <c r="O34" i="60"/>
  <c r="H25" i="60"/>
  <c r="G25" i="60"/>
  <c r="A25" i="60"/>
  <c r="E24" i="60"/>
  <c r="V24" i="60" s="1"/>
  <c r="D24" i="60"/>
  <c r="B24" i="60"/>
  <c r="C24" i="60" s="1"/>
  <c r="U23" i="60"/>
  <c r="U24" i="60" s="1"/>
  <c r="T23" i="60"/>
  <c r="T24" i="60" s="1"/>
  <c r="E23" i="60"/>
  <c r="V23" i="60" s="1"/>
  <c r="D23" i="60"/>
  <c r="B23" i="60"/>
  <c r="C23" i="60" s="1"/>
  <c r="E22" i="60"/>
  <c r="V22" i="60" s="1"/>
  <c r="D22" i="60"/>
  <c r="B22" i="60"/>
  <c r="C22" i="60" s="1"/>
  <c r="E21" i="60"/>
  <c r="V21" i="60" s="1"/>
  <c r="D21" i="60"/>
  <c r="B21" i="60"/>
  <c r="C21" i="60" s="1"/>
  <c r="T20" i="60"/>
  <c r="T21" i="60" s="1"/>
  <c r="E20" i="60"/>
  <c r="V20" i="60" s="1"/>
  <c r="D20" i="60"/>
  <c r="C20" i="60"/>
  <c r="B20" i="60"/>
  <c r="E19" i="60"/>
  <c r="V19" i="60" s="1"/>
  <c r="D19" i="60"/>
  <c r="B19" i="60"/>
  <c r="C19" i="60" s="1"/>
  <c r="E18" i="60"/>
  <c r="V18" i="60" s="1"/>
  <c r="D18" i="60"/>
  <c r="B18" i="60"/>
  <c r="C18" i="60" s="1"/>
  <c r="T17" i="60"/>
  <c r="T18" i="60" s="1"/>
  <c r="S17" i="60"/>
  <c r="S18" i="60" s="1"/>
  <c r="S19" i="60" s="1"/>
  <c r="S20" i="60" s="1"/>
  <c r="S21" i="60" s="1"/>
  <c r="E17" i="60"/>
  <c r="V17" i="60" s="1"/>
  <c r="D17" i="60"/>
  <c r="B17" i="60"/>
  <c r="C17" i="60" s="1"/>
  <c r="E16" i="60"/>
  <c r="V16" i="60" s="1"/>
  <c r="D16" i="60"/>
  <c r="C16" i="60"/>
  <c r="B16" i="60"/>
  <c r="O15" i="60"/>
  <c r="C12" i="60"/>
  <c r="C11" i="60"/>
  <c r="N5" i="60"/>
  <c r="O34" i="59"/>
  <c r="H25" i="59"/>
  <c r="G25" i="59"/>
  <c r="A25" i="59"/>
  <c r="E24" i="59"/>
  <c r="V24" i="59" s="1"/>
  <c r="D24" i="59"/>
  <c r="B24" i="59"/>
  <c r="C24" i="59" s="1"/>
  <c r="U23" i="59"/>
  <c r="U24" i="59" s="1"/>
  <c r="T23" i="59"/>
  <c r="T24" i="59" s="1"/>
  <c r="E23" i="59"/>
  <c r="V23" i="59" s="1"/>
  <c r="D23" i="59"/>
  <c r="B23" i="59"/>
  <c r="C23" i="59" s="1"/>
  <c r="V22" i="59"/>
  <c r="E22" i="59"/>
  <c r="D22" i="59"/>
  <c r="B22" i="59"/>
  <c r="C22" i="59" s="1"/>
  <c r="E21" i="59"/>
  <c r="V21" i="59" s="1"/>
  <c r="D21" i="59"/>
  <c r="B21" i="59"/>
  <c r="C21" i="59" s="1"/>
  <c r="T20" i="59"/>
  <c r="T21" i="59" s="1"/>
  <c r="E20" i="59"/>
  <c r="V20" i="59" s="1"/>
  <c r="D20" i="59"/>
  <c r="B20" i="59"/>
  <c r="C20" i="59" s="1"/>
  <c r="E19" i="59"/>
  <c r="V19" i="59" s="1"/>
  <c r="D19" i="59"/>
  <c r="B19" i="59"/>
  <c r="C19" i="59" s="1"/>
  <c r="E18" i="59"/>
  <c r="V18" i="59" s="1"/>
  <c r="D18" i="59"/>
  <c r="B18" i="59"/>
  <c r="C18" i="59" s="1"/>
  <c r="T17" i="59"/>
  <c r="T18" i="59" s="1"/>
  <c r="S17" i="59"/>
  <c r="S18" i="59" s="1"/>
  <c r="S19" i="59" s="1"/>
  <c r="S20" i="59" s="1"/>
  <c r="S21" i="59" s="1"/>
  <c r="E17" i="59"/>
  <c r="V17" i="59" s="1"/>
  <c r="D17" i="59"/>
  <c r="B17" i="59"/>
  <c r="C17" i="59" s="1"/>
  <c r="V16" i="59"/>
  <c r="E16" i="59"/>
  <c r="D16" i="59"/>
  <c r="N16" i="59" s="1"/>
  <c r="C16" i="59"/>
  <c r="B16" i="59"/>
  <c r="O15" i="59"/>
  <c r="C12" i="59"/>
  <c r="C11" i="59"/>
  <c r="N5" i="59"/>
  <c r="O34" i="58"/>
  <c r="H25" i="58"/>
  <c r="G25" i="58"/>
  <c r="A25" i="58"/>
  <c r="E24" i="58"/>
  <c r="V24" i="58" s="1"/>
  <c r="D24" i="58"/>
  <c r="B24" i="58"/>
  <c r="C24" i="58" s="1"/>
  <c r="U23" i="58"/>
  <c r="U24" i="58" s="1"/>
  <c r="T23" i="58"/>
  <c r="T24" i="58" s="1"/>
  <c r="E23" i="58"/>
  <c r="V23" i="58" s="1"/>
  <c r="D23" i="58"/>
  <c r="B23" i="58"/>
  <c r="C23" i="58" s="1"/>
  <c r="V22" i="58"/>
  <c r="E22" i="58"/>
  <c r="D22" i="58"/>
  <c r="B22" i="58"/>
  <c r="C22" i="58" s="1"/>
  <c r="E21" i="58"/>
  <c r="V21" i="58" s="1"/>
  <c r="D21" i="58"/>
  <c r="B21" i="58"/>
  <c r="C21" i="58" s="1"/>
  <c r="T20" i="58"/>
  <c r="T21" i="58" s="1"/>
  <c r="E20" i="58"/>
  <c r="V20" i="58" s="1"/>
  <c r="D20" i="58"/>
  <c r="B20" i="58"/>
  <c r="C20" i="58" s="1"/>
  <c r="E19" i="58"/>
  <c r="V19" i="58" s="1"/>
  <c r="D19" i="58"/>
  <c r="B19" i="58"/>
  <c r="C19" i="58" s="1"/>
  <c r="E18" i="58"/>
  <c r="V18" i="58" s="1"/>
  <c r="D18" i="58"/>
  <c r="B18" i="58"/>
  <c r="C18" i="58" s="1"/>
  <c r="T17" i="58"/>
  <c r="T18" i="58" s="1"/>
  <c r="S17" i="58"/>
  <c r="S18" i="58" s="1"/>
  <c r="S19" i="58" s="1"/>
  <c r="S20" i="58" s="1"/>
  <c r="S21" i="58" s="1"/>
  <c r="E17" i="58"/>
  <c r="V17" i="58" s="1"/>
  <c r="D17" i="58"/>
  <c r="B17" i="58"/>
  <c r="C17" i="58" s="1"/>
  <c r="V16" i="58"/>
  <c r="E16" i="58"/>
  <c r="D16" i="58"/>
  <c r="N16" i="58" s="1"/>
  <c r="C16" i="58"/>
  <c r="B16" i="58"/>
  <c r="O15" i="58"/>
  <c r="C12" i="58"/>
  <c r="C11" i="58"/>
  <c r="N5" i="58"/>
  <c r="O34" i="57"/>
  <c r="H25" i="57"/>
  <c r="G25" i="57"/>
  <c r="A25" i="57"/>
  <c r="E24" i="57"/>
  <c r="V24" i="57" s="1"/>
  <c r="D24" i="57"/>
  <c r="B24" i="57"/>
  <c r="C24" i="57" s="1"/>
  <c r="U23" i="57"/>
  <c r="U24" i="57" s="1"/>
  <c r="T23" i="57"/>
  <c r="T24" i="57" s="1"/>
  <c r="E23" i="57"/>
  <c r="V23" i="57" s="1"/>
  <c r="D23" i="57"/>
  <c r="B23" i="57"/>
  <c r="C23" i="57" s="1"/>
  <c r="E22" i="57"/>
  <c r="V22" i="57" s="1"/>
  <c r="D22" i="57"/>
  <c r="B22" i="57"/>
  <c r="C22" i="57" s="1"/>
  <c r="E21" i="57"/>
  <c r="V21" i="57" s="1"/>
  <c r="D21" i="57"/>
  <c r="B21" i="57"/>
  <c r="C21" i="57" s="1"/>
  <c r="T20" i="57"/>
  <c r="T21" i="57" s="1"/>
  <c r="E20" i="57"/>
  <c r="V20" i="57" s="1"/>
  <c r="D20" i="57"/>
  <c r="B20" i="57"/>
  <c r="C20" i="57" s="1"/>
  <c r="E19" i="57"/>
  <c r="V19" i="57" s="1"/>
  <c r="D19" i="57"/>
  <c r="B19" i="57"/>
  <c r="C19" i="57" s="1"/>
  <c r="E18" i="57"/>
  <c r="V18" i="57" s="1"/>
  <c r="D18" i="57"/>
  <c r="B18" i="57"/>
  <c r="C18" i="57" s="1"/>
  <c r="T17" i="57"/>
  <c r="T18" i="57" s="1"/>
  <c r="S17" i="57"/>
  <c r="S18" i="57" s="1"/>
  <c r="S19" i="57" s="1"/>
  <c r="S20" i="57" s="1"/>
  <c r="S21" i="57" s="1"/>
  <c r="E17" i="57"/>
  <c r="V17" i="57" s="1"/>
  <c r="D17" i="57"/>
  <c r="B17" i="57"/>
  <c r="C17" i="57" s="1"/>
  <c r="V16" i="57"/>
  <c r="E16" i="57"/>
  <c r="D16" i="57"/>
  <c r="C16" i="57"/>
  <c r="B16" i="57"/>
  <c r="O15" i="57"/>
  <c r="C12" i="57"/>
  <c r="C11" i="57"/>
  <c r="N5" i="57"/>
  <c r="O34" i="56"/>
  <c r="H25" i="56"/>
  <c r="G25" i="56"/>
  <c r="A25" i="56"/>
  <c r="E24" i="56"/>
  <c r="V24" i="56" s="1"/>
  <c r="D24" i="56"/>
  <c r="B24" i="56"/>
  <c r="C24" i="56" s="1"/>
  <c r="U23" i="56"/>
  <c r="U24" i="56" s="1"/>
  <c r="T23" i="56"/>
  <c r="T24" i="56" s="1"/>
  <c r="E23" i="56"/>
  <c r="V23" i="56" s="1"/>
  <c r="D23" i="56"/>
  <c r="B23" i="56"/>
  <c r="C23" i="56" s="1"/>
  <c r="E22" i="56"/>
  <c r="V22" i="56" s="1"/>
  <c r="D22" i="56"/>
  <c r="B22" i="56"/>
  <c r="C22" i="56" s="1"/>
  <c r="E21" i="56"/>
  <c r="V21" i="56" s="1"/>
  <c r="D21" i="56"/>
  <c r="B21" i="56"/>
  <c r="C21" i="56" s="1"/>
  <c r="T20" i="56"/>
  <c r="T21" i="56" s="1"/>
  <c r="E20" i="56"/>
  <c r="V20" i="56" s="1"/>
  <c r="D20" i="56"/>
  <c r="B20" i="56"/>
  <c r="C20" i="56" s="1"/>
  <c r="E19" i="56"/>
  <c r="V19" i="56" s="1"/>
  <c r="D19" i="56"/>
  <c r="B19" i="56"/>
  <c r="C19" i="56" s="1"/>
  <c r="E18" i="56"/>
  <c r="V18" i="56" s="1"/>
  <c r="D18" i="56"/>
  <c r="B18" i="56"/>
  <c r="C18" i="56" s="1"/>
  <c r="T17" i="56"/>
  <c r="T18" i="56" s="1"/>
  <c r="S17" i="56"/>
  <c r="S18" i="56" s="1"/>
  <c r="S19" i="56" s="1"/>
  <c r="S20" i="56" s="1"/>
  <c r="S21" i="56" s="1"/>
  <c r="E17" i="56"/>
  <c r="V17" i="56" s="1"/>
  <c r="D17" i="56"/>
  <c r="B17" i="56"/>
  <c r="C17" i="56" s="1"/>
  <c r="V16" i="56"/>
  <c r="E16" i="56"/>
  <c r="D16" i="56"/>
  <c r="N16" i="56" s="1"/>
  <c r="C16" i="56"/>
  <c r="B16" i="56"/>
  <c r="O15" i="56"/>
  <c r="C12" i="56"/>
  <c r="C11" i="56"/>
  <c r="N5" i="56"/>
  <c r="O34" i="55"/>
  <c r="H25" i="55"/>
  <c r="G25" i="55"/>
  <c r="A25" i="55"/>
  <c r="E24" i="55"/>
  <c r="V24" i="55" s="1"/>
  <c r="D24" i="55"/>
  <c r="B24" i="55"/>
  <c r="C24" i="55" s="1"/>
  <c r="U23" i="55"/>
  <c r="U24" i="55" s="1"/>
  <c r="T23" i="55"/>
  <c r="T24" i="55" s="1"/>
  <c r="E23" i="55"/>
  <c r="V23" i="55" s="1"/>
  <c r="D23" i="55"/>
  <c r="B23" i="55"/>
  <c r="C23" i="55" s="1"/>
  <c r="E22" i="55"/>
  <c r="V22" i="55" s="1"/>
  <c r="D22" i="55"/>
  <c r="B22" i="55"/>
  <c r="C22" i="55" s="1"/>
  <c r="E21" i="55"/>
  <c r="V21" i="55" s="1"/>
  <c r="D21" i="55"/>
  <c r="B21" i="55"/>
  <c r="C21" i="55" s="1"/>
  <c r="T20" i="55"/>
  <c r="T21" i="55" s="1"/>
  <c r="E20" i="55"/>
  <c r="V20" i="55" s="1"/>
  <c r="D20" i="55"/>
  <c r="B20" i="55"/>
  <c r="C20" i="55" s="1"/>
  <c r="E19" i="55"/>
  <c r="V19" i="55" s="1"/>
  <c r="D19" i="55"/>
  <c r="B19" i="55"/>
  <c r="C19" i="55" s="1"/>
  <c r="E18" i="55"/>
  <c r="V18" i="55" s="1"/>
  <c r="D18" i="55"/>
  <c r="B18" i="55"/>
  <c r="C18" i="55" s="1"/>
  <c r="T17" i="55"/>
  <c r="T18" i="55" s="1"/>
  <c r="S17" i="55"/>
  <c r="S18" i="55" s="1"/>
  <c r="S19" i="55" s="1"/>
  <c r="S20" i="55" s="1"/>
  <c r="S21" i="55" s="1"/>
  <c r="E17" i="55"/>
  <c r="V17" i="55" s="1"/>
  <c r="D17" i="55"/>
  <c r="B17" i="55"/>
  <c r="C17" i="55" s="1"/>
  <c r="V16" i="55"/>
  <c r="E16" i="55"/>
  <c r="D16" i="55"/>
  <c r="C16" i="55"/>
  <c r="B16" i="55"/>
  <c r="O15" i="55"/>
  <c r="C12" i="55"/>
  <c r="C11" i="55"/>
  <c r="N5" i="55"/>
  <c r="O34" i="54"/>
  <c r="H25" i="54"/>
  <c r="G25" i="54"/>
  <c r="A25" i="54"/>
  <c r="E24" i="54"/>
  <c r="V24" i="54" s="1"/>
  <c r="D24" i="54"/>
  <c r="B24" i="54"/>
  <c r="C24" i="54" s="1"/>
  <c r="U23" i="54"/>
  <c r="U24" i="54" s="1"/>
  <c r="T23" i="54"/>
  <c r="T24" i="54" s="1"/>
  <c r="E23" i="54"/>
  <c r="V23" i="54" s="1"/>
  <c r="D23" i="54"/>
  <c r="B23" i="54"/>
  <c r="C23" i="54" s="1"/>
  <c r="E22" i="54"/>
  <c r="V22" i="54" s="1"/>
  <c r="D22" i="54"/>
  <c r="B22" i="54"/>
  <c r="C22" i="54" s="1"/>
  <c r="E21" i="54"/>
  <c r="V21" i="54" s="1"/>
  <c r="D21" i="54"/>
  <c r="B21" i="54"/>
  <c r="C21" i="54" s="1"/>
  <c r="T20" i="54"/>
  <c r="T21" i="54" s="1"/>
  <c r="E20" i="54"/>
  <c r="V20" i="54" s="1"/>
  <c r="D20" i="54"/>
  <c r="C20" i="54"/>
  <c r="B20" i="54"/>
  <c r="E19" i="54"/>
  <c r="V19" i="54" s="1"/>
  <c r="D19" i="54"/>
  <c r="B19" i="54"/>
  <c r="C19" i="54" s="1"/>
  <c r="E18" i="54"/>
  <c r="V18" i="54" s="1"/>
  <c r="D18" i="54"/>
  <c r="B18" i="54"/>
  <c r="C18" i="54" s="1"/>
  <c r="T17" i="54"/>
  <c r="T18" i="54" s="1"/>
  <c r="S17" i="54"/>
  <c r="S18" i="54" s="1"/>
  <c r="S19" i="54" s="1"/>
  <c r="S20" i="54" s="1"/>
  <c r="S21" i="54" s="1"/>
  <c r="E17" i="54"/>
  <c r="V17" i="54" s="1"/>
  <c r="D17" i="54"/>
  <c r="B17" i="54"/>
  <c r="C17" i="54" s="1"/>
  <c r="E16" i="54"/>
  <c r="V16" i="54" s="1"/>
  <c r="D16" i="54"/>
  <c r="C16" i="54"/>
  <c r="B16" i="54"/>
  <c r="O15" i="54"/>
  <c r="C12" i="54"/>
  <c r="C11" i="54"/>
  <c r="N5" i="54"/>
  <c r="O34" i="53"/>
  <c r="C11" i="53" s="1"/>
  <c r="H25" i="53"/>
  <c r="G25" i="53"/>
  <c r="A25" i="53"/>
  <c r="E24" i="53"/>
  <c r="V24" i="53" s="1"/>
  <c r="D24" i="53"/>
  <c r="B24" i="53"/>
  <c r="C24" i="53" s="1"/>
  <c r="U23" i="53"/>
  <c r="U24" i="53" s="1"/>
  <c r="T23" i="53"/>
  <c r="T24" i="53" s="1"/>
  <c r="E23" i="53"/>
  <c r="V23" i="53" s="1"/>
  <c r="D23" i="53"/>
  <c r="B23" i="53"/>
  <c r="C23" i="53" s="1"/>
  <c r="E22" i="53"/>
  <c r="V22" i="53" s="1"/>
  <c r="D22" i="53"/>
  <c r="B22" i="53"/>
  <c r="C22" i="53" s="1"/>
  <c r="E21" i="53"/>
  <c r="V21" i="53" s="1"/>
  <c r="D21" i="53"/>
  <c r="B21" i="53"/>
  <c r="C21" i="53" s="1"/>
  <c r="T20" i="53"/>
  <c r="T21" i="53" s="1"/>
  <c r="E20" i="53"/>
  <c r="V20" i="53" s="1"/>
  <c r="D20" i="53"/>
  <c r="B20" i="53"/>
  <c r="C20" i="53" s="1"/>
  <c r="E19" i="53"/>
  <c r="V19" i="53" s="1"/>
  <c r="D19" i="53"/>
  <c r="B19" i="53"/>
  <c r="C19" i="53" s="1"/>
  <c r="E18" i="53"/>
  <c r="V18" i="53" s="1"/>
  <c r="D18" i="53"/>
  <c r="B18" i="53"/>
  <c r="C18" i="53" s="1"/>
  <c r="T17" i="53"/>
  <c r="T18" i="53" s="1"/>
  <c r="S17" i="53"/>
  <c r="S18" i="53" s="1"/>
  <c r="S19" i="53" s="1"/>
  <c r="S20" i="53" s="1"/>
  <c r="S21" i="53" s="1"/>
  <c r="E17" i="53"/>
  <c r="V17" i="53" s="1"/>
  <c r="D17" i="53"/>
  <c r="B17" i="53"/>
  <c r="C17" i="53" s="1"/>
  <c r="V16" i="53"/>
  <c r="E16" i="53"/>
  <c r="D16" i="53"/>
  <c r="N16" i="53" s="1"/>
  <c r="C16" i="53"/>
  <c r="B16" i="53"/>
  <c r="O15" i="53"/>
  <c r="C12" i="53"/>
  <c r="N5" i="53"/>
  <c r="O34" i="52"/>
  <c r="H25" i="52"/>
  <c r="G25" i="52"/>
  <c r="A25" i="52"/>
  <c r="E24" i="52"/>
  <c r="V24" i="52" s="1"/>
  <c r="D24" i="52"/>
  <c r="B24" i="52"/>
  <c r="C24" i="52" s="1"/>
  <c r="U23" i="52"/>
  <c r="U24" i="52" s="1"/>
  <c r="T23" i="52"/>
  <c r="T24" i="52" s="1"/>
  <c r="E23" i="52"/>
  <c r="V23" i="52" s="1"/>
  <c r="D23" i="52"/>
  <c r="B23" i="52"/>
  <c r="C23" i="52" s="1"/>
  <c r="E22" i="52"/>
  <c r="V22" i="52" s="1"/>
  <c r="D22" i="52"/>
  <c r="B22" i="52"/>
  <c r="C22" i="52" s="1"/>
  <c r="E21" i="52"/>
  <c r="V21" i="52" s="1"/>
  <c r="D21" i="52"/>
  <c r="B21" i="52"/>
  <c r="C21" i="52" s="1"/>
  <c r="T20" i="52"/>
  <c r="T21" i="52" s="1"/>
  <c r="E20" i="52"/>
  <c r="V20" i="52" s="1"/>
  <c r="D20" i="52"/>
  <c r="B20" i="52"/>
  <c r="C20" i="52" s="1"/>
  <c r="E19" i="52"/>
  <c r="V19" i="52" s="1"/>
  <c r="D19" i="52"/>
  <c r="B19" i="52"/>
  <c r="C19" i="52" s="1"/>
  <c r="E18" i="52"/>
  <c r="V18" i="52" s="1"/>
  <c r="D18" i="52"/>
  <c r="B18" i="52"/>
  <c r="C18" i="52" s="1"/>
  <c r="T17" i="52"/>
  <c r="T18" i="52" s="1"/>
  <c r="S17" i="52"/>
  <c r="S18" i="52" s="1"/>
  <c r="S19" i="52" s="1"/>
  <c r="S20" i="52" s="1"/>
  <c r="S21" i="52" s="1"/>
  <c r="E17" i="52"/>
  <c r="V17" i="52" s="1"/>
  <c r="D17" i="52"/>
  <c r="B17" i="52"/>
  <c r="C17" i="52" s="1"/>
  <c r="V16" i="52"/>
  <c r="E16" i="52"/>
  <c r="D16" i="52"/>
  <c r="C16" i="52"/>
  <c r="B16" i="52"/>
  <c r="O15" i="52"/>
  <c r="C12" i="52"/>
  <c r="C11" i="52"/>
  <c r="N5" i="52"/>
  <c r="O34" i="51"/>
  <c r="H25" i="51"/>
  <c r="G25" i="51"/>
  <c r="A25" i="51"/>
  <c r="E24" i="51"/>
  <c r="V24" i="51" s="1"/>
  <c r="D24" i="51"/>
  <c r="B24" i="51"/>
  <c r="C24" i="51" s="1"/>
  <c r="U23" i="51"/>
  <c r="U24" i="51" s="1"/>
  <c r="T23" i="51"/>
  <c r="T24" i="51" s="1"/>
  <c r="E23" i="51"/>
  <c r="V23" i="51" s="1"/>
  <c r="D23" i="51"/>
  <c r="B23" i="51"/>
  <c r="C23" i="51" s="1"/>
  <c r="E22" i="51"/>
  <c r="V22" i="51" s="1"/>
  <c r="D22" i="51"/>
  <c r="B22" i="51"/>
  <c r="C22" i="51" s="1"/>
  <c r="E21" i="51"/>
  <c r="V21" i="51" s="1"/>
  <c r="D21" i="51"/>
  <c r="B21" i="51"/>
  <c r="C21" i="51" s="1"/>
  <c r="T20" i="51"/>
  <c r="T21" i="51" s="1"/>
  <c r="E20" i="51"/>
  <c r="V20" i="51" s="1"/>
  <c r="D20" i="51"/>
  <c r="C20" i="51"/>
  <c r="B20" i="51"/>
  <c r="E19" i="51"/>
  <c r="V19" i="51" s="1"/>
  <c r="D19" i="51"/>
  <c r="B19" i="51"/>
  <c r="C19" i="51" s="1"/>
  <c r="E18" i="51"/>
  <c r="V18" i="51" s="1"/>
  <c r="D18" i="51"/>
  <c r="B18" i="51"/>
  <c r="C18" i="51" s="1"/>
  <c r="T17" i="51"/>
  <c r="T18" i="51" s="1"/>
  <c r="S17" i="51"/>
  <c r="S18" i="51" s="1"/>
  <c r="S19" i="51" s="1"/>
  <c r="S20" i="51" s="1"/>
  <c r="S21" i="51" s="1"/>
  <c r="E17" i="51"/>
  <c r="V17" i="51" s="1"/>
  <c r="D17" i="51"/>
  <c r="B17" i="51"/>
  <c r="C17" i="51" s="1"/>
  <c r="E16" i="51"/>
  <c r="V16" i="51" s="1"/>
  <c r="D16" i="51"/>
  <c r="C16" i="51"/>
  <c r="B16" i="51"/>
  <c r="O15" i="51"/>
  <c r="C12" i="51"/>
  <c r="C11" i="51"/>
  <c r="N5" i="51"/>
  <c r="O34" i="50"/>
  <c r="C11" i="50" s="1"/>
  <c r="H25" i="50"/>
  <c r="G25" i="50"/>
  <c r="A25" i="50"/>
  <c r="E24" i="50"/>
  <c r="V24" i="50" s="1"/>
  <c r="D24" i="50"/>
  <c r="N24" i="50" s="1"/>
  <c r="B24" i="50"/>
  <c r="C24" i="50" s="1"/>
  <c r="U23" i="50"/>
  <c r="U24" i="50" s="1"/>
  <c r="T23" i="50"/>
  <c r="T24" i="50" s="1"/>
  <c r="E23" i="50"/>
  <c r="V23" i="50" s="1"/>
  <c r="D23" i="50"/>
  <c r="B23" i="50"/>
  <c r="C23" i="50" s="1"/>
  <c r="E22" i="50"/>
  <c r="V22" i="50" s="1"/>
  <c r="D22" i="50"/>
  <c r="B22" i="50"/>
  <c r="C22" i="50" s="1"/>
  <c r="E21" i="50"/>
  <c r="V21" i="50" s="1"/>
  <c r="D21" i="50"/>
  <c r="B21" i="50"/>
  <c r="C21" i="50" s="1"/>
  <c r="T20" i="50"/>
  <c r="T21" i="50" s="1"/>
  <c r="E20" i="50"/>
  <c r="V20" i="50" s="1"/>
  <c r="D20" i="50"/>
  <c r="B20" i="50"/>
  <c r="C20" i="50" s="1"/>
  <c r="E19" i="50"/>
  <c r="V19" i="50" s="1"/>
  <c r="D19" i="50"/>
  <c r="B19" i="50"/>
  <c r="C19" i="50" s="1"/>
  <c r="E18" i="50"/>
  <c r="V18" i="50" s="1"/>
  <c r="D18" i="50"/>
  <c r="B18" i="50"/>
  <c r="C18" i="50" s="1"/>
  <c r="T17" i="50"/>
  <c r="T18" i="50" s="1"/>
  <c r="S17" i="50"/>
  <c r="S18" i="50" s="1"/>
  <c r="S19" i="50" s="1"/>
  <c r="S20" i="50" s="1"/>
  <c r="S21" i="50" s="1"/>
  <c r="E17" i="50"/>
  <c r="V17" i="50" s="1"/>
  <c r="D17" i="50"/>
  <c r="B17" i="50"/>
  <c r="C17" i="50" s="1"/>
  <c r="V16" i="50"/>
  <c r="E16" i="50"/>
  <c r="D16" i="50"/>
  <c r="N16" i="50" s="1"/>
  <c r="C16" i="50"/>
  <c r="B16" i="50"/>
  <c r="O15" i="50"/>
  <c r="C12" i="50"/>
  <c r="N5" i="50"/>
  <c r="O34" i="49"/>
  <c r="H25" i="49"/>
  <c r="G25" i="49"/>
  <c r="A25" i="49"/>
  <c r="E24" i="49"/>
  <c r="V24" i="49" s="1"/>
  <c r="D24" i="49"/>
  <c r="B24" i="49"/>
  <c r="C24" i="49" s="1"/>
  <c r="U23" i="49"/>
  <c r="U24" i="49" s="1"/>
  <c r="T23" i="49"/>
  <c r="T24" i="49" s="1"/>
  <c r="E23" i="49"/>
  <c r="V23" i="49" s="1"/>
  <c r="D23" i="49"/>
  <c r="B23" i="49"/>
  <c r="C23" i="49" s="1"/>
  <c r="E22" i="49"/>
  <c r="V22" i="49" s="1"/>
  <c r="D22" i="49"/>
  <c r="B22" i="49"/>
  <c r="C22" i="49" s="1"/>
  <c r="E21" i="49"/>
  <c r="V21" i="49" s="1"/>
  <c r="D21" i="49"/>
  <c r="B21" i="49"/>
  <c r="C21" i="49" s="1"/>
  <c r="T20" i="49"/>
  <c r="T21" i="49" s="1"/>
  <c r="E20" i="49"/>
  <c r="V20" i="49" s="1"/>
  <c r="D20" i="49"/>
  <c r="C20" i="49"/>
  <c r="B20" i="49"/>
  <c r="E19" i="49"/>
  <c r="V19" i="49" s="1"/>
  <c r="D19" i="49"/>
  <c r="B19" i="49"/>
  <c r="C19" i="49" s="1"/>
  <c r="E18" i="49"/>
  <c r="V18" i="49" s="1"/>
  <c r="D18" i="49"/>
  <c r="B18" i="49"/>
  <c r="C18" i="49" s="1"/>
  <c r="T17" i="49"/>
  <c r="T18" i="49" s="1"/>
  <c r="S17" i="49"/>
  <c r="S18" i="49" s="1"/>
  <c r="S19" i="49" s="1"/>
  <c r="S20" i="49" s="1"/>
  <c r="S21" i="49" s="1"/>
  <c r="E17" i="49"/>
  <c r="V17" i="49" s="1"/>
  <c r="D17" i="49"/>
  <c r="B17" i="49"/>
  <c r="C17" i="49" s="1"/>
  <c r="E16" i="49"/>
  <c r="V16" i="49" s="1"/>
  <c r="D16" i="49"/>
  <c r="C16" i="49"/>
  <c r="B16" i="49"/>
  <c r="O15" i="49"/>
  <c r="C12" i="49"/>
  <c r="C11" i="49"/>
  <c r="N5" i="49"/>
  <c r="O34" i="48"/>
  <c r="C11" i="48" s="1"/>
  <c r="H25" i="48"/>
  <c r="G25" i="48"/>
  <c r="A25" i="48"/>
  <c r="E24" i="48"/>
  <c r="V24" i="48" s="1"/>
  <c r="D24" i="48"/>
  <c r="N24" i="48" s="1"/>
  <c r="B24" i="48"/>
  <c r="C24" i="48" s="1"/>
  <c r="U23" i="48"/>
  <c r="U24" i="48" s="1"/>
  <c r="T23" i="48"/>
  <c r="T24" i="48" s="1"/>
  <c r="E23" i="48"/>
  <c r="V23" i="48" s="1"/>
  <c r="D23" i="48"/>
  <c r="B23" i="48"/>
  <c r="C23" i="48" s="1"/>
  <c r="E22" i="48"/>
  <c r="V22" i="48" s="1"/>
  <c r="D22" i="48"/>
  <c r="B22" i="48"/>
  <c r="C22" i="48" s="1"/>
  <c r="E21" i="48"/>
  <c r="V21" i="48" s="1"/>
  <c r="D21" i="48"/>
  <c r="B21" i="48"/>
  <c r="C21" i="48" s="1"/>
  <c r="T20" i="48"/>
  <c r="T21" i="48" s="1"/>
  <c r="E20" i="48"/>
  <c r="V20" i="48" s="1"/>
  <c r="D20" i="48"/>
  <c r="B20" i="48"/>
  <c r="C20" i="48" s="1"/>
  <c r="E19" i="48"/>
  <c r="V19" i="48" s="1"/>
  <c r="D19" i="48"/>
  <c r="B19" i="48"/>
  <c r="C19" i="48" s="1"/>
  <c r="E18" i="48"/>
  <c r="V18" i="48" s="1"/>
  <c r="D18" i="48"/>
  <c r="B18" i="48"/>
  <c r="C18" i="48" s="1"/>
  <c r="T17" i="48"/>
  <c r="T18" i="48" s="1"/>
  <c r="S17" i="48"/>
  <c r="S18" i="48" s="1"/>
  <c r="S19" i="48" s="1"/>
  <c r="S20" i="48" s="1"/>
  <c r="S21" i="48" s="1"/>
  <c r="E17" i="48"/>
  <c r="V17" i="48" s="1"/>
  <c r="D17" i="48"/>
  <c r="B17" i="48"/>
  <c r="C17" i="48" s="1"/>
  <c r="V16" i="48"/>
  <c r="E16" i="48"/>
  <c r="D16" i="48"/>
  <c r="N16" i="48" s="1"/>
  <c r="C16" i="48"/>
  <c r="B16" i="48"/>
  <c r="O15" i="48"/>
  <c r="C12" i="48"/>
  <c r="N5" i="48"/>
  <c r="O34" i="47"/>
  <c r="H25" i="47"/>
  <c r="G25" i="47"/>
  <c r="A25" i="47"/>
  <c r="E24" i="47"/>
  <c r="V24" i="47" s="1"/>
  <c r="D24" i="47"/>
  <c r="B24" i="47"/>
  <c r="C24" i="47" s="1"/>
  <c r="U23" i="47"/>
  <c r="U24" i="47" s="1"/>
  <c r="T23" i="47"/>
  <c r="T24" i="47" s="1"/>
  <c r="E23" i="47"/>
  <c r="V23" i="47" s="1"/>
  <c r="D23" i="47"/>
  <c r="B23" i="47"/>
  <c r="C23" i="47" s="1"/>
  <c r="E22" i="47"/>
  <c r="V22" i="47" s="1"/>
  <c r="D22" i="47"/>
  <c r="B22" i="47"/>
  <c r="C22" i="47" s="1"/>
  <c r="E21" i="47"/>
  <c r="V21" i="47" s="1"/>
  <c r="D21" i="47"/>
  <c r="B21" i="47"/>
  <c r="C21" i="47" s="1"/>
  <c r="T20" i="47"/>
  <c r="T21" i="47" s="1"/>
  <c r="E20" i="47"/>
  <c r="V20" i="47" s="1"/>
  <c r="D20" i="47"/>
  <c r="B20" i="47"/>
  <c r="C20" i="47" s="1"/>
  <c r="E19" i="47"/>
  <c r="V19" i="47" s="1"/>
  <c r="D19" i="47"/>
  <c r="B19" i="47"/>
  <c r="C19" i="47" s="1"/>
  <c r="E18" i="47"/>
  <c r="V18" i="47" s="1"/>
  <c r="D18" i="47"/>
  <c r="B18" i="47"/>
  <c r="C18" i="47" s="1"/>
  <c r="T17" i="47"/>
  <c r="T18" i="47" s="1"/>
  <c r="S17" i="47"/>
  <c r="S18" i="47" s="1"/>
  <c r="S19" i="47" s="1"/>
  <c r="S20" i="47" s="1"/>
  <c r="S21" i="47" s="1"/>
  <c r="E17" i="47"/>
  <c r="V17" i="47" s="1"/>
  <c r="D17" i="47"/>
  <c r="B17" i="47"/>
  <c r="C17" i="47" s="1"/>
  <c r="E16" i="47"/>
  <c r="V16" i="47" s="1"/>
  <c r="D16" i="47"/>
  <c r="C16" i="47"/>
  <c r="B16" i="47"/>
  <c r="O15" i="47"/>
  <c r="C12" i="47"/>
  <c r="C11" i="47"/>
  <c r="N5" i="47"/>
  <c r="O34" i="46"/>
  <c r="C11" i="46" s="1"/>
  <c r="H25" i="46"/>
  <c r="G25" i="46"/>
  <c r="A25" i="46"/>
  <c r="E24" i="46"/>
  <c r="V24" i="46" s="1"/>
  <c r="D24" i="46"/>
  <c r="N24" i="46" s="1"/>
  <c r="B24" i="46"/>
  <c r="C24" i="46" s="1"/>
  <c r="U23" i="46"/>
  <c r="U24" i="46" s="1"/>
  <c r="T23" i="46"/>
  <c r="T24" i="46" s="1"/>
  <c r="E23" i="46"/>
  <c r="V23" i="46" s="1"/>
  <c r="D23" i="46"/>
  <c r="B23" i="46"/>
  <c r="C23" i="46" s="1"/>
  <c r="E22" i="46"/>
  <c r="V22" i="46" s="1"/>
  <c r="D22" i="46"/>
  <c r="B22" i="46"/>
  <c r="C22" i="46" s="1"/>
  <c r="E21" i="46"/>
  <c r="V21" i="46" s="1"/>
  <c r="D21" i="46"/>
  <c r="B21" i="46"/>
  <c r="C21" i="46" s="1"/>
  <c r="T20" i="46"/>
  <c r="T21" i="46" s="1"/>
  <c r="E20" i="46"/>
  <c r="V20" i="46" s="1"/>
  <c r="D20" i="46"/>
  <c r="B20" i="46"/>
  <c r="C20" i="46" s="1"/>
  <c r="E19" i="46"/>
  <c r="V19" i="46" s="1"/>
  <c r="D19" i="46"/>
  <c r="B19" i="46"/>
  <c r="C19" i="46" s="1"/>
  <c r="E18" i="46"/>
  <c r="V18" i="46" s="1"/>
  <c r="D18" i="46"/>
  <c r="B18" i="46"/>
  <c r="C18" i="46" s="1"/>
  <c r="T17" i="46"/>
  <c r="T18" i="46" s="1"/>
  <c r="S17" i="46"/>
  <c r="S18" i="46" s="1"/>
  <c r="S19" i="46" s="1"/>
  <c r="S20" i="46" s="1"/>
  <c r="S21" i="46" s="1"/>
  <c r="E17" i="46"/>
  <c r="V17" i="46" s="1"/>
  <c r="D17" i="46"/>
  <c r="B17" i="46"/>
  <c r="C17" i="46" s="1"/>
  <c r="E16" i="46"/>
  <c r="V16" i="46" s="1"/>
  <c r="D16" i="46"/>
  <c r="C16" i="46"/>
  <c r="B16" i="46"/>
  <c r="O15" i="46"/>
  <c r="C12" i="46"/>
  <c r="N5" i="46"/>
  <c r="O34" i="45"/>
  <c r="H25" i="45"/>
  <c r="G25" i="45"/>
  <c r="A25" i="45"/>
  <c r="E24" i="45"/>
  <c r="V24" i="45" s="1"/>
  <c r="D24" i="45"/>
  <c r="B24" i="45"/>
  <c r="C24" i="45" s="1"/>
  <c r="U23" i="45"/>
  <c r="U24" i="45" s="1"/>
  <c r="T23" i="45"/>
  <c r="T24" i="45" s="1"/>
  <c r="E23" i="45"/>
  <c r="V23" i="45" s="1"/>
  <c r="D23" i="45"/>
  <c r="B23" i="45"/>
  <c r="C23" i="45" s="1"/>
  <c r="E22" i="45"/>
  <c r="V22" i="45" s="1"/>
  <c r="D22" i="45"/>
  <c r="B22" i="45"/>
  <c r="C22" i="45" s="1"/>
  <c r="E21" i="45"/>
  <c r="V21" i="45" s="1"/>
  <c r="D21" i="45"/>
  <c r="B21" i="45"/>
  <c r="C21" i="45" s="1"/>
  <c r="T20" i="45"/>
  <c r="T21" i="45" s="1"/>
  <c r="E20" i="45"/>
  <c r="V20" i="45" s="1"/>
  <c r="D20" i="45"/>
  <c r="B20" i="45"/>
  <c r="C20" i="45" s="1"/>
  <c r="E19" i="45"/>
  <c r="V19" i="45" s="1"/>
  <c r="D19" i="45"/>
  <c r="B19" i="45"/>
  <c r="C19" i="45" s="1"/>
  <c r="E18" i="45"/>
  <c r="V18" i="45" s="1"/>
  <c r="D18" i="45"/>
  <c r="B18" i="45"/>
  <c r="C18" i="45" s="1"/>
  <c r="T17" i="45"/>
  <c r="T18" i="45" s="1"/>
  <c r="S17" i="45"/>
  <c r="S18" i="45" s="1"/>
  <c r="S19" i="45" s="1"/>
  <c r="S20" i="45" s="1"/>
  <c r="S21" i="45" s="1"/>
  <c r="E17" i="45"/>
  <c r="V17" i="45" s="1"/>
  <c r="D17" i="45"/>
  <c r="B17" i="45"/>
  <c r="C17" i="45" s="1"/>
  <c r="V16" i="45"/>
  <c r="E16" i="45"/>
  <c r="D16" i="45"/>
  <c r="C16" i="45"/>
  <c r="B16" i="45"/>
  <c r="O15" i="45"/>
  <c r="C12" i="45"/>
  <c r="C11" i="45"/>
  <c r="N5" i="45"/>
  <c r="O34" i="44"/>
  <c r="C11" i="44" s="1"/>
  <c r="H25" i="44"/>
  <c r="G25" i="44"/>
  <c r="A25" i="44"/>
  <c r="E24" i="44"/>
  <c r="V24" i="44" s="1"/>
  <c r="D24" i="44"/>
  <c r="B24" i="44"/>
  <c r="C24" i="44" s="1"/>
  <c r="U23" i="44"/>
  <c r="U24" i="44" s="1"/>
  <c r="T23" i="44"/>
  <c r="T24" i="44" s="1"/>
  <c r="E23" i="44"/>
  <c r="V23" i="44" s="1"/>
  <c r="D23" i="44"/>
  <c r="B23" i="44"/>
  <c r="C23" i="44" s="1"/>
  <c r="E22" i="44"/>
  <c r="V22" i="44" s="1"/>
  <c r="D22" i="44"/>
  <c r="B22" i="44"/>
  <c r="C22" i="44" s="1"/>
  <c r="E21" i="44"/>
  <c r="V21" i="44" s="1"/>
  <c r="D21" i="44"/>
  <c r="B21" i="44"/>
  <c r="C21" i="44" s="1"/>
  <c r="T20" i="44"/>
  <c r="T21" i="44" s="1"/>
  <c r="E20" i="44"/>
  <c r="V20" i="44" s="1"/>
  <c r="D20" i="44"/>
  <c r="B20" i="44"/>
  <c r="C20" i="44" s="1"/>
  <c r="E19" i="44"/>
  <c r="V19" i="44" s="1"/>
  <c r="D19" i="44"/>
  <c r="B19" i="44"/>
  <c r="C19" i="44" s="1"/>
  <c r="E18" i="44"/>
  <c r="V18" i="44" s="1"/>
  <c r="D18" i="44"/>
  <c r="B18" i="44"/>
  <c r="C18" i="44" s="1"/>
  <c r="T17" i="44"/>
  <c r="T18" i="44" s="1"/>
  <c r="S17" i="44"/>
  <c r="S18" i="44" s="1"/>
  <c r="S19" i="44" s="1"/>
  <c r="S20" i="44" s="1"/>
  <c r="S21" i="44" s="1"/>
  <c r="E17" i="44"/>
  <c r="V17" i="44" s="1"/>
  <c r="D17" i="44"/>
  <c r="B17" i="44"/>
  <c r="C17" i="44" s="1"/>
  <c r="V16" i="44"/>
  <c r="E16" i="44"/>
  <c r="D16" i="44"/>
  <c r="N16" i="44" s="1"/>
  <c r="C16" i="44"/>
  <c r="B16" i="44"/>
  <c r="O15" i="44"/>
  <c r="C12" i="44"/>
  <c r="N5" i="44"/>
  <c r="O34" i="43"/>
  <c r="H25" i="43"/>
  <c r="G25" i="43"/>
  <c r="A25" i="43"/>
  <c r="E24" i="43"/>
  <c r="V24" i="43" s="1"/>
  <c r="D24" i="43"/>
  <c r="B24" i="43"/>
  <c r="C24" i="43" s="1"/>
  <c r="U23" i="43"/>
  <c r="U24" i="43" s="1"/>
  <c r="T23" i="43"/>
  <c r="T24" i="43" s="1"/>
  <c r="E23" i="43"/>
  <c r="V23" i="43" s="1"/>
  <c r="D23" i="43"/>
  <c r="B23" i="43"/>
  <c r="C23" i="43" s="1"/>
  <c r="E22" i="43"/>
  <c r="V22" i="43" s="1"/>
  <c r="D22" i="43"/>
  <c r="B22" i="43"/>
  <c r="C22" i="43" s="1"/>
  <c r="E21" i="43"/>
  <c r="V21" i="43" s="1"/>
  <c r="D21" i="43"/>
  <c r="B21" i="43"/>
  <c r="C21" i="43" s="1"/>
  <c r="T20" i="43"/>
  <c r="T21" i="43" s="1"/>
  <c r="E20" i="43"/>
  <c r="V20" i="43" s="1"/>
  <c r="D20" i="43"/>
  <c r="B20" i="43"/>
  <c r="C20" i="43" s="1"/>
  <c r="E19" i="43"/>
  <c r="V19" i="43" s="1"/>
  <c r="D19" i="43"/>
  <c r="B19" i="43"/>
  <c r="C19" i="43" s="1"/>
  <c r="E18" i="43"/>
  <c r="V18" i="43" s="1"/>
  <c r="D18" i="43"/>
  <c r="B18" i="43"/>
  <c r="C18" i="43" s="1"/>
  <c r="T17" i="43"/>
  <c r="T18" i="43" s="1"/>
  <c r="S17" i="43"/>
  <c r="S18" i="43" s="1"/>
  <c r="S19" i="43" s="1"/>
  <c r="S20" i="43" s="1"/>
  <c r="S21" i="43" s="1"/>
  <c r="E17" i="43"/>
  <c r="V17" i="43" s="1"/>
  <c r="D17" i="43"/>
  <c r="B17" i="43"/>
  <c r="C17" i="43" s="1"/>
  <c r="E16" i="43"/>
  <c r="V16" i="43" s="1"/>
  <c r="D16" i="43"/>
  <c r="C16" i="43"/>
  <c r="B16" i="43"/>
  <c r="O15" i="43"/>
  <c r="C12" i="43"/>
  <c r="C11" i="43"/>
  <c r="N5" i="43"/>
  <c r="N24" i="43" l="1"/>
  <c r="N24" i="45"/>
  <c r="N16" i="49"/>
  <c r="N16" i="51"/>
  <c r="N24" i="52"/>
  <c r="N16" i="54"/>
  <c r="N24" i="57"/>
  <c r="N16" i="61"/>
  <c r="N20" i="63"/>
  <c r="N23" i="63"/>
  <c r="N25" i="68"/>
  <c r="P32" i="68" s="1"/>
  <c r="N25" i="72"/>
  <c r="P32" i="72" s="1"/>
  <c r="N25" i="71"/>
  <c r="P32" i="71" s="1"/>
  <c r="N25" i="70"/>
  <c r="P32" i="70" s="1"/>
  <c r="N25" i="69"/>
  <c r="P32" i="69" s="1"/>
  <c r="N25" i="67"/>
  <c r="P32" i="67" s="1"/>
  <c r="N25" i="66"/>
  <c r="P32" i="66" s="1"/>
  <c r="N25" i="65"/>
  <c r="P32" i="65" s="1"/>
  <c r="N25" i="64"/>
  <c r="P32" i="64" s="1"/>
  <c r="N24" i="63"/>
  <c r="N18" i="63"/>
  <c r="N19" i="63"/>
  <c r="N17" i="63"/>
  <c r="N21" i="63"/>
  <c r="N22" i="63"/>
  <c r="H16" i="62"/>
  <c r="G16" i="62" s="1"/>
  <c r="N16" i="43"/>
  <c r="N16" i="45"/>
  <c r="N16" i="46"/>
  <c r="N20" i="51"/>
  <c r="N23" i="51"/>
  <c r="N24" i="51"/>
  <c r="N16" i="52"/>
  <c r="N16" i="55"/>
  <c r="N16" i="57"/>
  <c r="N24" i="58"/>
  <c r="N24" i="59"/>
  <c r="N16" i="60"/>
  <c r="N24" i="61"/>
  <c r="N20" i="61"/>
  <c r="N23" i="61"/>
  <c r="N17" i="61"/>
  <c r="N18" i="61"/>
  <c r="N19" i="61"/>
  <c r="N21" i="61"/>
  <c r="N22" i="61"/>
  <c r="N24" i="60"/>
  <c r="N20" i="60"/>
  <c r="N23" i="60"/>
  <c r="N17" i="60"/>
  <c r="N18" i="60"/>
  <c r="N19" i="60"/>
  <c r="N21" i="60"/>
  <c r="N22" i="60"/>
  <c r="N20" i="59"/>
  <c r="N23" i="59"/>
  <c r="N17" i="59"/>
  <c r="N18" i="59"/>
  <c r="N19" i="59"/>
  <c r="N21" i="59"/>
  <c r="N22" i="59"/>
  <c r="N20" i="58"/>
  <c r="N23" i="58"/>
  <c r="N21" i="58"/>
  <c r="N22" i="58"/>
  <c r="N17" i="58"/>
  <c r="N19" i="58"/>
  <c r="N18" i="58"/>
  <c r="N20" i="57"/>
  <c r="N23" i="57"/>
  <c r="N17" i="57"/>
  <c r="N19" i="57"/>
  <c r="N21" i="57"/>
  <c r="N22" i="57"/>
  <c r="N18" i="57"/>
  <c r="N24" i="56"/>
  <c r="N20" i="56"/>
  <c r="N23" i="56"/>
  <c r="N17" i="56"/>
  <c r="N18" i="56"/>
  <c r="N19" i="56"/>
  <c r="N21" i="56"/>
  <c r="N22" i="56"/>
  <c r="N24" i="55"/>
  <c r="N20" i="55"/>
  <c r="N23" i="55"/>
  <c r="N17" i="55"/>
  <c r="N21" i="55"/>
  <c r="N22" i="55"/>
  <c r="N18" i="55"/>
  <c r="N19" i="55"/>
  <c r="N24" i="54"/>
  <c r="N20" i="54"/>
  <c r="N23" i="54"/>
  <c r="N17" i="54"/>
  <c r="N18" i="54"/>
  <c r="N19" i="54"/>
  <c r="N21" i="54"/>
  <c r="N22" i="54"/>
  <c r="N24" i="53"/>
  <c r="N20" i="53"/>
  <c r="N23" i="53"/>
  <c r="N17" i="53"/>
  <c r="N18" i="53"/>
  <c r="N19" i="53"/>
  <c r="N21" i="53"/>
  <c r="N22" i="53"/>
  <c r="N20" i="52"/>
  <c r="N23" i="52"/>
  <c r="N17" i="52"/>
  <c r="N21" i="52"/>
  <c r="N22" i="52"/>
  <c r="N18" i="52"/>
  <c r="N19" i="52"/>
  <c r="N17" i="51"/>
  <c r="N18" i="51"/>
  <c r="N19" i="51"/>
  <c r="N21" i="51"/>
  <c r="N22" i="51"/>
  <c r="N20" i="50"/>
  <c r="N23" i="50"/>
  <c r="N17" i="50"/>
  <c r="N18" i="50"/>
  <c r="N19" i="50"/>
  <c r="N21" i="50"/>
  <c r="N22" i="50"/>
  <c r="N24" i="49"/>
  <c r="N20" i="49"/>
  <c r="N23" i="49"/>
  <c r="N17" i="49"/>
  <c r="N18" i="49"/>
  <c r="N19" i="49"/>
  <c r="N21" i="49"/>
  <c r="N22" i="49"/>
  <c r="N20" i="48"/>
  <c r="N23" i="48"/>
  <c r="N17" i="48"/>
  <c r="N18" i="48"/>
  <c r="N19" i="48"/>
  <c r="N21" i="48"/>
  <c r="N22" i="48"/>
  <c r="N24" i="47"/>
  <c r="N16" i="47"/>
  <c r="N20" i="47"/>
  <c r="N23" i="47"/>
  <c r="N17" i="47"/>
  <c r="N18" i="47"/>
  <c r="N19" i="47"/>
  <c r="N21" i="47"/>
  <c r="N22" i="47"/>
  <c r="N20" i="46"/>
  <c r="N23" i="46"/>
  <c r="N17" i="46"/>
  <c r="N18" i="46"/>
  <c r="N19" i="46"/>
  <c r="N21" i="46"/>
  <c r="N22" i="46"/>
  <c r="N20" i="45"/>
  <c r="N23" i="45"/>
  <c r="N17" i="45"/>
  <c r="N18" i="45"/>
  <c r="N19" i="45"/>
  <c r="N21" i="45"/>
  <c r="N22" i="45"/>
  <c r="N24" i="44"/>
  <c r="N20" i="44"/>
  <c r="N23" i="44"/>
  <c r="N17" i="44"/>
  <c r="N19" i="44"/>
  <c r="N18" i="44"/>
  <c r="N21" i="44"/>
  <c r="N22" i="44"/>
  <c r="N20" i="43"/>
  <c r="N23" i="43"/>
  <c r="N19" i="43"/>
  <c r="N21" i="43"/>
  <c r="N22" i="43"/>
  <c r="N17" i="43"/>
  <c r="N18" i="43"/>
  <c r="J50" i="41"/>
  <c r="L50" i="41" s="1"/>
  <c r="L49" i="41"/>
  <c r="K49" i="41" s="1"/>
  <c r="J49" i="41"/>
  <c r="J48" i="41"/>
  <c r="N48" i="41" s="1"/>
  <c r="J47" i="41"/>
  <c r="L47" i="41" s="1"/>
  <c r="J46" i="41"/>
  <c r="L46" i="41" s="1"/>
  <c r="J44" i="41"/>
  <c r="L44" i="41" s="1"/>
  <c r="K44" i="41" s="1"/>
  <c r="J43" i="41"/>
  <c r="N43" i="41" s="1"/>
  <c r="J42" i="41"/>
  <c r="N42" i="41" s="1"/>
  <c r="J40" i="41"/>
  <c r="L40" i="41" s="1"/>
  <c r="L39" i="41"/>
  <c r="K39" i="41" s="1"/>
  <c r="J39" i="41"/>
  <c r="J37" i="41"/>
  <c r="N37" i="41" s="1"/>
  <c r="J36" i="41"/>
  <c r="N36" i="41" s="1"/>
  <c r="J35" i="41"/>
  <c r="L35" i="41" s="1"/>
  <c r="J34" i="41"/>
  <c r="L34" i="41" s="1"/>
  <c r="K34" i="41" s="1"/>
  <c r="J33" i="41"/>
  <c r="N33" i="41" s="1"/>
  <c r="J32" i="41"/>
  <c r="N32" i="41" s="1"/>
  <c r="J31" i="41"/>
  <c r="L31" i="41" s="1"/>
  <c r="L30" i="41"/>
  <c r="K30" i="41" s="1"/>
  <c r="J30" i="41"/>
  <c r="J29" i="41"/>
  <c r="N29" i="41" s="1"/>
  <c r="J28" i="41"/>
  <c r="L28" i="41" s="1"/>
  <c r="J26" i="41"/>
  <c r="L26" i="41" s="1"/>
  <c r="J25" i="41"/>
  <c r="L25" i="41" s="1"/>
  <c r="K25" i="41" s="1"/>
  <c r="J24" i="41"/>
  <c r="N24" i="41" s="1"/>
  <c r="J23" i="41"/>
  <c r="L23" i="41" s="1"/>
  <c r="J22" i="41"/>
  <c r="L22" i="41" s="1"/>
  <c r="L21" i="41"/>
  <c r="K21" i="41" s="1"/>
  <c r="J21" i="41"/>
  <c r="J20" i="41"/>
  <c r="N20" i="41" s="1"/>
  <c r="J19" i="41"/>
  <c r="N19" i="41" s="1"/>
  <c r="J18" i="41"/>
  <c r="L18" i="41" s="1"/>
  <c r="J17" i="41"/>
  <c r="L17" i="41" s="1"/>
  <c r="K17" i="41" s="1"/>
  <c r="J16" i="41"/>
  <c r="N16" i="41" s="1"/>
  <c r="J15" i="41"/>
  <c r="L15" i="41" s="1"/>
  <c r="J13" i="41"/>
  <c r="L13" i="41" s="1"/>
  <c r="L12" i="41"/>
  <c r="K12" i="41" s="1"/>
  <c r="J12" i="41"/>
  <c r="J11" i="41"/>
  <c r="N11" i="41" s="1"/>
  <c r="J10" i="41"/>
  <c r="L10" i="41" s="1"/>
  <c r="J9" i="41"/>
  <c r="L9" i="41" s="1"/>
  <c r="J8" i="41"/>
  <c r="L8" i="41" s="1"/>
  <c r="K8" i="41" s="1"/>
  <c r="J7" i="41"/>
  <c r="N7" i="41" s="1"/>
  <c r="J6" i="41"/>
  <c r="N6" i="41" s="1"/>
  <c r="J5" i="41"/>
  <c r="L5" i="41" s="1"/>
  <c r="U3" i="41"/>
  <c r="S17" i="11"/>
  <c r="S18" i="11" s="1"/>
  <c r="S19" i="11" s="1"/>
  <c r="S20" i="11" s="1"/>
  <c r="S21" i="11" s="1"/>
  <c r="T20" i="11"/>
  <c r="T21" i="11" s="1"/>
  <c r="T17" i="11"/>
  <c r="T18" i="11" s="1"/>
  <c r="T23" i="11"/>
  <c r="T24" i="11" s="1"/>
  <c r="U23" i="11"/>
  <c r="U24" i="11" s="1"/>
  <c r="N34" i="16"/>
  <c r="N32" i="16"/>
  <c r="C12" i="16" s="1"/>
  <c r="H25" i="16"/>
  <c r="G25" i="16"/>
  <c r="A25" i="16"/>
  <c r="E24" i="16"/>
  <c r="D24" i="16"/>
  <c r="B24" i="16"/>
  <c r="C24" i="16" s="1"/>
  <c r="E23" i="16"/>
  <c r="D23" i="16"/>
  <c r="B23" i="16"/>
  <c r="C23" i="16" s="1"/>
  <c r="E22" i="16"/>
  <c r="D22" i="16"/>
  <c r="B22" i="16"/>
  <c r="C22" i="16" s="1"/>
  <c r="E21" i="16"/>
  <c r="D21" i="16"/>
  <c r="B21" i="16"/>
  <c r="C21" i="16" s="1"/>
  <c r="E20" i="16"/>
  <c r="D20" i="16"/>
  <c r="B20" i="16"/>
  <c r="C20" i="16" s="1"/>
  <c r="E19" i="16"/>
  <c r="D19" i="16"/>
  <c r="B19" i="16"/>
  <c r="C19" i="16" s="1"/>
  <c r="E18" i="16"/>
  <c r="D18" i="16"/>
  <c r="B18" i="16"/>
  <c r="C18" i="16" s="1"/>
  <c r="E17" i="16"/>
  <c r="D17" i="16"/>
  <c r="B17" i="16"/>
  <c r="C17" i="16" s="1"/>
  <c r="E16" i="16"/>
  <c r="D16" i="16"/>
  <c r="C16" i="16"/>
  <c r="B16" i="16"/>
  <c r="N15" i="16"/>
  <c r="M15" i="16"/>
  <c r="C11" i="16"/>
  <c r="M4" i="16"/>
  <c r="M5" i="16" s="1"/>
  <c r="N5" i="15"/>
  <c r="K5" i="15"/>
  <c r="I5" i="15"/>
  <c r="H5" i="15"/>
  <c r="F5" i="15"/>
  <c r="N4" i="15"/>
  <c r="K4" i="15"/>
  <c r="I4" i="15"/>
  <c r="H4" i="15" s="1"/>
  <c r="F4" i="15"/>
  <c r="N3" i="15"/>
  <c r="K3" i="15"/>
  <c r="I3" i="15" s="1"/>
  <c r="H3" i="15" s="1"/>
  <c r="F3" i="15"/>
  <c r="N25" i="58" l="1"/>
  <c r="P32" i="58" s="1"/>
  <c r="L33" i="41"/>
  <c r="L29" i="41"/>
  <c r="L48" i="41"/>
  <c r="L7" i="41"/>
  <c r="L43" i="41"/>
  <c r="L6" i="41"/>
  <c r="L37" i="41"/>
  <c r="N25" i="63"/>
  <c r="P32" i="63" s="1"/>
  <c r="N25" i="44"/>
  <c r="P32" i="44" s="1"/>
  <c r="N25" i="46"/>
  <c r="P32" i="46" s="1"/>
  <c r="N25" i="52"/>
  <c r="P32" i="52" s="1"/>
  <c r="N25" i="53"/>
  <c r="P32" i="53" s="1"/>
  <c r="N25" i="61"/>
  <c r="P32" i="61" s="1"/>
  <c r="N25" i="60"/>
  <c r="P32" i="60" s="1"/>
  <c r="N25" i="59"/>
  <c r="P32" i="59" s="1"/>
  <c r="N25" i="57"/>
  <c r="P32" i="57" s="1"/>
  <c r="N25" i="56"/>
  <c r="P32" i="56" s="1"/>
  <c r="N25" i="55"/>
  <c r="P32" i="55" s="1"/>
  <c r="N25" i="54"/>
  <c r="P32" i="54" s="1"/>
  <c r="N25" i="51"/>
  <c r="P32" i="51" s="1"/>
  <c r="N25" i="50"/>
  <c r="P32" i="50" s="1"/>
  <c r="N25" i="49"/>
  <c r="P32" i="49" s="1"/>
  <c r="N25" i="48"/>
  <c r="P32" i="48" s="1"/>
  <c r="N25" i="47"/>
  <c r="P32" i="47" s="1"/>
  <c r="N25" i="45"/>
  <c r="P32" i="45" s="1"/>
  <c r="N25" i="43"/>
  <c r="P32" i="43" s="1"/>
  <c r="M9" i="41"/>
  <c r="K9" i="41"/>
  <c r="M23" i="41"/>
  <c r="K23" i="41"/>
  <c r="M26" i="41"/>
  <c r="K26" i="41"/>
  <c r="O34" i="41"/>
  <c r="P34" i="41" s="1"/>
  <c r="M10" i="41"/>
  <c r="K10" i="41"/>
  <c r="M40" i="41"/>
  <c r="K40" i="41"/>
  <c r="M47" i="41"/>
  <c r="K47" i="41"/>
  <c r="M15" i="41"/>
  <c r="O15" i="41" s="1"/>
  <c r="P15" i="41" s="1"/>
  <c r="K15" i="41"/>
  <c r="K18" i="41"/>
  <c r="M18" i="41"/>
  <c r="M35" i="41"/>
  <c r="O35" i="41" s="1"/>
  <c r="P35" i="41" s="1"/>
  <c r="K35" i="41"/>
  <c r="K46" i="41"/>
  <c r="M46" i="41"/>
  <c r="K13" i="41"/>
  <c r="M13" i="41"/>
  <c r="M28" i="41"/>
  <c r="K28" i="41"/>
  <c r="M5" i="41"/>
  <c r="O5" i="41" s="1"/>
  <c r="P5" i="41" s="1"/>
  <c r="N5" i="41"/>
  <c r="K5" i="41"/>
  <c r="S5" i="41"/>
  <c r="T5" i="41" s="1"/>
  <c r="U5" i="41" s="1"/>
  <c r="U6" i="41" s="1"/>
  <c r="K22" i="41"/>
  <c r="M22" i="41"/>
  <c r="M31" i="41"/>
  <c r="K31" i="41"/>
  <c r="K50" i="41"/>
  <c r="M50" i="41"/>
  <c r="N15" i="41"/>
  <c r="M8" i="41"/>
  <c r="N9" i="41"/>
  <c r="O9" i="41" s="1"/>
  <c r="P9" i="41" s="1"/>
  <c r="L11" i="41"/>
  <c r="M12" i="41"/>
  <c r="N13" i="41"/>
  <c r="L16" i="41"/>
  <c r="M17" i="41"/>
  <c r="N18" i="41"/>
  <c r="O18" i="41" s="1"/>
  <c r="P18" i="41" s="1"/>
  <c r="L20" i="41"/>
  <c r="M21" i="41"/>
  <c r="N22" i="41"/>
  <c r="L24" i="41"/>
  <c r="M25" i="41"/>
  <c r="N26" i="41"/>
  <c r="O26" i="41" s="1"/>
  <c r="P26" i="41" s="1"/>
  <c r="M30" i="41"/>
  <c r="N31" i="41"/>
  <c r="M34" i="41"/>
  <c r="N35" i="41"/>
  <c r="M39" i="41"/>
  <c r="O39" i="41" s="1"/>
  <c r="P39" i="41" s="1"/>
  <c r="N40" i="41"/>
  <c r="M44" i="41"/>
  <c r="N46" i="41"/>
  <c r="M49" i="41"/>
  <c r="O49" i="41" s="1"/>
  <c r="P49" i="41" s="1"/>
  <c r="N50" i="41"/>
  <c r="N10" i="41"/>
  <c r="O10" i="41" s="1"/>
  <c r="P10" i="41" s="1"/>
  <c r="N23" i="41"/>
  <c r="N28" i="41"/>
  <c r="N47" i="41"/>
  <c r="O47" i="41" s="1"/>
  <c r="P47" i="41" s="1"/>
  <c r="N8" i="41"/>
  <c r="N12" i="41"/>
  <c r="O13" i="41"/>
  <c r="P13" i="41" s="1"/>
  <c r="N17" i="41"/>
  <c r="L19" i="41"/>
  <c r="N21" i="41"/>
  <c r="N25" i="41"/>
  <c r="N30" i="41"/>
  <c r="L32" i="41"/>
  <c r="N34" i="41"/>
  <c r="L36" i="41"/>
  <c r="N39" i="41"/>
  <c r="L42" i="41"/>
  <c r="N44" i="41"/>
  <c r="N49" i="41"/>
  <c r="O50" i="41"/>
  <c r="P50" i="41" s="1"/>
  <c r="N31" i="14"/>
  <c r="N24" i="14"/>
  <c r="N17" i="14"/>
  <c r="N11" i="14"/>
  <c r="O5" i="14"/>
  <c r="O3" i="14"/>
  <c r="O4" i="14"/>
  <c r="M9" i="14"/>
  <c r="M31" i="14"/>
  <c r="O31" i="14" s="1"/>
  <c r="M24" i="14"/>
  <c r="O11" i="14"/>
  <c r="L5" i="14"/>
  <c r="J5" i="14" s="1"/>
  <c r="I5" i="14" s="1"/>
  <c r="G5" i="14"/>
  <c r="L4" i="14"/>
  <c r="J4" i="14" s="1"/>
  <c r="I4" i="14" s="1"/>
  <c r="G4" i="14"/>
  <c r="L3" i="14"/>
  <c r="J3" i="14" s="1"/>
  <c r="I3" i="14" s="1"/>
  <c r="G3" i="14"/>
  <c r="M17" i="14"/>
  <c r="L31" i="14"/>
  <c r="G31" i="14"/>
  <c r="L30" i="14"/>
  <c r="G30" i="14"/>
  <c r="L29" i="14"/>
  <c r="J29" i="14" s="1"/>
  <c r="I29" i="14" s="1"/>
  <c r="G29" i="14"/>
  <c r="L24" i="14"/>
  <c r="G24" i="14"/>
  <c r="L23" i="14"/>
  <c r="G23" i="14"/>
  <c r="L22" i="14"/>
  <c r="G22" i="14"/>
  <c r="L17" i="14"/>
  <c r="G17" i="14"/>
  <c r="L16" i="14"/>
  <c r="G16" i="14"/>
  <c r="L15" i="14"/>
  <c r="S15" i="14" s="1"/>
  <c r="G15" i="14"/>
  <c r="L11" i="14"/>
  <c r="G11" i="14"/>
  <c r="L10" i="14"/>
  <c r="G10" i="14"/>
  <c r="L9" i="14"/>
  <c r="G9" i="14"/>
  <c r="O15" i="11"/>
  <c r="O46" i="41" l="1"/>
  <c r="P46" i="41" s="1"/>
  <c r="O44" i="41"/>
  <c r="P44" i="41" s="1"/>
  <c r="O25" i="41"/>
  <c r="P25" i="41" s="1"/>
  <c r="O31" i="41"/>
  <c r="P31" i="41" s="1"/>
  <c r="O28" i="41"/>
  <c r="P28" i="41" s="1"/>
  <c r="O40" i="41"/>
  <c r="P40" i="41" s="1"/>
  <c r="O23" i="41"/>
  <c r="P23" i="41" s="1"/>
  <c r="O8" i="41"/>
  <c r="P8" i="41" s="1"/>
  <c r="O22" i="41"/>
  <c r="P22" i="41" s="1"/>
  <c r="O21" i="41"/>
  <c r="P21" i="41" s="1"/>
  <c r="O30" i="41"/>
  <c r="P30" i="41" s="1"/>
  <c r="O17" i="41"/>
  <c r="P17" i="41" s="1"/>
  <c r="O12" i="41"/>
  <c r="P12" i="41" s="1"/>
  <c r="M37" i="41"/>
  <c r="O37" i="41" s="1"/>
  <c r="P37" i="41" s="1"/>
  <c r="K37" i="41"/>
  <c r="M6" i="41"/>
  <c r="O6" i="41" s="1"/>
  <c r="P6" i="41" s="1"/>
  <c r="K6" i="41"/>
  <c r="M48" i="41"/>
  <c r="O48" i="41" s="1"/>
  <c r="P48" i="41" s="1"/>
  <c r="K48" i="41"/>
  <c r="M43" i="41"/>
  <c r="O43" i="41" s="1"/>
  <c r="P43" i="41" s="1"/>
  <c r="K43" i="41"/>
  <c r="M29" i="41"/>
  <c r="O29" i="41" s="1"/>
  <c r="P29" i="41" s="1"/>
  <c r="K29" i="41"/>
  <c r="M7" i="41"/>
  <c r="O7" i="41" s="1"/>
  <c r="P7" i="41" s="1"/>
  <c r="K7" i="41"/>
  <c r="M33" i="41"/>
  <c r="O33" i="41" s="1"/>
  <c r="P33" i="41" s="1"/>
  <c r="K33" i="41"/>
  <c r="M19" i="41"/>
  <c r="O19" i="41" s="1"/>
  <c r="P19" i="41" s="1"/>
  <c r="K19" i="41"/>
  <c r="M20" i="41"/>
  <c r="O20" i="41" s="1"/>
  <c r="P20" i="41" s="1"/>
  <c r="K20" i="41"/>
  <c r="Q5" i="41"/>
  <c r="M32" i="41"/>
  <c r="O32" i="41" s="1"/>
  <c r="P32" i="41" s="1"/>
  <c r="K32" i="41"/>
  <c r="M42" i="41"/>
  <c r="O42" i="41" s="1"/>
  <c r="P42" i="41" s="1"/>
  <c r="K42" i="41"/>
  <c r="K24" i="41"/>
  <c r="M24" i="41"/>
  <c r="O24" i="41" s="1"/>
  <c r="P24" i="41" s="1"/>
  <c r="M16" i="41"/>
  <c r="O16" i="41" s="1"/>
  <c r="P16" i="41" s="1"/>
  <c r="K16" i="41"/>
  <c r="K11" i="41"/>
  <c r="M11" i="41"/>
  <c r="O11" i="41" s="1"/>
  <c r="P11" i="41" s="1"/>
  <c r="M36" i="41"/>
  <c r="O36" i="41" s="1"/>
  <c r="P36" i="41" s="1"/>
  <c r="K36" i="41"/>
  <c r="J9" i="14"/>
  <c r="I9" i="14" s="1"/>
  <c r="J16" i="14"/>
  <c r="I16" i="14" s="1"/>
  <c r="J24" i="14"/>
  <c r="I24" i="14" s="1"/>
  <c r="J10" i="14"/>
  <c r="I10" i="14" s="1"/>
  <c r="J23" i="14"/>
  <c r="I23" i="14" s="1"/>
  <c r="S23" i="14"/>
  <c r="S9" i="14"/>
  <c r="J11" i="14"/>
  <c r="I11" i="14" s="1"/>
  <c r="P11" i="14"/>
  <c r="R11" i="14" s="1"/>
  <c r="T11" i="14" s="1"/>
  <c r="U11" i="14" s="1"/>
  <c r="S22" i="14"/>
  <c r="S30" i="14"/>
  <c r="S16" i="14"/>
  <c r="S29" i="14"/>
  <c r="P31" i="14"/>
  <c r="R31" i="14" s="1"/>
  <c r="T31" i="14" s="1"/>
  <c r="U31" i="14" s="1"/>
  <c r="S10" i="14"/>
  <c r="O24" i="14"/>
  <c r="O17" i="14"/>
  <c r="O9" i="14"/>
  <c r="P9" i="14" s="1"/>
  <c r="R9" i="14" s="1"/>
  <c r="T9" i="14" s="1"/>
  <c r="U9" i="14" s="1"/>
  <c r="M29" i="14"/>
  <c r="M30" i="14"/>
  <c r="O30" i="14" s="1"/>
  <c r="P30" i="14" s="1"/>
  <c r="M15" i="14"/>
  <c r="M22" i="14"/>
  <c r="M23" i="14"/>
  <c r="M16" i="14"/>
  <c r="M10" i="14"/>
  <c r="O10" i="14" s="1"/>
  <c r="P10" i="14" s="1"/>
  <c r="J31" i="14"/>
  <c r="I31" i="14" s="1"/>
  <c r="J30" i="14"/>
  <c r="I30" i="14" s="1"/>
  <c r="J22" i="14"/>
  <c r="I22" i="14" s="1"/>
  <c r="J15" i="14"/>
  <c r="I15" i="14" s="1"/>
  <c r="J17" i="14"/>
  <c r="I17" i="14" s="1"/>
  <c r="P17" i="14" l="1"/>
  <c r="R17" i="14" s="1"/>
  <c r="T17" i="14" s="1"/>
  <c r="U17" i="14" s="1"/>
  <c r="P24" i="14"/>
  <c r="R24" i="14" s="1"/>
  <c r="T24" i="14" s="1"/>
  <c r="U24" i="14" s="1"/>
  <c r="R30" i="14"/>
  <c r="T30" i="14" s="1"/>
  <c r="U30" i="14" s="1"/>
  <c r="R23" i="14"/>
  <c r="T23" i="14" s="1"/>
  <c r="U23" i="14" s="1"/>
  <c r="O23" i="14"/>
  <c r="P23" i="14" s="1"/>
  <c r="O15" i="14"/>
  <c r="P15" i="14" s="1"/>
  <c r="R15" i="14" s="1"/>
  <c r="T15" i="14" s="1"/>
  <c r="U15" i="14" s="1"/>
  <c r="O22" i="14"/>
  <c r="P22" i="14" s="1"/>
  <c r="R22" i="14" s="1"/>
  <c r="T22" i="14" s="1"/>
  <c r="U22" i="14" s="1"/>
  <c r="O16" i="14"/>
  <c r="P16" i="14" s="1"/>
  <c r="R16" i="14" s="1"/>
  <c r="T16" i="14" s="1"/>
  <c r="U16" i="14" s="1"/>
  <c r="R29" i="14"/>
  <c r="T29" i="14" s="1"/>
  <c r="U29" i="14" s="1"/>
  <c r="O29" i="14"/>
  <c r="P29" i="14" s="1"/>
  <c r="R10" i="14"/>
  <c r="T10" i="14" s="1"/>
  <c r="U10" i="14" s="1"/>
  <c r="F19" i="11" l="1"/>
  <c r="E24" i="11"/>
  <c r="V24" i="11" s="1"/>
  <c r="E23" i="11"/>
  <c r="V23" i="11" s="1"/>
  <c r="E22" i="11"/>
  <c r="V22" i="11" s="1"/>
  <c r="E21" i="11"/>
  <c r="V21" i="11" s="1"/>
  <c r="E20" i="11"/>
  <c r="V20" i="11" s="1"/>
  <c r="E19" i="11"/>
  <c r="V19" i="11" s="1"/>
  <c r="E18" i="11"/>
  <c r="V18" i="11" s="1"/>
  <c r="E17" i="11"/>
  <c r="V17" i="11" s="1"/>
  <c r="E16" i="11"/>
  <c r="V16" i="11" s="1"/>
  <c r="D24" i="11"/>
  <c r="D23" i="11"/>
  <c r="N23" i="11" s="1"/>
  <c r="N14" i="62" s="1"/>
  <c r="D22" i="11"/>
  <c r="N22" i="11" s="1"/>
  <c r="N13" i="62" s="1"/>
  <c r="D21" i="11"/>
  <c r="D20" i="11"/>
  <c r="D19" i="11"/>
  <c r="N19" i="11" s="1"/>
  <c r="N10" i="62" s="1"/>
  <c r="D18" i="11"/>
  <c r="N18" i="11" s="1"/>
  <c r="N9" i="62" s="1"/>
  <c r="D17" i="11"/>
  <c r="D16" i="11"/>
  <c r="C16" i="11"/>
  <c r="B24" i="11"/>
  <c r="C24" i="11" s="1"/>
  <c r="B23" i="11"/>
  <c r="C23" i="11" s="1"/>
  <c r="B22" i="11"/>
  <c r="C22" i="11" s="1"/>
  <c r="B21" i="11"/>
  <c r="C21" i="11" s="1"/>
  <c r="B20" i="11"/>
  <c r="C20" i="11" s="1"/>
  <c r="B19" i="11"/>
  <c r="C19" i="11" s="1"/>
  <c r="B18" i="11"/>
  <c r="C18" i="11" s="1"/>
  <c r="B17" i="11"/>
  <c r="C17" i="11" s="1"/>
  <c r="B16" i="11"/>
  <c r="AA14" i="6"/>
  <c r="M14" i="6"/>
  <c r="H14" i="6"/>
  <c r="AA13" i="6"/>
  <c r="M13" i="6"/>
  <c r="F23" i="11" s="1"/>
  <c r="H13" i="6"/>
  <c r="AA12" i="6"/>
  <c r="M12" i="6"/>
  <c r="H12" i="6"/>
  <c r="AA11" i="6"/>
  <c r="M11" i="6"/>
  <c r="H11" i="6"/>
  <c r="AA10" i="6"/>
  <c r="M10" i="6"/>
  <c r="F20" i="11" s="1"/>
  <c r="H10" i="6"/>
  <c r="AA9" i="6"/>
  <c r="M9" i="6"/>
  <c r="H9" i="6"/>
  <c r="AA8" i="6"/>
  <c r="M8" i="6"/>
  <c r="H8" i="6"/>
  <c r="AA7" i="6"/>
  <c r="N7" i="6"/>
  <c r="M7" i="6"/>
  <c r="H7" i="6"/>
  <c r="A7" i="6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7" i="6" s="1"/>
  <c r="A48" i="6" s="1"/>
  <c r="A50" i="6" s="1"/>
  <c r="A51" i="6" s="1"/>
  <c r="A52" i="6" s="1"/>
  <c r="A54" i="6" s="1"/>
  <c r="A55" i="6" s="1"/>
  <c r="A56" i="6" s="1"/>
  <c r="A57" i="6" s="1"/>
  <c r="A58" i="6" s="1"/>
  <c r="A60" i="6" s="1"/>
  <c r="A61" i="6" s="1"/>
  <c r="A62" i="6" s="1"/>
  <c r="A63" i="6" s="1"/>
  <c r="A64" i="6" s="1"/>
  <c r="A65" i="6" s="1"/>
  <c r="A66" i="6" s="1"/>
  <c r="A68" i="6" s="1"/>
  <c r="A69" i="6" s="1"/>
  <c r="A70" i="6" s="1"/>
  <c r="AA6" i="6"/>
  <c r="M6" i="6"/>
  <c r="H6" i="6"/>
  <c r="F16" i="11" l="1"/>
  <c r="F16" i="72"/>
  <c r="I16" i="72" s="1"/>
  <c r="F16" i="71"/>
  <c r="I16" i="71" s="1"/>
  <c r="F16" i="66"/>
  <c r="I16" i="66" s="1"/>
  <c r="F16" i="69"/>
  <c r="I16" i="69" s="1"/>
  <c r="F16" i="68"/>
  <c r="I16" i="68" s="1"/>
  <c r="F16" i="67"/>
  <c r="I16" i="67" s="1"/>
  <c r="F16" i="65"/>
  <c r="I16" i="65" s="1"/>
  <c r="F16" i="70"/>
  <c r="I16" i="70" s="1"/>
  <c r="F16" i="64"/>
  <c r="I16" i="64" s="1"/>
  <c r="F16" i="60"/>
  <c r="I16" i="60" s="1"/>
  <c r="F7" i="62"/>
  <c r="I7" i="62" s="1"/>
  <c r="F16" i="61"/>
  <c r="I16" i="61" s="1"/>
  <c r="F16" i="63"/>
  <c r="I16" i="63" s="1"/>
  <c r="F16" i="46"/>
  <c r="I16" i="46" s="1"/>
  <c r="F16" i="44"/>
  <c r="I16" i="44" s="1"/>
  <c r="F16" i="47"/>
  <c r="I16" i="47" s="1"/>
  <c r="F16" i="45"/>
  <c r="I16" i="45" s="1"/>
  <c r="F16" i="58"/>
  <c r="I16" i="58" s="1"/>
  <c r="F16" i="57"/>
  <c r="I16" i="57" s="1"/>
  <c r="F16" i="56"/>
  <c r="I16" i="56" s="1"/>
  <c r="F16" i="55"/>
  <c r="I16" i="55" s="1"/>
  <c r="F16" i="53"/>
  <c r="I16" i="53" s="1"/>
  <c r="F16" i="52"/>
  <c r="I16" i="52" s="1"/>
  <c r="F16" i="50"/>
  <c r="I16" i="50" s="1"/>
  <c r="F16" i="48"/>
  <c r="I16" i="48" s="1"/>
  <c r="F16" i="59"/>
  <c r="I16" i="59" s="1"/>
  <c r="F16" i="54"/>
  <c r="I16" i="54" s="1"/>
  <c r="F16" i="51"/>
  <c r="I16" i="51" s="1"/>
  <c r="F16" i="49"/>
  <c r="I16" i="49" s="1"/>
  <c r="F16" i="43"/>
  <c r="I16" i="43" s="1"/>
  <c r="F17" i="11"/>
  <c r="F17" i="69"/>
  <c r="I17" i="69" s="1"/>
  <c r="F17" i="68"/>
  <c r="I17" i="68" s="1"/>
  <c r="F17" i="67"/>
  <c r="I17" i="67" s="1"/>
  <c r="F17" i="70"/>
  <c r="I17" i="70" s="1"/>
  <c r="F17" i="72"/>
  <c r="I17" i="72" s="1"/>
  <c r="F17" i="71"/>
  <c r="I17" i="71" s="1"/>
  <c r="F17" i="65"/>
  <c r="I17" i="65" s="1"/>
  <c r="F17" i="64"/>
  <c r="I17" i="64" s="1"/>
  <c r="F17" i="66"/>
  <c r="I17" i="66" s="1"/>
  <c r="F17" i="61"/>
  <c r="I17" i="61" s="1"/>
  <c r="F17" i="60"/>
  <c r="I17" i="60" s="1"/>
  <c r="F17" i="63"/>
  <c r="I17" i="63" s="1"/>
  <c r="F8" i="62"/>
  <c r="I8" i="62" s="1"/>
  <c r="F17" i="59"/>
  <c r="I17" i="59" s="1"/>
  <c r="F17" i="58"/>
  <c r="I17" i="58" s="1"/>
  <c r="F17" i="57"/>
  <c r="I17" i="57" s="1"/>
  <c r="F17" i="56"/>
  <c r="I17" i="56" s="1"/>
  <c r="F17" i="55"/>
  <c r="I17" i="55" s="1"/>
  <c r="F17" i="53"/>
  <c r="I17" i="53" s="1"/>
  <c r="F17" i="52"/>
  <c r="I17" i="52" s="1"/>
  <c r="F17" i="50"/>
  <c r="I17" i="50" s="1"/>
  <c r="F17" i="48"/>
  <c r="I17" i="48" s="1"/>
  <c r="F17" i="47"/>
  <c r="I17" i="47" s="1"/>
  <c r="F17" i="54"/>
  <c r="I17" i="54" s="1"/>
  <c r="F17" i="51"/>
  <c r="I17" i="51" s="1"/>
  <c r="F17" i="49"/>
  <c r="I17" i="49" s="1"/>
  <c r="F17" i="43"/>
  <c r="I17" i="43" s="1"/>
  <c r="F17" i="46"/>
  <c r="I17" i="46" s="1"/>
  <c r="F17" i="44"/>
  <c r="I17" i="44" s="1"/>
  <c r="F17" i="45"/>
  <c r="I17" i="45" s="1"/>
  <c r="F22" i="71"/>
  <c r="I22" i="71" s="1"/>
  <c r="F22" i="70"/>
  <c r="I22" i="70" s="1"/>
  <c r="F22" i="64"/>
  <c r="I22" i="64" s="1"/>
  <c r="F22" i="65"/>
  <c r="I22" i="65" s="1"/>
  <c r="F22" i="72"/>
  <c r="I22" i="72" s="1"/>
  <c r="F22" i="69"/>
  <c r="I22" i="69" s="1"/>
  <c r="F22" i="68"/>
  <c r="I22" i="68" s="1"/>
  <c r="F22" i="67"/>
  <c r="I22" i="67" s="1"/>
  <c r="F22" i="66"/>
  <c r="I22" i="66" s="1"/>
  <c r="F13" i="62"/>
  <c r="I13" i="62" s="1"/>
  <c r="F22" i="60"/>
  <c r="I22" i="60" s="1"/>
  <c r="F22" i="59"/>
  <c r="I22" i="59" s="1"/>
  <c r="F22" i="61"/>
  <c r="I22" i="61" s="1"/>
  <c r="F22" i="63"/>
  <c r="I22" i="63" s="1"/>
  <c r="F22" i="46"/>
  <c r="I22" i="46" s="1"/>
  <c r="F22" i="45"/>
  <c r="I22" i="45" s="1"/>
  <c r="F22" i="57"/>
  <c r="I22" i="57" s="1"/>
  <c r="F22" i="56"/>
  <c r="I22" i="56" s="1"/>
  <c r="F22" i="55"/>
  <c r="I22" i="55" s="1"/>
  <c r="F22" i="54"/>
  <c r="I22" i="54" s="1"/>
  <c r="F22" i="52"/>
  <c r="I22" i="52" s="1"/>
  <c r="F22" i="51"/>
  <c r="I22" i="51" s="1"/>
  <c r="F22" i="49"/>
  <c r="I22" i="49" s="1"/>
  <c r="F22" i="47"/>
  <c r="I22" i="47" s="1"/>
  <c r="F22" i="58"/>
  <c r="I22" i="58" s="1"/>
  <c r="F22" i="53"/>
  <c r="I22" i="53" s="1"/>
  <c r="F22" i="50"/>
  <c r="I22" i="50" s="1"/>
  <c r="F22" i="48"/>
  <c r="I22" i="48" s="1"/>
  <c r="F22" i="43"/>
  <c r="I22" i="43" s="1"/>
  <c r="F22" i="44"/>
  <c r="I22" i="44" s="1"/>
  <c r="F20" i="69"/>
  <c r="I20" i="69" s="1"/>
  <c r="F20" i="68"/>
  <c r="I20" i="68" s="1"/>
  <c r="F20" i="67"/>
  <c r="I20" i="67" s="1"/>
  <c r="F20" i="70"/>
  <c r="I20" i="70" s="1"/>
  <c r="F20" i="72"/>
  <c r="I20" i="72" s="1"/>
  <c r="F20" i="71"/>
  <c r="I20" i="71" s="1"/>
  <c r="F20" i="65"/>
  <c r="I20" i="65" s="1"/>
  <c r="F20" i="64"/>
  <c r="I20" i="64" s="1"/>
  <c r="F20" i="66"/>
  <c r="I20" i="66" s="1"/>
  <c r="F11" i="62"/>
  <c r="I11" i="62" s="1"/>
  <c r="F20" i="63"/>
  <c r="I20" i="63" s="1"/>
  <c r="F20" i="60"/>
  <c r="I20" i="60" s="1"/>
  <c r="F20" i="59"/>
  <c r="I20" i="59" s="1"/>
  <c r="F20" i="61"/>
  <c r="I20" i="61" s="1"/>
  <c r="F20" i="46"/>
  <c r="I20" i="46" s="1"/>
  <c r="F20" i="45"/>
  <c r="I20" i="45" s="1"/>
  <c r="F20" i="44"/>
  <c r="I20" i="44" s="1"/>
  <c r="F20" i="57"/>
  <c r="I20" i="57" s="1"/>
  <c r="F20" i="55"/>
  <c r="I20" i="55" s="1"/>
  <c r="F20" i="52"/>
  <c r="I20" i="52" s="1"/>
  <c r="F20" i="47"/>
  <c r="I20" i="47" s="1"/>
  <c r="F20" i="43"/>
  <c r="I20" i="43" s="1"/>
  <c r="F20" i="58"/>
  <c r="I20" i="58" s="1"/>
  <c r="F20" i="56"/>
  <c r="I20" i="56" s="1"/>
  <c r="F20" i="54"/>
  <c r="I20" i="54" s="1"/>
  <c r="F20" i="53"/>
  <c r="I20" i="53" s="1"/>
  <c r="F20" i="51"/>
  <c r="I20" i="51" s="1"/>
  <c r="F20" i="50"/>
  <c r="I20" i="50" s="1"/>
  <c r="F20" i="49"/>
  <c r="I20" i="49" s="1"/>
  <c r="F20" i="48"/>
  <c r="I20" i="48" s="1"/>
  <c r="F24" i="69"/>
  <c r="I24" i="69" s="1"/>
  <c r="F24" i="71"/>
  <c r="I24" i="71" s="1"/>
  <c r="F24" i="70"/>
  <c r="I24" i="70" s="1"/>
  <c r="F24" i="72"/>
  <c r="I24" i="72" s="1"/>
  <c r="F24" i="65"/>
  <c r="I24" i="65" s="1"/>
  <c r="F24" i="64"/>
  <c r="I24" i="64" s="1"/>
  <c r="F24" i="68"/>
  <c r="I24" i="68" s="1"/>
  <c r="F24" i="67"/>
  <c r="I24" i="67" s="1"/>
  <c r="F24" i="66"/>
  <c r="I24" i="66" s="1"/>
  <c r="F15" i="62"/>
  <c r="I15" i="62" s="1"/>
  <c r="F24" i="59"/>
  <c r="I24" i="59" s="1"/>
  <c r="F24" i="58"/>
  <c r="I24" i="58" s="1"/>
  <c r="F24" i="60"/>
  <c r="I24" i="60" s="1"/>
  <c r="F24" i="63"/>
  <c r="I24" i="63" s="1"/>
  <c r="F24" i="61"/>
  <c r="I24" i="61" s="1"/>
  <c r="F24" i="53"/>
  <c r="I24" i="53" s="1"/>
  <c r="F24" i="50"/>
  <c r="I24" i="50" s="1"/>
  <c r="F24" i="48"/>
  <c r="I24" i="48" s="1"/>
  <c r="F24" i="45"/>
  <c r="I24" i="45" s="1"/>
  <c r="F24" i="43"/>
  <c r="I24" i="43" s="1"/>
  <c r="F24" i="46"/>
  <c r="I24" i="46" s="1"/>
  <c r="F24" i="44"/>
  <c r="I24" i="44" s="1"/>
  <c r="F24" i="57"/>
  <c r="I24" i="57" s="1"/>
  <c r="F24" i="56"/>
  <c r="I24" i="56" s="1"/>
  <c r="F24" i="55"/>
  <c r="I24" i="55" s="1"/>
  <c r="F24" i="54"/>
  <c r="I24" i="54" s="1"/>
  <c r="F24" i="52"/>
  <c r="I24" i="52" s="1"/>
  <c r="F24" i="51"/>
  <c r="I24" i="51" s="1"/>
  <c r="F24" i="49"/>
  <c r="I24" i="49" s="1"/>
  <c r="F24" i="47"/>
  <c r="I24" i="47" s="1"/>
  <c r="F18" i="70"/>
  <c r="I18" i="70" s="1"/>
  <c r="F18" i="72"/>
  <c r="I18" i="72" s="1"/>
  <c r="F18" i="71"/>
  <c r="I18" i="71" s="1"/>
  <c r="F18" i="64"/>
  <c r="I18" i="64" s="1"/>
  <c r="F18" i="69"/>
  <c r="I18" i="69" s="1"/>
  <c r="F18" i="68"/>
  <c r="I18" i="68" s="1"/>
  <c r="F18" i="67"/>
  <c r="I18" i="67" s="1"/>
  <c r="F18" i="66"/>
  <c r="I18" i="66" s="1"/>
  <c r="F18" i="65"/>
  <c r="I18" i="65" s="1"/>
  <c r="F9" i="62"/>
  <c r="I9" i="62" s="1"/>
  <c r="F18" i="59"/>
  <c r="I18" i="59" s="1"/>
  <c r="F18" i="61"/>
  <c r="I18" i="61" s="1"/>
  <c r="F18" i="60"/>
  <c r="I18" i="60" s="1"/>
  <c r="F18" i="63"/>
  <c r="I18" i="63" s="1"/>
  <c r="F18" i="54"/>
  <c r="I18" i="54" s="1"/>
  <c r="F18" i="51"/>
  <c r="I18" i="51" s="1"/>
  <c r="F18" i="49"/>
  <c r="I18" i="49" s="1"/>
  <c r="F18" i="46"/>
  <c r="I18" i="46" s="1"/>
  <c r="F18" i="44"/>
  <c r="I18" i="44" s="1"/>
  <c r="F18" i="45"/>
  <c r="I18" i="45" s="1"/>
  <c r="F18" i="58"/>
  <c r="I18" i="58" s="1"/>
  <c r="F18" i="57"/>
  <c r="I18" i="57" s="1"/>
  <c r="F18" i="56"/>
  <c r="I18" i="56" s="1"/>
  <c r="F18" i="55"/>
  <c r="I18" i="55" s="1"/>
  <c r="F18" i="53"/>
  <c r="I18" i="53" s="1"/>
  <c r="F18" i="52"/>
  <c r="I18" i="52" s="1"/>
  <c r="F18" i="50"/>
  <c r="I18" i="50" s="1"/>
  <c r="F18" i="48"/>
  <c r="I18" i="48" s="1"/>
  <c r="F18" i="47"/>
  <c r="I18" i="47" s="1"/>
  <c r="F18" i="43"/>
  <c r="I18" i="43" s="1"/>
  <c r="F21" i="71"/>
  <c r="I21" i="71" s="1"/>
  <c r="F21" i="70"/>
  <c r="I21" i="70" s="1"/>
  <c r="F21" i="64"/>
  <c r="I21" i="64" s="1"/>
  <c r="F21" i="72"/>
  <c r="I21" i="72" s="1"/>
  <c r="F21" i="69"/>
  <c r="I21" i="69" s="1"/>
  <c r="F21" i="68"/>
  <c r="I21" i="68" s="1"/>
  <c r="F21" i="67"/>
  <c r="I21" i="67" s="1"/>
  <c r="F21" i="66"/>
  <c r="I21" i="66" s="1"/>
  <c r="F21" i="65"/>
  <c r="I21" i="65" s="1"/>
  <c r="F12" i="62"/>
  <c r="I12" i="62" s="1"/>
  <c r="F21" i="60"/>
  <c r="I21" i="60" s="1"/>
  <c r="F21" i="59"/>
  <c r="I21" i="59" s="1"/>
  <c r="F21" i="61"/>
  <c r="I21" i="61" s="1"/>
  <c r="F21" i="63"/>
  <c r="I21" i="63" s="1"/>
  <c r="F21" i="44"/>
  <c r="I21" i="44" s="1"/>
  <c r="F21" i="57"/>
  <c r="I21" i="57" s="1"/>
  <c r="F21" i="56"/>
  <c r="I21" i="56" s="1"/>
  <c r="F21" i="55"/>
  <c r="I21" i="55" s="1"/>
  <c r="F21" i="54"/>
  <c r="I21" i="54" s="1"/>
  <c r="F21" i="52"/>
  <c r="I21" i="52" s="1"/>
  <c r="F21" i="51"/>
  <c r="I21" i="51" s="1"/>
  <c r="F21" i="49"/>
  <c r="I21" i="49" s="1"/>
  <c r="F21" i="47"/>
  <c r="I21" i="47" s="1"/>
  <c r="F21" i="58"/>
  <c r="I21" i="58" s="1"/>
  <c r="F21" i="53"/>
  <c r="I21" i="53" s="1"/>
  <c r="F21" i="50"/>
  <c r="I21" i="50" s="1"/>
  <c r="F21" i="48"/>
  <c r="I21" i="48" s="1"/>
  <c r="F21" i="43"/>
  <c r="I21" i="43" s="1"/>
  <c r="F21" i="46"/>
  <c r="I21" i="46" s="1"/>
  <c r="F21" i="45"/>
  <c r="I21" i="45" s="1"/>
  <c r="F19" i="70"/>
  <c r="I19" i="70" s="1"/>
  <c r="F19" i="65"/>
  <c r="I19" i="65" s="1"/>
  <c r="F19" i="72"/>
  <c r="I19" i="72" s="1"/>
  <c r="F19" i="71"/>
  <c r="I19" i="71" s="1"/>
  <c r="F19" i="69"/>
  <c r="I19" i="69" s="1"/>
  <c r="F19" i="68"/>
  <c r="I19" i="68" s="1"/>
  <c r="F19" i="67"/>
  <c r="I19" i="67" s="1"/>
  <c r="F19" i="66"/>
  <c r="I19" i="66" s="1"/>
  <c r="F19" i="64"/>
  <c r="I19" i="64" s="1"/>
  <c r="F10" i="62"/>
  <c r="I10" i="62" s="1"/>
  <c r="F19" i="59"/>
  <c r="I19" i="59" s="1"/>
  <c r="F19" i="61"/>
  <c r="I19" i="61" s="1"/>
  <c r="F19" i="60"/>
  <c r="I19" i="60" s="1"/>
  <c r="F19" i="63"/>
  <c r="I19" i="63" s="1"/>
  <c r="F19" i="54"/>
  <c r="I19" i="54" s="1"/>
  <c r="F19" i="51"/>
  <c r="I19" i="51" s="1"/>
  <c r="F19" i="49"/>
  <c r="I19" i="49" s="1"/>
  <c r="F19" i="46"/>
  <c r="I19" i="46" s="1"/>
  <c r="F19" i="44"/>
  <c r="I19" i="44" s="1"/>
  <c r="F19" i="45"/>
  <c r="I19" i="45" s="1"/>
  <c r="F19" i="43"/>
  <c r="I19" i="43" s="1"/>
  <c r="F19" i="58"/>
  <c r="I19" i="58" s="1"/>
  <c r="F19" i="57"/>
  <c r="I19" i="57" s="1"/>
  <c r="F19" i="56"/>
  <c r="I19" i="56" s="1"/>
  <c r="F19" i="55"/>
  <c r="I19" i="55" s="1"/>
  <c r="F19" i="53"/>
  <c r="I19" i="53" s="1"/>
  <c r="F19" i="52"/>
  <c r="I19" i="52" s="1"/>
  <c r="F19" i="50"/>
  <c r="I19" i="50" s="1"/>
  <c r="F19" i="48"/>
  <c r="I19" i="48" s="1"/>
  <c r="F19" i="47"/>
  <c r="I19" i="47" s="1"/>
  <c r="F23" i="72"/>
  <c r="I23" i="72" s="1"/>
  <c r="F23" i="68"/>
  <c r="I23" i="68" s="1"/>
  <c r="F23" i="67"/>
  <c r="I23" i="67" s="1"/>
  <c r="F23" i="66"/>
  <c r="I23" i="66" s="1"/>
  <c r="F23" i="69"/>
  <c r="I23" i="69" s="1"/>
  <c r="F23" i="65"/>
  <c r="I23" i="65" s="1"/>
  <c r="F23" i="71"/>
  <c r="I23" i="71" s="1"/>
  <c r="F23" i="70"/>
  <c r="I23" i="70" s="1"/>
  <c r="F23" i="64"/>
  <c r="I23" i="64" s="1"/>
  <c r="F14" i="62"/>
  <c r="I14" i="62" s="1"/>
  <c r="F23" i="60"/>
  <c r="I23" i="60" s="1"/>
  <c r="F23" i="63"/>
  <c r="I23" i="63" s="1"/>
  <c r="F23" i="61"/>
  <c r="I23" i="61" s="1"/>
  <c r="F23" i="59"/>
  <c r="I23" i="59" s="1"/>
  <c r="F23" i="46"/>
  <c r="I23" i="46" s="1"/>
  <c r="F23" i="58"/>
  <c r="I23" i="58" s="1"/>
  <c r="F23" i="57"/>
  <c r="I23" i="57" s="1"/>
  <c r="F23" i="56"/>
  <c r="I23" i="56" s="1"/>
  <c r="F23" i="55"/>
  <c r="I23" i="55" s="1"/>
  <c r="F23" i="54"/>
  <c r="I23" i="54" s="1"/>
  <c r="F23" i="52"/>
  <c r="I23" i="52" s="1"/>
  <c r="F23" i="51"/>
  <c r="I23" i="51" s="1"/>
  <c r="F23" i="49"/>
  <c r="I23" i="49" s="1"/>
  <c r="F23" i="47"/>
  <c r="I23" i="47" s="1"/>
  <c r="F23" i="53"/>
  <c r="I23" i="53" s="1"/>
  <c r="F23" i="50"/>
  <c r="I23" i="50" s="1"/>
  <c r="F23" i="48"/>
  <c r="I23" i="48" s="1"/>
  <c r="F23" i="45"/>
  <c r="I23" i="45" s="1"/>
  <c r="F23" i="43"/>
  <c r="I23" i="43" s="1"/>
  <c r="F23" i="44"/>
  <c r="I23" i="44" s="1"/>
  <c r="N17" i="11"/>
  <c r="N8" i="62" s="1"/>
  <c r="N21" i="11"/>
  <c r="N12" i="62" s="1"/>
  <c r="F24" i="11"/>
  <c r="Q6" i="6"/>
  <c r="O7" i="6"/>
  <c r="S8" i="6"/>
  <c r="F18" i="16"/>
  <c r="I18" i="16" s="1"/>
  <c r="S9" i="6"/>
  <c r="F19" i="16"/>
  <c r="I19" i="16" s="1"/>
  <c r="S10" i="6"/>
  <c r="F20" i="16"/>
  <c r="I20" i="16" s="1"/>
  <c r="S11" i="6"/>
  <c r="F21" i="16"/>
  <c r="I21" i="16" s="1"/>
  <c r="S12" i="6"/>
  <c r="F22" i="16"/>
  <c r="I22" i="16" s="1"/>
  <c r="S13" i="6"/>
  <c r="F23" i="16"/>
  <c r="I23" i="16" s="1"/>
  <c r="S14" i="6"/>
  <c r="F24" i="16"/>
  <c r="I24" i="16" s="1"/>
  <c r="F21" i="11"/>
  <c r="S6" i="6"/>
  <c r="F16" i="16"/>
  <c r="I16" i="16" s="1"/>
  <c r="S7" i="6"/>
  <c r="U7" i="6" s="1"/>
  <c r="F17" i="16"/>
  <c r="I17" i="16" s="1"/>
  <c r="Q7" i="6"/>
  <c r="Q8" i="6"/>
  <c r="Q9" i="6"/>
  <c r="Q10" i="6"/>
  <c r="Q11" i="6"/>
  <c r="Q12" i="6"/>
  <c r="Q13" i="6"/>
  <c r="Q14" i="6"/>
  <c r="N16" i="11"/>
  <c r="N7" i="62" s="1"/>
  <c r="I16" i="11"/>
  <c r="N20" i="11"/>
  <c r="N11" i="62" s="1"/>
  <c r="N24" i="11"/>
  <c r="N15" i="62" s="1"/>
  <c r="F18" i="11"/>
  <c r="I18" i="11" s="1"/>
  <c r="F22" i="11"/>
  <c r="I20" i="11"/>
  <c r="I21" i="11"/>
  <c r="I24" i="11"/>
  <c r="I19" i="11"/>
  <c r="K7" i="6"/>
  <c r="J7" i="6" s="1"/>
  <c r="K8" i="6"/>
  <c r="J8" i="6" s="1"/>
  <c r="K9" i="6"/>
  <c r="J9" i="6" s="1"/>
  <c r="K10" i="6"/>
  <c r="J10" i="6" s="1"/>
  <c r="K11" i="6"/>
  <c r="J11" i="6" s="1"/>
  <c r="K12" i="6"/>
  <c r="J12" i="6" s="1"/>
  <c r="K13" i="6"/>
  <c r="J13" i="6" s="1"/>
  <c r="K14" i="6"/>
  <c r="J14" i="6" s="1"/>
  <c r="K6" i="6"/>
  <c r="J6" i="6" s="1"/>
  <c r="N8" i="6"/>
  <c r="O6" i="6"/>
  <c r="N16" i="62" l="1"/>
  <c r="P23" i="62" s="1"/>
  <c r="L23" i="48"/>
  <c r="K23" i="48"/>
  <c r="J23" i="48"/>
  <c r="M23" i="48" s="1"/>
  <c r="J23" i="51"/>
  <c r="L23" i="51"/>
  <c r="K23" i="51"/>
  <c r="M23" i="51" s="1"/>
  <c r="O23" i="51" s="1"/>
  <c r="P23" i="51" s="1"/>
  <c r="L23" i="65"/>
  <c r="K23" i="65"/>
  <c r="J23" i="65"/>
  <c r="M23" i="65" s="1"/>
  <c r="J19" i="50"/>
  <c r="L19" i="50"/>
  <c r="K19" i="50"/>
  <c r="L19" i="61"/>
  <c r="K19" i="61"/>
  <c r="J19" i="61"/>
  <c r="L21" i="45"/>
  <c r="K21" i="45"/>
  <c r="J21" i="45"/>
  <c r="J21" i="55"/>
  <c r="L21" i="55"/>
  <c r="K21" i="55"/>
  <c r="L21" i="68"/>
  <c r="K21" i="68"/>
  <c r="J21" i="68"/>
  <c r="M21" i="68" s="1"/>
  <c r="O21" i="68" s="1"/>
  <c r="P21" i="68" s="1"/>
  <c r="L18" i="48"/>
  <c r="K18" i="48"/>
  <c r="J18" i="48"/>
  <c r="M18" i="48" s="1"/>
  <c r="L18" i="51"/>
  <c r="K18" i="51"/>
  <c r="J18" i="51"/>
  <c r="J18" i="66"/>
  <c r="L18" i="66"/>
  <c r="K18" i="66"/>
  <c r="K24" i="47"/>
  <c r="M24" i="47" s="1"/>
  <c r="O24" i="47" s="1"/>
  <c r="P24" i="47" s="1"/>
  <c r="J24" i="47"/>
  <c r="L24" i="47"/>
  <c r="L24" i="44"/>
  <c r="M24" i="44" s="1"/>
  <c r="O24" i="44" s="1"/>
  <c r="P24" i="44" s="1"/>
  <c r="K24" i="44"/>
  <c r="J24" i="44"/>
  <c r="J24" i="63"/>
  <c r="M24" i="63" s="1"/>
  <c r="O24" i="63" s="1"/>
  <c r="P24" i="63" s="1"/>
  <c r="K24" i="63"/>
  <c r="L24" i="63"/>
  <c r="L24" i="64"/>
  <c r="K24" i="64"/>
  <c r="J24" i="64"/>
  <c r="K20" i="50"/>
  <c r="J20" i="50"/>
  <c r="M20" i="50" s="1"/>
  <c r="O20" i="50" s="1"/>
  <c r="P20" i="50" s="1"/>
  <c r="R20" i="50" s="1"/>
  <c r="L20" i="50"/>
  <c r="K20" i="56"/>
  <c r="J20" i="56"/>
  <c r="L20" i="56"/>
  <c r="K20" i="52"/>
  <c r="L20" i="52"/>
  <c r="J20" i="52"/>
  <c r="K20" i="45"/>
  <c r="J20" i="45"/>
  <c r="L20" i="45"/>
  <c r="K20" i="60"/>
  <c r="J20" i="60"/>
  <c r="L20" i="60"/>
  <c r="K20" i="64"/>
  <c r="J20" i="64"/>
  <c r="L20" i="64"/>
  <c r="K20" i="70"/>
  <c r="J20" i="70"/>
  <c r="M20" i="70" s="1"/>
  <c r="O20" i="70" s="1"/>
  <c r="P20" i="70" s="1"/>
  <c r="R20" i="70" s="1"/>
  <c r="L20" i="70"/>
  <c r="K22" i="44"/>
  <c r="L22" i="44"/>
  <c r="J22" i="44"/>
  <c r="J22" i="53"/>
  <c r="L22" i="53"/>
  <c r="K22" i="53"/>
  <c r="L22" i="51"/>
  <c r="K22" i="51"/>
  <c r="J22" i="51"/>
  <c r="M22" i="51" s="1"/>
  <c r="J22" i="56"/>
  <c r="L22" i="56"/>
  <c r="K22" i="56"/>
  <c r="M22" i="56"/>
  <c r="O22" i="56" s="1"/>
  <c r="P22" i="56" s="1"/>
  <c r="L22" i="63"/>
  <c r="K22" i="63"/>
  <c r="J22" i="63"/>
  <c r="M22" i="63" s="1"/>
  <c r="O22" i="63" s="1"/>
  <c r="P22" i="63" s="1"/>
  <c r="J22" i="69"/>
  <c r="L22" i="69"/>
  <c r="K22" i="69"/>
  <c r="L22" i="70"/>
  <c r="J22" i="70"/>
  <c r="M22" i="70" s="1"/>
  <c r="K22" i="70"/>
  <c r="L17" i="46"/>
  <c r="K17" i="46"/>
  <c r="J17" i="46"/>
  <c r="L17" i="54"/>
  <c r="K17" i="54"/>
  <c r="J17" i="54"/>
  <c r="K17" i="52"/>
  <c r="J17" i="52"/>
  <c r="L17" i="52"/>
  <c r="L17" i="57"/>
  <c r="J17" i="57"/>
  <c r="K17" i="57"/>
  <c r="J17" i="63"/>
  <c r="L17" i="63"/>
  <c r="K17" i="63"/>
  <c r="L17" i="64"/>
  <c r="J17" i="64"/>
  <c r="K17" i="64"/>
  <c r="L17" i="70"/>
  <c r="J17" i="70"/>
  <c r="K17" i="70"/>
  <c r="I25" i="54"/>
  <c r="P28" i="54" s="1"/>
  <c r="J16" i="54"/>
  <c r="K16" i="54"/>
  <c r="L16" i="54"/>
  <c r="K16" i="52"/>
  <c r="L16" i="52"/>
  <c r="M16" i="52" s="1"/>
  <c r="J16" i="52"/>
  <c r="I25" i="52"/>
  <c r="P28" i="52" s="1"/>
  <c r="J16" i="57"/>
  <c r="K16" i="57"/>
  <c r="I25" i="57"/>
  <c r="P28" i="57" s="1"/>
  <c r="L16" i="57"/>
  <c r="I25" i="44"/>
  <c r="P28" i="44" s="1"/>
  <c r="K16" i="44"/>
  <c r="L16" i="44"/>
  <c r="J16" i="44"/>
  <c r="I16" i="62"/>
  <c r="P19" i="62" s="1"/>
  <c r="L16" i="65"/>
  <c r="I25" i="65"/>
  <c r="P28" i="65" s="1"/>
  <c r="K16" i="65"/>
  <c r="J16" i="65"/>
  <c r="M16" i="65" s="1"/>
  <c r="K16" i="66"/>
  <c r="J16" i="66"/>
  <c r="L16" i="66"/>
  <c r="M16" i="66" s="1"/>
  <c r="I25" i="66"/>
  <c r="P28" i="66" s="1"/>
  <c r="K23" i="44"/>
  <c r="L23" i="44"/>
  <c r="J23" i="44"/>
  <c r="M23" i="44" s="1"/>
  <c r="O23" i="44" s="1"/>
  <c r="P23" i="44" s="1"/>
  <c r="J23" i="56"/>
  <c r="M23" i="56" s="1"/>
  <c r="L23" i="56"/>
  <c r="K23" i="56"/>
  <c r="K23" i="59"/>
  <c r="M23" i="59" s="1"/>
  <c r="L23" i="59"/>
  <c r="J23" i="59"/>
  <c r="L23" i="68"/>
  <c r="K23" i="68"/>
  <c r="J23" i="68"/>
  <c r="L19" i="45"/>
  <c r="K19" i="45"/>
  <c r="J19" i="45"/>
  <c r="J19" i="66"/>
  <c r="L19" i="66"/>
  <c r="K19" i="66"/>
  <c r="J21" i="50"/>
  <c r="L21" i="50"/>
  <c r="K21" i="50"/>
  <c r="K21" i="49"/>
  <c r="J21" i="49"/>
  <c r="L21" i="49"/>
  <c r="K21" i="70"/>
  <c r="L21" i="70"/>
  <c r="J21" i="70"/>
  <c r="K18" i="55"/>
  <c r="L18" i="55"/>
  <c r="J18" i="55"/>
  <c r="J18" i="45"/>
  <c r="L18" i="45"/>
  <c r="K18" i="45"/>
  <c r="L18" i="61"/>
  <c r="K18" i="61"/>
  <c r="J18" i="61"/>
  <c r="K18" i="64"/>
  <c r="L18" i="64"/>
  <c r="J18" i="64"/>
  <c r="J24" i="54"/>
  <c r="L24" i="54"/>
  <c r="K24" i="54"/>
  <c r="K24" i="48"/>
  <c r="J24" i="48"/>
  <c r="L24" i="48"/>
  <c r="M24" i="48" s="1"/>
  <c r="L24" i="71"/>
  <c r="K24" i="71"/>
  <c r="M24" i="71" s="1"/>
  <c r="J24" i="71"/>
  <c r="K23" i="43"/>
  <c r="J23" i="43"/>
  <c r="L23" i="43"/>
  <c r="L23" i="53"/>
  <c r="K23" i="53"/>
  <c r="J23" i="53"/>
  <c r="M23" i="53" s="1"/>
  <c r="O23" i="53" s="1"/>
  <c r="P23" i="53" s="1"/>
  <c r="L23" i="52"/>
  <c r="K23" i="52"/>
  <c r="J23" i="52"/>
  <c r="M23" i="52" s="1"/>
  <c r="O23" i="52" s="1"/>
  <c r="P23" i="52" s="1"/>
  <c r="J23" i="57"/>
  <c r="K23" i="57"/>
  <c r="L23" i="57"/>
  <c r="J23" i="61"/>
  <c r="K23" i="61"/>
  <c r="L23" i="61"/>
  <c r="M23" i="61"/>
  <c r="O23" i="61" s="1"/>
  <c r="P23" i="61" s="1"/>
  <c r="L23" i="64"/>
  <c r="K23" i="64"/>
  <c r="J23" i="64"/>
  <c r="M23" i="64" s="1"/>
  <c r="L23" i="69"/>
  <c r="K23" i="69"/>
  <c r="J23" i="69"/>
  <c r="M23" i="69" s="1"/>
  <c r="L23" i="72"/>
  <c r="M23" i="72" s="1"/>
  <c r="O23" i="72" s="1"/>
  <c r="P23" i="72" s="1"/>
  <c r="K23" i="72"/>
  <c r="J23" i="72"/>
  <c r="L19" i="52"/>
  <c r="K19" i="52"/>
  <c r="J19" i="52"/>
  <c r="J19" i="57"/>
  <c r="L19" i="57"/>
  <c r="K19" i="57"/>
  <c r="J19" i="44"/>
  <c r="K19" i="44"/>
  <c r="L19" i="44"/>
  <c r="L19" i="54"/>
  <c r="K19" i="54"/>
  <c r="J19" i="54"/>
  <c r="K19" i="59"/>
  <c r="J19" i="59"/>
  <c r="L19" i="59"/>
  <c r="L19" i="67"/>
  <c r="K19" i="67"/>
  <c r="J19" i="67"/>
  <c r="L19" i="72"/>
  <c r="K19" i="72"/>
  <c r="J19" i="72"/>
  <c r="L21" i="46"/>
  <c r="K21" i="46"/>
  <c r="J21" i="46"/>
  <c r="K21" i="53"/>
  <c r="M21" i="53" s="1"/>
  <c r="O21" i="53" s="1"/>
  <c r="P21" i="53" s="1"/>
  <c r="J21" i="53"/>
  <c r="L21" i="53"/>
  <c r="L21" i="51"/>
  <c r="K21" i="51"/>
  <c r="J21" i="51"/>
  <c r="M21" i="51" s="1"/>
  <c r="K21" i="56"/>
  <c r="J21" i="56"/>
  <c r="L21" i="56"/>
  <c r="L21" i="61"/>
  <c r="K21" i="61"/>
  <c r="J21" i="61"/>
  <c r="J21" i="65"/>
  <c r="L21" i="65"/>
  <c r="K21" i="65"/>
  <c r="K21" i="69"/>
  <c r="M21" i="69" s="1"/>
  <c r="O21" i="69" s="1"/>
  <c r="P21" i="69" s="1"/>
  <c r="J21" i="69"/>
  <c r="L21" i="69"/>
  <c r="L21" i="71"/>
  <c r="K21" i="71"/>
  <c r="J21" i="71"/>
  <c r="J18" i="50"/>
  <c r="L18" i="50"/>
  <c r="K18" i="50"/>
  <c r="K18" i="56"/>
  <c r="J18" i="56"/>
  <c r="L18" i="56"/>
  <c r="J18" i="44"/>
  <c r="L18" i="44"/>
  <c r="K18" i="44"/>
  <c r="J18" i="54"/>
  <c r="L18" i="54"/>
  <c r="K18" i="54"/>
  <c r="J18" i="59"/>
  <c r="L18" i="59"/>
  <c r="K18" i="59"/>
  <c r="J18" i="67"/>
  <c r="M18" i="67" s="1"/>
  <c r="O18" i="67" s="1"/>
  <c r="P18" i="67" s="1"/>
  <c r="L18" i="67"/>
  <c r="K18" i="67"/>
  <c r="J18" i="71"/>
  <c r="L18" i="71"/>
  <c r="K18" i="71"/>
  <c r="K24" i="49"/>
  <c r="J24" i="49"/>
  <c r="L24" i="49"/>
  <c r="K24" i="55"/>
  <c r="L24" i="55"/>
  <c r="J24" i="55"/>
  <c r="L24" i="46"/>
  <c r="K24" i="46"/>
  <c r="M24" i="46" s="1"/>
  <c r="O24" i="46" s="1"/>
  <c r="P24" i="46" s="1"/>
  <c r="J24" i="46"/>
  <c r="J24" i="50"/>
  <c r="M24" i="50" s="1"/>
  <c r="O24" i="50" s="1"/>
  <c r="P24" i="50" s="1"/>
  <c r="K24" i="50"/>
  <c r="L24" i="50"/>
  <c r="L24" i="60"/>
  <c r="K24" i="60"/>
  <c r="J24" i="60"/>
  <c r="K24" i="66"/>
  <c r="J24" i="66"/>
  <c r="M24" i="66"/>
  <c r="O24" i="66" s="1"/>
  <c r="P24" i="66" s="1"/>
  <c r="L24" i="66"/>
  <c r="J24" i="65"/>
  <c r="L24" i="65"/>
  <c r="K24" i="65"/>
  <c r="M24" i="65" s="1"/>
  <c r="O24" i="65" s="1"/>
  <c r="P24" i="65" s="1"/>
  <c r="K24" i="69"/>
  <c r="J24" i="69"/>
  <c r="L24" i="69"/>
  <c r="K20" i="51"/>
  <c r="L20" i="51"/>
  <c r="J20" i="51"/>
  <c r="K20" i="58"/>
  <c r="L20" i="58"/>
  <c r="J20" i="58"/>
  <c r="K20" i="55"/>
  <c r="L20" i="55"/>
  <c r="J20" i="55"/>
  <c r="K20" i="46"/>
  <c r="J20" i="46"/>
  <c r="L20" i="46"/>
  <c r="K20" i="63"/>
  <c r="L20" i="63"/>
  <c r="J20" i="63"/>
  <c r="J20" i="65"/>
  <c r="K20" i="65"/>
  <c r="L20" i="65"/>
  <c r="K20" i="67"/>
  <c r="J20" i="67"/>
  <c r="L20" i="67"/>
  <c r="K22" i="43"/>
  <c r="L22" i="43"/>
  <c r="J22" i="43"/>
  <c r="M22" i="43" s="1"/>
  <c r="L22" i="58"/>
  <c r="K22" i="58"/>
  <c r="J22" i="58"/>
  <c r="K22" i="52"/>
  <c r="J22" i="52"/>
  <c r="M22" i="52" s="1"/>
  <c r="O22" i="52" s="1"/>
  <c r="P22" i="52" s="1"/>
  <c r="L22" i="52"/>
  <c r="K22" i="57"/>
  <c r="L22" i="57"/>
  <c r="J22" i="57"/>
  <c r="L22" i="61"/>
  <c r="K22" i="61"/>
  <c r="J22" i="61"/>
  <c r="L22" i="66"/>
  <c r="K22" i="66"/>
  <c r="J22" i="66"/>
  <c r="L22" i="72"/>
  <c r="K22" i="72"/>
  <c r="J22" i="72"/>
  <c r="J22" i="71"/>
  <c r="L22" i="71"/>
  <c r="K22" i="71"/>
  <c r="J17" i="43"/>
  <c r="L17" i="43"/>
  <c r="K17" i="43"/>
  <c r="L17" i="47"/>
  <c r="K17" i="47"/>
  <c r="J17" i="47"/>
  <c r="L17" i="53"/>
  <c r="K17" i="53"/>
  <c r="J17" i="53"/>
  <c r="K17" i="58"/>
  <c r="L17" i="58"/>
  <c r="J17" i="58"/>
  <c r="L17" i="60"/>
  <c r="J17" i="60"/>
  <c r="K17" i="60"/>
  <c r="M17" i="60" s="1"/>
  <c r="O17" i="60" s="1"/>
  <c r="P17" i="60" s="1"/>
  <c r="K17" i="65"/>
  <c r="J17" i="65"/>
  <c r="L17" i="65"/>
  <c r="L17" i="67"/>
  <c r="K17" i="67"/>
  <c r="J17" i="67"/>
  <c r="L16" i="43"/>
  <c r="J16" i="43"/>
  <c r="I25" i="43"/>
  <c r="P28" i="43" s="1"/>
  <c r="K16" i="43"/>
  <c r="M16" i="43"/>
  <c r="J16" i="59"/>
  <c r="I25" i="59"/>
  <c r="P28" i="59" s="1"/>
  <c r="L16" i="59"/>
  <c r="K16" i="59"/>
  <c r="M16" i="59" s="1"/>
  <c r="I25" i="53"/>
  <c r="P28" i="53" s="1"/>
  <c r="J16" i="53"/>
  <c r="K16" i="53"/>
  <c r="L16" i="53"/>
  <c r="L16" i="58"/>
  <c r="I25" i="58"/>
  <c r="P28" i="58" s="1"/>
  <c r="K16" i="58"/>
  <c r="J16" i="58"/>
  <c r="M16" i="58" s="1"/>
  <c r="J16" i="46"/>
  <c r="K16" i="46"/>
  <c r="L16" i="46"/>
  <c r="I25" i="46"/>
  <c r="P28" i="46" s="1"/>
  <c r="L16" i="60"/>
  <c r="K16" i="60"/>
  <c r="I25" i="60"/>
  <c r="P28" i="60" s="1"/>
  <c r="J16" i="60"/>
  <c r="M16" i="60" s="1"/>
  <c r="L16" i="67"/>
  <c r="I25" i="67"/>
  <c r="P28" i="67" s="1"/>
  <c r="K16" i="67"/>
  <c r="J16" i="67"/>
  <c r="I25" i="71"/>
  <c r="P28" i="71" s="1"/>
  <c r="L16" i="71"/>
  <c r="K16" i="71"/>
  <c r="J16" i="71"/>
  <c r="L23" i="50"/>
  <c r="K23" i="50"/>
  <c r="J23" i="50"/>
  <c r="J19" i="56"/>
  <c r="L19" i="56"/>
  <c r="K19" i="56"/>
  <c r="L19" i="51"/>
  <c r="K19" i="51"/>
  <c r="J19" i="51"/>
  <c r="L19" i="71"/>
  <c r="K19" i="71"/>
  <c r="J19" i="71"/>
  <c r="J21" i="63"/>
  <c r="L21" i="63"/>
  <c r="K21" i="63"/>
  <c r="U6" i="6"/>
  <c r="L23" i="45"/>
  <c r="J23" i="45"/>
  <c r="K23" i="45"/>
  <c r="J23" i="47"/>
  <c r="K23" i="47"/>
  <c r="L23" i="47"/>
  <c r="J23" i="54"/>
  <c r="M23" i="54" s="1"/>
  <c r="O23" i="54" s="1"/>
  <c r="P23" i="54" s="1"/>
  <c r="K23" i="54"/>
  <c r="L23" i="54"/>
  <c r="L23" i="58"/>
  <c r="K23" i="58"/>
  <c r="J23" i="58"/>
  <c r="M23" i="58" s="1"/>
  <c r="O23" i="58" s="1"/>
  <c r="P23" i="58" s="1"/>
  <c r="K23" i="63"/>
  <c r="L23" i="63"/>
  <c r="J23" i="63"/>
  <c r="K23" i="70"/>
  <c r="J23" i="70"/>
  <c r="L23" i="70"/>
  <c r="J23" i="66"/>
  <c r="M23" i="66" s="1"/>
  <c r="L23" i="66"/>
  <c r="K23" i="66"/>
  <c r="L19" i="47"/>
  <c r="K19" i="47"/>
  <c r="J19" i="47"/>
  <c r="J19" i="53"/>
  <c r="L19" i="53"/>
  <c r="K19" i="53"/>
  <c r="L19" i="58"/>
  <c r="J19" i="58"/>
  <c r="K19" i="58"/>
  <c r="J19" i="46"/>
  <c r="L19" i="46"/>
  <c r="K19" i="46"/>
  <c r="K19" i="63"/>
  <c r="J19" i="63"/>
  <c r="L19" i="63"/>
  <c r="J19" i="68"/>
  <c r="L19" i="68"/>
  <c r="K19" i="68"/>
  <c r="L19" i="65"/>
  <c r="K19" i="65"/>
  <c r="J19" i="65"/>
  <c r="L21" i="43"/>
  <c r="J21" i="43"/>
  <c r="K21" i="43"/>
  <c r="M21" i="43"/>
  <c r="O21" i="43" s="1"/>
  <c r="P21" i="43" s="1"/>
  <c r="L21" i="58"/>
  <c r="K21" i="58"/>
  <c r="J21" i="58"/>
  <c r="L21" i="52"/>
  <c r="M21" i="52" s="1"/>
  <c r="O21" i="52" s="1"/>
  <c r="P21" i="52" s="1"/>
  <c r="K21" i="52"/>
  <c r="J21" i="52"/>
  <c r="J21" i="57"/>
  <c r="K21" i="57"/>
  <c r="L21" i="57"/>
  <c r="K21" i="59"/>
  <c r="L21" i="59"/>
  <c r="J21" i="59"/>
  <c r="J21" i="66"/>
  <c r="L21" i="66"/>
  <c r="K21" i="66"/>
  <c r="J21" i="72"/>
  <c r="L21" i="72"/>
  <c r="K21" i="72"/>
  <c r="J18" i="43"/>
  <c r="L18" i="43"/>
  <c r="K18" i="43"/>
  <c r="K18" i="52"/>
  <c r="L18" i="52"/>
  <c r="J18" i="52"/>
  <c r="L18" i="57"/>
  <c r="K18" i="57"/>
  <c r="J18" i="57"/>
  <c r="K18" i="46"/>
  <c r="J18" i="46"/>
  <c r="L18" i="46"/>
  <c r="J18" i="63"/>
  <c r="L18" i="63"/>
  <c r="K18" i="63"/>
  <c r="K18" i="68"/>
  <c r="J18" i="68"/>
  <c r="L18" i="68"/>
  <c r="J18" i="72"/>
  <c r="L18" i="72"/>
  <c r="K18" i="72"/>
  <c r="K24" i="51"/>
  <c r="L24" i="51"/>
  <c r="J24" i="51"/>
  <c r="J24" i="56"/>
  <c r="K24" i="56"/>
  <c r="L24" i="56"/>
  <c r="M24" i="56"/>
  <c r="O24" i="56" s="1"/>
  <c r="P24" i="56" s="1"/>
  <c r="L24" i="43"/>
  <c r="K24" i="43"/>
  <c r="J24" i="43"/>
  <c r="M24" i="43" s="1"/>
  <c r="O24" i="43" s="1"/>
  <c r="P24" i="43" s="1"/>
  <c r="K24" i="53"/>
  <c r="M24" i="53" s="1"/>
  <c r="O24" i="53" s="1"/>
  <c r="P24" i="53" s="1"/>
  <c r="L24" i="53"/>
  <c r="J24" i="53"/>
  <c r="J24" i="58"/>
  <c r="M24" i="58" s="1"/>
  <c r="K24" i="58"/>
  <c r="L24" i="58"/>
  <c r="L24" i="67"/>
  <c r="K24" i="67"/>
  <c r="J24" i="67"/>
  <c r="J24" i="72"/>
  <c r="M24" i="72"/>
  <c r="L24" i="72"/>
  <c r="K24" i="72"/>
  <c r="K20" i="48"/>
  <c r="M20" i="48"/>
  <c r="O20" i="48" s="1"/>
  <c r="P20" i="48" s="1"/>
  <c r="R20" i="48" s="1"/>
  <c r="L20" i="48"/>
  <c r="J20" i="48"/>
  <c r="K20" i="53"/>
  <c r="L20" i="53"/>
  <c r="M20" i="53" s="1"/>
  <c r="O20" i="53" s="1"/>
  <c r="P20" i="53" s="1"/>
  <c r="R20" i="53" s="1"/>
  <c r="J20" i="53"/>
  <c r="K20" i="43"/>
  <c r="L20" i="43"/>
  <c r="M20" i="43"/>
  <c r="O20" i="43" s="1"/>
  <c r="P20" i="43" s="1"/>
  <c r="R20" i="43" s="1"/>
  <c r="J20" i="43"/>
  <c r="K20" i="57"/>
  <c r="J20" i="57"/>
  <c r="L20" i="57"/>
  <c r="M20" i="57" s="1"/>
  <c r="O20" i="57" s="1"/>
  <c r="P20" i="57" s="1"/>
  <c r="R20" i="57" s="1"/>
  <c r="K20" i="61"/>
  <c r="J20" i="61"/>
  <c r="L20" i="61"/>
  <c r="M20" i="61"/>
  <c r="O20" i="61" s="1"/>
  <c r="P20" i="61" s="1"/>
  <c r="R20" i="61" s="1"/>
  <c r="K20" i="71"/>
  <c r="J20" i="71"/>
  <c r="M20" i="71" s="1"/>
  <c r="O20" i="71" s="1"/>
  <c r="P20" i="71" s="1"/>
  <c r="R20" i="71" s="1"/>
  <c r="L20" i="71"/>
  <c r="K20" i="68"/>
  <c r="J20" i="68"/>
  <c r="L20" i="68"/>
  <c r="K22" i="48"/>
  <c r="J22" i="48"/>
  <c r="L22" i="48"/>
  <c r="L22" i="47"/>
  <c r="K22" i="47"/>
  <c r="J22" i="47"/>
  <c r="L22" i="54"/>
  <c r="K22" i="54"/>
  <c r="J22" i="54"/>
  <c r="L22" i="45"/>
  <c r="K22" i="45"/>
  <c r="J22" i="45"/>
  <c r="J22" i="59"/>
  <c r="K22" i="59"/>
  <c r="L22" i="59"/>
  <c r="L22" i="67"/>
  <c r="K22" i="67"/>
  <c r="J22" i="67"/>
  <c r="M22" i="67" s="1"/>
  <c r="O22" i="67" s="1"/>
  <c r="P22" i="67" s="1"/>
  <c r="L22" i="65"/>
  <c r="K22" i="65"/>
  <c r="J22" i="65"/>
  <c r="K17" i="45"/>
  <c r="J17" i="45"/>
  <c r="L17" i="45"/>
  <c r="L17" i="49"/>
  <c r="K17" i="49"/>
  <c r="J17" i="49"/>
  <c r="J17" i="48"/>
  <c r="L17" i="48"/>
  <c r="K17" i="48"/>
  <c r="L17" i="55"/>
  <c r="J17" i="55"/>
  <c r="K17" i="55"/>
  <c r="L17" i="59"/>
  <c r="K17" i="59"/>
  <c r="J17" i="59"/>
  <c r="K17" i="61"/>
  <c r="J17" i="61"/>
  <c r="M17" i="61" s="1"/>
  <c r="O17" i="61" s="1"/>
  <c r="P17" i="61" s="1"/>
  <c r="L17" i="61"/>
  <c r="L17" i="71"/>
  <c r="K17" i="71"/>
  <c r="J17" i="71"/>
  <c r="L17" i="68"/>
  <c r="K17" i="68"/>
  <c r="J17" i="68"/>
  <c r="I25" i="49"/>
  <c r="P28" i="49" s="1"/>
  <c r="L16" i="49"/>
  <c r="J16" i="49"/>
  <c r="K16" i="49"/>
  <c r="K16" i="48"/>
  <c r="I25" i="48"/>
  <c r="P28" i="48" s="1"/>
  <c r="J16" i="48"/>
  <c r="M16" i="48" s="1"/>
  <c r="L16" i="48"/>
  <c r="I25" i="55"/>
  <c r="P28" i="55" s="1"/>
  <c r="L16" i="55"/>
  <c r="K16" i="55"/>
  <c r="J16" i="55"/>
  <c r="I25" i="45"/>
  <c r="P28" i="45" s="1"/>
  <c r="L16" i="45"/>
  <c r="K16" i="45"/>
  <c r="J16" i="45"/>
  <c r="I25" i="63"/>
  <c r="P28" i="63" s="1"/>
  <c r="J16" i="63"/>
  <c r="L16" i="63"/>
  <c r="K16" i="63"/>
  <c r="L16" i="64"/>
  <c r="I25" i="64"/>
  <c r="P28" i="64" s="1"/>
  <c r="K16" i="64"/>
  <c r="J16" i="64"/>
  <c r="M16" i="64" s="1"/>
  <c r="I25" i="68"/>
  <c r="P28" i="68" s="1"/>
  <c r="K16" i="68"/>
  <c r="J16" i="68"/>
  <c r="L16" i="68"/>
  <c r="K16" i="72"/>
  <c r="J16" i="72"/>
  <c r="M16" i="72" s="1"/>
  <c r="L16" i="72"/>
  <c r="I25" i="72"/>
  <c r="P28" i="72" s="1"/>
  <c r="J23" i="49"/>
  <c r="K23" i="49"/>
  <c r="L23" i="49"/>
  <c r="M23" i="49"/>
  <c r="O23" i="49" s="1"/>
  <c r="P23" i="49" s="1"/>
  <c r="K23" i="55"/>
  <c r="J23" i="55"/>
  <c r="L23" i="55"/>
  <c r="K23" i="46"/>
  <c r="L23" i="46"/>
  <c r="J23" i="46"/>
  <c r="K23" i="60"/>
  <c r="M23" i="60" s="1"/>
  <c r="J23" i="60"/>
  <c r="L23" i="60"/>
  <c r="K23" i="71"/>
  <c r="J23" i="71"/>
  <c r="L23" i="71"/>
  <c r="J23" i="67"/>
  <c r="L23" i="67"/>
  <c r="K23" i="67"/>
  <c r="L19" i="48"/>
  <c r="K19" i="48"/>
  <c r="J19" i="48"/>
  <c r="J19" i="55"/>
  <c r="L19" i="55"/>
  <c r="K19" i="55"/>
  <c r="K19" i="43"/>
  <c r="J19" i="43"/>
  <c r="L19" i="43"/>
  <c r="J19" i="49"/>
  <c r="L19" i="49"/>
  <c r="K19" i="49"/>
  <c r="K19" i="60"/>
  <c r="J19" i="60"/>
  <c r="L19" i="60"/>
  <c r="J19" i="64"/>
  <c r="L19" i="64"/>
  <c r="K19" i="64"/>
  <c r="K19" i="69"/>
  <c r="J19" i="69"/>
  <c r="L19" i="69"/>
  <c r="K19" i="70"/>
  <c r="L19" i="70"/>
  <c r="J19" i="70"/>
  <c r="L21" i="48"/>
  <c r="K21" i="48"/>
  <c r="J21" i="48"/>
  <c r="L21" i="47"/>
  <c r="K21" i="47"/>
  <c r="J21" i="47"/>
  <c r="M21" i="47" s="1"/>
  <c r="O21" i="47" s="1"/>
  <c r="P21" i="47" s="1"/>
  <c r="J21" i="54"/>
  <c r="L21" i="54"/>
  <c r="K21" i="54"/>
  <c r="L21" i="44"/>
  <c r="M21" i="44" s="1"/>
  <c r="O21" i="44" s="1"/>
  <c r="P21" i="44" s="1"/>
  <c r="K21" i="44"/>
  <c r="J21" i="44"/>
  <c r="J21" i="60"/>
  <c r="L21" i="60"/>
  <c r="K21" i="60"/>
  <c r="J21" i="67"/>
  <c r="L21" i="67"/>
  <c r="K21" i="67"/>
  <c r="J21" i="64"/>
  <c r="L21" i="64"/>
  <c r="K21" i="64"/>
  <c r="L18" i="47"/>
  <c r="K18" i="47"/>
  <c r="J18" i="47"/>
  <c r="K18" i="53"/>
  <c r="J18" i="53"/>
  <c r="M18" i="53" s="1"/>
  <c r="O18" i="53" s="1"/>
  <c r="P18" i="53" s="1"/>
  <c r="L18" i="53"/>
  <c r="L18" i="58"/>
  <c r="J18" i="58"/>
  <c r="K18" i="58"/>
  <c r="K18" i="49"/>
  <c r="J18" i="49"/>
  <c r="L18" i="49"/>
  <c r="L18" i="60"/>
  <c r="K18" i="60"/>
  <c r="J18" i="60"/>
  <c r="K18" i="65"/>
  <c r="J18" i="65"/>
  <c r="L18" i="65"/>
  <c r="K18" i="69"/>
  <c r="J18" i="69"/>
  <c r="L18" i="69"/>
  <c r="J18" i="70"/>
  <c r="K18" i="70"/>
  <c r="L18" i="70"/>
  <c r="J24" i="52"/>
  <c r="K24" i="52"/>
  <c r="L24" i="52"/>
  <c r="L24" i="57"/>
  <c r="K24" i="57"/>
  <c r="J24" i="57"/>
  <c r="K24" i="45"/>
  <c r="J24" i="45"/>
  <c r="M24" i="45" s="1"/>
  <c r="O24" i="45" s="1"/>
  <c r="P24" i="45" s="1"/>
  <c r="L24" i="45"/>
  <c r="J24" i="61"/>
  <c r="K24" i="61"/>
  <c r="L24" i="61"/>
  <c r="J24" i="59"/>
  <c r="L24" i="59"/>
  <c r="K24" i="59"/>
  <c r="L24" i="68"/>
  <c r="K24" i="68"/>
  <c r="J24" i="68"/>
  <c r="L24" i="70"/>
  <c r="K24" i="70"/>
  <c r="J24" i="70"/>
  <c r="K20" i="49"/>
  <c r="L20" i="49"/>
  <c r="J20" i="49"/>
  <c r="K20" i="54"/>
  <c r="J20" i="54"/>
  <c r="L20" i="54"/>
  <c r="K20" i="47"/>
  <c r="J20" i="47"/>
  <c r="M20" i="47" s="1"/>
  <c r="O20" i="47" s="1"/>
  <c r="P20" i="47" s="1"/>
  <c r="R20" i="47" s="1"/>
  <c r="L20" i="47"/>
  <c r="K20" i="44"/>
  <c r="L20" i="44"/>
  <c r="J20" i="44"/>
  <c r="K20" i="59"/>
  <c r="J20" i="59"/>
  <c r="L20" i="59"/>
  <c r="K20" i="66"/>
  <c r="L20" i="66"/>
  <c r="J20" i="66"/>
  <c r="K20" i="72"/>
  <c r="J20" i="72"/>
  <c r="L20" i="72"/>
  <c r="K20" i="69"/>
  <c r="L20" i="69"/>
  <c r="J20" i="69"/>
  <c r="L22" i="50"/>
  <c r="K22" i="50"/>
  <c r="J22" i="50"/>
  <c r="J22" i="49"/>
  <c r="L22" i="49"/>
  <c r="K22" i="49"/>
  <c r="L22" i="55"/>
  <c r="K22" i="55"/>
  <c r="J22" i="55"/>
  <c r="J22" i="46"/>
  <c r="L22" i="46"/>
  <c r="K22" i="46"/>
  <c r="K22" i="60"/>
  <c r="L22" i="60"/>
  <c r="J22" i="60"/>
  <c r="L22" i="68"/>
  <c r="K22" i="68"/>
  <c r="J22" i="68"/>
  <c r="L22" i="64"/>
  <c r="K22" i="64"/>
  <c r="M22" i="64" s="1"/>
  <c r="O22" i="64" s="1"/>
  <c r="P22" i="64" s="1"/>
  <c r="J22" i="64"/>
  <c r="K17" i="44"/>
  <c r="L17" i="44"/>
  <c r="J17" i="44"/>
  <c r="M17" i="44" s="1"/>
  <c r="O17" i="44" s="1"/>
  <c r="P17" i="44" s="1"/>
  <c r="L17" i="51"/>
  <c r="K17" i="51"/>
  <c r="J17" i="51"/>
  <c r="L17" i="50"/>
  <c r="K17" i="50"/>
  <c r="J17" i="50"/>
  <c r="K17" i="56"/>
  <c r="L17" i="56"/>
  <c r="M17" i="56" s="1"/>
  <c r="O17" i="56" s="1"/>
  <c r="P17" i="56" s="1"/>
  <c r="J17" i="56"/>
  <c r="L17" i="66"/>
  <c r="K17" i="66"/>
  <c r="J17" i="66"/>
  <c r="L17" i="72"/>
  <c r="K17" i="72"/>
  <c r="J17" i="72"/>
  <c r="M17" i="72" s="1"/>
  <c r="O17" i="72" s="1"/>
  <c r="P17" i="72" s="1"/>
  <c r="K17" i="69"/>
  <c r="J17" i="69"/>
  <c r="L17" i="69"/>
  <c r="J16" i="51"/>
  <c r="I25" i="51"/>
  <c r="P28" i="51" s="1"/>
  <c r="L16" i="51"/>
  <c r="K16" i="51"/>
  <c r="J16" i="50"/>
  <c r="I25" i="50"/>
  <c r="P28" i="50" s="1"/>
  <c r="K16" i="50"/>
  <c r="L16" i="50"/>
  <c r="K16" i="56"/>
  <c r="L16" i="56"/>
  <c r="I25" i="56"/>
  <c r="P28" i="56" s="1"/>
  <c r="J16" i="56"/>
  <c r="K16" i="47"/>
  <c r="J16" i="47"/>
  <c r="I25" i="47"/>
  <c r="P28" i="47" s="1"/>
  <c r="L16" i="47"/>
  <c r="I25" i="61"/>
  <c r="P28" i="61" s="1"/>
  <c r="J16" i="61"/>
  <c r="J25" i="61" s="1"/>
  <c r="P29" i="61" s="1"/>
  <c r="K16" i="61"/>
  <c r="L16" i="61"/>
  <c r="K16" i="70"/>
  <c r="L16" i="70"/>
  <c r="J16" i="70"/>
  <c r="I25" i="70"/>
  <c r="P28" i="70" s="1"/>
  <c r="L16" i="69"/>
  <c r="I25" i="69"/>
  <c r="P28" i="69" s="1"/>
  <c r="K16" i="69"/>
  <c r="J16" i="69"/>
  <c r="J22" i="16"/>
  <c r="K22" i="16"/>
  <c r="L22" i="16"/>
  <c r="K18" i="16"/>
  <c r="J18" i="16"/>
  <c r="J23" i="16"/>
  <c r="K23" i="16"/>
  <c r="L23" i="16" s="1"/>
  <c r="J21" i="16"/>
  <c r="L21" i="16" s="1"/>
  <c r="K21" i="16"/>
  <c r="J19" i="16"/>
  <c r="K19" i="16"/>
  <c r="J24" i="16"/>
  <c r="K24" i="16"/>
  <c r="K20" i="16"/>
  <c r="J20" i="16"/>
  <c r="L20" i="16" s="1"/>
  <c r="M20" i="16" s="1"/>
  <c r="N20" i="16" s="1"/>
  <c r="O20" i="16" s="1"/>
  <c r="J16" i="16"/>
  <c r="K16" i="16"/>
  <c r="I25" i="16"/>
  <c r="O28" i="16" s="1"/>
  <c r="J17" i="16"/>
  <c r="L17" i="16" s="1"/>
  <c r="K17" i="16"/>
  <c r="L24" i="11"/>
  <c r="K24" i="11"/>
  <c r="K15" i="62" s="1"/>
  <c r="J24" i="11"/>
  <c r="J15" i="62" s="1"/>
  <c r="J21" i="11"/>
  <c r="L21" i="11"/>
  <c r="K21" i="11"/>
  <c r="K12" i="62" s="1"/>
  <c r="K20" i="11"/>
  <c r="L20" i="11"/>
  <c r="J20" i="11"/>
  <c r="K19" i="11"/>
  <c r="J19" i="11"/>
  <c r="L19" i="11"/>
  <c r="J18" i="11"/>
  <c r="L18" i="11"/>
  <c r="K18" i="11"/>
  <c r="L16" i="11"/>
  <c r="K16" i="11"/>
  <c r="J16" i="11"/>
  <c r="J7" i="62" s="1"/>
  <c r="W7" i="6"/>
  <c r="Y7" i="6" s="1"/>
  <c r="T7" i="6"/>
  <c r="W6" i="6"/>
  <c r="Y6" i="6" s="1"/>
  <c r="T6" i="6"/>
  <c r="O8" i="6"/>
  <c r="U8" i="6" s="1"/>
  <c r="N9" i="6"/>
  <c r="C12" i="11"/>
  <c r="O34" i="11"/>
  <c r="C11" i="11" s="1"/>
  <c r="M20" i="46" l="1"/>
  <c r="O20" i="46" s="1"/>
  <c r="P20" i="46" s="1"/>
  <c r="R20" i="46" s="1"/>
  <c r="M16" i="44"/>
  <c r="M17" i="45"/>
  <c r="M17" i="57"/>
  <c r="O17" i="57" s="1"/>
  <c r="P17" i="57" s="1"/>
  <c r="M18" i="69"/>
  <c r="M18" i="57"/>
  <c r="O18" i="57" s="1"/>
  <c r="P18" i="57" s="1"/>
  <c r="M18" i="43"/>
  <c r="M18" i="51"/>
  <c r="O18" i="51" s="1"/>
  <c r="P18" i="51" s="1"/>
  <c r="M18" i="50"/>
  <c r="M18" i="46"/>
  <c r="O18" i="46" s="1"/>
  <c r="P18" i="46" s="1"/>
  <c r="M18" i="55"/>
  <c r="O18" i="55" s="1"/>
  <c r="P18" i="55" s="1"/>
  <c r="M19" i="70"/>
  <c r="O19" i="70" s="1"/>
  <c r="P19" i="70" s="1"/>
  <c r="M19" i="49"/>
  <c r="O19" i="49" s="1"/>
  <c r="P19" i="49" s="1"/>
  <c r="M19" i="48"/>
  <c r="O19" i="48" s="1"/>
  <c r="P19" i="48" s="1"/>
  <c r="M19" i="65"/>
  <c r="O19" i="65" s="1"/>
  <c r="P19" i="65" s="1"/>
  <c r="M19" i="60"/>
  <c r="O19" i="60" s="1"/>
  <c r="P19" i="60" s="1"/>
  <c r="L25" i="50"/>
  <c r="M19" i="69"/>
  <c r="O19" i="69" s="1"/>
  <c r="P19" i="69" s="1"/>
  <c r="M19" i="43"/>
  <c r="O19" i="43" s="1"/>
  <c r="P19" i="43" s="1"/>
  <c r="M19" i="71"/>
  <c r="O19" i="71" s="1"/>
  <c r="P19" i="71" s="1"/>
  <c r="M19" i="56"/>
  <c r="O19" i="56" s="1"/>
  <c r="P19" i="56" s="1"/>
  <c r="M19" i="59"/>
  <c r="O19" i="59" s="1"/>
  <c r="P19" i="59" s="1"/>
  <c r="M19" i="52"/>
  <c r="O19" i="52" s="1"/>
  <c r="P19" i="52" s="1"/>
  <c r="M19" i="55"/>
  <c r="M19" i="67"/>
  <c r="O19" i="67" s="1"/>
  <c r="P19" i="67" s="1"/>
  <c r="M20" i="49"/>
  <c r="O20" i="49" s="1"/>
  <c r="P20" i="49" s="1"/>
  <c r="R20" i="49" s="1"/>
  <c r="M20" i="65"/>
  <c r="O20" i="65" s="1"/>
  <c r="P20" i="65" s="1"/>
  <c r="R20" i="65" s="1"/>
  <c r="M20" i="64"/>
  <c r="O20" i="64" s="1"/>
  <c r="P20" i="64" s="1"/>
  <c r="R20" i="64" s="1"/>
  <c r="M20" i="52"/>
  <c r="M20" i="66"/>
  <c r="O20" i="66" s="1"/>
  <c r="P20" i="66" s="1"/>
  <c r="R20" i="66" s="1"/>
  <c r="M20" i="59"/>
  <c r="O20" i="59" s="1"/>
  <c r="P20" i="59" s="1"/>
  <c r="R20" i="59" s="1"/>
  <c r="M20" i="54"/>
  <c r="O20" i="54" s="1"/>
  <c r="P20" i="54" s="1"/>
  <c r="R20" i="54" s="1"/>
  <c r="J25" i="69"/>
  <c r="P29" i="69" s="1"/>
  <c r="M22" i="49"/>
  <c r="O22" i="49" s="1"/>
  <c r="P22" i="49" s="1"/>
  <c r="M22" i="45"/>
  <c r="O22" i="45" s="1"/>
  <c r="P22" i="45" s="1"/>
  <c r="M22" i="54"/>
  <c r="O22" i="54" s="1"/>
  <c r="P22" i="54" s="1"/>
  <c r="M22" i="71"/>
  <c r="O22" i="71" s="1"/>
  <c r="P22" i="71" s="1"/>
  <c r="M22" i="66"/>
  <c r="O22" i="66" s="1"/>
  <c r="P22" i="66" s="1"/>
  <c r="M22" i="55"/>
  <c r="O22" i="55" s="1"/>
  <c r="P22" i="55" s="1"/>
  <c r="L12" i="62"/>
  <c r="M21" i="60"/>
  <c r="O21" i="60" s="1"/>
  <c r="P21" i="60" s="1"/>
  <c r="M21" i="54"/>
  <c r="M21" i="57"/>
  <c r="O21" i="57" s="1"/>
  <c r="P21" i="57" s="1"/>
  <c r="M21" i="58"/>
  <c r="O21" i="58" s="1"/>
  <c r="P21" i="58" s="1"/>
  <c r="M21" i="59"/>
  <c r="O21" i="59" s="1"/>
  <c r="P21" i="59" s="1"/>
  <c r="M21" i="67"/>
  <c r="O21" i="67" s="1"/>
  <c r="P21" i="67" s="1"/>
  <c r="M21" i="66"/>
  <c r="O21" i="66" s="1"/>
  <c r="P21" i="66" s="1"/>
  <c r="M21" i="46"/>
  <c r="O21" i="46" s="1"/>
  <c r="P21" i="46" s="1"/>
  <c r="M21" i="50"/>
  <c r="M20" i="44"/>
  <c r="O20" i="44" s="1"/>
  <c r="P20" i="44" s="1"/>
  <c r="R20" i="44" s="1"/>
  <c r="M20" i="58"/>
  <c r="O20" i="58" s="1"/>
  <c r="P20" i="58" s="1"/>
  <c r="R20" i="58" s="1"/>
  <c r="J25" i="47"/>
  <c r="P29" i="47" s="1"/>
  <c r="M20" i="55"/>
  <c r="O20" i="55" s="1"/>
  <c r="P20" i="55" s="1"/>
  <c r="R20" i="55" s="1"/>
  <c r="M20" i="56"/>
  <c r="O20" i="56" s="1"/>
  <c r="P20" i="56" s="1"/>
  <c r="R20" i="56" s="1"/>
  <c r="M19" i="50"/>
  <c r="J25" i="56"/>
  <c r="P29" i="56" s="1"/>
  <c r="M19" i="54"/>
  <c r="O19" i="54" s="1"/>
  <c r="P19" i="54" s="1"/>
  <c r="M19" i="57"/>
  <c r="O19" i="57" s="1"/>
  <c r="P19" i="57" s="1"/>
  <c r="K25" i="51"/>
  <c r="J25" i="70"/>
  <c r="P29" i="70" s="1"/>
  <c r="M19" i="58"/>
  <c r="O19" i="58" s="1"/>
  <c r="P19" i="58" s="1"/>
  <c r="M19" i="53"/>
  <c r="O19" i="53" s="1"/>
  <c r="P19" i="53" s="1"/>
  <c r="L9" i="62"/>
  <c r="M18" i="49"/>
  <c r="O18" i="49" s="1"/>
  <c r="P18" i="49" s="1"/>
  <c r="M18" i="47"/>
  <c r="O18" i="47" s="1"/>
  <c r="P18" i="47" s="1"/>
  <c r="L25" i="63"/>
  <c r="M18" i="54"/>
  <c r="O18" i="54" s="1"/>
  <c r="P18" i="54" s="1"/>
  <c r="M18" i="64"/>
  <c r="O18" i="64" s="1"/>
  <c r="P18" i="64" s="1"/>
  <c r="J9" i="62"/>
  <c r="K25" i="70"/>
  <c r="J25" i="51"/>
  <c r="P29" i="51" s="1"/>
  <c r="M18" i="65"/>
  <c r="O18" i="65" s="1"/>
  <c r="P18" i="65" s="1"/>
  <c r="M18" i="52"/>
  <c r="O18" i="52" s="1"/>
  <c r="P18" i="52" s="1"/>
  <c r="M18" i="59"/>
  <c r="O18" i="59" s="1"/>
  <c r="P18" i="59" s="1"/>
  <c r="M18" i="56"/>
  <c r="O18" i="56" s="1"/>
  <c r="P18" i="56" s="1"/>
  <c r="M18" i="66"/>
  <c r="O18" i="66" s="1"/>
  <c r="P18" i="66" s="1"/>
  <c r="K25" i="61"/>
  <c r="M17" i="51"/>
  <c r="O17" i="51" s="1"/>
  <c r="P17" i="51" s="1"/>
  <c r="M17" i="59"/>
  <c r="O17" i="59" s="1"/>
  <c r="P17" i="59" s="1"/>
  <c r="M17" i="55"/>
  <c r="O17" i="55" s="1"/>
  <c r="P17" i="55" s="1"/>
  <c r="M17" i="46"/>
  <c r="O17" i="46" s="1"/>
  <c r="P17" i="46" s="1"/>
  <c r="L25" i="56"/>
  <c r="M17" i="50"/>
  <c r="M17" i="71"/>
  <c r="O17" i="71" s="1"/>
  <c r="P17" i="71" s="1"/>
  <c r="M17" i="49"/>
  <c r="O17" i="49" s="1"/>
  <c r="P17" i="49" s="1"/>
  <c r="M17" i="53"/>
  <c r="O17" i="53" s="1"/>
  <c r="P17" i="53" s="1"/>
  <c r="M17" i="43"/>
  <c r="O17" i="43" s="1"/>
  <c r="P17" i="43" s="1"/>
  <c r="M17" i="54"/>
  <c r="O17" i="54" s="1"/>
  <c r="P17" i="54" s="1"/>
  <c r="L25" i="69"/>
  <c r="M17" i="66"/>
  <c r="O17" i="66" s="1"/>
  <c r="P17" i="66" s="1"/>
  <c r="K25" i="63"/>
  <c r="M17" i="58"/>
  <c r="O17" i="58" s="1"/>
  <c r="P17" i="58" s="1"/>
  <c r="M17" i="70"/>
  <c r="O17" i="70" s="1"/>
  <c r="P17" i="70" s="1"/>
  <c r="M17" i="52"/>
  <c r="O17" i="52" s="1"/>
  <c r="P17" i="52" s="1"/>
  <c r="M16" i="67"/>
  <c r="M16" i="55"/>
  <c r="O24" i="58"/>
  <c r="P24" i="58" s="1"/>
  <c r="O18" i="43"/>
  <c r="P18" i="43" s="1"/>
  <c r="O23" i="64"/>
  <c r="P23" i="64" s="1"/>
  <c r="O24" i="71"/>
  <c r="P24" i="71"/>
  <c r="O23" i="59"/>
  <c r="P23" i="59"/>
  <c r="O23" i="69"/>
  <c r="P23" i="69" s="1"/>
  <c r="O16" i="67"/>
  <c r="P16" i="67" s="1"/>
  <c r="O24" i="48"/>
  <c r="P24" i="48"/>
  <c r="O16" i="44"/>
  <c r="O22" i="51"/>
  <c r="P22" i="51" s="1"/>
  <c r="O23" i="60"/>
  <c r="P23" i="60" s="1"/>
  <c r="O16" i="64"/>
  <c r="P16" i="64" s="1"/>
  <c r="O16" i="55"/>
  <c r="O17" i="45"/>
  <c r="P17" i="45" s="1"/>
  <c r="O23" i="66"/>
  <c r="P23" i="66" s="1"/>
  <c r="O16" i="58"/>
  <c r="P16" i="58" s="1"/>
  <c r="O16" i="59"/>
  <c r="P16" i="59" s="1"/>
  <c r="O23" i="65"/>
  <c r="P23" i="65" s="1"/>
  <c r="M16" i="70"/>
  <c r="K7" i="62"/>
  <c r="M16" i="47"/>
  <c r="K25" i="47"/>
  <c r="L7" i="62"/>
  <c r="J12" i="62"/>
  <c r="L24" i="16"/>
  <c r="L25" i="61"/>
  <c r="L25" i="47"/>
  <c r="M16" i="56"/>
  <c r="K25" i="56"/>
  <c r="L25" i="51"/>
  <c r="M17" i="69"/>
  <c r="O17" i="69" s="1"/>
  <c r="P17" i="69" s="1"/>
  <c r="M22" i="68"/>
  <c r="O22" i="68" s="1"/>
  <c r="P22" i="68" s="1"/>
  <c r="M22" i="46"/>
  <c r="O22" i="46" s="1"/>
  <c r="P22" i="46" s="1"/>
  <c r="M20" i="72"/>
  <c r="O20" i="72" s="1"/>
  <c r="P20" i="72" s="1"/>
  <c r="R20" i="72" s="1"/>
  <c r="M24" i="68"/>
  <c r="O24" i="68" s="1"/>
  <c r="P24" i="68" s="1"/>
  <c r="M24" i="61"/>
  <c r="O24" i="61" s="1"/>
  <c r="P24" i="61" s="1"/>
  <c r="M24" i="57"/>
  <c r="O24" i="57" s="1"/>
  <c r="P24" i="57" s="1"/>
  <c r="M24" i="52"/>
  <c r="O24" i="52" s="1"/>
  <c r="P24" i="52" s="1"/>
  <c r="M18" i="70"/>
  <c r="O18" i="70" s="1"/>
  <c r="P18" i="70" s="1"/>
  <c r="M18" i="60"/>
  <c r="O18" i="60" s="1"/>
  <c r="P18" i="60" s="1"/>
  <c r="M18" i="58"/>
  <c r="O18" i="58" s="1"/>
  <c r="P18" i="58" s="1"/>
  <c r="M23" i="46"/>
  <c r="O23" i="46" s="1"/>
  <c r="P23" i="46" s="1"/>
  <c r="M23" i="55"/>
  <c r="L25" i="72"/>
  <c r="L25" i="68"/>
  <c r="L25" i="64"/>
  <c r="L25" i="55"/>
  <c r="J25" i="48"/>
  <c r="P29" i="48" s="1"/>
  <c r="J25" i="49"/>
  <c r="P29" i="49" s="1"/>
  <c r="M17" i="68"/>
  <c r="O17" i="68" s="1"/>
  <c r="P17" i="68" s="1"/>
  <c r="M22" i="65"/>
  <c r="O22" i="65" s="1"/>
  <c r="P22" i="65" s="1"/>
  <c r="M22" i="59"/>
  <c r="O22" i="59" s="1"/>
  <c r="P22" i="59" s="1"/>
  <c r="M22" i="47"/>
  <c r="O22" i="47" s="1"/>
  <c r="P22" i="47" s="1"/>
  <c r="M22" i="48"/>
  <c r="O22" i="48" s="1"/>
  <c r="P22" i="48" s="1"/>
  <c r="M24" i="67"/>
  <c r="O24" i="67" s="1"/>
  <c r="P24" i="67" s="1"/>
  <c r="M24" i="51"/>
  <c r="O24" i="51" s="1"/>
  <c r="P24" i="51" s="1"/>
  <c r="M19" i="68"/>
  <c r="M23" i="47"/>
  <c r="M23" i="45"/>
  <c r="O23" i="45" s="1"/>
  <c r="P23" i="45" s="1"/>
  <c r="M21" i="63"/>
  <c r="O21" i="63" s="1"/>
  <c r="P21" i="63" s="1"/>
  <c r="J25" i="71"/>
  <c r="P29" i="71" s="1"/>
  <c r="M16" i="71"/>
  <c r="L25" i="58"/>
  <c r="M22" i="72"/>
  <c r="O22" i="72" s="1"/>
  <c r="P22" i="72" s="1"/>
  <c r="M22" i="57"/>
  <c r="O22" i="57" s="1"/>
  <c r="P22" i="57" s="1"/>
  <c r="M22" i="58"/>
  <c r="O22" i="58" s="1"/>
  <c r="P22" i="58" s="1"/>
  <c r="M20" i="63"/>
  <c r="M20" i="51"/>
  <c r="O20" i="51" s="1"/>
  <c r="P20" i="51" s="1"/>
  <c r="R20" i="51" s="1"/>
  <c r="M18" i="44"/>
  <c r="O18" i="44" s="1"/>
  <c r="P18" i="44" s="1"/>
  <c r="M21" i="71"/>
  <c r="O21" i="71" s="1"/>
  <c r="P21" i="71" s="1"/>
  <c r="M21" i="65"/>
  <c r="O21" i="65" s="1"/>
  <c r="P21" i="65" s="1"/>
  <c r="M18" i="45"/>
  <c r="O18" i="45" s="1"/>
  <c r="P18" i="45" s="1"/>
  <c r="M19" i="66"/>
  <c r="O19" i="66" s="1"/>
  <c r="P19" i="66" s="1"/>
  <c r="M23" i="68"/>
  <c r="O23" i="68" s="1"/>
  <c r="P23" i="68" s="1"/>
  <c r="J25" i="66"/>
  <c r="P29" i="66" s="1"/>
  <c r="K25" i="65"/>
  <c r="K25" i="44"/>
  <c r="K25" i="57"/>
  <c r="J25" i="52"/>
  <c r="P29" i="52" s="1"/>
  <c r="L25" i="54"/>
  <c r="M22" i="69"/>
  <c r="O22" i="69" s="1"/>
  <c r="P22" i="69" s="1"/>
  <c r="M22" i="53"/>
  <c r="O22" i="53" s="1"/>
  <c r="P22" i="53" s="1"/>
  <c r="M20" i="60"/>
  <c r="O20" i="60" s="1"/>
  <c r="P20" i="60" s="1"/>
  <c r="R20" i="60" s="1"/>
  <c r="L11" i="62"/>
  <c r="M21" i="45"/>
  <c r="O21" i="45" s="1"/>
  <c r="P21" i="45" s="1"/>
  <c r="M16" i="69"/>
  <c r="L25" i="70"/>
  <c r="M16" i="50"/>
  <c r="J25" i="50"/>
  <c r="P29" i="50" s="1"/>
  <c r="M22" i="50"/>
  <c r="M20" i="69"/>
  <c r="O20" i="69" s="1"/>
  <c r="P20" i="69" s="1"/>
  <c r="R20" i="69" s="1"/>
  <c r="M24" i="70"/>
  <c r="M24" i="59"/>
  <c r="O24" i="59" s="1"/>
  <c r="P24" i="59" s="1"/>
  <c r="M21" i="64"/>
  <c r="O21" i="64" s="1"/>
  <c r="P21" i="64" s="1"/>
  <c r="M21" i="48"/>
  <c r="M19" i="64"/>
  <c r="O19" i="64" s="1"/>
  <c r="P19" i="64" s="1"/>
  <c r="M23" i="71"/>
  <c r="O23" i="71" s="1"/>
  <c r="P23" i="71" s="1"/>
  <c r="J25" i="72"/>
  <c r="P29" i="72" s="1"/>
  <c r="J25" i="68"/>
  <c r="P29" i="68" s="1"/>
  <c r="J25" i="64"/>
  <c r="P29" i="64" s="1"/>
  <c r="M16" i="45"/>
  <c r="J25" i="45"/>
  <c r="P29" i="45" s="1"/>
  <c r="L25" i="49"/>
  <c r="M18" i="68"/>
  <c r="O18" i="68" s="1"/>
  <c r="P18" i="68" s="1"/>
  <c r="M18" i="63"/>
  <c r="O18" i="63" s="1"/>
  <c r="P18" i="63" s="1"/>
  <c r="M21" i="72"/>
  <c r="O21" i="72" s="1"/>
  <c r="P21" i="72" s="1"/>
  <c r="M23" i="63"/>
  <c r="M19" i="51"/>
  <c r="M23" i="50"/>
  <c r="K25" i="71"/>
  <c r="L25" i="67"/>
  <c r="K25" i="60"/>
  <c r="L25" i="46"/>
  <c r="J25" i="58"/>
  <c r="P29" i="58" s="1"/>
  <c r="L25" i="53"/>
  <c r="J25" i="59"/>
  <c r="P29" i="59" s="1"/>
  <c r="J25" i="43"/>
  <c r="P29" i="43" s="1"/>
  <c r="M17" i="47"/>
  <c r="O17" i="47" s="1"/>
  <c r="P17" i="47" s="1"/>
  <c r="M22" i="61"/>
  <c r="O22" i="61" s="1"/>
  <c r="P22" i="61" s="1"/>
  <c r="M20" i="67"/>
  <c r="O20" i="67" s="1"/>
  <c r="P20" i="67" s="1"/>
  <c r="R20" i="67" s="1"/>
  <c r="M24" i="60"/>
  <c r="M21" i="61"/>
  <c r="O21" i="61" s="1"/>
  <c r="P21" i="61" s="1"/>
  <c r="M21" i="56"/>
  <c r="O21" i="56" s="1"/>
  <c r="P21" i="56" s="1"/>
  <c r="M21" i="70"/>
  <c r="O21" i="70" s="1"/>
  <c r="P21" i="70" s="1"/>
  <c r="M21" i="49"/>
  <c r="O21" i="49" s="1"/>
  <c r="P21" i="49" s="1"/>
  <c r="O21" i="50"/>
  <c r="P21" i="50"/>
  <c r="M19" i="45"/>
  <c r="O23" i="56"/>
  <c r="P23" i="56"/>
  <c r="O16" i="66"/>
  <c r="K25" i="66"/>
  <c r="M16" i="57"/>
  <c r="J25" i="57"/>
  <c r="P29" i="57" s="1"/>
  <c r="L25" i="52"/>
  <c r="K25" i="54"/>
  <c r="M17" i="64"/>
  <c r="O17" i="64" s="1"/>
  <c r="P17" i="64" s="1"/>
  <c r="M17" i="63"/>
  <c r="O17" i="63" s="1"/>
  <c r="P17" i="63" s="1"/>
  <c r="M22" i="44"/>
  <c r="J11" i="62"/>
  <c r="M24" i="64"/>
  <c r="J10" i="62"/>
  <c r="O23" i="48"/>
  <c r="P23" i="48"/>
  <c r="O17" i="50"/>
  <c r="P17" i="50" s="1"/>
  <c r="O18" i="69"/>
  <c r="P18" i="69" s="1"/>
  <c r="O19" i="55"/>
  <c r="P19" i="55" s="1"/>
  <c r="O16" i="72"/>
  <c r="P16" i="72" s="1"/>
  <c r="K25" i="72"/>
  <c r="K25" i="68"/>
  <c r="K25" i="64"/>
  <c r="K25" i="45"/>
  <c r="J25" i="55"/>
  <c r="P29" i="55" s="1"/>
  <c r="O16" i="48"/>
  <c r="P16" i="48" s="1"/>
  <c r="K25" i="48"/>
  <c r="O24" i="72"/>
  <c r="P24" i="72" s="1"/>
  <c r="L25" i="71"/>
  <c r="J25" i="67"/>
  <c r="P29" i="67" s="1"/>
  <c r="O16" i="60"/>
  <c r="P16" i="60" s="1"/>
  <c r="L25" i="60"/>
  <c r="K25" i="46"/>
  <c r="K25" i="58"/>
  <c r="K25" i="53"/>
  <c r="K25" i="59"/>
  <c r="O16" i="43"/>
  <c r="P16" i="43"/>
  <c r="L25" i="43"/>
  <c r="O22" i="43"/>
  <c r="P22" i="43" s="1"/>
  <c r="O18" i="50"/>
  <c r="P18" i="50" s="1"/>
  <c r="O21" i="51"/>
  <c r="P21" i="51" s="1"/>
  <c r="O16" i="65"/>
  <c r="L25" i="65"/>
  <c r="J25" i="44"/>
  <c r="P29" i="44" s="1"/>
  <c r="L25" i="57"/>
  <c r="O16" i="52"/>
  <c r="P16" i="52" s="1"/>
  <c r="K25" i="52"/>
  <c r="J25" i="54"/>
  <c r="P29" i="54" s="1"/>
  <c r="O22" i="70"/>
  <c r="P22" i="70" s="1"/>
  <c r="K11" i="62"/>
  <c r="O18" i="48"/>
  <c r="P18" i="48" s="1"/>
  <c r="K10" i="62"/>
  <c r="L15" i="62"/>
  <c r="M15" i="62" s="1"/>
  <c r="K25" i="69"/>
  <c r="M16" i="61"/>
  <c r="K25" i="50"/>
  <c r="M16" i="51"/>
  <c r="M22" i="60"/>
  <c r="O22" i="60" s="1"/>
  <c r="P22" i="60" s="1"/>
  <c r="O21" i="54"/>
  <c r="P21" i="54" s="1"/>
  <c r="M23" i="67"/>
  <c r="O23" i="67" s="1"/>
  <c r="P23" i="67" s="1"/>
  <c r="M16" i="68"/>
  <c r="M16" i="63"/>
  <c r="J25" i="63"/>
  <c r="P29" i="63" s="1"/>
  <c r="L25" i="45"/>
  <c r="K25" i="55"/>
  <c r="L25" i="48"/>
  <c r="K25" i="49"/>
  <c r="M16" i="49"/>
  <c r="M17" i="48"/>
  <c r="M20" i="68"/>
  <c r="O20" i="68" s="1"/>
  <c r="P20" i="68" s="1"/>
  <c r="R20" i="68" s="1"/>
  <c r="M18" i="72"/>
  <c r="O18" i="72" s="1"/>
  <c r="P18" i="72" s="1"/>
  <c r="M19" i="63"/>
  <c r="M19" i="46"/>
  <c r="O19" i="46" s="1"/>
  <c r="P19" i="46" s="1"/>
  <c r="M19" i="47"/>
  <c r="O19" i="47" s="1"/>
  <c r="P19" i="47" s="1"/>
  <c r="M23" i="70"/>
  <c r="O23" i="70" s="1"/>
  <c r="P23" i="70" s="1"/>
  <c r="K25" i="67"/>
  <c r="J25" i="60"/>
  <c r="P29" i="60" s="1"/>
  <c r="M16" i="46"/>
  <c r="J25" i="46"/>
  <c r="P29" i="46" s="1"/>
  <c r="M16" i="53"/>
  <c r="J25" i="53"/>
  <c r="P29" i="53" s="1"/>
  <c r="L25" i="59"/>
  <c r="K25" i="43"/>
  <c r="M17" i="67"/>
  <c r="O17" i="67" s="1"/>
  <c r="P17" i="67" s="1"/>
  <c r="M17" i="65"/>
  <c r="O17" i="65" s="1"/>
  <c r="P17" i="65" s="1"/>
  <c r="M24" i="69"/>
  <c r="M24" i="55"/>
  <c r="M24" i="49"/>
  <c r="O24" i="49" s="1"/>
  <c r="P24" i="49" s="1"/>
  <c r="M18" i="71"/>
  <c r="O18" i="71" s="1"/>
  <c r="P18" i="71" s="1"/>
  <c r="M19" i="72"/>
  <c r="O19" i="72" s="1"/>
  <c r="P19" i="72" s="1"/>
  <c r="M19" i="44"/>
  <c r="O19" i="44" s="1"/>
  <c r="P19" i="44" s="1"/>
  <c r="M23" i="57"/>
  <c r="O23" i="57" s="1"/>
  <c r="P23" i="57" s="1"/>
  <c r="M23" i="43"/>
  <c r="O23" i="43" s="1"/>
  <c r="P23" i="43" s="1"/>
  <c r="M24" i="54"/>
  <c r="M18" i="61"/>
  <c r="O18" i="61" s="1"/>
  <c r="P18" i="61" s="1"/>
  <c r="L25" i="66"/>
  <c r="J25" i="65"/>
  <c r="P29" i="65" s="1"/>
  <c r="L25" i="44"/>
  <c r="M16" i="54"/>
  <c r="M20" i="45"/>
  <c r="M21" i="55"/>
  <c r="O21" i="55" s="1"/>
  <c r="P21" i="55" s="1"/>
  <c r="M19" i="61"/>
  <c r="O19" i="61" s="1"/>
  <c r="P19" i="61" s="1"/>
  <c r="L10" i="62"/>
  <c r="M12" i="62"/>
  <c r="M18" i="11"/>
  <c r="K9" i="62"/>
  <c r="M24" i="11"/>
  <c r="O24" i="11" s="1"/>
  <c r="M21" i="16"/>
  <c r="N21" i="16" s="1"/>
  <c r="O21" i="16" s="1"/>
  <c r="M17" i="16"/>
  <c r="N17" i="16" s="1"/>
  <c r="K25" i="16"/>
  <c r="O29" i="16" s="1"/>
  <c r="L19" i="16"/>
  <c r="M23" i="16"/>
  <c r="N23" i="16" s="1"/>
  <c r="M22" i="16"/>
  <c r="N22" i="16" s="1"/>
  <c r="O22" i="16"/>
  <c r="M21" i="11"/>
  <c r="O21" i="11" s="1"/>
  <c r="J25" i="16"/>
  <c r="O30" i="16" s="1"/>
  <c r="M24" i="16"/>
  <c r="N24" i="16" s="1"/>
  <c r="O24" i="16"/>
  <c r="O31" i="16"/>
  <c r="O32" i="16" s="1"/>
  <c r="O33" i="16" s="1"/>
  <c r="O34" i="16" s="1"/>
  <c r="O35" i="16" s="1"/>
  <c r="M19" i="11"/>
  <c r="M20" i="11"/>
  <c r="L16" i="16"/>
  <c r="L18" i="16"/>
  <c r="M16" i="11"/>
  <c r="O9" i="6"/>
  <c r="U9" i="6" s="1"/>
  <c r="N10" i="6"/>
  <c r="W8" i="6"/>
  <c r="Y8" i="6" s="1"/>
  <c r="T8" i="6"/>
  <c r="V6" i="6"/>
  <c r="X6" i="6" s="1"/>
  <c r="AC6" i="6" s="1"/>
  <c r="V7" i="6"/>
  <c r="X7" i="6" s="1"/>
  <c r="H25" i="11"/>
  <c r="G25" i="11"/>
  <c r="A25" i="11"/>
  <c r="P30" i="70" l="1"/>
  <c r="P30" i="51"/>
  <c r="O19" i="50"/>
  <c r="P19" i="50" s="1"/>
  <c r="P30" i="50"/>
  <c r="M25" i="66"/>
  <c r="M25" i="52"/>
  <c r="O20" i="52"/>
  <c r="P20" i="52" s="1"/>
  <c r="P30" i="68"/>
  <c r="P31" i="70"/>
  <c r="P33" i="70" s="1"/>
  <c r="P34" i="70" s="1"/>
  <c r="P35" i="70" s="1"/>
  <c r="T30" i="62" s="1"/>
  <c r="M25" i="48"/>
  <c r="P30" i="64"/>
  <c r="P31" i="64" s="1"/>
  <c r="P33" i="64" s="1"/>
  <c r="P34" i="64" s="1"/>
  <c r="P35" i="64" s="1"/>
  <c r="T24" i="62" s="1"/>
  <c r="P30" i="69"/>
  <c r="P31" i="69" s="1"/>
  <c r="P33" i="69" s="1"/>
  <c r="P34" i="69" s="1"/>
  <c r="P35" i="69" s="1"/>
  <c r="T29" i="62" s="1"/>
  <c r="P30" i="61"/>
  <c r="P31" i="61" s="1"/>
  <c r="P33" i="61" s="1"/>
  <c r="P34" i="61" s="1"/>
  <c r="P35" i="61" s="1"/>
  <c r="T22" i="62" s="1"/>
  <c r="P30" i="52"/>
  <c r="P31" i="52" s="1"/>
  <c r="P33" i="52" s="1"/>
  <c r="P34" i="52" s="1"/>
  <c r="P35" i="52" s="1"/>
  <c r="T13" i="62" s="1"/>
  <c r="P30" i="72"/>
  <c r="P31" i="72" s="1"/>
  <c r="P33" i="72" s="1"/>
  <c r="P34" i="72" s="1"/>
  <c r="P35" i="72" s="1"/>
  <c r="T32" i="62" s="1"/>
  <c r="P30" i="54"/>
  <c r="P31" i="54" s="1"/>
  <c r="P33" i="54" s="1"/>
  <c r="P34" i="54" s="1"/>
  <c r="P35" i="54" s="1"/>
  <c r="T15" i="62" s="1"/>
  <c r="P30" i="63"/>
  <c r="P31" i="63" s="1"/>
  <c r="P33" i="63" s="1"/>
  <c r="P34" i="63" s="1"/>
  <c r="P35" i="63" s="1"/>
  <c r="T23" i="62" s="1"/>
  <c r="P30" i="43"/>
  <c r="P31" i="43" s="1"/>
  <c r="P33" i="43" s="1"/>
  <c r="P34" i="43" s="1"/>
  <c r="P35" i="43" s="1"/>
  <c r="T4" i="62" s="1"/>
  <c r="P30" i="58"/>
  <c r="P31" i="58" s="1"/>
  <c r="P33" i="58" s="1"/>
  <c r="P34" i="58" s="1"/>
  <c r="P35" i="58" s="1"/>
  <c r="T19" i="62" s="1"/>
  <c r="M25" i="60"/>
  <c r="O25" i="66"/>
  <c r="P31" i="51"/>
  <c r="P33" i="51" s="1"/>
  <c r="P34" i="51" s="1"/>
  <c r="P35" i="51" s="1"/>
  <c r="T12" i="62" s="1"/>
  <c r="P30" i="56"/>
  <c r="P31" i="56" s="1"/>
  <c r="P33" i="56" s="1"/>
  <c r="P34" i="56" s="1"/>
  <c r="P35" i="56" s="1"/>
  <c r="T17" i="62" s="1"/>
  <c r="P25" i="59"/>
  <c r="P25" i="58"/>
  <c r="P30" i="53"/>
  <c r="P31" i="53" s="1"/>
  <c r="P33" i="53" s="1"/>
  <c r="P34" i="53" s="1"/>
  <c r="P35" i="53" s="1"/>
  <c r="T14" i="62" s="1"/>
  <c r="M7" i="62"/>
  <c r="P30" i="67"/>
  <c r="P31" i="67" s="1"/>
  <c r="P33" i="67" s="1"/>
  <c r="P34" i="67" s="1"/>
  <c r="P35" i="67" s="1"/>
  <c r="T27" i="62" s="1"/>
  <c r="P30" i="49"/>
  <c r="P31" i="49" s="1"/>
  <c r="P33" i="49" s="1"/>
  <c r="P34" i="49" s="1"/>
  <c r="P30" i="46"/>
  <c r="P31" i="46" s="1"/>
  <c r="P33" i="46" s="1"/>
  <c r="P34" i="46" s="1"/>
  <c r="P35" i="46" s="1"/>
  <c r="T7" i="62" s="1"/>
  <c r="P31" i="50"/>
  <c r="P33" i="50" s="1"/>
  <c r="P34" i="50" s="1"/>
  <c r="P35" i="50" s="1"/>
  <c r="T11" i="62" s="1"/>
  <c r="P25" i="72"/>
  <c r="P24" i="11"/>
  <c r="O24" i="54"/>
  <c r="P24" i="54" s="1"/>
  <c r="P24" i="69"/>
  <c r="O24" i="69"/>
  <c r="M25" i="46"/>
  <c r="O16" i="46"/>
  <c r="O25" i="46" s="1"/>
  <c r="M25" i="49"/>
  <c r="O16" i="49"/>
  <c r="O25" i="49" s="1"/>
  <c r="O16" i="68"/>
  <c r="P16" i="68" s="1"/>
  <c r="M25" i="68"/>
  <c r="O16" i="61"/>
  <c r="O25" i="61" s="1"/>
  <c r="M25" i="61"/>
  <c r="O25" i="52"/>
  <c r="M25" i="43"/>
  <c r="P30" i="45"/>
  <c r="P31" i="45" s="1"/>
  <c r="P33" i="45" s="1"/>
  <c r="O24" i="64"/>
  <c r="P24" i="64" s="1"/>
  <c r="P25" i="64" s="1"/>
  <c r="O16" i="57"/>
  <c r="O25" i="57" s="1"/>
  <c r="M25" i="57"/>
  <c r="P16" i="66"/>
  <c r="P25" i="66" s="1"/>
  <c r="O24" i="60"/>
  <c r="O25" i="60" s="1"/>
  <c r="O23" i="50"/>
  <c r="P23" i="50"/>
  <c r="P31" i="68"/>
  <c r="P33" i="68" s="1"/>
  <c r="P34" i="68" s="1"/>
  <c r="P35" i="68" s="1"/>
  <c r="T28" i="62" s="1"/>
  <c r="O21" i="48"/>
  <c r="P21" i="48" s="1"/>
  <c r="P30" i="57"/>
  <c r="P31" i="57" s="1"/>
  <c r="P33" i="57" s="1"/>
  <c r="P30" i="55"/>
  <c r="P31" i="55" s="1"/>
  <c r="P33" i="55" s="1"/>
  <c r="P34" i="55" s="1"/>
  <c r="P35" i="55" s="1"/>
  <c r="T16" i="62" s="1"/>
  <c r="O16" i="47"/>
  <c r="M25" i="47"/>
  <c r="M25" i="59"/>
  <c r="M25" i="64"/>
  <c r="O25" i="67"/>
  <c r="O12" i="62"/>
  <c r="P12" i="62" s="1"/>
  <c r="O20" i="45"/>
  <c r="P20" i="45"/>
  <c r="R20" i="45" s="1"/>
  <c r="O16" i="51"/>
  <c r="M25" i="51"/>
  <c r="P16" i="51"/>
  <c r="O25" i="65"/>
  <c r="O25" i="43"/>
  <c r="O25" i="72"/>
  <c r="M11" i="62"/>
  <c r="O19" i="45"/>
  <c r="P19" i="45" s="1"/>
  <c r="P30" i="60"/>
  <c r="P31" i="60" s="1"/>
  <c r="P33" i="60" s="1"/>
  <c r="P34" i="60" s="1"/>
  <c r="P35" i="60" s="1"/>
  <c r="T21" i="62" s="1"/>
  <c r="O19" i="51"/>
  <c r="P19" i="51" s="1"/>
  <c r="O16" i="45"/>
  <c r="M25" i="45"/>
  <c r="O22" i="50"/>
  <c r="P22" i="50" s="1"/>
  <c r="P30" i="44"/>
  <c r="P31" i="44" s="1"/>
  <c r="P33" i="44" s="1"/>
  <c r="P34" i="44" s="1"/>
  <c r="P35" i="44" s="1"/>
  <c r="T5" i="62" s="1"/>
  <c r="O16" i="71"/>
  <c r="O25" i="71" s="1"/>
  <c r="M25" i="71"/>
  <c r="O23" i="47"/>
  <c r="P23" i="47" s="1"/>
  <c r="O23" i="55"/>
  <c r="O25" i="55" s="1"/>
  <c r="P23" i="55"/>
  <c r="M25" i="56"/>
  <c r="O16" i="56"/>
  <c r="O25" i="56" s="1"/>
  <c r="M25" i="55"/>
  <c r="O25" i="64"/>
  <c r="M25" i="67"/>
  <c r="O16" i="54"/>
  <c r="O25" i="54" s="1"/>
  <c r="M25" i="54"/>
  <c r="P16" i="53"/>
  <c r="P25" i="53" s="1"/>
  <c r="O16" i="53"/>
  <c r="O25" i="53" s="1"/>
  <c r="M25" i="53"/>
  <c r="O16" i="63"/>
  <c r="M25" i="63"/>
  <c r="P16" i="65"/>
  <c r="P25" i="65" s="1"/>
  <c r="P30" i="59"/>
  <c r="P31" i="59" s="1"/>
  <c r="P33" i="59" s="1"/>
  <c r="P34" i="59" s="1"/>
  <c r="P35" i="59" s="1"/>
  <c r="T20" i="62" s="1"/>
  <c r="M25" i="72"/>
  <c r="O22" i="44"/>
  <c r="O25" i="44" s="1"/>
  <c r="O23" i="63"/>
  <c r="P23" i="63" s="1"/>
  <c r="P30" i="65"/>
  <c r="P31" i="65" s="1"/>
  <c r="P33" i="65" s="1"/>
  <c r="P34" i="65" s="1"/>
  <c r="P35" i="65" s="1"/>
  <c r="T25" i="62" s="1"/>
  <c r="O19" i="68"/>
  <c r="P19" i="68" s="1"/>
  <c r="M25" i="58"/>
  <c r="P16" i="55"/>
  <c r="P16" i="44"/>
  <c r="O24" i="55"/>
  <c r="O15" i="62" s="1"/>
  <c r="P15" i="62" s="1"/>
  <c r="P24" i="55"/>
  <c r="O19" i="63"/>
  <c r="P19" i="63" s="1"/>
  <c r="O17" i="48"/>
  <c r="O25" i="48" s="1"/>
  <c r="M25" i="65"/>
  <c r="P25" i="43"/>
  <c r="P30" i="48"/>
  <c r="P31" i="48" s="1"/>
  <c r="P33" i="48" s="1"/>
  <c r="M10" i="62"/>
  <c r="P30" i="66"/>
  <c r="P31" i="66" s="1"/>
  <c r="P33" i="66" s="1"/>
  <c r="P34" i="66" s="1"/>
  <c r="P35" i="66" s="1"/>
  <c r="T26" i="62" s="1"/>
  <c r="P30" i="71"/>
  <c r="P31" i="71" s="1"/>
  <c r="P33" i="71" s="1"/>
  <c r="P34" i="71" s="1"/>
  <c r="P35" i="71" s="1"/>
  <c r="T31" i="62" s="1"/>
  <c r="O24" i="70"/>
  <c r="P24" i="70" s="1"/>
  <c r="O16" i="50"/>
  <c r="M25" i="50"/>
  <c r="O16" i="69"/>
  <c r="O25" i="69" s="1"/>
  <c r="M25" i="69"/>
  <c r="O20" i="63"/>
  <c r="P20" i="63" s="1"/>
  <c r="R20" i="63" s="1"/>
  <c r="P30" i="47"/>
  <c r="P31" i="47" s="1"/>
  <c r="P33" i="47" s="1"/>
  <c r="P34" i="47" s="1"/>
  <c r="P35" i="47" s="1"/>
  <c r="T8" i="62" s="1"/>
  <c r="P16" i="70"/>
  <c r="O16" i="70"/>
  <c r="O25" i="70" s="1"/>
  <c r="M25" i="70"/>
  <c r="O25" i="59"/>
  <c r="O25" i="58"/>
  <c r="M25" i="44"/>
  <c r="P25" i="67"/>
  <c r="M9" i="62"/>
  <c r="M19" i="16"/>
  <c r="N19" i="16" s="1"/>
  <c r="O19" i="16"/>
  <c r="M18" i="16"/>
  <c r="N18" i="16" s="1"/>
  <c r="O18" i="16"/>
  <c r="M16" i="16"/>
  <c r="L25" i="16"/>
  <c r="O23" i="16"/>
  <c r="O17" i="16"/>
  <c r="O16" i="11"/>
  <c r="P21" i="11"/>
  <c r="O20" i="11"/>
  <c r="O18" i="11"/>
  <c r="O19" i="11"/>
  <c r="P19" i="11" s="1"/>
  <c r="O10" i="6"/>
  <c r="U10" i="6" s="1"/>
  <c r="N11" i="6"/>
  <c r="W9" i="6"/>
  <c r="Y9" i="6" s="1"/>
  <c r="T9" i="6"/>
  <c r="V8" i="6"/>
  <c r="X8" i="6" s="1"/>
  <c r="U3" i="5"/>
  <c r="R20" i="52" l="1"/>
  <c r="P25" i="52"/>
  <c r="O25" i="50"/>
  <c r="O25" i="45"/>
  <c r="P25" i="51"/>
  <c r="O25" i="63"/>
  <c r="P16" i="46"/>
  <c r="P25" i="46" s="1"/>
  <c r="P16" i="69"/>
  <c r="P25" i="69" s="1"/>
  <c r="P16" i="71"/>
  <c r="P25" i="71" s="1"/>
  <c r="P35" i="49"/>
  <c r="T10" i="62" s="1"/>
  <c r="P16" i="61"/>
  <c r="P25" i="61" s="1"/>
  <c r="P16" i="54"/>
  <c r="P25" i="68"/>
  <c r="P20" i="11"/>
  <c r="R20" i="11" s="1"/>
  <c r="O11" i="62"/>
  <c r="P11" i="62" s="1"/>
  <c r="P16" i="11"/>
  <c r="O7" i="62"/>
  <c r="P7" i="62" s="1"/>
  <c r="P34" i="48"/>
  <c r="P35" i="48" s="1"/>
  <c r="T9" i="62" s="1"/>
  <c r="O10" i="62"/>
  <c r="P10" i="62" s="1"/>
  <c r="P22" i="44"/>
  <c r="P25" i="44" s="1"/>
  <c r="P16" i="45"/>
  <c r="P25" i="45" s="1"/>
  <c r="O25" i="51"/>
  <c r="P16" i="57"/>
  <c r="P25" i="57" s="1"/>
  <c r="P25" i="55"/>
  <c r="P25" i="54"/>
  <c r="O25" i="47"/>
  <c r="P24" i="60"/>
  <c r="P25" i="60" s="1"/>
  <c r="P34" i="45"/>
  <c r="P35" i="45" s="1"/>
  <c r="T6" i="62" s="1"/>
  <c r="P25" i="70"/>
  <c r="P17" i="48"/>
  <c r="P25" i="48" s="1"/>
  <c r="O25" i="68"/>
  <c r="P16" i="50"/>
  <c r="P25" i="50" s="1"/>
  <c r="P16" i="63"/>
  <c r="P25" i="63" s="1"/>
  <c r="P16" i="56"/>
  <c r="P25" i="56" s="1"/>
  <c r="P16" i="47"/>
  <c r="P25" i="47" s="1"/>
  <c r="P34" i="57"/>
  <c r="P35" i="57" s="1"/>
  <c r="T18" i="62" s="1"/>
  <c r="P16" i="49"/>
  <c r="P25" i="49" s="1"/>
  <c r="P18" i="11"/>
  <c r="O9" i="62"/>
  <c r="M25" i="16"/>
  <c r="N16" i="16"/>
  <c r="O11" i="6"/>
  <c r="U11" i="6" s="1"/>
  <c r="N12" i="6"/>
  <c r="W10" i="6"/>
  <c r="Y10" i="6" s="1"/>
  <c r="T10" i="6"/>
  <c r="V9" i="6"/>
  <c r="X9" i="6" s="1"/>
  <c r="AC9" i="6" s="1"/>
  <c r="I23" i="11"/>
  <c r="I22" i="11"/>
  <c r="I17" i="11"/>
  <c r="J50" i="5"/>
  <c r="J49" i="5"/>
  <c r="J48" i="5"/>
  <c r="J47" i="5"/>
  <c r="L47" i="5" s="1"/>
  <c r="M47" i="5" s="1"/>
  <c r="J46" i="5"/>
  <c r="J44" i="5"/>
  <c r="J43" i="5"/>
  <c r="J42" i="5"/>
  <c r="L42" i="5" s="1"/>
  <c r="M42" i="5" s="1"/>
  <c r="J40" i="5"/>
  <c r="N40" i="5" s="1"/>
  <c r="J39" i="5"/>
  <c r="J37" i="5"/>
  <c r="L37" i="5" s="1"/>
  <c r="J36" i="5"/>
  <c r="J35" i="5"/>
  <c r="J34" i="5"/>
  <c r="L34" i="5" s="1"/>
  <c r="J33" i="5"/>
  <c r="J32" i="5"/>
  <c r="L32" i="5" s="1"/>
  <c r="M32" i="5" s="1"/>
  <c r="J31" i="5"/>
  <c r="J30" i="5"/>
  <c r="J29" i="5"/>
  <c r="L29" i="5" s="1"/>
  <c r="J28" i="5"/>
  <c r="L28" i="5" s="1"/>
  <c r="M28" i="5" s="1"/>
  <c r="J26" i="5"/>
  <c r="J25" i="5"/>
  <c r="L25" i="5" s="1"/>
  <c r="J24" i="5"/>
  <c r="J23" i="5"/>
  <c r="J22" i="5"/>
  <c r="J21" i="5"/>
  <c r="J20" i="5"/>
  <c r="L20" i="5" s="1"/>
  <c r="J19" i="5"/>
  <c r="L19" i="5" s="1"/>
  <c r="M19" i="5" s="1"/>
  <c r="J18" i="5"/>
  <c r="J17" i="5"/>
  <c r="L17" i="5" s="1"/>
  <c r="J16" i="5"/>
  <c r="N16" i="5" s="1"/>
  <c r="J15" i="5"/>
  <c r="J13" i="5"/>
  <c r="J12" i="5"/>
  <c r="J11" i="5"/>
  <c r="J10" i="5"/>
  <c r="L10" i="5" s="1"/>
  <c r="M10" i="5" s="1"/>
  <c r="J9" i="5"/>
  <c r="N9" i="5" s="1"/>
  <c r="J8" i="5"/>
  <c r="J7" i="5"/>
  <c r="N7" i="5" s="1"/>
  <c r="J6" i="5"/>
  <c r="J5" i="5"/>
  <c r="P9" i="62" l="1"/>
  <c r="N25" i="16"/>
  <c r="O16" i="16"/>
  <c r="O25" i="16" s="1"/>
  <c r="L23" i="11"/>
  <c r="L14" i="62" s="1"/>
  <c r="K23" i="11"/>
  <c r="K14" i="62" s="1"/>
  <c r="J23" i="11"/>
  <c r="J14" i="62" s="1"/>
  <c r="M14" i="62" s="1"/>
  <c r="J22" i="11"/>
  <c r="J13" i="62" s="1"/>
  <c r="L22" i="11"/>
  <c r="L13" i="62" s="1"/>
  <c r="K22" i="11"/>
  <c r="K13" i="62" s="1"/>
  <c r="K17" i="11"/>
  <c r="K8" i="62" s="1"/>
  <c r="J17" i="11"/>
  <c r="J8" i="62" s="1"/>
  <c r="L17" i="11"/>
  <c r="L8" i="62" s="1"/>
  <c r="O12" i="6"/>
  <c r="U12" i="6" s="1"/>
  <c r="N13" i="6"/>
  <c r="V10" i="6"/>
  <c r="X10" i="6" s="1"/>
  <c r="W11" i="6"/>
  <c r="Y11" i="6" s="1"/>
  <c r="T11" i="6"/>
  <c r="L6" i="5"/>
  <c r="M6" i="5" s="1"/>
  <c r="N6" i="5"/>
  <c r="K29" i="5"/>
  <c r="M29" i="5"/>
  <c r="K25" i="5"/>
  <c r="M25" i="5"/>
  <c r="N44" i="5"/>
  <c r="N50" i="5"/>
  <c r="N12" i="5"/>
  <c r="N23" i="5"/>
  <c r="L5" i="5"/>
  <c r="K17" i="5"/>
  <c r="M17" i="5"/>
  <c r="K20" i="5"/>
  <c r="M20" i="5"/>
  <c r="K34" i="5"/>
  <c r="M34" i="5"/>
  <c r="K37" i="5"/>
  <c r="M37" i="5"/>
  <c r="N48" i="5"/>
  <c r="L7" i="5"/>
  <c r="L12" i="5"/>
  <c r="L16" i="5"/>
  <c r="M16" i="5" s="1"/>
  <c r="N18" i="5"/>
  <c r="N21" i="5"/>
  <c r="N24" i="5"/>
  <c r="N26" i="5"/>
  <c r="N30" i="5"/>
  <c r="N33" i="5"/>
  <c r="N35" i="5"/>
  <c r="L44" i="5"/>
  <c r="L48" i="5"/>
  <c r="N8" i="5"/>
  <c r="N11" i="5"/>
  <c r="N13" i="5"/>
  <c r="L21" i="5"/>
  <c r="L24" i="5"/>
  <c r="L30" i="5"/>
  <c r="L33" i="5"/>
  <c r="N36" i="5"/>
  <c r="N39" i="5"/>
  <c r="N43" i="5"/>
  <c r="N46" i="5"/>
  <c r="N49" i="5"/>
  <c r="L8" i="5"/>
  <c r="L11" i="5"/>
  <c r="N15" i="5"/>
  <c r="N17" i="5"/>
  <c r="O17" i="5" s="1"/>
  <c r="N20" i="5"/>
  <c r="N22" i="5"/>
  <c r="N25" i="5"/>
  <c r="N29" i="5"/>
  <c r="O29" i="5" s="1"/>
  <c r="N31" i="5"/>
  <c r="N34" i="5"/>
  <c r="N37" i="5"/>
  <c r="L39" i="5"/>
  <c r="L43" i="5"/>
  <c r="L49" i="5"/>
  <c r="O20" i="5"/>
  <c r="K32" i="5"/>
  <c r="K10" i="5"/>
  <c r="K28" i="5"/>
  <c r="K47" i="5"/>
  <c r="K42" i="5"/>
  <c r="K19" i="5"/>
  <c r="N28" i="5"/>
  <c r="N32" i="5"/>
  <c r="L9" i="5"/>
  <c r="M9" i="5" s="1"/>
  <c r="L13" i="5"/>
  <c r="M13" i="5" s="1"/>
  <c r="L18" i="5"/>
  <c r="M18" i="5" s="1"/>
  <c r="L22" i="5"/>
  <c r="M22" i="5" s="1"/>
  <c r="L26" i="5"/>
  <c r="M26" i="5" s="1"/>
  <c r="L31" i="5"/>
  <c r="M31" i="5" s="1"/>
  <c r="L35" i="5"/>
  <c r="M35" i="5" s="1"/>
  <c r="L40" i="5"/>
  <c r="M40" i="5" s="1"/>
  <c r="L46" i="5"/>
  <c r="M46" i="5" s="1"/>
  <c r="L50" i="5"/>
  <c r="M50" i="5" s="1"/>
  <c r="N10" i="5"/>
  <c r="O10" i="5" s="1"/>
  <c r="N19" i="5"/>
  <c r="N42" i="5"/>
  <c r="N47" i="5"/>
  <c r="O47" i="5" s="1"/>
  <c r="L15" i="5"/>
  <c r="M15" i="5" s="1"/>
  <c r="L23" i="5"/>
  <c r="M23" i="5" s="1"/>
  <c r="L36" i="5"/>
  <c r="M36" i="5" s="1"/>
  <c r="L16" i="62" l="1"/>
  <c r="M8" i="62"/>
  <c r="K16" i="62"/>
  <c r="M13" i="62"/>
  <c r="J16" i="62"/>
  <c r="P20" i="62" s="1"/>
  <c r="M22" i="11"/>
  <c r="M23" i="11"/>
  <c r="J25" i="11"/>
  <c r="P29" i="11" s="1"/>
  <c r="M17" i="11"/>
  <c r="W12" i="6"/>
  <c r="Y12" i="6" s="1"/>
  <c r="T12" i="6"/>
  <c r="V11" i="6"/>
  <c r="X11" i="6" s="1"/>
  <c r="O13" i="6"/>
  <c r="U13" i="6" s="1"/>
  <c r="N14" i="6"/>
  <c r="O14" i="6" s="1"/>
  <c r="U14" i="6" s="1"/>
  <c r="M5" i="5"/>
  <c r="N5" i="5"/>
  <c r="Q5" i="5" s="1"/>
  <c r="K6" i="5"/>
  <c r="K33" i="5"/>
  <c r="M33" i="5"/>
  <c r="O33" i="5" s="1"/>
  <c r="K44" i="5"/>
  <c r="M44" i="5"/>
  <c r="O44" i="5" s="1"/>
  <c r="P44" i="5" s="1"/>
  <c r="K11" i="5"/>
  <c r="M11" i="5"/>
  <c r="K30" i="5"/>
  <c r="M30" i="5"/>
  <c r="O30" i="5" s="1"/>
  <c r="P30" i="5" s="1"/>
  <c r="K12" i="5"/>
  <c r="M12" i="5"/>
  <c r="O12" i="5" s="1"/>
  <c r="K49" i="5"/>
  <c r="M49" i="5"/>
  <c r="O49" i="5" s="1"/>
  <c r="P49" i="5" s="1"/>
  <c r="K43" i="5"/>
  <c r="M43" i="5"/>
  <c r="O43" i="5" s="1"/>
  <c r="K8" i="5"/>
  <c r="M8" i="5"/>
  <c r="O8" i="5" s="1"/>
  <c r="K24" i="5"/>
  <c r="M24" i="5"/>
  <c r="K7" i="5"/>
  <c r="M7" i="5"/>
  <c r="O7" i="5" s="1"/>
  <c r="P7" i="5" s="1"/>
  <c r="K5" i="5"/>
  <c r="S5" i="5"/>
  <c r="T5" i="5" s="1"/>
  <c r="U5" i="5" s="1"/>
  <c r="U6" i="5" s="1"/>
  <c r="K39" i="5"/>
  <c r="M39" i="5"/>
  <c r="O39" i="5" s="1"/>
  <c r="P39" i="5" s="1"/>
  <c r="K21" i="5"/>
  <c r="M21" i="5"/>
  <c r="O21" i="5" s="1"/>
  <c r="K48" i="5"/>
  <c r="M48" i="5"/>
  <c r="O48" i="5" s="1"/>
  <c r="P48" i="5" s="1"/>
  <c r="I25" i="11"/>
  <c r="P28" i="11" s="1"/>
  <c r="P21" i="5"/>
  <c r="P12" i="5"/>
  <c r="P20" i="5"/>
  <c r="O42" i="5"/>
  <c r="P47" i="5"/>
  <c r="P10" i="5"/>
  <c r="P29" i="5"/>
  <c r="O34" i="5"/>
  <c r="O25" i="5"/>
  <c r="P17" i="5"/>
  <c r="P8" i="5"/>
  <c r="O11" i="5"/>
  <c r="O19" i="5"/>
  <c r="O6" i="5"/>
  <c r="O28" i="5"/>
  <c r="O32" i="5"/>
  <c r="O24" i="5"/>
  <c r="O37" i="5"/>
  <c r="K16" i="5"/>
  <c r="O16" i="5"/>
  <c r="O46" i="5"/>
  <c r="K46" i="5"/>
  <c r="K18" i="5"/>
  <c r="O18" i="5"/>
  <c r="K26" i="5"/>
  <c r="O26" i="5"/>
  <c r="O50" i="5"/>
  <c r="K50" i="5"/>
  <c r="O40" i="5"/>
  <c r="K40" i="5"/>
  <c r="O31" i="5"/>
  <c r="K31" i="5"/>
  <c r="K22" i="5"/>
  <c r="O22" i="5"/>
  <c r="K13" i="5"/>
  <c r="O13" i="5"/>
  <c r="O23" i="5"/>
  <c r="K23" i="5"/>
  <c r="K35" i="5"/>
  <c r="O35" i="5"/>
  <c r="O9" i="5"/>
  <c r="K9" i="5"/>
  <c r="O15" i="5"/>
  <c r="K15" i="5"/>
  <c r="O36" i="5"/>
  <c r="K36" i="5"/>
  <c r="P21" i="62" l="1"/>
  <c r="P22" i="62" s="1"/>
  <c r="P24" i="62" s="1"/>
  <c r="M16" i="62"/>
  <c r="W13" i="6"/>
  <c r="Y13" i="6" s="1"/>
  <c r="T13" i="6"/>
  <c r="V12" i="6"/>
  <c r="X12" i="6" s="1"/>
  <c r="AC12" i="6" s="1"/>
  <c r="AC13" i="6" s="1"/>
  <c r="W14" i="6"/>
  <c r="Y14" i="6" s="1"/>
  <c r="T14" i="6"/>
  <c r="O5" i="5"/>
  <c r="K25" i="11"/>
  <c r="L25" i="11"/>
  <c r="P36" i="5"/>
  <c r="P9" i="5"/>
  <c r="P23" i="5"/>
  <c r="P40" i="5"/>
  <c r="P46" i="5"/>
  <c r="P33" i="5"/>
  <c r="P6" i="5"/>
  <c r="P25" i="5"/>
  <c r="P42" i="5"/>
  <c r="P35" i="5"/>
  <c r="P13" i="5"/>
  <c r="P18" i="5"/>
  <c r="P37" i="5"/>
  <c r="P24" i="5"/>
  <c r="P19" i="5"/>
  <c r="P34" i="5"/>
  <c r="P15" i="5"/>
  <c r="P31" i="5"/>
  <c r="P50" i="5"/>
  <c r="P32" i="5"/>
  <c r="P11" i="5"/>
  <c r="P22" i="5"/>
  <c r="P26" i="5"/>
  <c r="P16" i="5"/>
  <c r="P28" i="5"/>
  <c r="P43" i="5"/>
  <c r="P30" i="11" l="1"/>
  <c r="P31" i="11" s="1"/>
  <c r="O22" i="11"/>
  <c r="O17" i="11"/>
  <c r="O23" i="11"/>
  <c r="V14" i="6"/>
  <c r="X14" i="6" s="1"/>
  <c r="V13" i="6"/>
  <c r="X13" i="6" s="1"/>
  <c r="M25" i="11"/>
  <c r="P23" i="11" l="1"/>
  <c r="O14" i="62"/>
  <c r="P14" i="62" s="1"/>
  <c r="P17" i="11"/>
  <c r="O8" i="62"/>
  <c r="P8" i="62" s="1"/>
  <c r="P22" i="11"/>
  <c r="O13" i="62"/>
  <c r="P5" i="5"/>
  <c r="O16" i="62" l="1"/>
  <c r="P25" i="62" s="1"/>
  <c r="P26" i="62" s="1"/>
  <c r="P13" i="62"/>
  <c r="P16" i="62" s="1"/>
  <c r="N25" i="11"/>
  <c r="P32" i="11" s="1"/>
  <c r="P33" i="11" s="1"/>
  <c r="P34" i="11" l="1"/>
  <c r="P35" i="11" s="1"/>
  <c r="T3" i="62" s="1"/>
  <c r="T33" i="62" s="1"/>
  <c r="O25" i="11"/>
  <c r="P25" i="11"/>
</calcChain>
</file>

<file path=xl/sharedStrings.xml><?xml version="1.0" encoding="utf-8"?>
<sst xmlns="http://schemas.openxmlformats.org/spreadsheetml/2006/main" count="3978" uniqueCount="527">
  <si>
    <t>Sr.No</t>
  </si>
  <si>
    <t xml:space="preserve">DAAL MOUNG </t>
  </si>
  <si>
    <t>NIMBOO DAAL</t>
  </si>
  <si>
    <t xml:space="preserve">LEMON &amp; CHILLI </t>
  </si>
  <si>
    <t>KHAT MITHA</t>
  </si>
  <si>
    <t>NIMKO SALT &amp; PEPPER</t>
  </si>
  <si>
    <t>SHAHI MIX</t>
  </si>
  <si>
    <t>LAHORI MIX</t>
  </si>
  <si>
    <t xml:space="preserve">MASOOR MASALA </t>
  </si>
  <si>
    <t>DAAL SEV</t>
  </si>
  <si>
    <t>SLANTY (SALTED)</t>
  </si>
  <si>
    <t>SLANTY (VEGETABLE EU)</t>
  </si>
  <si>
    <t>SLANTY (KETCHUP)</t>
  </si>
  <si>
    <t>POTATO STICK (CHATPATA)</t>
  </si>
  <si>
    <t>POTATO STICK (SALT &amp; PEPPER)</t>
  </si>
  <si>
    <t xml:space="preserve"> SNACK FOOD SKU UPDATED LIST</t>
  </si>
  <si>
    <t>SALTED PEANUT</t>
  </si>
  <si>
    <t>CHEWRA NIMKO</t>
  </si>
  <si>
    <t>NIMKO MIX HOT &amp; SPICY</t>
  </si>
  <si>
    <t xml:space="preserve">NIMKO MIX LEMON &amp; CHILLI </t>
  </si>
  <si>
    <t>SPICY MIX NIMKO</t>
  </si>
  <si>
    <t>KARACHI NIMCO MIX</t>
  </si>
  <si>
    <t>PEANUT UNSALTED</t>
  </si>
  <si>
    <t>Price PKR</t>
  </si>
  <si>
    <t>DEMAND FOR SAMPLES</t>
  </si>
  <si>
    <t>Weight gms</t>
  </si>
  <si>
    <t>Packets</t>
  </si>
  <si>
    <t>Cartons</t>
  </si>
  <si>
    <t>Packets / Cartons</t>
  </si>
  <si>
    <t>SKUs</t>
  </si>
  <si>
    <t>Hold For Printing</t>
  </si>
  <si>
    <t>gm</t>
  </si>
  <si>
    <t>Trade Price</t>
  </si>
  <si>
    <t>Dis. Margin</t>
  </si>
  <si>
    <t>Exclusive GST</t>
  </si>
  <si>
    <t>GST</t>
  </si>
  <si>
    <t>Gm</t>
  </si>
  <si>
    <t>Ex. Price</t>
  </si>
  <si>
    <t>Amount</t>
  </si>
  <si>
    <t>Trade Offer</t>
  </si>
  <si>
    <t>Total</t>
  </si>
  <si>
    <t>Pack</t>
  </si>
  <si>
    <t>Adv. TO   / Pack</t>
  </si>
  <si>
    <t>Invoice No # :</t>
  </si>
  <si>
    <t>Date/Day :</t>
  </si>
  <si>
    <t>Order Date :</t>
  </si>
  <si>
    <t>Invoice Status :</t>
  </si>
  <si>
    <t>Serviced</t>
  </si>
  <si>
    <t>Order at Original Location :</t>
  </si>
  <si>
    <t>Yes</t>
  </si>
  <si>
    <t>Reference Invoice :</t>
  </si>
  <si>
    <t>Product Code/Description</t>
  </si>
  <si>
    <t>CTN</t>
  </si>
  <si>
    <t>T.P Per</t>
  </si>
  <si>
    <t>Sale QTY</t>
  </si>
  <si>
    <t>Trade Offer &amp; Discount</t>
  </si>
  <si>
    <t>Invoice</t>
  </si>
  <si>
    <t>SIZE</t>
  </si>
  <si>
    <t>Unit</t>
  </si>
  <si>
    <t>Pass On</t>
  </si>
  <si>
    <t>Gross Amount:</t>
  </si>
  <si>
    <t>Total GST:</t>
  </si>
  <si>
    <t>Muhammad Hamza</t>
  </si>
  <si>
    <t>Delivered By</t>
  </si>
  <si>
    <t>یکم جولائی 2024سے نئی ٹیکس ترمیم کے مطابق، ایف بی آر سیکشن 236 ایچ کے مطابق، فائلرز کے لیے ہر سیل انوائس پر 0.5% اور نان فائلرز کے لیے 2.5% ایڈوانس ود ہولڈنگ ٹیکس وصول کیا جائے گا۔</t>
  </si>
  <si>
    <t>STRN / NTN : 12345-6789012-3/1234567-3</t>
  </si>
  <si>
    <t>Route Name :</t>
  </si>
  <si>
    <t>Section Name:</t>
  </si>
  <si>
    <t>Visit &amp; Delivery Day</t>
  </si>
  <si>
    <t>Order Name :</t>
  </si>
  <si>
    <t>Jallo-&amp;-Taiz Ghar-&amp;-Thu</t>
  </si>
  <si>
    <t>Taiz Ghar</t>
  </si>
  <si>
    <t>Thursday /Friday</t>
  </si>
  <si>
    <t>CNIC #:12345-6789012-3</t>
  </si>
  <si>
    <t>R.P Per</t>
  </si>
  <si>
    <t xml:space="preserve">GST </t>
  </si>
  <si>
    <t>Net  Amount:</t>
  </si>
  <si>
    <t>Gross Amount Excl. Taxes</t>
  </si>
  <si>
    <t>Un-registered</t>
  </si>
  <si>
    <t>Registered</t>
  </si>
  <si>
    <t>Filer</t>
  </si>
  <si>
    <t>Non-filer</t>
  </si>
  <si>
    <t>No</t>
  </si>
  <si>
    <t xml:space="preserve"> Ad.Tax</t>
  </si>
  <si>
    <t>After Discount Amount</t>
  </si>
  <si>
    <t>Regular Discount</t>
  </si>
  <si>
    <t>Trade Offre</t>
  </si>
  <si>
    <t>After Dis. Amount</t>
  </si>
  <si>
    <t>Net Amount with Ad.Tax</t>
  </si>
  <si>
    <t>Adv. Tax 236H</t>
  </si>
  <si>
    <t>GM/ Pack</t>
  </si>
  <si>
    <t>Elite MARKETING</t>
  </si>
  <si>
    <t>44A- Gulberg Lahore</t>
  </si>
  <si>
    <t>Customer Name :</t>
  </si>
  <si>
    <t>Proprietor Name:</t>
  </si>
  <si>
    <t>Address:</t>
  </si>
  <si>
    <t>Channel Type:Retail/LMT</t>
  </si>
  <si>
    <t xml:space="preserve">Sub-Channel:General/medical/LMT Store / </t>
  </si>
  <si>
    <t>Wednesday</t>
  </si>
  <si>
    <t>Monday</t>
  </si>
  <si>
    <t>Tuesday</t>
  </si>
  <si>
    <t>Thursday</t>
  </si>
  <si>
    <t>Friday</t>
  </si>
  <si>
    <t>Saturday</t>
  </si>
  <si>
    <t>Monday/Tuesday</t>
  </si>
  <si>
    <t>Tuesday / Wednesday</t>
  </si>
  <si>
    <t>Wednesday/Thursday</t>
  </si>
  <si>
    <t>Friday / Saturday</t>
  </si>
  <si>
    <t>Saturday /Monday</t>
  </si>
  <si>
    <t>OB Name</t>
  </si>
  <si>
    <t>Azam</t>
  </si>
  <si>
    <t>Tariq</t>
  </si>
  <si>
    <t>Sohail</t>
  </si>
  <si>
    <t>Waseem</t>
  </si>
  <si>
    <t>Adeel</t>
  </si>
  <si>
    <t>Tahir</t>
  </si>
  <si>
    <t>Amjad</t>
  </si>
  <si>
    <t>Adil</t>
  </si>
  <si>
    <t>Murtaza</t>
  </si>
  <si>
    <t>AppUserCode</t>
  </si>
  <si>
    <t>Route</t>
  </si>
  <si>
    <t>Section</t>
  </si>
  <si>
    <t>Day</t>
  </si>
  <si>
    <t>D0004OB1</t>
  </si>
  <si>
    <t>Harbans Pura</t>
  </si>
  <si>
    <t xml:space="preserve">Jallo </t>
  </si>
  <si>
    <t xml:space="preserve">Pir Naseer </t>
  </si>
  <si>
    <t>Altuf Colony</t>
  </si>
  <si>
    <t>Chungi Dugech</t>
  </si>
  <si>
    <t>Bahar Shah Road</t>
  </si>
  <si>
    <t>D0004OB2</t>
  </si>
  <si>
    <t>Taj Pura Canal Road</t>
  </si>
  <si>
    <t>Mughal Pura</t>
  </si>
  <si>
    <t>Ghaziabad</t>
  </si>
  <si>
    <t>Taj Pura Scheem</t>
  </si>
  <si>
    <t>Taj Bagh</t>
  </si>
  <si>
    <t>Pepsi Road</t>
  </si>
  <si>
    <t>Al-Fasail Town</t>
  </si>
  <si>
    <t>D0004OB3</t>
  </si>
  <si>
    <t>Dhuram Pura</t>
  </si>
  <si>
    <t>DHARAMPURA</t>
  </si>
  <si>
    <t>REHMAT COLONY</t>
  </si>
  <si>
    <t>Upper Mall</t>
  </si>
  <si>
    <t>Saddar</t>
  </si>
  <si>
    <t>Cantt</t>
  </si>
  <si>
    <t>Cavalary Ground</t>
  </si>
  <si>
    <t>D0004OB4</t>
  </si>
  <si>
    <t>Bedian Road</t>
  </si>
  <si>
    <t>Nadirabad</t>
  </si>
  <si>
    <t>Shah Khawer Town</t>
  </si>
  <si>
    <t>Al Falah Town</t>
  </si>
  <si>
    <t>Air Port Road</t>
  </si>
  <si>
    <t>Govawa Pind</t>
  </si>
  <si>
    <t>D0004OB5</t>
  </si>
  <si>
    <t xml:space="preserve">Barki </t>
  </si>
  <si>
    <t>Green city</t>
  </si>
  <si>
    <t>Paragone City</t>
  </si>
  <si>
    <t>DHA # 4</t>
  </si>
  <si>
    <t>Barki Road</t>
  </si>
  <si>
    <t>Hudiara</t>
  </si>
  <si>
    <t>DHA # 5</t>
  </si>
  <si>
    <t>D0004OB6</t>
  </si>
  <si>
    <t>Gulberg</t>
  </si>
  <si>
    <t>Libirty Market</t>
  </si>
  <si>
    <t>Ghalib Market</t>
  </si>
  <si>
    <t>Naseeranad</t>
  </si>
  <si>
    <t>Firdous Market</t>
  </si>
  <si>
    <t>Kalama Chowk</t>
  </si>
  <si>
    <t>D0004OB7</t>
  </si>
  <si>
    <t>Walton Road</t>
  </si>
  <si>
    <t>Gulbahar Colony</t>
  </si>
  <si>
    <t>Rifflr Range Road</t>
  </si>
  <si>
    <t>Peer Colony</t>
  </si>
  <si>
    <t>Workshop Bazar</t>
  </si>
  <si>
    <t>Qainchi  Bazar</t>
  </si>
  <si>
    <t>Ghazi Road</t>
  </si>
  <si>
    <t>D0004OB8</t>
  </si>
  <si>
    <t>DHA</t>
  </si>
  <si>
    <t>DHA # 1</t>
  </si>
  <si>
    <t>Charar Pind</t>
  </si>
  <si>
    <t>DHA # 2</t>
  </si>
  <si>
    <t>Nishat Colony</t>
  </si>
  <si>
    <t>DHA # 3</t>
  </si>
  <si>
    <t>Maryam Colony</t>
  </si>
  <si>
    <t>D0004OB9</t>
  </si>
  <si>
    <t xml:space="preserve">Nishter </t>
  </si>
  <si>
    <t>Chungi Bazar</t>
  </si>
  <si>
    <t>Bank Stop</t>
  </si>
  <si>
    <t>Awan Market</t>
  </si>
  <si>
    <t>Nishter Colony</t>
  </si>
  <si>
    <t>Youhanabad</t>
  </si>
  <si>
    <t>Kahana</t>
  </si>
  <si>
    <t>D0004OB10</t>
  </si>
  <si>
    <t xml:space="preserve">Gulberg &amp; DHA                         LMT </t>
  </si>
  <si>
    <t>Harbans Pura  LMT</t>
  </si>
  <si>
    <t>Mughal Pura LMT</t>
  </si>
  <si>
    <t>Bedain Road LMt</t>
  </si>
  <si>
    <t>Gulberg LMT</t>
  </si>
  <si>
    <t>DHA  LMT</t>
  </si>
  <si>
    <t>Nishter LMT</t>
  </si>
  <si>
    <t>D0001OB1</t>
  </si>
  <si>
    <t>Model Town</t>
  </si>
  <si>
    <t>Garden Town</t>
  </si>
  <si>
    <t>Barkat Market</t>
  </si>
  <si>
    <t>Faisal Town</t>
  </si>
  <si>
    <t>Ittefaq Hospital</t>
  </si>
  <si>
    <t>Laiqatabad</t>
  </si>
  <si>
    <t>D0001OB2</t>
  </si>
  <si>
    <t>Green Town</t>
  </si>
  <si>
    <t>Green Town A</t>
  </si>
  <si>
    <t>Main Market GT</t>
  </si>
  <si>
    <t>Military Account</t>
  </si>
  <si>
    <t>Bagrian</t>
  </si>
  <si>
    <t>Green Town B</t>
  </si>
  <si>
    <t>NFC &amp; UET</t>
  </si>
  <si>
    <t>D0001OB3</t>
  </si>
  <si>
    <t>Town Ship</t>
  </si>
  <si>
    <t>Collage Road</t>
  </si>
  <si>
    <t>Town Ship Sector-C</t>
  </si>
  <si>
    <t>Main Market TS</t>
  </si>
  <si>
    <t>Town Ship Market</t>
  </si>
  <si>
    <t>Quaid-e-Azam</t>
  </si>
  <si>
    <t>Haider Road R-S</t>
  </si>
  <si>
    <t>D0001OB4</t>
  </si>
  <si>
    <t>Kacha Jail Road</t>
  </si>
  <si>
    <t>Quaid e Millat Colony</t>
  </si>
  <si>
    <t>Ghawala Colony</t>
  </si>
  <si>
    <t>Qainchi Bazar</t>
  </si>
  <si>
    <t>Pak Arab</t>
  </si>
  <si>
    <t>Central Park</t>
  </si>
  <si>
    <t>Ismail Nagar</t>
  </si>
  <si>
    <t>D0001OB5</t>
  </si>
  <si>
    <t>Johar Town</t>
  </si>
  <si>
    <t>PIA Road</t>
  </si>
  <si>
    <t>Allah Hoo Chowk</t>
  </si>
  <si>
    <t xml:space="preserve">Samsani </t>
  </si>
  <si>
    <t>Wafaqi Colony</t>
  </si>
  <si>
    <t>Expo Center</t>
  </si>
  <si>
    <t>D0001OB6</t>
  </si>
  <si>
    <t>Raiwind Town</t>
  </si>
  <si>
    <t>Ali Town</t>
  </si>
  <si>
    <t>Nawab Town</t>
  </si>
  <si>
    <t>Shoukat Khnum Road</t>
  </si>
  <si>
    <t>Nasheman-e-Iqbal</t>
  </si>
  <si>
    <t>Punjab University</t>
  </si>
  <si>
    <t>Etihad Town</t>
  </si>
  <si>
    <t>D0001OB7</t>
  </si>
  <si>
    <t>Valancia Town</t>
  </si>
  <si>
    <t>Sher Shah Colony</t>
  </si>
  <si>
    <t>Jati Umrah</t>
  </si>
  <si>
    <t>Defence Road</t>
  </si>
  <si>
    <t>Lake City</t>
  </si>
  <si>
    <t>Raiwind Road</t>
  </si>
  <si>
    <t>D0001OB8</t>
  </si>
  <si>
    <t xml:space="preserve"> Thokar Canal Road</t>
  </si>
  <si>
    <t>LDA  Avenue</t>
  </si>
  <si>
    <t>Mohafiz Town</t>
  </si>
  <si>
    <t>Bahria-1</t>
  </si>
  <si>
    <t>DHA EME</t>
  </si>
  <si>
    <t>Canal Garden</t>
  </si>
  <si>
    <t>Bahria-2</t>
  </si>
  <si>
    <t>D0001OB9</t>
  </si>
  <si>
    <t>Multan Road</t>
  </si>
  <si>
    <t>Khanpur</t>
  </si>
  <si>
    <t xml:space="preserve">Park View </t>
  </si>
  <si>
    <t>Shahpur Khanjra</t>
  </si>
  <si>
    <t>Chung</t>
  </si>
  <si>
    <t>Mohlanwal</t>
  </si>
  <si>
    <t>Maraka</t>
  </si>
  <si>
    <t>D0001OB10</t>
  </si>
  <si>
    <t>Johar Town             LMT</t>
  </si>
  <si>
    <t>Model Town LMT</t>
  </si>
  <si>
    <t>Johar Town LMT</t>
  </si>
  <si>
    <t>Wapda Town LMT</t>
  </si>
  <si>
    <t>Raiwind Road LMT</t>
  </si>
  <si>
    <t>Dafance Road LMT</t>
  </si>
  <si>
    <t>Bahria Town LMT</t>
  </si>
  <si>
    <t>D0002OB1</t>
  </si>
  <si>
    <t>Ghari Shahu</t>
  </si>
  <si>
    <t>Habib ullah Road</t>
  </si>
  <si>
    <t>D00020B1</t>
  </si>
  <si>
    <t xml:space="preserve">Bibi Pak Daman </t>
  </si>
  <si>
    <t>Ghari Shah Bazar</t>
  </si>
  <si>
    <t>Dars Bare Mian</t>
  </si>
  <si>
    <t>Sahar Road</t>
  </si>
  <si>
    <t>Mughal Pura Road</t>
  </si>
  <si>
    <t>D00020B2</t>
  </si>
  <si>
    <t>Gunj Bazar</t>
  </si>
  <si>
    <t>Sohwari Bazar</t>
  </si>
  <si>
    <t>D0002OB2</t>
  </si>
  <si>
    <t>Darughewala</t>
  </si>
  <si>
    <t>Lal Pull</t>
  </si>
  <si>
    <t>Fatah Grah</t>
  </si>
  <si>
    <t xml:space="preserve">Cannal Bank </t>
  </si>
  <si>
    <t>D00020B3</t>
  </si>
  <si>
    <t>Wagha</t>
  </si>
  <si>
    <t>Nawab Pura</t>
  </si>
  <si>
    <t>D0002OB3</t>
  </si>
  <si>
    <t>Lahore Medical</t>
  </si>
  <si>
    <t>Jallo More</t>
  </si>
  <si>
    <t>Bata Pur</t>
  </si>
  <si>
    <t>Manawan</t>
  </si>
  <si>
    <t>Salamat Pura</t>
  </si>
  <si>
    <t>D0002OB4</t>
  </si>
  <si>
    <t>Lakhodar</t>
  </si>
  <si>
    <t>D00020B4</t>
  </si>
  <si>
    <t>Sharif pura</t>
  </si>
  <si>
    <t>Shadi pura</t>
  </si>
  <si>
    <t>Moomin pura</t>
  </si>
  <si>
    <t>Sooter mill</t>
  </si>
  <si>
    <t>Yadgar Stop</t>
  </si>
  <si>
    <t>D00020B5</t>
  </si>
  <si>
    <t>Daruhgewala</t>
  </si>
  <si>
    <t>Mehmood Boti</t>
  </si>
  <si>
    <t>Darogewala</t>
  </si>
  <si>
    <t>D0002OB5</t>
  </si>
  <si>
    <t>Kroll Bazar</t>
  </si>
  <si>
    <t>Riaz Ahmad Road</t>
  </si>
  <si>
    <t>Madina Colony</t>
  </si>
  <si>
    <t>Ata Road</t>
  </si>
  <si>
    <t>D0002OB6</t>
  </si>
  <si>
    <t>Misri Shah</t>
  </si>
  <si>
    <t>Singhpura</t>
  </si>
  <si>
    <t>D00020B6</t>
  </si>
  <si>
    <t>Ghorey Shah</t>
  </si>
  <si>
    <t>Sultan Pura</t>
  </si>
  <si>
    <t>Waseen Pura</t>
  </si>
  <si>
    <t>Kachu Pura</t>
  </si>
  <si>
    <t>D0002OB7</t>
  </si>
  <si>
    <t>Baghban Pura</t>
  </si>
  <si>
    <t>China Scheme</t>
  </si>
  <si>
    <t>Alia Town</t>
  </si>
  <si>
    <t>D00020B7</t>
  </si>
  <si>
    <t>Asif Colony</t>
  </si>
  <si>
    <t>Gujar Pura</t>
  </si>
  <si>
    <t>Madhu Lal Hussain Darbar</t>
  </si>
  <si>
    <t>D00020B8</t>
  </si>
  <si>
    <t>Shad Bagh</t>
  </si>
  <si>
    <t>D0002OB8</t>
  </si>
  <si>
    <t>Amir Road</t>
  </si>
  <si>
    <t>Baghat Pura</t>
  </si>
  <si>
    <t>Bhamma Jhuggian</t>
  </si>
  <si>
    <t>Cha Miran</t>
  </si>
  <si>
    <t>Kot Khawaja Saeed</t>
  </si>
  <si>
    <t>D0002OB9</t>
  </si>
  <si>
    <t>Badami Bagh</t>
  </si>
  <si>
    <t>Farooq Gunj</t>
  </si>
  <si>
    <t>Data Nagar</t>
  </si>
  <si>
    <t xml:space="preserve">Hanif Park </t>
  </si>
  <si>
    <t>Qadafi Colony</t>
  </si>
  <si>
    <t>Timber Market</t>
  </si>
  <si>
    <t xml:space="preserve">Qilla Muhammdi </t>
  </si>
  <si>
    <t>D0002OB10</t>
  </si>
  <si>
    <t>Gowal Mandi</t>
  </si>
  <si>
    <t>Qila Gujar Singh</t>
  </si>
  <si>
    <t>Fleming Road</t>
  </si>
  <si>
    <t>Railway Road</t>
  </si>
  <si>
    <t>Nisbat Road</t>
  </si>
  <si>
    <t>Nila Gumbad</t>
  </si>
  <si>
    <t>Anarkali</t>
  </si>
  <si>
    <t>D0007OB1</t>
  </si>
  <si>
    <t>Thokar</t>
  </si>
  <si>
    <t>Katar Band Road</t>
  </si>
  <si>
    <t>Hanjarwal</t>
  </si>
  <si>
    <t>Mansoora Bazar</t>
  </si>
  <si>
    <t>Maraghzar Colony</t>
  </si>
  <si>
    <t>Awan Town</t>
  </si>
  <si>
    <t>Kharak Nala</t>
  </si>
  <si>
    <t>D0007OB2</t>
  </si>
  <si>
    <t>Canal View</t>
  </si>
  <si>
    <t>Chugi Nagara</t>
  </si>
  <si>
    <t>Azam Garden</t>
  </si>
  <si>
    <t>Sabazazar</t>
  </si>
  <si>
    <t>Saeed Pur</t>
  </si>
  <si>
    <t>Band Road</t>
  </si>
  <si>
    <t>D0007OB3</t>
  </si>
  <si>
    <t>Allama Iqbal Town</t>
  </si>
  <si>
    <t>Naleem Block</t>
  </si>
  <si>
    <t>Ravi Block</t>
  </si>
  <si>
    <t>Mustafa Town</t>
  </si>
  <si>
    <t>Karim Block</t>
  </si>
  <si>
    <t>Umer Block</t>
  </si>
  <si>
    <t>Rehman Pura</t>
  </si>
  <si>
    <t>D0007OB4</t>
  </si>
  <si>
    <t>Samanabad</t>
  </si>
  <si>
    <t>Ittehad Colony</t>
  </si>
  <si>
    <t>Bastami Road</t>
  </si>
  <si>
    <t>Rasool Park</t>
  </si>
  <si>
    <t>Ichra</t>
  </si>
  <si>
    <t>Wahdat Colony</t>
  </si>
  <si>
    <t>D0007OB5</t>
  </si>
  <si>
    <t>Shadman</t>
  </si>
  <si>
    <t>Shah Jamal Colony</t>
  </si>
  <si>
    <t xml:space="preserve">Shadman </t>
  </si>
  <si>
    <t>Jail Road</t>
  </si>
  <si>
    <t>Temple Road</t>
  </si>
  <si>
    <t>Lytton Road</t>
  </si>
  <si>
    <t>Bagh Gul Begum</t>
  </si>
  <si>
    <t>D0007OB6</t>
  </si>
  <si>
    <t>Gulshan Ravi</t>
  </si>
  <si>
    <t>Sodhiwal</t>
  </si>
  <si>
    <t>Nonarian</t>
  </si>
  <si>
    <t>Toheed Park</t>
  </si>
  <si>
    <t>Sham Nagar</t>
  </si>
  <si>
    <t>Shera Kot</t>
  </si>
  <si>
    <t>D0007OB7</t>
  </si>
  <si>
    <t>Islam Pura</t>
  </si>
  <si>
    <t>National Town</t>
  </si>
  <si>
    <t>Hakima Wala Bazar</t>
  </si>
  <si>
    <t>Sanda Bazar</t>
  </si>
  <si>
    <t>Abdali Road</t>
  </si>
  <si>
    <t>Sant Nagar</t>
  </si>
  <si>
    <t>D0007OB8</t>
  </si>
  <si>
    <t>Darbar</t>
  </si>
  <si>
    <t>Data Darbar</t>
  </si>
  <si>
    <t>Malik Park</t>
  </si>
  <si>
    <t>Bilal Gunj</t>
  </si>
  <si>
    <t>Karim Park</t>
  </si>
  <si>
    <t>Kasoor Pura</t>
  </si>
  <si>
    <t>Ring Road</t>
  </si>
  <si>
    <t>D0007OB9</t>
  </si>
  <si>
    <t>Walled City</t>
  </si>
  <si>
    <t>Sheranawala Gate</t>
  </si>
  <si>
    <t>Kashmri Gate</t>
  </si>
  <si>
    <t>Taxali Gate</t>
  </si>
  <si>
    <t>Lahori Gate</t>
  </si>
  <si>
    <t>Bhatti Gate</t>
  </si>
  <si>
    <t>Dehli Gate</t>
  </si>
  <si>
    <t>D0007OB10</t>
  </si>
  <si>
    <t>Allama Iqbal Town          LMT</t>
  </si>
  <si>
    <t>Canal Road LMT</t>
  </si>
  <si>
    <t>Allama Iqbal Tow LMT</t>
  </si>
  <si>
    <t>Sabazazar LMT</t>
  </si>
  <si>
    <t>Gulshan Ravi LMT</t>
  </si>
  <si>
    <t>Samanabad LMT</t>
  </si>
  <si>
    <t>Islam Pura LMT</t>
  </si>
  <si>
    <t>S#</t>
  </si>
  <si>
    <t>Code</t>
  </si>
  <si>
    <t>SKU</t>
  </si>
  <si>
    <t>SKUs Description</t>
  </si>
  <si>
    <t xml:space="preserve">Retail Price </t>
  </si>
  <si>
    <t>TP Incl.</t>
  </si>
  <si>
    <t>TP Excl.</t>
  </si>
  <si>
    <t>Dist Margin</t>
  </si>
  <si>
    <t>Stale</t>
  </si>
  <si>
    <t>Ex-Fac</t>
  </si>
  <si>
    <t>S.Tax</t>
  </si>
  <si>
    <t>Dist. Price</t>
  </si>
  <si>
    <t>Bar</t>
  </si>
  <si>
    <t>Ctn</t>
  </si>
  <si>
    <t xml:space="preserve">Pk </t>
  </si>
  <si>
    <t>Pk</t>
  </si>
  <si>
    <t>Weight/ctn</t>
  </si>
  <si>
    <t>CCN</t>
  </si>
  <si>
    <t xml:space="preserve">Meat Masala </t>
  </si>
  <si>
    <t>VTN</t>
  </si>
  <si>
    <t>Lemon Tarka</t>
  </si>
  <si>
    <t>BCN</t>
  </si>
  <si>
    <t>Chicken Chatkhara</t>
  </si>
  <si>
    <t>CCNJ</t>
  </si>
  <si>
    <t>Meat Masala (Jumbo)</t>
  </si>
  <si>
    <t>VTNJ</t>
  </si>
  <si>
    <t>Lemon Tarka (Jumbo)</t>
  </si>
  <si>
    <t>BCNJ</t>
  </si>
  <si>
    <t>Chicken Chatkhara (Jumbo)</t>
  </si>
  <si>
    <t>CCE</t>
  </si>
  <si>
    <t>Chicken Chatkhara  (ECO)</t>
  </si>
  <si>
    <t>VTE</t>
  </si>
  <si>
    <t>Lemon Tarka (ECO)</t>
  </si>
  <si>
    <t>BCE</t>
  </si>
  <si>
    <t>Meat Masala (ECO)</t>
  </si>
  <si>
    <t>Discount</t>
  </si>
  <si>
    <t>Incl. 22%</t>
  </si>
  <si>
    <t>Adv</t>
  </si>
  <si>
    <t>236 H</t>
  </si>
  <si>
    <t>Net Price</t>
  </si>
  <si>
    <t>Unregistered Customer's with Non Filer</t>
  </si>
  <si>
    <t>Unregistered Customer's with Filer</t>
  </si>
  <si>
    <t>Registered Customer's with Non Filer</t>
  </si>
  <si>
    <t>Registered Customer's with Filer</t>
  </si>
  <si>
    <t>NTN Status:</t>
  </si>
  <si>
    <t>STRN Status:</t>
  </si>
  <si>
    <t>TO</t>
  </si>
  <si>
    <t xml:space="preserve">Total </t>
  </si>
  <si>
    <t>Discount &amp; TO</t>
  </si>
  <si>
    <t>FOC Tax</t>
  </si>
  <si>
    <t>Net Amount</t>
  </si>
  <si>
    <t>20 Pack</t>
  </si>
  <si>
    <t>40 Pack</t>
  </si>
  <si>
    <t>Incl. 18%</t>
  </si>
  <si>
    <t>SD</t>
  </si>
  <si>
    <t>Pass on</t>
  </si>
  <si>
    <t>Customer Code :</t>
  </si>
  <si>
    <t>additional</t>
  </si>
  <si>
    <t>MRP</t>
  </si>
  <si>
    <t>GST 18%</t>
  </si>
  <si>
    <t>Fine Dedical Store</t>
  </si>
  <si>
    <t>Total Amount</t>
  </si>
  <si>
    <t>Shop Summary</t>
  </si>
  <si>
    <t>Booker Name</t>
  </si>
  <si>
    <t>Pak Madina</t>
  </si>
  <si>
    <t>Watto Store</t>
  </si>
  <si>
    <t>Faheem Store</t>
  </si>
  <si>
    <t>STRN / NTN : 3808207-1</t>
  </si>
  <si>
    <t>Shakoor Hussain</t>
  </si>
  <si>
    <t>Zeshan Meharban</t>
  </si>
  <si>
    <t>Umair Rehman</t>
  </si>
  <si>
    <t>Salman Butt</t>
  </si>
  <si>
    <t xml:space="preserve">Bilal </t>
  </si>
  <si>
    <t>####</t>
  </si>
  <si>
    <t xml:space="preserve">Return </t>
  </si>
  <si>
    <t>QTY</t>
  </si>
  <si>
    <t>Dated</t>
  </si>
  <si>
    <t>Jabbar Akhtar</t>
  </si>
  <si>
    <t>Maher Waqar</t>
  </si>
  <si>
    <t xml:space="preserve">Jibran Iqbal </t>
  </si>
  <si>
    <t>Umair</t>
  </si>
  <si>
    <t>SK Super Store</t>
  </si>
  <si>
    <t>Address: Qanchi Bazar</t>
  </si>
  <si>
    <t xml:space="preserve">Kashmir Bakers </t>
  </si>
  <si>
    <t xml:space="preserve">Haji Charagh Deen </t>
  </si>
  <si>
    <t xml:space="preserve">Hazrat Karmanwala </t>
  </si>
  <si>
    <t xml:space="preserve">MA Mart </t>
  </si>
  <si>
    <t xml:space="preserve">Address: Abid Market </t>
  </si>
  <si>
    <t>Tahir GS</t>
  </si>
  <si>
    <t>Iftakhar General Store</t>
  </si>
  <si>
    <t xml:space="preserve">Address: Qanchi Bazar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</si>
</sst>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64" formatCode="_(* #,##0_);_(* \(#,##0\);_(* &quot;-&quot;??_);_(@_)"/>
    <numFmt numFmtId="165" formatCode="0.0%"/>
    <numFmt numFmtId="166" formatCode="0.0"/>
    <numFmt numFmtId="167" formatCode="[$-F800]dddd\,\ mmmm\ dd\,\ yyyy"/>
    <numFmt numFmtId="168" formatCode="0.0000"/>
    <numFmt numFmtId="169" formatCode="0.000"/>
  </numFmts>
  <fonts count="4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theme="1"/>
      <name val="Times New Roman"/>
      <family val="1"/>
    </font>
    <font>
      <sz val="11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name val="Times New Roman"/>
      <family val="1"/>
    </font>
    <font>
      <b/>
      <sz val="11"/>
      <name val="Times New Roman"/>
      <family val="1"/>
    </font>
    <font>
      <b/>
      <sz val="11"/>
      <color theme="1"/>
      <name val="Times New Roman"/>
      <family val="1"/>
    </font>
    <font>
      <sz val="12"/>
      <name val="Times New Roman"/>
      <family val="1"/>
    </font>
    <font>
      <sz val="11"/>
      <name val="Times New Roman"/>
      <family val="1"/>
    </font>
    <font>
      <b/>
      <sz val="12"/>
      <color theme="0"/>
      <name val="Times New Roman"/>
      <family val="1"/>
    </font>
    <font>
      <sz val="11"/>
      <color indexed="8"/>
      <name val="Calibri"/>
      <family val="2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b/>
      <sz val="11"/>
      <name val="Calibri"/>
      <family val="2"/>
    </font>
    <font>
      <sz val="11"/>
      <color rgb="FF000000"/>
      <name val="Calibri"/>
      <family val="2"/>
      <scheme val="minor"/>
    </font>
    <font>
      <b/>
      <sz val="8"/>
      <color theme="1"/>
      <name val="Tahoma"/>
      <family val="2"/>
    </font>
    <font>
      <sz val="8"/>
      <color theme="1"/>
      <name val="Tahoma"/>
      <family val="2"/>
    </font>
    <font>
      <b/>
      <sz val="12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sz val="11"/>
      <name val="Calibri"/>
      <family val="2"/>
    </font>
    <font>
      <sz val="8"/>
      <name val="Calibri"/>
      <family val="2"/>
      <scheme val="minor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sz val="10"/>
      <color theme="1"/>
      <name val="Calibri"/>
      <family val="2"/>
      <scheme val="minor"/>
    </font>
    <font>
      <b/>
      <sz val="11"/>
      <color rgb="FF000000"/>
      <name val="Calibri"/>
      <family val="2"/>
    </font>
    <font>
      <b/>
      <sz val="10"/>
      <name val="Arial"/>
      <family val="2"/>
    </font>
    <font>
      <b/>
      <sz val="1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sz val="11"/>
      <name val="돋움"/>
      <family val="3"/>
      <charset val="129"/>
    </font>
    <font>
      <sz val="11"/>
      <color rgb="FFFF0000"/>
      <name val="Calibri"/>
      <family val="2"/>
      <scheme val="minor"/>
    </font>
    <font>
      <b/>
      <sz val="14"/>
      <color theme="1"/>
      <name val="Arial Narrow"/>
      <family val="2"/>
    </font>
    <font>
      <b/>
      <sz val="12"/>
      <color theme="1"/>
      <name val="Book Antiqua"/>
      <family val="1"/>
    </font>
    <font>
      <b/>
      <sz val="18"/>
      <color theme="1"/>
      <name val="Calibri"/>
      <family val="2"/>
      <scheme val="minor"/>
    </font>
    <font>
      <b/>
      <sz val="16"/>
      <color theme="1"/>
      <name val="Arial"/>
      <family val="2"/>
    </font>
    <font>
      <sz val="11"/>
      <color theme="1"/>
      <name val="Book Antiqua"/>
      <family val="1"/>
    </font>
    <font>
      <sz val="11"/>
      <color rgb="FF000000"/>
      <name val="Book Antiqua"/>
      <family val="1"/>
    </font>
    <font>
      <b/>
      <sz val="11"/>
      <color indexed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8" tint="0.79998168889431442"/>
        <bgColor indexed="64"/>
      </patternFill>
    </fill>
  </fills>
  <borders count="5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0" fillId="0" borderId="0" applyFont="0" applyFill="0" applyBorder="0" applyAlignment="0" applyProtection="0"/>
  </cellStyleXfs>
  <cellXfs count="412">
    <xf numFmtId="0" fontId="0" fillId="0" borderId="0" xfId="0"/>
    <xf numFmtId="0" fontId="0" fillId="0" borderId="0" xfId="0" applyAlignment="1">
      <alignment wrapText="1"/>
    </xf>
    <xf numFmtId="0" fontId="4" fillId="0" borderId="0" xfId="0" applyFont="1"/>
    <xf numFmtId="0" fontId="5" fillId="2" borderId="1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right" vertical="center"/>
    </xf>
    <xf numFmtId="0" fontId="7" fillId="2" borderId="1" xfId="0" applyFont="1" applyFill="1" applyBorder="1" applyAlignment="1">
      <alignment horizontal="left" vertical="center"/>
    </xf>
    <xf numFmtId="0" fontId="8" fillId="2" borderId="1" xfId="0" applyFont="1" applyFill="1" applyBorder="1" applyAlignment="1">
      <alignment horizontal="left" vertical="center"/>
    </xf>
    <xf numFmtId="0" fontId="4" fillId="0" borderId="0" xfId="0" applyFont="1" applyAlignment="1">
      <alignment horizontal="left"/>
    </xf>
    <xf numFmtId="0" fontId="10" fillId="2" borderId="1" xfId="0" applyFont="1" applyFill="1" applyBorder="1" applyAlignment="1">
      <alignment horizontal="right" vertical="center"/>
    </xf>
    <xf numFmtId="0" fontId="6" fillId="2" borderId="1" xfId="0" applyFont="1" applyFill="1" applyBorder="1" applyAlignment="1">
      <alignment horizontal="right"/>
    </xf>
    <xf numFmtId="0" fontId="5" fillId="2" borderId="4" xfId="0" applyFont="1" applyFill="1" applyBorder="1" applyAlignment="1">
      <alignment horizontal="left" vertical="center"/>
    </xf>
    <xf numFmtId="0" fontId="6" fillId="2" borderId="4" xfId="0" applyFont="1" applyFill="1" applyBorder="1" applyAlignment="1">
      <alignment horizontal="right" vertical="center"/>
    </xf>
    <xf numFmtId="0" fontId="6" fillId="2" borderId="4" xfId="0" applyFont="1" applyFill="1" applyBorder="1" applyAlignment="1">
      <alignment horizontal="right"/>
    </xf>
    <xf numFmtId="43" fontId="6" fillId="2" borderId="1" xfId="1" applyFont="1" applyFill="1" applyBorder="1" applyAlignment="1">
      <alignment horizontal="center" vertical="center"/>
    </xf>
    <xf numFmtId="43" fontId="4" fillId="0" borderId="0" xfId="1" applyFont="1" applyAlignment="1">
      <alignment horizontal="center"/>
    </xf>
    <xf numFmtId="43" fontId="6" fillId="2" borderId="1" xfId="1" applyFont="1" applyFill="1" applyBorder="1" applyAlignment="1">
      <alignment horizontal="center"/>
    </xf>
    <xf numFmtId="43" fontId="6" fillId="2" borderId="4" xfId="1" applyFont="1" applyFill="1" applyBorder="1" applyAlignment="1">
      <alignment horizontal="center" vertical="center"/>
    </xf>
    <xf numFmtId="43" fontId="6" fillId="2" borderId="4" xfId="1" applyFont="1" applyFill="1" applyBorder="1" applyAlignment="1">
      <alignment horizontal="center"/>
    </xf>
    <xf numFmtId="43" fontId="6" fillId="3" borderId="1" xfId="1" applyFont="1" applyFill="1" applyBorder="1" applyAlignment="1">
      <alignment horizontal="center" vertical="center"/>
    </xf>
    <xf numFmtId="43" fontId="10" fillId="3" borderId="1" xfId="1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11" fillId="0" borderId="0" xfId="0" applyFont="1"/>
    <xf numFmtId="0" fontId="7" fillId="2" borderId="4" xfId="0" applyFont="1" applyFill="1" applyBorder="1" applyAlignment="1">
      <alignment horizontal="center" vertical="center"/>
    </xf>
    <xf numFmtId="164" fontId="6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 vertical="center"/>
    </xf>
    <xf numFmtId="164" fontId="4" fillId="0" borderId="0" xfId="1" applyNumberFormat="1" applyFont="1" applyAlignment="1">
      <alignment horizontal="center"/>
    </xf>
    <xf numFmtId="164" fontId="10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/>
    </xf>
    <xf numFmtId="0" fontId="6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 vertical="center"/>
    </xf>
    <xf numFmtId="0" fontId="4" fillId="0" borderId="0" xfId="1" applyNumberFormat="1" applyFont="1" applyAlignment="1">
      <alignment horizontal="center"/>
    </xf>
    <xf numFmtId="0" fontId="10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/>
    </xf>
    <xf numFmtId="0" fontId="6" fillId="2" borderId="4" xfId="1" applyNumberFormat="1" applyFont="1" applyFill="1" applyBorder="1" applyAlignment="1">
      <alignment horizontal="center"/>
    </xf>
    <xf numFmtId="0" fontId="5" fillId="4" borderId="1" xfId="0" applyFont="1" applyFill="1" applyBorder="1" applyAlignment="1">
      <alignment horizontal="left" vertical="center"/>
    </xf>
    <xf numFmtId="43" fontId="6" fillId="4" borderId="1" xfId="1" applyFont="1" applyFill="1" applyBorder="1" applyAlignment="1">
      <alignment horizontal="center" vertical="center"/>
    </xf>
    <xf numFmtId="43" fontId="6" fillId="4" borderId="1" xfId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 vertical="center"/>
    </xf>
    <xf numFmtId="164" fontId="6" fillId="4" borderId="1" xfId="1" applyNumberFormat="1" applyFont="1" applyFill="1" applyBorder="1" applyAlignment="1">
      <alignment horizontal="center" vertical="center"/>
    </xf>
    <xf numFmtId="164" fontId="6" fillId="2" borderId="4" xfId="1" applyNumberFormat="1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/>
    </xf>
    <xf numFmtId="0" fontId="10" fillId="2" borderId="1" xfId="0" applyFont="1" applyFill="1" applyBorder="1" applyAlignment="1">
      <alignment horizontal="center" vertical="center"/>
    </xf>
    <xf numFmtId="0" fontId="4" fillId="0" borderId="0" xfId="0" applyFont="1" applyAlignment="1">
      <alignment horizontal="center"/>
    </xf>
    <xf numFmtId="2" fontId="6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 vertical="center"/>
    </xf>
    <xf numFmtId="2" fontId="6" fillId="4" borderId="1" xfId="1" applyNumberFormat="1" applyFont="1" applyFill="1" applyBorder="1" applyAlignment="1">
      <alignment horizontal="center" vertical="center"/>
    </xf>
    <xf numFmtId="2" fontId="4" fillId="0" borderId="0" xfId="1" applyNumberFormat="1" applyFont="1" applyAlignment="1">
      <alignment horizontal="center"/>
    </xf>
    <xf numFmtId="2" fontId="10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/>
    </xf>
    <xf numFmtId="2" fontId="6" fillId="4" borderId="1" xfId="1" applyNumberFormat="1" applyFont="1" applyFill="1" applyBorder="1" applyAlignment="1">
      <alignment horizontal="center"/>
    </xf>
    <xf numFmtId="2" fontId="6" fillId="2" borderId="4" xfId="1" applyNumberFormat="1" applyFont="1" applyFill="1" applyBorder="1" applyAlignment="1">
      <alignment horizontal="center"/>
    </xf>
    <xf numFmtId="9" fontId="4" fillId="0" borderId="0" xfId="2" applyFont="1" applyAlignment="1">
      <alignment horizontal="center"/>
    </xf>
    <xf numFmtId="2" fontId="4" fillId="0" borderId="0" xfId="0" applyNumberFormat="1" applyFont="1"/>
    <xf numFmtId="0" fontId="4" fillId="2" borderId="0" xfId="0" applyFont="1" applyFill="1"/>
    <xf numFmtId="164" fontId="10" fillId="2" borderId="1" xfId="1" applyNumberFormat="1" applyFont="1" applyFill="1" applyBorder="1" applyAlignment="1">
      <alignment horizontal="center" vertical="center"/>
    </xf>
    <xf numFmtId="43" fontId="10" fillId="2" borderId="1" xfId="1" applyFont="1" applyFill="1" applyBorder="1" applyAlignment="1">
      <alignment horizontal="center" vertical="center"/>
    </xf>
    <xf numFmtId="0" fontId="10" fillId="2" borderId="1" xfId="1" applyNumberFormat="1" applyFont="1" applyFill="1" applyBorder="1" applyAlignment="1">
      <alignment horizontal="center" vertical="center"/>
    </xf>
    <xf numFmtId="2" fontId="10" fillId="2" borderId="1" xfId="1" applyNumberFormat="1" applyFont="1" applyFill="1" applyBorder="1" applyAlignment="1">
      <alignment horizontal="center" vertical="center"/>
    </xf>
    <xf numFmtId="2" fontId="4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0" fontId="14" fillId="3" borderId="22" xfId="0" applyFont="1" applyFill="1" applyBorder="1" applyAlignment="1">
      <alignment horizontal="center" vertical="center" wrapText="1"/>
    </xf>
    <xf numFmtId="0" fontId="14" fillId="3" borderId="23" xfId="0" applyFont="1" applyFill="1" applyBorder="1" applyAlignment="1">
      <alignment horizontal="center" vertical="center" wrapText="1"/>
    </xf>
    <xf numFmtId="0" fontId="14" fillId="3" borderId="28" xfId="0" applyFont="1" applyFill="1" applyBorder="1" applyAlignment="1">
      <alignment horizontal="center" vertical="center" wrapText="1"/>
    </xf>
    <xf numFmtId="0" fontId="14" fillId="3" borderId="24" xfId="0" applyFont="1" applyFill="1" applyBorder="1" applyAlignment="1">
      <alignment horizontal="center" vertical="center" wrapText="1"/>
    </xf>
    <xf numFmtId="0" fontId="14" fillId="3" borderId="1" xfId="0" applyFont="1" applyFill="1" applyBorder="1" applyAlignment="1">
      <alignment horizontal="center" vertical="center" wrapText="1"/>
    </xf>
    <xf numFmtId="0" fontId="15" fillId="0" borderId="0" xfId="0" applyFont="1"/>
    <xf numFmtId="1" fontId="6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 vertical="center"/>
    </xf>
    <xf numFmtId="1" fontId="4" fillId="0" borderId="0" xfId="1" applyNumberFormat="1" applyFont="1" applyAlignment="1">
      <alignment horizontal="center"/>
    </xf>
    <xf numFmtId="1" fontId="6" fillId="2" borderId="1" xfId="1" applyNumberFormat="1" applyFont="1" applyFill="1" applyBorder="1" applyAlignment="1">
      <alignment horizontal="center"/>
    </xf>
    <xf numFmtId="1" fontId="10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/>
    </xf>
    <xf numFmtId="1" fontId="6" fillId="2" borderId="4" xfId="1" applyNumberFormat="1" applyFont="1" applyFill="1" applyBorder="1" applyAlignment="1">
      <alignment horizontal="center"/>
    </xf>
    <xf numFmtId="1" fontId="6" fillId="3" borderId="1" xfId="1" applyNumberFormat="1" applyFont="1" applyFill="1" applyBorder="1" applyAlignment="1">
      <alignment horizontal="center" vertical="center"/>
    </xf>
    <xf numFmtId="1" fontId="10" fillId="3" borderId="1" xfId="1" applyNumberFormat="1" applyFont="1" applyFill="1" applyBorder="1" applyAlignment="1">
      <alignment horizontal="center" vertical="center"/>
    </xf>
    <xf numFmtId="9" fontId="4" fillId="0" borderId="0" xfId="0" applyNumberFormat="1" applyFont="1"/>
    <xf numFmtId="2" fontId="6" fillId="2" borderId="6" xfId="1" applyNumberFormat="1" applyFont="1" applyFill="1" applyBorder="1" applyAlignment="1">
      <alignment horizontal="center" vertical="center"/>
    </xf>
    <xf numFmtId="1" fontId="6" fillId="2" borderId="6" xfId="1" applyNumberFormat="1" applyFont="1" applyFill="1" applyBorder="1" applyAlignment="1">
      <alignment horizontal="center" vertical="center"/>
    </xf>
    <xf numFmtId="0" fontId="1" fillId="2" borderId="13" xfId="0" applyFont="1" applyFill="1" applyBorder="1" applyAlignment="1">
      <alignment horizontal="left" vertical="center"/>
    </xf>
    <xf numFmtId="0" fontId="1" fillId="0" borderId="0" xfId="0" applyFont="1" applyAlignment="1">
      <alignment horizontal="center" vertical="top" wrapText="1"/>
    </xf>
    <xf numFmtId="0" fontId="1" fillId="2" borderId="12" xfId="0" applyFont="1" applyFill="1" applyBorder="1" applyAlignment="1">
      <alignment horizontal="left" vertical="center"/>
    </xf>
    <xf numFmtId="3" fontId="17" fillId="0" borderId="12" xfId="0" applyNumberFormat="1" applyFont="1" applyBorder="1" applyAlignment="1">
      <alignment horizontal="center" vertical="top" shrinkToFit="1"/>
    </xf>
    <xf numFmtId="3" fontId="17" fillId="0" borderId="13" xfId="0" applyNumberFormat="1" applyFont="1" applyBorder="1" applyAlignment="1">
      <alignment horizontal="center" vertical="top" shrinkToFit="1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0" fontId="18" fillId="0" borderId="5" xfId="0" applyFont="1" applyBorder="1" applyAlignment="1">
      <alignment horizontal="center" vertical="center" wrapText="1"/>
    </xf>
    <xf numFmtId="0" fontId="18" fillId="0" borderId="19" xfId="0" applyFont="1" applyBorder="1" applyAlignment="1">
      <alignment horizontal="center" vertical="center" wrapText="1"/>
    </xf>
    <xf numFmtId="0" fontId="18" fillId="0" borderId="14" xfId="0" applyFont="1" applyBorder="1" applyAlignment="1">
      <alignment horizontal="center" vertical="center" wrapText="1"/>
    </xf>
    <xf numFmtId="0" fontId="18" fillId="0" borderId="21" xfId="0" applyFont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19" fillId="0" borderId="0" xfId="0" applyFont="1" applyAlignment="1">
      <alignment horizontal="center" wrapText="1"/>
    </xf>
    <xf numFmtId="0" fontId="19" fillId="0" borderId="0" xfId="0" applyFont="1" applyAlignment="1">
      <alignment wrapText="1"/>
    </xf>
    <xf numFmtId="0" fontId="18" fillId="0" borderId="41" xfId="0" applyFont="1" applyBorder="1" applyAlignment="1">
      <alignment horizontal="center" vertical="center" wrapText="1"/>
    </xf>
    <xf numFmtId="3" fontId="17" fillId="0" borderId="2" xfId="0" applyNumberFormat="1" applyFont="1" applyBorder="1" applyAlignment="1">
      <alignment horizontal="center" vertical="top" shrinkToFit="1"/>
    </xf>
    <xf numFmtId="3" fontId="17" fillId="0" borderId="15" xfId="0" applyNumberFormat="1" applyFont="1" applyBorder="1" applyAlignment="1">
      <alignment horizontal="center" vertical="top" shrinkToFit="1"/>
    </xf>
    <xf numFmtId="0" fontId="0" fillId="2" borderId="14" xfId="0" applyFill="1" applyBorder="1" applyAlignment="1">
      <alignment horizontal="center" vertical="center"/>
    </xf>
    <xf numFmtId="10" fontId="0" fillId="0" borderId="0" xfId="0" applyNumberFormat="1"/>
    <xf numFmtId="0" fontId="0" fillId="2" borderId="6" xfId="0" applyFill="1" applyBorder="1" applyAlignment="1">
      <alignment horizontal="center" vertical="center"/>
    </xf>
    <xf numFmtId="2" fontId="1" fillId="0" borderId="42" xfId="0" applyNumberFormat="1" applyFont="1" applyBorder="1" applyAlignment="1">
      <alignment horizontal="center"/>
    </xf>
    <xf numFmtId="2" fontId="1" fillId="0" borderId="49" xfId="0" applyNumberFormat="1" applyFont="1" applyBorder="1" applyAlignment="1">
      <alignment horizontal="center"/>
    </xf>
    <xf numFmtId="0" fontId="18" fillId="0" borderId="39" xfId="0" applyFont="1" applyBorder="1" applyAlignment="1">
      <alignment horizontal="center" vertical="center" wrapText="1"/>
    </xf>
    <xf numFmtId="0" fontId="1" fillId="2" borderId="30" xfId="0" applyFont="1" applyFill="1" applyBorder="1" applyAlignment="1">
      <alignment horizontal="left" vertical="center"/>
    </xf>
    <xf numFmtId="0" fontId="0" fillId="2" borderId="47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0" xfId="0" applyFill="1" applyBorder="1" applyAlignment="1">
      <alignment horizontal="center" vertical="center"/>
    </xf>
    <xf numFmtId="0" fontId="0" fillId="2" borderId="31" xfId="0" applyFill="1" applyBorder="1" applyAlignment="1">
      <alignment horizontal="left" vertical="center"/>
    </xf>
    <xf numFmtId="0" fontId="0" fillId="2" borderId="20" xfId="0" applyFill="1" applyBorder="1" applyAlignment="1">
      <alignment horizontal="left" vertical="center"/>
    </xf>
    <xf numFmtId="0" fontId="0" fillId="2" borderId="21" xfId="0" applyFill="1" applyBorder="1" applyAlignment="1">
      <alignment horizontal="left" vertical="center"/>
    </xf>
    <xf numFmtId="0" fontId="18" fillId="0" borderId="15" xfId="0" applyFont="1" applyBorder="1" applyAlignment="1">
      <alignment horizontal="center" vertical="center" wrapText="1"/>
    </xf>
    <xf numFmtId="3" fontId="17" fillId="0" borderId="46" xfId="0" applyNumberFormat="1" applyFont="1" applyBorder="1" applyAlignment="1">
      <alignment horizontal="center" vertical="top" shrinkToFit="1"/>
    </xf>
    <xf numFmtId="1" fontId="1" fillId="0" borderId="45" xfId="0" applyNumberFormat="1" applyFont="1" applyBorder="1" applyAlignment="1">
      <alignment horizontal="center"/>
    </xf>
    <xf numFmtId="166" fontId="1" fillId="0" borderId="8" xfId="0" applyNumberFormat="1" applyFont="1" applyBorder="1" applyAlignment="1">
      <alignment horizontal="center"/>
    </xf>
    <xf numFmtId="0" fontId="18" fillId="0" borderId="11" xfId="0" applyFont="1" applyBorder="1" applyAlignment="1">
      <alignment horizontal="center" vertical="center" wrapText="1"/>
    </xf>
    <xf numFmtId="3" fontId="17" fillId="0" borderId="30" xfId="0" applyNumberFormat="1" applyFont="1" applyBorder="1" applyAlignment="1">
      <alignment horizontal="center" vertical="top" shrinkToFit="1"/>
    </xf>
    <xf numFmtId="1" fontId="1" fillId="0" borderId="48" xfId="0" applyNumberFormat="1" applyFont="1" applyBorder="1" applyAlignment="1">
      <alignment horizontal="center"/>
    </xf>
    <xf numFmtId="2" fontId="0" fillId="0" borderId="31" xfId="0" applyNumberFormat="1" applyBorder="1" applyAlignment="1">
      <alignment horizontal="center"/>
    </xf>
    <xf numFmtId="2" fontId="0" fillId="0" borderId="20" xfId="0" applyNumberFormat="1" applyBorder="1" applyAlignment="1">
      <alignment horizontal="center"/>
    </xf>
    <xf numFmtId="2" fontId="0" fillId="0" borderId="21" xfId="0" applyNumberFormat="1" applyBorder="1" applyAlignment="1">
      <alignment horizontal="center"/>
    </xf>
    <xf numFmtId="0" fontId="18" fillId="0" borderId="17" xfId="0" applyFont="1" applyBorder="1" applyAlignment="1">
      <alignment horizontal="center" vertical="center" wrapText="1"/>
    </xf>
    <xf numFmtId="0" fontId="18" fillId="0" borderId="0" xfId="0" applyFont="1" applyAlignment="1">
      <alignment horizontal="center" wrapText="1"/>
    </xf>
    <xf numFmtId="1" fontId="1" fillId="0" borderId="0" xfId="0" applyNumberFormat="1" applyFont="1" applyAlignment="1">
      <alignment horizontal="center"/>
    </xf>
    <xf numFmtId="166" fontId="1" fillId="0" borderId="0" xfId="0" applyNumberFormat="1" applyFont="1" applyAlignment="1">
      <alignment horizontal="center"/>
    </xf>
    <xf numFmtId="2" fontId="1" fillId="0" borderId="0" xfId="0" applyNumberFormat="1" applyFont="1" applyAlignment="1">
      <alignment horizontal="center"/>
    </xf>
    <xf numFmtId="2" fontId="1" fillId="0" borderId="0" xfId="0" applyNumberFormat="1" applyFont="1"/>
    <xf numFmtId="2" fontId="0" fillId="0" borderId="6" xfId="0" applyNumberForma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2" fontId="0" fillId="0" borderId="14" xfId="0" applyNumberFormat="1" applyBorder="1" applyAlignment="1">
      <alignment horizontal="center"/>
    </xf>
    <xf numFmtId="0" fontId="18" fillId="0" borderId="25" xfId="0" applyFont="1" applyBorder="1" applyAlignment="1">
      <alignment horizontal="center" vertical="center" wrapText="1"/>
    </xf>
    <xf numFmtId="9" fontId="0" fillId="0" borderId="0" xfId="0" applyNumberFormat="1"/>
    <xf numFmtId="9" fontId="18" fillId="0" borderId="27" xfId="2" applyFont="1" applyBorder="1" applyAlignment="1">
      <alignment horizontal="center" vertical="center" wrapText="1"/>
    </xf>
    <xf numFmtId="9" fontId="18" fillId="0" borderId="1" xfId="0" applyNumberFormat="1" applyFont="1" applyBorder="1" applyAlignment="1">
      <alignment horizontal="center" wrapText="1"/>
    </xf>
    <xf numFmtId="0" fontId="1" fillId="0" borderId="0" xfId="0" applyFont="1" applyAlignment="1">
      <alignment vertical="top" wrapText="1"/>
    </xf>
    <xf numFmtId="165" fontId="0" fillId="0" borderId="0" xfId="0" applyNumberFormat="1"/>
    <xf numFmtId="0" fontId="18" fillId="0" borderId="12" xfId="0" applyFont="1" applyBorder="1" applyAlignment="1">
      <alignment horizontal="center" wrapText="1"/>
    </xf>
    <xf numFmtId="10" fontId="18" fillId="0" borderId="1" xfId="2" applyNumberFormat="1" applyFont="1" applyBorder="1" applyAlignment="1">
      <alignment horizontal="center"/>
    </xf>
    <xf numFmtId="0" fontId="18" fillId="0" borderId="12" xfId="0" applyFont="1" applyBorder="1" applyAlignment="1">
      <alignment horizontal="center"/>
    </xf>
    <xf numFmtId="166" fontId="18" fillId="0" borderId="19" xfId="0" applyNumberFormat="1" applyFont="1" applyBorder="1" applyAlignment="1">
      <alignment horizontal="right" wrapText="1"/>
    </xf>
    <xf numFmtId="2" fontId="18" fillId="0" borderId="20" xfId="0" applyNumberFormat="1" applyFont="1" applyBorder="1" applyAlignment="1">
      <alignment horizontal="right" wrapText="1"/>
    </xf>
    <xf numFmtId="2" fontId="18" fillId="0" borderId="21" xfId="0" applyNumberFormat="1" applyFont="1" applyBorder="1" applyAlignment="1">
      <alignment horizontal="right" wrapText="1"/>
    </xf>
    <xf numFmtId="2" fontId="0" fillId="0" borderId="0" xfId="0" applyNumberFormat="1"/>
    <xf numFmtId="0" fontId="18" fillId="0" borderId="48" xfId="0" applyFont="1" applyBorder="1" applyAlignment="1">
      <alignment horizontal="center" vertical="center" wrapText="1"/>
    </xf>
    <xf numFmtId="0" fontId="18" fillId="0" borderId="42" xfId="0" applyFont="1" applyBorder="1" applyAlignment="1">
      <alignment horizontal="center" vertical="center" wrapText="1"/>
    </xf>
    <xf numFmtId="0" fontId="18" fillId="0" borderId="49" xfId="0" applyFont="1" applyBorder="1" applyAlignment="1">
      <alignment horizontal="center" vertical="center" wrapText="1"/>
    </xf>
    <xf numFmtId="0" fontId="18" fillId="0" borderId="45" xfId="0" applyFont="1" applyBorder="1" applyAlignment="1">
      <alignment horizontal="center" vertical="center" wrapText="1"/>
    </xf>
    <xf numFmtId="0" fontId="1" fillId="3" borderId="23" xfId="0" applyFont="1" applyFill="1" applyBorder="1"/>
    <xf numFmtId="0" fontId="0" fillId="0" borderId="47" xfId="0" applyBorder="1" applyAlignment="1">
      <alignment horizontal="center"/>
    </xf>
    <xf numFmtId="0" fontId="25" fillId="0" borderId="6" xfId="0" applyFont="1" applyBorder="1" applyAlignment="1">
      <alignment horizontal="left"/>
    </xf>
    <xf numFmtId="0" fontId="24" fillId="0" borderId="6" xfId="0" applyFont="1" applyBorder="1"/>
    <xf numFmtId="0" fontId="25" fillId="0" borderId="1" xfId="0" applyFont="1" applyBorder="1" applyAlignment="1">
      <alignment horizontal="left"/>
    </xf>
    <xf numFmtId="0" fontId="24" fillId="0" borderId="1" xfId="0" applyFont="1" applyBorder="1"/>
    <xf numFmtId="0" fontId="0" fillId="0" borderId="3" xfId="0" applyBorder="1" applyAlignment="1">
      <alignment horizontal="center"/>
    </xf>
    <xf numFmtId="0" fontId="24" fillId="0" borderId="1" xfId="0" applyFont="1" applyBorder="1" applyAlignment="1">
      <alignment horizontal="left"/>
    </xf>
    <xf numFmtId="0" fontId="26" fillId="0" borderId="1" xfId="0" applyFont="1" applyBorder="1" applyAlignment="1">
      <alignment horizontal="left"/>
    </xf>
    <xf numFmtId="0" fontId="0" fillId="0" borderId="1" xfId="0" applyBorder="1"/>
    <xf numFmtId="0" fontId="13" fillId="2" borderId="1" xfId="0" applyFont="1" applyFill="1" applyBorder="1" applyAlignment="1">
      <alignment horizontal="left"/>
    </xf>
    <xf numFmtId="0" fontId="22" fillId="0" borderId="1" xfId="0" applyFont="1" applyBorder="1" applyAlignment="1">
      <alignment horizontal="left"/>
    </xf>
    <xf numFmtId="0" fontId="1" fillId="3" borderId="1" xfId="0" applyFont="1" applyFill="1" applyBorder="1" applyAlignment="1">
      <alignment horizontal="center"/>
    </xf>
    <xf numFmtId="0" fontId="27" fillId="3" borderId="1" xfId="0" applyFont="1" applyFill="1" applyBorder="1" applyAlignment="1">
      <alignment horizontal="left"/>
    </xf>
    <xf numFmtId="0" fontId="27" fillId="3" borderId="1" xfId="0" applyFont="1" applyFill="1" applyBorder="1"/>
    <xf numFmtId="0" fontId="16" fillId="3" borderId="1" xfId="0" applyFont="1" applyFill="1" applyBorder="1" applyAlignment="1">
      <alignment horizontal="left"/>
    </xf>
    <xf numFmtId="0" fontId="28" fillId="0" borderId="0" xfId="0" applyFont="1"/>
    <xf numFmtId="2" fontId="0" fillId="0" borderId="0" xfId="0" applyNumberFormat="1" applyAlignment="1">
      <alignment horizontal="center"/>
    </xf>
    <xf numFmtId="0" fontId="29" fillId="2" borderId="5" xfId="0" applyFont="1" applyFill="1" applyBorder="1" applyAlignment="1">
      <alignment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4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29" fillId="2" borderId="1" xfId="0" applyFont="1" applyFill="1" applyBorder="1" applyAlignment="1">
      <alignment vertical="center" wrapText="1"/>
    </xf>
    <xf numFmtId="0" fontId="29" fillId="2" borderId="56" xfId="0" applyFont="1" applyFill="1" applyBorder="1" applyAlignment="1">
      <alignment horizontal="center" vertical="center" wrapText="1"/>
    </xf>
    <xf numFmtId="2" fontId="29" fillId="2" borderId="56" xfId="0" applyNumberFormat="1" applyFont="1" applyFill="1" applyBorder="1" applyAlignment="1">
      <alignment horizontal="center" vertical="center" wrapText="1"/>
    </xf>
    <xf numFmtId="43" fontId="29" fillId="2" borderId="56" xfId="1" applyFont="1" applyFill="1" applyBorder="1" applyAlignment="1">
      <alignment horizontal="center" vertical="center" wrapText="1"/>
    </xf>
    <xf numFmtId="9" fontId="29" fillId="2" borderId="1" xfId="2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vertical="center" wrapText="1"/>
    </xf>
    <xf numFmtId="43" fontId="29" fillId="2" borderId="56" xfId="1" applyFont="1" applyFill="1" applyBorder="1" applyAlignment="1">
      <alignment vertical="center" wrapText="1"/>
    </xf>
    <xf numFmtId="165" fontId="29" fillId="2" borderId="1" xfId="2" applyNumberFormat="1" applyFont="1" applyFill="1" applyBorder="1" applyAlignment="1">
      <alignment horizontal="center" vertical="center" wrapText="1"/>
    </xf>
    <xf numFmtId="0" fontId="31" fillId="2" borderId="1" xfId="0" applyFont="1" applyFill="1" applyBorder="1" applyAlignment="1">
      <alignment horizontal="center" vertical="center"/>
    </xf>
    <xf numFmtId="0" fontId="31" fillId="2" borderId="1" xfId="0" applyFont="1" applyFill="1" applyBorder="1" applyAlignment="1">
      <alignment horizontal="left" vertical="center"/>
    </xf>
    <xf numFmtId="1" fontId="0" fillId="2" borderId="1" xfId="1" applyNumberFormat="1" applyFont="1" applyFill="1" applyBorder="1" applyAlignment="1">
      <alignment horizontal="center" vertical="center"/>
    </xf>
    <xf numFmtId="1" fontId="31" fillId="2" borderId="1" xfId="0" applyNumberFormat="1" applyFont="1" applyFill="1" applyBorder="1" applyAlignment="1">
      <alignment horizontal="center" vertical="center"/>
    </xf>
    <xf numFmtId="1" fontId="31" fillId="2" borderId="1" xfId="4" applyNumberFormat="1" applyFont="1" applyFill="1" applyBorder="1" applyAlignment="1">
      <alignment horizontal="center" vertical="center"/>
    </xf>
    <xf numFmtId="2" fontId="31" fillId="2" borderId="1" xfId="4" applyNumberFormat="1" applyFont="1" applyFill="1" applyBorder="1" applyAlignment="1">
      <alignment horizontal="center" vertical="center"/>
    </xf>
    <xf numFmtId="10" fontId="31" fillId="2" borderId="1" xfId="2" applyNumberFormat="1" applyFont="1" applyFill="1" applyBorder="1" applyAlignment="1">
      <alignment horizontal="center" vertical="center"/>
    </xf>
    <xf numFmtId="166" fontId="31" fillId="2" borderId="1" xfId="4" applyNumberFormat="1" applyFont="1" applyFill="1" applyBorder="1" applyAlignment="1">
      <alignment horizontal="center" vertical="center"/>
    </xf>
    <xf numFmtId="9" fontId="31" fillId="2" borderId="1" xfId="2" applyFont="1" applyFill="1" applyBorder="1" applyAlignment="1">
      <alignment horizontal="center" vertical="center"/>
    </xf>
    <xf numFmtId="165" fontId="31" fillId="2" borderId="1" xfId="2" applyNumberFormat="1" applyFont="1" applyFill="1" applyBorder="1" applyAlignment="1">
      <alignment horizontal="center" vertical="center"/>
    </xf>
    <xf numFmtId="0" fontId="31" fillId="5" borderId="1" xfId="0" applyFont="1" applyFill="1" applyBorder="1" applyAlignment="1">
      <alignment horizontal="center" vertical="center"/>
    </xf>
    <xf numFmtId="0" fontId="29" fillId="5" borderId="1" xfId="0" applyFont="1" applyFill="1" applyBorder="1" applyAlignment="1">
      <alignment horizontal="center" vertical="center"/>
    </xf>
    <xf numFmtId="0" fontId="26" fillId="5" borderId="1" xfId="0" applyFont="1" applyFill="1" applyBorder="1" applyAlignment="1">
      <alignment vertical="center"/>
    </xf>
    <xf numFmtId="0" fontId="26" fillId="5" borderId="1" xfId="0" applyFont="1" applyFill="1" applyBorder="1" applyAlignment="1">
      <alignment horizontal="center" vertical="center"/>
    </xf>
    <xf numFmtId="1" fontId="31" fillId="5" borderId="1" xfId="0" applyNumberFormat="1" applyFont="1" applyFill="1" applyBorder="1" applyAlignment="1">
      <alignment horizontal="center" vertical="center"/>
    </xf>
    <xf numFmtId="1" fontId="31" fillId="5" borderId="1" xfId="4" applyNumberFormat="1" applyFont="1" applyFill="1" applyBorder="1" applyAlignment="1">
      <alignment horizontal="center" vertical="center"/>
    </xf>
    <xf numFmtId="2" fontId="31" fillId="5" borderId="1" xfId="4" applyNumberFormat="1" applyFont="1" applyFill="1" applyBorder="1" applyAlignment="1">
      <alignment horizontal="center" vertical="center"/>
    </xf>
    <xf numFmtId="9" fontId="31" fillId="5" borderId="1" xfId="2" applyFont="1" applyFill="1" applyBorder="1" applyAlignment="1">
      <alignment horizontal="center" vertical="center"/>
    </xf>
    <xf numFmtId="166" fontId="31" fillId="5" borderId="1" xfId="4" applyNumberFormat="1" applyFont="1" applyFill="1" applyBorder="1" applyAlignment="1">
      <alignment horizontal="center" vertical="center"/>
    </xf>
    <xf numFmtId="165" fontId="31" fillId="5" borderId="1" xfId="2" applyNumberFormat="1" applyFont="1" applyFill="1" applyBorder="1" applyAlignment="1">
      <alignment horizontal="center" vertical="center"/>
    </xf>
    <xf numFmtId="0" fontId="0" fillId="5" borderId="0" xfId="0" applyFill="1"/>
    <xf numFmtId="0" fontId="31" fillId="5" borderId="1" xfId="0" applyFont="1" applyFill="1" applyBorder="1" applyAlignment="1">
      <alignment horizontal="left" vertical="center"/>
    </xf>
    <xf numFmtId="0" fontId="31" fillId="2" borderId="0" xfId="0" applyFont="1" applyFill="1" applyAlignment="1">
      <alignment horizontal="center" vertical="center"/>
    </xf>
    <xf numFmtId="0" fontId="29" fillId="2" borderId="0" xfId="0" applyFont="1" applyFill="1" applyAlignment="1">
      <alignment horizontal="center" vertical="center"/>
    </xf>
    <xf numFmtId="0" fontId="31" fillId="2" borderId="0" xfId="0" applyFont="1" applyFill="1" applyAlignment="1">
      <alignment horizontal="left" vertical="center"/>
    </xf>
    <xf numFmtId="1" fontId="0" fillId="2" borderId="0" xfId="1" applyNumberFormat="1" applyFont="1" applyFill="1" applyBorder="1" applyAlignment="1">
      <alignment horizontal="center"/>
    </xf>
    <xf numFmtId="1" fontId="31" fillId="2" borderId="0" xfId="0" applyNumberFormat="1" applyFont="1" applyFill="1" applyAlignment="1">
      <alignment horizontal="center" vertical="center"/>
    </xf>
    <xf numFmtId="1" fontId="31" fillId="2" borderId="0" xfId="4" applyNumberFormat="1" applyFont="1" applyFill="1" applyBorder="1" applyAlignment="1">
      <alignment horizontal="center" vertical="center"/>
    </xf>
    <xf numFmtId="2" fontId="31" fillId="2" borderId="0" xfId="4" applyNumberFormat="1" applyFont="1" applyFill="1" applyBorder="1" applyAlignment="1">
      <alignment horizontal="center" vertical="center"/>
    </xf>
    <xf numFmtId="9" fontId="31" fillId="2" borderId="0" xfId="2" applyFont="1" applyFill="1" applyBorder="1" applyAlignment="1">
      <alignment horizontal="center" vertical="center"/>
    </xf>
    <xf numFmtId="166" fontId="31" fillId="2" borderId="0" xfId="4" applyNumberFormat="1" applyFont="1" applyFill="1" applyBorder="1" applyAlignment="1">
      <alignment horizontal="center" vertical="center"/>
    </xf>
    <xf numFmtId="165" fontId="31" fillId="2" borderId="0" xfId="2" applyNumberFormat="1" applyFont="1" applyFill="1" applyBorder="1" applyAlignment="1">
      <alignment horizontal="center" vertical="center"/>
    </xf>
    <xf numFmtId="1" fontId="0" fillId="2" borderId="1" xfId="1" applyNumberFormat="1" applyFont="1" applyFill="1" applyBorder="1" applyAlignment="1">
      <alignment horizontal="center"/>
    </xf>
    <xf numFmtId="0" fontId="26" fillId="2" borderId="1" xfId="0" applyFont="1" applyFill="1" applyBorder="1" applyAlignment="1">
      <alignment horizontal="center" vertical="center"/>
    </xf>
    <xf numFmtId="1" fontId="31" fillId="2" borderId="1" xfId="1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left"/>
    </xf>
    <xf numFmtId="1" fontId="0" fillId="0" borderId="1" xfId="0" applyNumberFormat="1" applyBorder="1" applyAlignment="1">
      <alignment horizontal="center"/>
    </xf>
    <xf numFmtId="0" fontId="0" fillId="0" borderId="0" xfId="0" applyAlignment="1">
      <alignment horizontal="left"/>
    </xf>
    <xf numFmtId="1" fontId="0" fillId="0" borderId="0" xfId="0" applyNumberFormat="1" applyAlignment="1">
      <alignment horizontal="center"/>
    </xf>
    <xf numFmtId="9" fontId="0" fillId="0" borderId="0" xfId="2" applyFont="1" applyBorder="1" applyAlignment="1">
      <alignment horizontal="center"/>
    </xf>
    <xf numFmtId="166" fontId="0" fillId="0" borderId="0" xfId="0" applyNumberFormat="1" applyAlignment="1">
      <alignment horizontal="center"/>
    </xf>
    <xf numFmtId="165" fontId="0" fillId="0" borderId="0" xfId="2" applyNumberFormat="1" applyFont="1" applyBorder="1" applyAlignment="1">
      <alignment horizontal="center"/>
    </xf>
    <xf numFmtId="1" fontId="0" fillId="2" borderId="1" xfId="5" applyNumberFormat="1" applyFont="1" applyFill="1" applyBorder="1" applyAlignment="1">
      <alignment horizontal="center" vertical="center"/>
    </xf>
    <xf numFmtId="0" fontId="0" fillId="2" borderId="1" xfId="0" applyFill="1" applyBorder="1"/>
    <xf numFmtId="0" fontId="0" fillId="2" borderId="0" xfId="0" applyFill="1"/>
    <xf numFmtId="1" fontId="0" fillId="2" borderId="1" xfId="5" applyNumberFormat="1" applyFont="1" applyFill="1" applyBorder="1" applyAlignment="1">
      <alignment horizontal="center"/>
    </xf>
    <xf numFmtId="1" fontId="0" fillId="0" borderId="0" xfId="0" applyNumberFormat="1"/>
    <xf numFmtId="1" fontId="29" fillId="2" borderId="1" xfId="0" applyNumberFormat="1" applyFont="1" applyFill="1" applyBorder="1" applyAlignment="1">
      <alignment horizontal="center" vertical="center"/>
    </xf>
    <xf numFmtId="1" fontId="31" fillId="2" borderId="1" xfId="5" applyNumberFormat="1" applyFont="1" applyFill="1" applyBorder="1" applyAlignment="1">
      <alignment horizontal="center" vertical="center"/>
    </xf>
    <xf numFmtId="168" fontId="31" fillId="2" borderId="1" xfId="4" applyNumberFormat="1" applyFont="1" applyFill="1" applyBorder="1" applyAlignment="1">
      <alignment horizontal="center" vertical="center"/>
    </xf>
    <xf numFmtId="1" fontId="28" fillId="0" borderId="0" xfId="0" applyNumberFormat="1" applyFont="1"/>
    <xf numFmtId="165" fontId="18" fillId="0" borderId="27" xfId="2" applyNumberFormat="1" applyFont="1" applyBorder="1" applyAlignment="1">
      <alignment horizontal="center" vertical="center" wrapText="1"/>
    </xf>
    <xf numFmtId="1" fontId="0" fillId="0" borderId="50" xfId="0" applyNumberFormat="1" applyBorder="1" applyAlignment="1">
      <alignment horizontal="center"/>
    </xf>
    <xf numFmtId="1" fontId="0" fillId="0" borderId="26" xfId="0" applyNumberFormat="1" applyBorder="1" applyAlignment="1">
      <alignment horizontal="center"/>
    </xf>
    <xf numFmtId="1" fontId="0" fillId="0" borderId="27" xfId="0" applyNumberFormat="1" applyBorder="1" applyAlignment="1">
      <alignment horizontal="center"/>
    </xf>
    <xf numFmtId="1" fontId="1" fillId="0" borderId="37" xfId="0" applyNumberFormat="1" applyFont="1" applyBorder="1" applyAlignment="1">
      <alignment horizontal="center"/>
    </xf>
    <xf numFmtId="1" fontId="1" fillId="0" borderId="44" xfId="0" applyNumberFormat="1" applyFont="1" applyBorder="1" applyAlignment="1">
      <alignment horizontal="center"/>
    </xf>
    <xf numFmtId="1" fontId="1" fillId="0" borderId="49" xfId="0" applyNumberFormat="1" applyFont="1" applyBorder="1" applyAlignment="1">
      <alignment horizontal="center"/>
    </xf>
    <xf numFmtId="2" fontId="0" fillId="0" borderId="16" xfId="0" applyNumberFormat="1" applyBorder="1" applyAlignment="1">
      <alignment horizontal="center"/>
    </xf>
    <xf numFmtId="2" fontId="0" fillId="0" borderId="9" xfId="0" applyNumberFormat="1" applyBorder="1" applyAlignment="1">
      <alignment horizontal="center"/>
    </xf>
    <xf numFmtId="2" fontId="0" fillId="0" borderId="7" xfId="0" applyNumberFormat="1" applyBorder="1" applyAlignment="1">
      <alignment horizontal="center"/>
    </xf>
    <xf numFmtId="2" fontId="0" fillId="0" borderId="47" xfId="0" applyNumberFormat="1" applyBorder="1" applyAlignment="1">
      <alignment horizontal="center"/>
    </xf>
    <xf numFmtId="2" fontId="0" fillId="0" borderId="3" xfId="0" applyNumberFormat="1" applyBorder="1" applyAlignment="1">
      <alignment horizontal="center"/>
    </xf>
    <xf numFmtId="2" fontId="0" fillId="0" borderId="40" xfId="0" applyNumberFormat="1" applyBorder="1" applyAlignment="1">
      <alignment horizontal="center"/>
    </xf>
    <xf numFmtId="0" fontId="1" fillId="3" borderId="0" xfId="0" applyFont="1" applyFill="1" applyAlignment="1">
      <alignment vertical="top" wrapText="1"/>
    </xf>
    <xf numFmtId="43" fontId="29" fillId="2" borderId="1" xfId="1" applyFont="1" applyFill="1" applyBorder="1" applyAlignment="1">
      <alignment horizontal="center" vertical="center" wrapText="1"/>
    </xf>
    <xf numFmtId="9" fontId="0" fillId="0" borderId="1" xfId="0" applyNumberFormat="1" applyBorder="1" applyAlignment="1">
      <alignment horizontal="center"/>
    </xf>
    <xf numFmtId="10" fontId="0" fillId="0" borderId="1" xfId="2" applyNumberFormat="1" applyFont="1" applyBorder="1" applyAlignment="1">
      <alignment horizontal="center"/>
    </xf>
    <xf numFmtId="1" fontId="0" fillId="2" borderId="0" xfId="1" applyNumberFormat="1" applyFont="1" applyFill="1" applyBorder="1" applyAlignment="1">
      <alignment horizontal="center" vertical="center"/>
    </xf>
    <xf numFmtId="9" fontId="0" fillId="0" borderId="0" xfId="0" applyNumberFormat="1" applyAlignment="1">
      <alignment horizontal="center"/>
    </xf>
    <xf numFmtId="10" fontId="0" fillId="0" borderId="0" xfId="2" applyNumberFormat="1" applyFont="1" applyBorder="1" applyAlignment="1">
      <alignment horizontal="center"/>
    </xf>
    <xf numFmtId="2" fontId="0" fillId="0" borderId="50" xfId="0" applyNumberFormat="1" applyBorder="1" applyAlignment="1">
      <alignment horizontal="center"/>
    </xf>
    <xf numFmtId="0" fontId="1" fillId="0" borderId="0" xfId="0" applyFont="1" applyAlignment="1">
      <alignment vertical="top"/>
    </xf>
    <xf numFmtId="164" fontId="0" fillId="0" borderId="0" xfId="1" applyNumberFormat="1" applyFont="1"/>
    <xf numFmtId="164" fontId="0" fillId="0" borderId="0" xfId="0" applyNumberFormat="1"/>
    <xf numFmtId="9" fontId="33" fillId="0" borderId="0" xfId="2" applyFont="1" applyAlignment="1">
      <alignment horizontal="center"/>
    </xf>
    <xf numFmtId="0" fontId="29" fillId="2" borderId="1" xfId="0" applyFont="1" applyFill="1" applyBorder="1" applyAlignment="1">
      <alignment horizontal="center" vertical="center" wrapText="1"/>
    </xf>
    <xf numFmtId="2" fontId="29" fillId="2" borderId="1" xfId="0" applyNumberFormat="1" applyFont="1" applyFill="1" applyBorder="1" applyAlignment="1">
      <alignment horizontal="center" vertical="center" wrapText="1"/>
    </xf>
    <xf numFmtId="10" fontId="0" fillId="0" borderId="1" xfId="0" applyNumberFormat="1" applyBorder="1" applyAlignment="1">
      <alignment horizontal="center"/>
    </xf>
    <xf numFmtId="0" fontId="1" fillId="0" borderId="1" xfId="0" applyFont="1" applyBorder="1"/>
    <xf numFmtId="0" fontId="0" fillId="3" borderId="0" xfId="0" applyFill="1" applyAlignment="1">
      <alignment horizontal="center"/>
    </xf>
    <xf numFmtId="165" fontId="0" fillId="0" borderId="1" xfId="0" applyNumberFormat="1" applyBorder="1" applyAlignment="1">
      <alignment horizontal="center"/>
    </xf>
    <xf numFmtId="43" fontId="29" fillId="2" borderId="57" xfId="1" applyFont="1" applyFill="1" applyBorder="1" applyAlignment="1">
      <alignment horizontal="center" vertical="center" wrapText="1"/>
    </xf>
    <xf numFmtId="10" fontId="0" fillId="0" borderId="0" xfId="2" applyNumberFormat="1" applyFont="1"/>
    <xf numFmtId="2" fontId="18" fillId="0" borderId="34" xfId="0" applyNumberFormat="1" applyFont="1" applyBorder="1" applyAlignment="1">
      <alignment horizontal="center" vertical="center" wrapText="1"/>
    </xf>
    <xf numFmtId="169" fontId="0" fillId="2" borderId="6" xfId="0" applyNumberFormat="1" applyFill="1" applyBorder="1" applyAlignment="1">
      <alignment horizontal="center" vertical="center"/>
    </xf>
    <xf numFmtId="169" fontId="0" fillId="2" borderId="2" xfId="0" applyNumberFormat="1" applyFill="1" applyBorder="1" applyAlignment="1">
      <alignment horizontal="center" vertical="center"/>
    </xf>
    <xf numFmtId="169" fontId="0" fillId="2" borderId="15" xfId="0" applyNumberFormat="1" applyFill="1" applyBorder="1" applyAlignment="1">
      <alignment horizontal="center" vertical="center"/>
    </xf>
    <xf numFmtId="0" fontId="18" fillId="0" borderId="44" xfId="0" applyFont="1" applyBorder="1" applyAlignment="1">
      <alignment horizontal="center" vertic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9" fontId="0" fillId="0" borderId="0" xfId="2" applyFont="1" applyAlignment="1">
      <alignment horizontal="center"/>
    </xf>
    <xf numFmtId="10" fontId="0" fillId="0" borderId="0" xfId="2" applyNumberFormat="1" applyFont="1" applyAlignment="1">
      <alignment horizontal="center"/>
    </xf>
    <xf numFmtId="2" fontId="0" fillId="0" borderId="30" xfId="0" applyNumberFormat="1" applyBorder="1" applyAlignment="1">
      <alignment horizontal="center"/>
    </xf>
    <xf numFmtId="2" fontId="0" fillId="0" borderId="12" xfId="0" applyNumberFormat="1" applyBorder="1" applyAlignment="1">
      <alignment horizontal="center"/>
    </xf>
    <xf numFmtId="2" fontId="0" fillId="0" borderId="13" xfId="0" applyNumberFormat="1" applyBorder="1" applyAlignment="1">
      <alignment horizontal="center"/>
    </xf>
    <xf numFmtId="166" fontId="1" fillId="0" borderId="48" xfId="0" applyNumberFormat="1" applyFont="1" applyBorder="1" applyAlignment="1">
      <alignment horizontal="center"/>
    </xf>
    <xf numFmtId="166" fontId="1" fillId="0" borderId="42" xfId="0" applyNumberFormat="1" applyFont="1" applyBorder="1" applyAlignment="1">
      <alignment horizontal="center"/>
    </xf>
    <xf numFmtId="166" fontId="1" fillId="0" borderId="49" xfId="0" applyNumberFormat="1" applyFont="1" applyBorder="1" applyAlignment="1">
      <alignment horizontal="center"/>
    </xf>
    <xf numFmtId="2" fontId="0" fillId="0" borderId="26" xfId="0" applyNumberFormat="1" applyBorder="1" applyAlignment="1">
      <alignment horizontal="center"/>
    </xf>
    <xf numFmtId="2" fontId="0" fillId="0" borderId="27" xfId="0" applyNumberFormat="1" applyBorder="1" applyAlignment="1">
      <alignment horizontal="center"/>
    </xf>
    <xf numFmtId="0" fontId="1" fillId="0" borderId="0" xfId="0" applyFont="1" applyAlignment="1">
      <alignment vertical="center" wrapText="1"/>
    </xf>
    <xf numFmtId="0" fontId="1" fillId="3" borderId="0" xfId="0" applyFont="1" applyFill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164" fontId="0" fillId="0" borderId="0" xfId="1" applyNumberFormat="1" applyFont="1" applyAlignment="1">
      <alignment vertical="center"/>
    </xf>
    <xf numFmtId="0" fontId="0" fillId="2" borderId="46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15" xfId="0" applyFill="1" applyBorder="1" applyAlignment="1">
      <alignment horizontal="center" vertical="center"/>
    </xf>
    <xf numFmtId="3" fontId="17" fillId="0" borderId="47" xfId="0" applyNumberFormat="1" applyFont="1" applyBorder="1" applyAlignment="1">
      <alignment horizontal="center" vertical="top" shrinkToFit="1"/>
    </xf>
    <xf numFmtId="3" fontId="17" fillId="0" borderId="3" xfId="0" applyNumberFormat="1" applyFont="1" applyBorder="1" applyAlignment="1">
      <alignment horizontal="center" vertical="top" shrinkToFit="1"/>
    </xf>
    <xf numFmtId="3" fontId="17" fillId="0" borderId="40" xfId="0" applyNumberFormat="1" applyFont="1" applyBorder="1" applyAlignment="1">
      <alignment horizontal="center" vertical="top" shrinkToFit="1"/>
    </xf>
    <xf numFmtId="0" fontId="0" fillId="2" borderId="30" xfId="0" applyFill="1" applyBorder="1" applyAlignment="1">
      <alignment horizontal="center" vertical="center"/>
    </xf>
    <xf numFmtId="2" fontId="0" fillId="2" borderId="31" xfId="0" applyNumberFormat="1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  <xf numFmtId="2" fontId="0" fillId="2" borderId="20" xfId="0" applyNumberFormat="1" applyFill="1" applyBorder="1" applyAlignment="1">
      <alignment horizontal="center" vertical="center"/>
    </xf>
    <xf numFmtId="0" fontId="0" fillId="2" borderId="13" xfId="0" applyFill="1" applyBorder="1" applyAlignment="1">
      <alignment horizontal="center" vertical="center"/>
    </xf>
    <xf numFmtId="2" fontId="0" fillId="2" borderId="21" xfId="0" applyNumberFormat="1" applyFill="1" applyBorder="1" applyAlignment="1">
      <alignment horizontal="center" vertical="center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1" fontId="18" fillId="0" borderId="21" xfId="0" applyNumberFormat="1" applyFont="1" applyBorder="1" applyAlignment="1">
      <alignment horizontal="right" wrapText="1"/>
    </xf>
    <xf numFmtId="0" fontId="18" fillId="0" borderId="23" xfId="0" applyFont="1" applyBorder="1" applyAlignment="1">
      <alignment horizontal="center" vertical="center" wrapText="1"/>
    </xf>
    <xf numFmtId="0" fontId="35" fillId="0" borderId="12" xfId="0" applyFont="1" applyBorder="1" applyAlignment="1">
      <alignment horizontal="center" vertical="center" wrapText="1"/>
    </xf>
    <xf numFmtId="0" fontId="35" fillId="0" borderId="1" xfId="0" applyFont="1" applyBorder="1" applyAlignment="1">
      <alignment horizontal="center"/>
    </xf>
    <xf numFmtId="1" fontId="35" fillId="0" borderId="20" xfId="0" applyNumberFormat="1" applyFont="1" applyBorder="1" applyAlignment="1">
      <alignment horizontal="center"/>
    </xf>
    <xf numFmtId="0" fontId="35" fillId="0" borderId="14" xfId="0" applyFont="1" applyBorder="1" applyAlignment="1">
      <alignment horizontal="center"/>
    </xf>
    <xf numFmtId="0" fontId="0" fillId="0" borderId="13" xfId="0" applyBorder="1"/>
    <xf numFmtId="1" fontId="36" fillId="0" borderId="21" xfId="0" applyNumberFormat="1" applyFont="1" applyBorder="1" applyAlignment="1">
      <alignment horizontal="center"/>
    </xf>
    <xf numFmtId="3" fontId="17" fillId="0" borderId="2" xfId="0" applyNumberFormat="1" applyFont="1" applyBorder="1" applyAlignment="1">
      <alignment horizontal="center" wrapText="1"/>
    </xf>
    <xf numFmtId="0" fontId="38" fillId="2" borderId="31" xfId="0" applyFont="1" applyFill="1" applyBorder="1" applyAlignment="1">
      <alignment horizontal="left" vertical="center"/>
    </xf>
    <xf numFmtId="0" fontId="38" fillId="2" borderId="20" xfId="0" applyFont="1" applyFill="1" applyBorder="1" applyAlignment="1">
      <alignment horizontal="left" vertical="center"/>
    </xf>
    <xf numFmtId="0" fontId="38" fillId="2" borderId="21" xfId="0" applyFont="1" applyFill="1" applyBorder="1" applyAlignment="1">
      <alignment horizontal="left" vertical="center"/>
    </xf>
    <xf numFmtId="3" fontId="39" fillId="0" borderId="47" xfId="0" applyNumberFormat="1" applyFont="1" applyBorder="1" applyAlignment="1">
      <alignment horizontal="center" vertical="top" shrinkToFit="1"/>
    </xf>
    <xf numFmtId="2" fontId="0" fillId="0" borderId="46" xfId="0" applyNumberFormat="1" applyBorder="1" applyAlignment="1">
      <alignment horizontal="center"/>
    </xf>
    <xf numFmtId="2" fontId="0" fillId="0" borderId="2" xfId="0" applyNumberFormat="1" applyBorder="1" applyAlignment="1">
      <alignment horizontal="center"/>
    </xf>
    <xf numFmtId="2" fontId="0" fillId="0" borderId="15" xfId="0" applyNumberFormat="1" applyBorder="1" applyAlignment="1">
      <alignment horizontal="center"/>
    </xf>
    <xf numFmtId="2" fontId="0" fillId="0" borderId="1" xfId="0" applyNumberFormat="1" applyBorder="1"/>
    <xf numFmtId="0" fontId="35" fillId="0" borderId="3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40" fillId="0" borderId="1" xfId="0" applyFont="1" applyBorder="1" applyAlignment="1">
      <alignment horizontal="center"/>
    </xf>
    <xf numFmtId="0" fontId="12" fillId="4" borderId="2" xfId="0" applyFont="1" applyFill="1" applyBorder="1" applyAlignment="1">
      <alignment horizontal="center" vertical="center"/>
    </xf>
    <xf numFmtId="0" fontId="12" fillId="4" borderId="3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9" fontId="9" fillId="0" borderId="32" xfId="2" applyFont="1" applyBorder="1" applyAlignment="1">
      <alignment horizontal="center"/>
    </xf>
    <xf numFmtId="9" fontId="9" fillId="0" borderId="33" xfId="2" applyFont="1" applyBorder="1" applyAlignment="1">
      <alignment horizontal="center"/>
    </xf>
    <xf numFmtId="0" fontId="14" fillId="3" borderId="2" xfId="0" applyFont="1" applyFill="1" applyBorder="1" applyAlignment="1">
      <alignment horizontal="center" vertical="center" wrapText="1"/>
    </xf>
    <xf numFmtId="0" fontId="14" fillId="3" borderId="3" xfId="0" applyFont="1" applyFill="1" applyBorder="1" applyAlignment="1">
      <alignment horizontal="center" vertical="center" wrapText="1"/>
    </xf>
    <xf numFmtId="0" fontId="1" fillId="2" borderId="55" xfId="0" applyFont="1" applyFill="1" applyBorder="1" applyAlignment="1">
      <alignment horizontal="center"/>
    </xf>
    <xf numFmtId="0" fontId="1" fillId="0" borderId="55" xfId="0" applyFont="1" applyBorder="1" applyAlignment="1">
      <alignment horizontal="center"/>
    </xf>
    <xf numFmtId="0" fontId="29" fillId="2" borderId="56" xfId="0" applyFont="1" applyFill="1" applyBorder="1" applyAlignment="1">
      <alignment horizontal="center" vertical="center"/>
    </xf>
    <xf numFmtId="0" fontId="29" fillId="2" borderId="57" xfId="0" applyFont="1" applyFill="1" applyBorder="1" applyAlignment="1">
      <alignment horizontal="center" vertical="center"/>
    </xf>
    <xf numFmtId="0" fontId="29" fillId="2" borderId="41" xfId="0" applyFont="1" applyFill="1" applyBorder="1" applyAlignment="1">
      <alignment horizontal="center" vertical="center"/>
    </xf>
    <xf numFmtId="0" fontId="29" fillId="2" borderId="42" xfId="0" applyFont="1" applyFill="1" applyBorder="1" applyAlignment="1">
      <alignment horizontal="center" vertical="center"/>
    </xf>
    <xf numFmtId="0" fontId="29" fillId="2" borderId="56" xfId="0" applyFont="1" applyFill="1" applyBorder="1" applyAlignment="1">
      <alignment horizontal="left" vertical="center"/>
    </xf>
    <xf numFmtId="0" fontId="29" fillId="2" borderId="57" xfId="0" applyFont="1" applyFill="1" applyBorder="1" applyAlignment="1">
      <alignment horizontal="left"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" xfId="0" applyFont="1" applyFill="1" applyBorder="1" applyAlignment="1">
      <alignment horizontal="center" vertical="center" wrapText="1"/>
    </xf>
    <xf numFmtId="43" fontId="29" fillId="2" borderId="2" xfId="1" applyFont="1" applyFill="1" applyBorder="1" applyAlignment="1">
      <alignment horizontal="center" vertical="center" wrapText="1"/>
    </xf>
    <xf numFmtId="43" fontId="29" fillId="2" borderId="3" xfId="1" applyFont="1" applyFill="1" applyBorder="1" applyAlignment="1">
      <alignment horizontal="center" vertical="center" wrapText="1"/>
    </xf>
    <xf numFmtId="10" fontId="29" fillId="2" borderId="1" xfId="1" applyNumberFormat="1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horizontal="center" vertical="center"/>
    </xf>
    <xf numFmtId="43" fontId="29" fillId="2" borderId="2" xfId="1" applyFont="1" applyFill="1" applyBorder="1" applyAlignment="1">
      <alignment horizontal="center" vertical="center"/>
    </xf>
    <xf numFmtId="43" fontId="29" fillId="2" borderId="3" xfId="1" applyFont="1" applyFill="1" applyBorder="1" applyAlignment="1">
      <alignment horizontal="center" vertical="center"/>
    </xf>
    <xf numFmtId="0" fontId="18" fillId="0" borderId="13" xfId="0" applyFont="1" applyBorder="1" applyAlignment="1">
      <alignment horizontal="center"/>
    </xf>
    <xf numFmtId="0" fontId="18" fillId="0" borderId="14" xfId="0" applyFont="1" applyBorder="1" applyAlignment="1">
      <alignment horizontal="center"/>
    </xf>
    <xf numFmtId="0" fontId="18" fillId="0" borderId="18" xfId="0" applyFont="1" applyBorder="1" applyAlignment="1">
      <alignment horizontal="center" wrapText="1"/>
    </xf>
    <xf numFmtId="0" fontId="18" fillId="0" borderId="53" xfId="0" applyFont="1" applyBorder="1" applyAlignment="1">
      <alignment horizontal="center" wrapText="1"/>
    </xf>
    <xf numFmtId="2" fontId="18" fillId="0" borderId="54" xfId="0" applyNumberFormat="1" applyFont="1" applyBorder="1" applyAlignment="1">
      <alignment horizontal="center" vertical="center" wrapText="1"/>
    </xf>
    <xf numFmtId="2" fontId="18" fillId="0" borderId="34" xfId="0" applyNumberFormat="1" applyFont="1" applyBorder="1" applyAlignment="1">
      <alignment horizontal="center" vertical="center" wrapText="1"/>
    </xf>
    <xf numFmtId="0" fontId="37" fillId="0" borderId="10" xfId="0" applyFont="1" applyBorder="1" applyAlignment="1">
      <alignment horizontal="center"/>
    </xf>
    <xf numFmtId="0" fontId="37" fillId="0" borderId="5" xfId="0" applyFont="1" applyBorder="1" applyAlignment="1">
      <alignment horizontal="center"/>
    </xf>
    <xf numFmtId="0" fontId="37" fillId="0" borderId="19" xfId="0" applyFont="1" applyBorder="1" applyAlignment="1">
      <alignment horizontal="center"/>
    </xf>
    <xf numFmtId="0" fontId="38" fillId="0" borderId="5" xfId="0" applyFont="1" applyBorder="1" applyAlignment="1">
      <alignment horizontal="center"/>
    </xf>
    <xf numFmtId="0" fontId="38" fillId="0" borderId="19" xfId="0" applyFont="1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5" xfId="0" applyBorder="1" applyAlignment="1">
      <alignment horizontal="center"/>
    </xf>
    <xf numFmtId="167" fontId="0" fillId="0" borderId="14" xfId="0" applyNumberFormat="1" applyBorder="1" applyAlignment="1">
      <alignment horizontal="center" vertical="center"/>
    </xf>
    <xf numFmtId="167" fontId="0" fillId="0" borderId="21" xfId="0" applyNumberFormat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18" fillId="0" borderId="33" xfId="0" applyFont="1" applyBorder="1" applyAlignment="1">
      <alignment horizontal="center" vertical="center" wrapText="1"/>
    </xf>
    <xf numFmtId="0" fontId="18" fillId="0" borderId="37" xfId="0" applyFont="1" applyBorder="1" applyAlignment="1">
      <alignment horizontal="center" vertical="center" wrapText="1"/>
    </xf>
    <xf numFmtId="9" fontId="18" fillId="0" borderId="29" xfId="0" applyNumberFormat="1" applyFont="1" applyBorder="1" applyAlignment="1">
      <alignment horizontal="center" vertical="center" wrapText="1"/>
    </xf>
    <xf numFmtId="0" fontId="18" fillId="0" borderId="8" xfId="0" applyFont="1" applyBorder="1" applyAlignment="1">
      <alignment horizontal="center" vertical="center" wrapText="1"/>
    </xf>
    <xf numFmtId="0" fontId="18" fillId="0" borderId="17" xfId="0" applyFont="1" applyBorder="1" applyAlignment="1">
      <alignment horizontal="center" vertical="center" wrapText="1"/>
    </xf>
    <xf numFmtId="0" fontId="18" fillId="0" borderId="18" xfId="0" applyFont="1" applyBorder="1" applyAlignment="1">
      <alignment horizontal="center" vertical="center" wrapText="1"/>
    </xf>
    <xf numFmtId="0" fontId="18" fillId="0" borderId="34" xfId="0" applyFont="1" applyBorder="1" applyAlignment="1">
      <alignment horizontal="center" vertical="center" wrapText="1"/>
    </xf>
    <xf numFmtId="0" fontId="21" fillId="0" borderId="0" xfId="0" applyFont="1" applyAlignment="1">
      <alignment horizontal="left" wrapText="1"/>
    </xf>
    <xf numFmtId="0" fontId="0" fillId="0" borderId="0" xfId="0" applyAlignment="1">
      <alignment horizontal="left" wrapText="1"/>
    </xf>
    <xf numFmtId="0" fontId="1" fillId="0" borderId="0" xfId="0" applyFont="1" applyAlignment="1">
      <alignment horizontal="left" vertical="center" wrapText="1"/>
    </xf>
    <xf numFmtId="0" fontId="18" fillId="0" borderId="48" xfId="0" applyFont="1" applyBorder="1" applyAlignment="1">
      <alignment horizontal="center" wrapText="1"/>
    </xf>
    <xf numFmtId="0" fontId="18" fillId="0" borderId="42" xfId="0" applyFont="1" applyBorder="1" applyAlignment="1">
      <alignment horizontal="center" wrapText="1"/>
    </xf>
    <xf numFmtId="0" fontId="18" fillId="0" borderId="45" xfId="0" applyFont="1" applyBorder="1" applyAlignment="1">
      <alignment horizontal="center" wrapText="1"/>
    </xf>
    <xf numFmtId="0" fontId="20" fillId="0" borderId="32" xfId="0" applyFont="1" applyBorder="1" applyAlignment="1">
      <alignment horizontal="center" vertical="center" wrapText="1"/>
    </xf>
    <xf numFmtId="0" fontId="20" fillId="0" borderId="51" xfId="0" applyFont="1" applyBorder="1" applyAlignment="1">
      <alignment horizontal="center" vertical="center" wrapText="1"/>
    </xf>
    <xf numFmtId="0" fontId="20" fillId="0" borderId="33" xfId="0" applyFont="1" applyBorder="1" applyAlignment="1">
      <alignment horizontal="center" vertical="center" wrapText="1"/>
    </xf>
    <xf numFmtId="0" fontId="20" fillId="0" borderId="35" xfId="0" applyFont="1" applyBorder="1" applyAlignment="1">
      <alignment horizontal="center" vertical="center" wrapText="1"/>
    </xf>
    <xf numFmtId="0" fontId="20" fillId="0" borderId="0" xfId="0" applyFont="1" applyAlignment="1">
      <alignment horizontal="center" vertical="center" wrapText="1"/>
    </xf>
    <xf numFmtId="0" fontId="20" fillId="0" borderId="38" xfId="0" applyFont="1" applyBorder="1" applyAlignment="1">
      <alignment horizontal="center" vertical="center" wrapText="1"/>
    </xf>
    <xf numFmtId="0" fontId="20" fillId="0" borderId="36" xfId="0" applyFont="1" applyBorder="1" applyAlignment="1">
      <alignment horizontal="center" vertical="center" wrapText="1"/>
    </xf>
    <xf numFmtId="0" fontId="20" fillId="0" borderId="52" xfId="0" applyFont="1" applyBorder="1" applyAlignment="1">
      <alignment horizontal="center" vertical="center" wrapText="1"/>
    </xf>
    <xf numFmtId="0" fontId="20" fillId="0" borderId="37" xfId="0" applyFont="1" applyBorder="1" applyAlignment="1">
      <alignment horizontal="center" vertical="center" wrapText="1"/>
    </xf>
    <xf numFmtId="0" fontId="18" fillId="0" borderId="10" xfId="0" applyFont="1" applyBorder="1" applyAlignment="1">
      <alignment horizontal="center" wrapText="1"/>
    </xf>
    <xf numFmtId="0" fontId="18" fillId="0" borderId="5" xfId="0" applyFont="1" applyBorder="1" applyAlignment="1">
      <alignment horizontal="center" wrapText="1"/>
    </xf>
    <xf numFmtId="0" fontId="18" fillId="0" borderId="12" xfId="0" applyFont="1" applyBorder="1" applyAlignment="1">
      <alignment horizontal="center" wrapText="1"/>
    </xf>
    <xf numFmtId="0" fontId="18" fillId="0" borderId="1" xfId="0" applyFont="1" applyBorder="1" applyAlignment="1">
      <alignment horizontal="center" wrapText="1"/>
    </xf>
    <xf numFmtId="0" fontId="18" fillId="0" borderId="12" xfId="0" applyFont="1" applyBorder="1" applyAlignment="1">
      <alignment horizontal="center"/>
    </xf>
    <xf numFmtId="0" fontId="18" fillId="0" borderId="1" xfId="0" applyFont="1" applyBorder="1" applyAlignment="1">
      <alignment horizontal="center"/>
    </xf>
    <xf numFmtId="0" fontId="18" fillId="0" borderId="32" xfId="0" applyFont="1" applyBorder="1" applyAlignment="1">
      <alignment horizontal="center" vertical="center" wrapText="1"/>
    </xf>
    <xf numFmtId="0" fontId="18" fillId="0" borderId="36" xfId="0" applyFont="1" applyBorder="1" applyAlignment="1">
      <alignment horizontal="center" vertical="center" wrapText="1"/>
    </xf>
    <xf numFmtId="0" fontId="18" fillId="0" borderId="43" xfId="0" applyFont="1" applyBorder="1" applyAlignment="1">
      <alignment horizontal="center" vertical="center" wrapText="1"/>
    </xf>
    <xf numFmtId="0" fontId="18" fillId="0" borderId="44" xfId="0" applyFont="1" applyBorder="1" applyAlignment="1">
      <alignment horizontal="center" vertical="center" wrapText="1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0" fontId="18" fillId="0" borderId="29" xfId="0" applyFont="1" applyBorder="1" applyAlignment="1">
      <alignment horizontal="center" vertical="center" wrapText="1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left" wrapText="1"/>
    </xf>
    <xf numFmtId="0" fontId="34" fillId="0" borderId="0" xfId="0" applyFont="1" applyAlignment="1">
      <alignment horizontal="center" wrapText="1"/>
    </xf>
    <xf numFmtId="0" fontId="0" fillId="0" borderId="0" xfId="0" applyAlignment="1">
      <alignment horizontal="left" vertical="center" wrapText="1"/>
    </xf>
    <xf numFmtId="167" fontId="0" fillId="0" borderId="0" xfId="0" applyNumberFormat="1" applyAlignment="1">
      <alignment horizontal="left" wrapText="1"/>
    </xf>
    <xf numFmtId="0" fontId="29" fillId="2" borderId="56" xfId="0" applyFont="1" applyFill="1" applyBorder="1" applyAlignment="1">
      <alignment horizontal="center" vertical="center" wrapText="1"/>
    </xf>
    <xf numFmtId="0" fontId="29" fillId="2" borderId="6" xfId="0" applyFont="1" applyFill="1" applyBorder="1" applyAlignment="1">
      <alignment horizontal="center" vertical="center" wrapText="1"/>
    </xf>
    <xf numFmtId="0" fontId="29" fillId="2" borderId="1" xfId="0" applyFont="1" applyFill="1" applyBorder="1" applyAlignment="1">
      <alignment horizontal="left" vertical="center"/>
    </xf>
    <xf numFmtId="0" fontId="29" fillId="2" borderId="6" xfId="0" applyFont="1" applyFill="1" applyBorder="1" applyAlignment="1">
      <alignment horizontal="center" vertical="center"/>
    </xf>
    <xf numFmtId="0" fontId="1" fillId="0" borderId="2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3" borderId="1" xfId="0" applyFont="1" applyFill="1" applyBorder="1" applyAlignment="1">
      <alignment horizontal="left"/>
    </xf>
    <xf numFmtId="0" fontId="1" fillId="3" borderId="0" xfId="0" applyFont="1" applyFill="1" applyAlignment="1">
      <alignment horizontal="left"/>
    </xf>
    <xf numFmtId="43" fontId="29" fillId="2" borderId="1" xfId="1" applyFont="1" applyFill="1" applyBorder="1" applyAlignment="1">
      <alignment horizontal="center" vertical="center" wrapText="1"/>
    </xf>
    <xf numFmtId="0" fontId="24" fillId="0" borderId="1" xfId="0" applyFont="1" applyBorder="1" applyAlignment="1">
      <alignment horizontal="center" vertical="center" wrapText="1"/>
    </xf>
    <xf numFmtId="0" fontId="27" fillId="3" borderId="1" xfId="0" applyFont="1" applyFill="1" applyBorder="1" applyAlignment="1">
      <alignment horizontal="center" vertical="center" wrapText="1"/>
    </xf>
    <xf numFmtId="0" fontId="24" fillId="0" borderId="6" xfId="0" applyFont="1" applyBorder="1" applyAlignment="1">
      <alignment horizontal="center" vertical="center" wrapText="1"/>
    </xf>
  </cellXfs>
  <cellStyles count="6">
    <cellStyle name="Comma" xfId="1" builtinId="3"/>
    <cellStyle name="Comma 2 10" xfId="4" xr:uid="{00000000-0005-0000-0000-000001000000}"/>
    <cellStyle name="Comma 2170" xfId="3" xr:uid="{00000000-0005-0000-0000-000002000000}"/>
    <cellStyle name="Comma 4" xfId="5" xr:uid="{00000000-0005-0000-0000-000003000000}"/>
    <cellStyle name="Normal" xfId="0" builtinId="0"/>
    <cellStyle name="Percent" xfId="2" builtinId="5"/>
  </cellStyles>
  <dxfs count="5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theme" Target="theme/theme1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calcChain" Target="calcChain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0" t="s">
        <v>24</v>
      </c>
      <c r="B2" s="320"/>
      <c r="C2" s="320"/>
      <c r="D2" s="320"/>
      <c r="E2" s="320"/>
      <c r="F2" s="320"/>
      <c r="G2" s="320"/>
      <c r="H2" s="320"/>
    </row>
    <row r="3" spans="1:21" ht="18" thickBot="1" x14ac:dyDescent="0.35">
      <c r="A3" s="321" t="s">
        <v>15</v>
      </c>
      <c r="B3" s="321"/>
      <c r="C3" s="321"/>
      <c r="D3" s="321"/>
      <c r="E3" s="321"/>
      <c r="F3" s="321"/>
      <c r="G3" s="321"/>
      <c r="H3" s="321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2" t="s">
        <v>37</v>
      </c>
      <c r="P3" s="323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4" t="s">
        <v>25</v>
      </c>
      <c r="D4" s="325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18" t="s">
        <v>30</v>
      </c>
      <c r="H13" s="319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18" t="s">
        <v>30</v>
      </c>
      <c r="H26" s="319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18" t="s">
        <v>30</v>
      </c>
      <c r="H37" s="319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G37:H37"/>
    <mergeCell ref="A2:H2"/>
    <mergeCell ref="A3:H3"/>
    <mergeCell ref="O3:P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0" t="s">
        <v>24</v>
      </c>
      <c r="B2" s="320"/>
      <c r="C2" s="320"/>
      <c r="D2" s="320"/>
      <c r="E2" s="320"/>
      <c r="F2" s="320"/>
      <c r="G2" s="320"/>
      <c r="H2" s="320"/>
    </row>
    <row r="3" spans="1:21" ht="18" thickBot="1" x14ac:dyDescent="0.35">
      <c r="A3" s="321" t="s">
        <v>15</v>
      </c>
      <c r="B3" s="321"/>
      <c r="C3" s="321"/>
      <c r="D3" s="321"/>
      <c r="E3" s="321"/>
      <c r="F3" s="321"/>
      <c r="G3" s="321"/>
      <c r="H3" s="321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2" t="s">
        <v>37</v>
      </c>
      <c r="P3" s="323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4" t="s">
        <v>25</v>
      </c>
      <c r="D4" s="325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18" t="s">
        <v>30</v>
      </c>
      <c r="H13" s="319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18" t="s">
        <v>30</v>
      </c>
      <c r="H26" s="319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18" t="s">
        <v>30</v>
      </c>
      <c r="H37" s="319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O3:P3"/>
    <mergeCell ref="G37:H37"/>
    <mergeCell ref="A2:H2"/>
    <mergeCell ref="A3:H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AC71"/>
  <sheetViews>
    <sheetView workbookViewId="0">
      <pane xSplit="17" ySplit="7" topLeftCell="Y8" activePane="bottomRight" state="frozen"/>
      <selection activeCell="I11" sqref="I11"/>
      <selection pane="topRight" activeCell="I11" sqref="I11"/>
      <selection pane="bottomLeft" activeCell="I11" sqref="I11"/>
      <selection pane="bottomRight" activeCell="I11" sqref="I11"/>
    </sheetView>
  </sheetViews>
  <sheetFormatPr defaultColWidth="9.1796875" defaultRowHeight="14.5" x14ac:dyDescent="0.35"/>
  <cols>
    <col min="1" max="1" width="2.81640625" bestFit="1" customWidth="1"/>
    <col min="2" max="2" width="5.1796875" style="163" bestFit="1" customWidth="1"/>
    <col min="3" max="4" width="4.81640625" style="163" bestFit="1" customWidth="1"/>
    <col min="5" max="5" width="23.81640625" bestFit="1" customWidth="1"/>
    <col min="6" max="6" width="3.81640625" bestFit="1" customWidth="1"/>
    <col min="7" max="7" width="4.1796875" bestFit="1" customWidth="1"/>
    <col min="8" max="8" width="4.81640625" bestFit="1" customWidth="1"/>
    <col min="9" max="9" width="2.81640625" style="164" bestFit="1" customWidth="1"/>
    <col min="10" max="10" width="4.81640625" bestFit="1" customWidth="1"/>
    <col min="11" max="11" width="3.453125" bestFit="1" customWidth="1"/>
    <col min="12" max="12" width="7.453125" bestFit="1" customWidth="1"/>
    <col min="13" max="13" width="5.453125" bestFit="1" customWidth="1"/>
    <col min="14" max="14" width="6.81640625" bestFit="1" customWidth="1"/>
    <col min="15" max="15" width="8.1796875" bestFit="1" customWidth="1"/>
    <col min="16" max="16" width="3.26953125" bestFit="1" customWidth="1"/>
    <col min="17" max="17" width="8.1796875" bestFit="1" customWidth="1"/>
    <col min="18" max="18" width="4.81640625" bestFit="1" customWidth="1"/>
    <col min="19" max="19" width="8.1796875" bestFit="1" customWidth="1"/>
    <col min="20" max="20" width="7.453125" bestFit="1" customWidth="1"/>
    <col min="21" max="21" width="5.453125" bestFit="1" customWidth="1"/>
    <col min="22" max="22" width="6.453125" bestFit="1" customWidth="1"/>
    <col min="23" max="23" width="5.453125" bestFit="1" customWidth="1"/>
    <col min="24" max="24" width="7.453125" bestFit="1" customWidth="1"/>
    <col min="25" max="25" width="5.453125" bestFit="1" customWidth="1"/>
    <col min="27" max="27" width="10.7265625" bestFit="1" customWidth="1"/>
    <col min="29" max="29" width="16.54296875" bestFit="1" customWidth="1"/>
  </cols>
  <sheetData>
    <row r="2" spans="1:29" x14ac:dyDescent="0.35">
      <c r="V2" s="131">
        <v>0.18</v>
      </c>
    </row>
    <row r="3" spans="1:29" ht="15" thickBot="1" x14ac:dyDescent="0.4">
      <c r="A3" s="326"/>
      <c r="B3" s="326"/>
      <c r="C3" s="326"/>
      <c r="D3" s="326"/>
      <c r="E3" s="326"/>
      <c r="F3" s="327"/>
      <c r="G3" s="327"/>
      <c r="H3" s="327"/>
      <c r="I3" s="327"/>
      <c r="J3" s="327"/>
      <c r="K3" s="327"/>
      <c r="L3" s="327"/>
      <c r="M3" s="327"/>
      <c r="N3" s="327"/>
      <c r="O3" s="327"/>
      <c r="P3" s="327"/>
      <c r="Q3" s="327"/>
      <c r="R3" s="327"/>
      <c r="S3" s="327"/>
      <c r="T3" s="327"/>
      <c r="U3" s="327"/>
      <c r="V3" s="327"/>
      <c r="W3" s="327"/>
      <c r="X3" s="327"/>
      <c r="Y3" s="327"/>
    </row>
    <row r="4" spans="1:29" x14ac:dyDescent="0.35">
      <c r="A4" s="328" t="s">
        <v>436</v>
      </c>
      <c r="B4" s="165" t="s">
        <v>437</v>
      </c>
      <c r="C4" s="165"/>
      <c r="D4" s="330" t="s">
        <v>438</v>
      </c>
      <c r="E4" s="332" t="s">
        <v>439</v>
      </c>
      <c r="F4" s="334" t="s">
        <v>58</v>
      </c>
      <c r="G4" s="334"/>
      <c r="H4" s="335" t="s">
        <v>440</v>
      </c>
      <c r="I4" s="335"/>
      <c r="J4" s="336" t="s">
        <v>441</v>
      </c>
      <c r="K4" s="337"/>
      <c r="L4" s="336" t="s">
        <v>442</v>
      </c>
      <c r="M4" s="337"/>
      <c r="N4" s="338" t="s">
        <v>443</v>
      </c>
      <c r="O4" s="338"/>
      <c r="P4" s="336" t="s">
        <v>86</v>
      </c>
      <c r="Q4" s="337"/>
      <c r="R4" s="336" t="s">
        <v>444</v>
      </c>
      <c r="S4" s="337"/>
      <c r="T4" s="339" t="s">
        <v>445</v>
      </c>
      <c r="U4" s="339"/>
      <c r="V4" s="340" t="s">
        <v>446</v>
      </c>
      <c r="W4" s="341"/>
      <c r="X4" s="340" t="s">
        <v>447</v>
      </c>
      <c r="Y4" s="341"/>
    </row>
    <row r="5" spans="1:29" ht="26.25" customHeight="1" thickBot="1" x14ac:dyDescent="0.4">
      <c r="A5" s="329"/>
      <c r="B5" s="167" t="s">
        <v>448</v>
      </c>
      <c r="C5" s="167" t="s">
        <v>438</v>
      </c>
      <c r="D5" s="331"/>
      <c r="E5" s="333"/>
      <c r="F5" s="168" t="s">
        <v>36</v>
      </c>
      <c r="G5" s="169" t="s">
        <v>52</v>
      </c>
      <c r="H5" s="170" t="s">
        <v>449</v>
      </c>
      <c r="I5" s="171" t="s">
        <v>450</v>
      </c>
      <c r="J5" s="172" t="s">
        <v>449</v>
      </c>
      <c r="K5" s="172" t="s">
        <v>451</v>
      </c>
      <c r="L5" s="172" t="s">
        <v>449</v>
      </c>
      <c r="M5" s="172" t="s">
        <v>451</v>
      </c>
      <c r="N5" s="173">
        <v>0.19</v>
      </c>
      <c r="O5" s="174" t="s">
        <v>38</v>
      </c>
      <c r="P5" s="173">
        <v>0.04</v>
      </c>
      <c r="Q5" s="175" t="s">
        <v>38</v>
      </c>
      <c r="R5" s="176">
        <v>5.0000000000000001E-3</v>
      </c>
      <c r="S5" s="175" t="s">
        <v>38</v>
      </c>
      <c r="T5" s="172" t="s">
        <v>449</v>
      </c>
      <c r="U5" s="172" t="s">
        <v>451</v>
      </c>
      <c r="V5" s="172" t="s">
        <v>449</v>
      </c>
      <c r="W5" s="172" t="s">
        <v>451</v>
      </c>
      <c r="X5" s="172" t="s">
        <v>449</v>
      </c>
      <c r="Y5" s="172" t="s">
        <v>451</v>
      </c>
      <c r="AA5" s="172" t="s">
        <v>452</v>
      </c>
    </row>
    <row r="6" spans="1:29" x14ac:dyDescent="0.35">
      <c r="A6" s="177">
        <v>1</v>
      </c>
      <c r="B6" s="166"/>
      <c r="C6" s="166" t="s">
        <v>453</v>
      </c>
      <c r="D6" s="166" t="s">
        <v>453</v>
      </c>
      <c r="E6" s="178" t="s">
        <v>454</v>
      </c>
      <c r="F6" s="179">
        <v>70</v>
      </c>
      <c r="G6" s="180">
        <v>40</v>
      </c>
      <c r="H6" s="180">
        <f>I6*G6</f>
        <v>2600</v>
      </c>
      <c r="I6" s="180">
        <v>65</v>
      </c>
      <c r="J6" s="181">
        <f>K6*G6</f>
        <v>2560.17</v>
      </c>
      <c r="K6" s="181">
        <f>M6*1.22</f>
        <v>64.004249999999999</v>
      </c>
      <c r="L6" s="182">
        <v>2098.5</v>
      </c>
      <c r="M6" s="182">
        <f>L6/G6</f>
        <v>52.462499999999999</v>
      </c>
      <c r="N6" s="183">
        <v>0.11</v>
      </c>
      <c r="O6" s="184">
        <f>N6*M6</f>
        <v>5.7708750000000002</v>
      </c>
      <c r="P6" s="185"/>
      <c r="Q6" s="184">
        <f>P6*M6</f>
        <v>0</v>
      </c>
      <c r="R6" s="186"/>
      <c r="S6" s="184">
        <f>R6*M6</f>
        <v>0</v>
      </c>
      <c r="T6" s="182">
        <f>U6*G6</f>
        <v>1867.665</v>
      </c>
      <c r="U6" s="182">
        <f>M6-O6-Q6-S6</f>
        <v>46.691625000000002</v>
      </c>
      <c r="V6" s="182">
        <f>T6*$V$2</f>
        <v>336.17969999999997</v>
      </c>
      <c r="W6" s="182">
        <f>U6*$V$2</f>
        <v>8.4044924999999999</v>
      </c>
      <c r="X6" s="182">
        <f t="shared" ref="X6:Y14" si="0">T6+V6</f>
        <v>2203.8447000000001</v>
      </c>
      <c r="Y6" s="182">
        <f t="shared" si="0"/>
        <v>55.096117500000005</v>
      </c>
      <c r="AA6" s="182">
        <f t="shared" ref="AA6:AA14" si="1">(F6*G6)/1000</f>
        <v>2.8</v>
      </c>
      <c r="AB6">
        <v>2000</v>
      </c>
      <c r="AC6" s="250">
        <f>X6*AB6</f>
        <v>4407689.4000000004</v>
      </c>
    </row>
    <row r="7" spans="1:29" x14ac:dyDescent="0.35">
      <c r="A7" s="177">
        <f>+A6+1</f>
        <v>2</v>
      </c>
      <c r="B7" s="166"/>
      <c r="C7" s="166" t="s">
        <v>455</v>
      </c>
      <c r="D7" s="166" t="s">
        <v>455</v>
      </c>
      <c r="E7" s="178" t="s">
        <v>456</v>
      </c>
      <c r="F7" s="179">
        <v>70</v>
      </c>
      <c r="G7" s="180">
        <v>40</v>
      </c>
      <c r="H7" s="180">
        <f t="shared" ref="H7:H14" si="2">I7*G7</f>
        <v>2600</v>
      </c>
      <c r="I7" s="180">
        <v>65</v>
      </c>
      <c r="J7" s="181">
        <f t="shared" ref="J7:J14" si="3">K7*G7</f>
        <v>2560.17</v>
      </c>
      <c r="K7" s="181">
        <f>M7*1.22</f>
        <v>64.004249999999999</v>
      </c>
      <c r="L7" s="182">
        <v>2098.5</v>
      </c>
      <c r="M7" s="182">
        <f t="shared" ref="M7:M14" si="4">L7/G7</f>
        <v>52.462499999999999</v>
      </c>
      <c r="N7" s="183">
        <f>+N6</f>
        <v>0.11</v>
      </c>
      <c r="O7" s="184">
        <f t="shared" ref="O7:O14" si="5">N7*M7</f>
        <v>5.7708750000000002</v>
      </c>
      <c r="P7" s="185"/>
      <c r="Q7" s="184">
        <f t="shared" ref="Q7:Q14" si="6">P7*M7</f>
        <v>0</v>
      </c>
      <c r="R7" s="186"/>
      <c r="S7" s="184">
        <f t="shared" ref="S7:S14" si="7">R7*M7</f>
        <v>0</v>
      </c>
      <c r="T7" s="182">
        <f t="shared" ref="T7:T14" si="8">U7*G7</f>
        <v>1867.665</v>
      </c>
      <c r="U7" s="182">
        <f t="shared" ref="U7:U14" si="9">M7-O7-Q7-S7</f>
        <v>46.691625000000002</v>
      </c>
      <c r="V7" s="182">
        <f t="shared" ref="V7:W14" si="10">T7*$V$2</f>
        <v>336.17969999999997</v>
      </c>
      <c r="W7" s="182">
        <f t="shared" si="10"/>
        <v>8.4044924999999999</v>
      </c>
      <c r="X7" s="182">
        <f t="shared" si="0"/>
        <v>2203.8447000000001</v>
      </c>
      <c r="Y7" s="182">
        <f t="shared" si="0"/>
        <v>55.096117500000005</v>
      </c>
      <c r="AA7" s="182">
        <f t="shared" si="1"/>
        <v>2.8</v>
      </c>
      <c r="AC7" s="250"/>
    </row>
    <row r="8" spans="1:29" x14ac:dyDescent="0.35">
      <c r="A8" s="177">
        <f t="shared" ref="A8:A52" si="11">+A7+1</f>
        <v>3</v>
      </c>
      <c r="B8" s="166"/>
      <c r="C8" s="166" t="s">
        <v>457</v>
      </c>
      <c r="D8" s="166" t="s">
        <v>457</v>
      </c>
      <c r="E8" s="178" t="s">
        <v>458</v>
      </c>
      <c r="F8" s="179">
        <v>70</v>
      </c>
      <c r="G8" s="180">
        <v>40</v>
      </c>
      <c r="H8" s="180">
        <f t="shared" si="2"/>
        <v>2600</v>
      </c>
      <c r="I8" s="180">
        <v>65</v>
      </c>
      <c r="J8" s="181">
        <f t="shared" si="3"/>
        <v>2560.17</v>
      </c>
      <c r="K8" s="181">
        <f t="shared" ref="K8:K14" si="12">M8*1.22</f>
        <v>64.004249999999999</v>
      </c>
      <c r="L8" s="182">
        <v>2098.5</v>
      </c>
      <c r="M8" s="182">
        <f t="shared" si="4"/>
        <v>52.462499999999999</v>
      </c>
      <c r="N8" s="183">
        <f t="shared" ref="N8:N14" si="13">+N7</f>
        <v>0.11</v>
      </c>
      <c r="O8" s="184">
        <f t="shared" si="5"/>
        <v>5.7708750000000002</v>
      </c>
      <c r="P8" s="185"/>
      <c r="Q8" s="184">
        <f t="shared" si="6"/>
        <v>0</v>
      </c>
      <c r="R8" s="186"/>
      <c r="S8" s="184">
        <f t="shared" si="7"/>
        <v>0</v>
      </c>
      <c r="T8" s="182">
        <f t="shared" si="8"/>
        <v>1867.665</v>
      </c>
      <c r="U8" s="182">
        <f t="shared" si="9"/>
        <v>46.691625000000002</v>
      </c>
      <c r="V8" s="182">
        <f t="shared" si="10"/>
        <v>336.17969999999997</v>
      </c>
      <c r="W8" s="182">
        <f t="shared" si="10"/>
        <v>8.4044924999999999</v>
      </c>
      <c r="X8" s="182">
        <f t="shared" si="0"/>
        <v>2203.8447000000001</v>
      </c>
      <c r="Y8" s="182">
        <f t="shared" si="0"/>
        <v>55.096117500000005</v>
      </c>
      <c r="AA8" s="182">
        <f t="shared" si="1"/>
        <v>2.8</v>
      </c>
      <c r="AC8" s="250"/>
    </row>
    <row r="9" spans="1:29" x14ac:dyDescent="0.35">
      <c r="A9" s="177">
        <f t="shared" si="11"/>
        <v>4</v>
      </c>
      <c r="B9" s="166"/>
      <c r="C9" s="166" t="s">
        <v>459</v>
      </c>
      <c r="D9" s="166" t="s">
        <v>459</v>
      </c>
      <c r="E9" s="178" t="s">
        <v>460</v>
      </c>
      <c r="F9" s="179">
        <v>120</v>
      </c>
      <c r="G9" s="180">
        <v>40</v>
      </c>
      <c r="H9" s="180">
        <f t="shared" si="2"/>
        <v>3600</v>
      </c>
      <c r="I9" s="180">
        <v>90</v>
      </c>
      <c r="J9" s="181">
        <f t="shared" si="3"/>
        <v>3544.8320000000003</v>
      </c>
      <c r="K9" s="181">
        <f t="shared" si="12"/>
        <v>88.620800000000003</v>
      </c>
      <c r="L9" s="182">
        <v>2905.6</v>
      </c>
      <c r="M9" s="182">
        <f t="shared" si="4"/>
        <v>72.64</v>
      </c>
      <c r="N9" s="183">
        <f t="shared" si="13"/>
        <v>0.11</v>
      </c>
      <c r="O9" s="184">
        <f t="shared" si="5"/>
        <v>7.9904000000000002</v>
      </c>
      <c r="P9" s="185"/>
      <c r="Q9" s="184">
        <f t="shared" si="6"/>
        <v>0</v>
      </c>
      <c r="R9" s="186"/>
      <c r="S9" s="184">
        <f t="shared" si="7"/>
        <v>0</v>
      </c>
      <c r="T9" s="182">
        <f t="shared" si="8"/>
        <v>2585.9840000000004</v>
      </c>
      <c r="U9" s="182">
        <f t="shared" si="9"/>
        <v>64.649600000000007</v>
      </c>
      <c r="V9" s="182">
        <f t="shared" si="10"/>
        <v>465.47712000000007</v>
      </c>
      <c r="W9" s="182">
        <f t="shared" si="10"/>
        <v>11.636928000000001</v>
      </c>
      <c r="X9" s="182">
        <f t="shared" si="0"/>
        <v>3051.4611200000004</v>
      </c>
      <c r="Y9" s="182">
        <f t="shared" si="0"/>
        <v>76.286528000000004</v>
      </c>
      <c r="AA9" s="182">
        <f t="shared" si="1"/>
        <v>4.8</v>
      </c>
      <c r="AB9">
        <v>1000</v>
      </c>
      <c r="AC9" s="250">
        <f>X9*AB9</f>
        <v>3051461.1200000006</v>
      </c>
    </row>
    <row r="10" spans="1:29" x14ac:dyDescent="0.35">
      <c r="A10" s="177">
        <f t="shared" si="11"/>
        <v>5</v>
      </c>
      <c r="B10" s="166"/>
      <c r="C10" s="166" t="s">
        <v>461</v>
      </c>
      <c r="D10" s="166" t="s">
        <v>461</v>
      </c>
      <c r="E10" s="178" t="s">
        <v>462</v>
      </c>
      <c r="F10" s="179">
        <v>120</v>
      </c>
      <c r="G10" s="180">
        <v>40</v>
      </c>
      <c r="H10" s="180">
        <f t="shared" si="2"/>
        <v>3600</v>
      </c>
      <c r="I10" s="180">
        <v>90</v>
      </c>
      <c r="J10" s="181">
        <f t="shared" si="3"/>
        <v>3544.8320000000003</v>
      </c>
      <c r="K10" s="181">
        <f t="shared" si="12"/>
        <v>88.620800000000003</v>
      </c>
      <c r="L10" s="182">
        <v>2905.6</v>
      </c>
      <c r="M10" s="182">
        <f t="shared" si="4"/>
        <v>72.64</v>
      </c>
      <c r="N10" s="183">
        <f t="shared" si="13"/>
        <v>0.11</v>
      </c>
      <c r="O10" s="184">
        <f t="shared" si="5"/>
        <v>7.9904000000000002</v>
      </c>
      <c r="P10" s="185"/>
      <c r="Q10" s="184">
        <f t="shared" si="6"/>
        <v>0</v>
      </c>
      <c r="R10" s="186"/>
      <c r="S10" s="184">
        <f t="shared" si="7"/>
        <v>0</v>
      </c>
      <c r="T10" s="182">
        <f t="shared" si="8"/>
        <v>2585.9840000000004</v>
      </c>
      <c r="U10" s="182">
        <f t="shared" si="9"/>
        <v>64.649600000000007</v>
      </c>
      <c r="V10" s="182">
        <f t="shared" si="10"/>
        <v>465.47712000000007</v>
      </c>
      <c r="W10" s="182">
        <f t="shared" si="10"/>
        <v>11.636928000000001</v>
      </c>
      <c r="X10" s="182">
        <f t="shared" si="0"/>
        <v>3051.4611200000004</v>
      </c>
      <c r="Y10" s="182">
        <f t="shared" si="0"/>
        <v>76.286528000000004</v>
      </c>
      <c r="AA10" s="182">
        <f t="shared" si="1"/>
        <v>4.8</v>
      </c>
      <c r="AC10" s="250"/>
    </row>
    <row r="11" spans="1:29" x14ac:dyDescent="0.35">
      <c r="A11" s="177">
        <f t="shared" si="11"/>
        <v>6</v>
      </c>
      <c r="B11" s="166"/>
      <c r="C11" s="166" t="s">
        <v>463</v>
      </c>
      <c r="D11" s="166" t="s">
        <v>463</v>
      </c>
      <c r="E11" s="178" t="s">
        <v>464</v>
      </c>
      <c r="F11" s="179">
        <v>120</v>
      </c>
      <c r="G11" s="180">
        <v>40</v>
      </c>
      <c r="H11" s="180">
        <f t="shared" si="2"/>
        <v>3600</v>
      </c>
      <c r="I11" s="180">
        <v>90</v>
      </c>
      <c r="J11" s="181">
        <f t="shared" si="3"/>
        <v>3544.8320000000003</v>
      </c>
      <c r="K11" s="181">
        <f t="shared" si="12"/>
        <v>88.620800000000003</v>
      </c>
      <c r="L11" s="182">
        <v>2905.6</v>
      </c>
      <c r="M11" s="182">
        <f t="shared" si="4"/>
        <v>72.64</v>
      </c>
      <c r="N11" s="183">
        <f t="shared" si="13"/>
        <v>0.11</v>
      </c>
      <c r="O11" s="184">
        <f t="shared" si="5"/>
        <v>7.9904000000000002</v>
      </c>
      <c r="P11" s="185"/>
      <c r="Q11" s="184">
        <f t="shared" si="6"/>
        <v>0</v>
      </c>
      <c r="R11" s="186"/>
      <c r="S11" s="184">
        <f t="shared" si="7"/>
        <v>0</v>
      </c>
      <c r="T11" s="182">
        <f t="shared" si="8"/>
        <v>2585.9840000000004</v>
      </c>
      <c r="U11" s="182">
        <f t="shared" si="9"/>
        <v>64.649600000000007</v>
      </c>
      <c r="V11" s="182">
        <f t="shared" si="10"/>
        <v>465.47712000000007</v>
      </c>
      <c r="W11" s="182">
        <f t="shared" si="10"/>
        <v>11.636928000000001</v>
      </c>
      <c r="X11" s="182">
        <f t="shared" si="0"/>
        <v>3051.4611200000004</v>
      </c>
      <c r="Y11" s="182">
        <f t="shared" si="0"/>
        <v>76.286528000000004</v>
      </c>
      <c r="AA11" s="182">
        <f t="shared" si="1"/>
        <v>4.8</v>
      </c>
      <c r="AC11" s="250"/>
    </row>
    <row r="12" spans="1:29" x14ac:dyDescent="0.35">
      <c r="A12" s="177">
        <f t="shared" si="11"/>
        <v>7</v>
      </c>
      <c r="B12" s="166"/>
      <c r="C12" s="166" t="s">
        <v>465</v>
      </c>
      <c r="D12" s="166" t="s">
        <v>465</v>
      </c>
      <c r="E12" s="178" t="s">
        <v>466</v>
      </c>
      <c r="F12" s="179">
        <v>60</v>
      </c>
      <c r="G12" s="180">
        <v>40</v>
      </c>
      <c r="H12" s="180">
        <f t="shared" si="2"/>
        <v>2000</v>
      </c>
      <c r="I12" s="181">
        <v>50</v>
      </c>
      <c r="J12" s="181">
        <f t="shared" si="3"/>
        <v>1914.4240000000002</v>
      </c>
      <c r="K12" s="181">
        <f t="shared" si="12"/>
        <v>47.860600000000005</v>
      </c>
      <c r="L12" s="182">
        <v>1569.2</v>
      </c>
      <c r="M12" s="182">
        <f t="shared" si="4"/>
        <v>39.230000000000004</v>
      </c>
      <c r="N12" s="183">
        <f t="shared" si="13"/>
        <v>0.11</v>
      </c>
      <c r="O12" s="184">
        <f t="shared" si="5"/>
        <v>4.3153000000000006</v>
      </c>
      <c r="P12" s="185"/>
      <c r="Q12" s="184">
        <f t="shared" si="6"/>
        <v>0</v>
      </c>
      <c r="R12" s="186"/>
      <c r="S12" s="184">
        <f t="shared" si="7"/>
        <v>0</v>
      </c>
      <c r="T12" s="182">
        <f t="shared" si="8"/>
        <v>1396.5880000000002</v>
      </c>
      <c r="U12" s="182">
        <f t="shared" si="9"/>
        <v>34.914700000000003</v>
      </c>
      <c r="V12" s="182">
        <f t="shared" si="10"/>
        <v>251.38584000000003</v>
      </c>
      <c r="W12" s="182">
        <f t="shared" si="10"/>
        <v>6.2846460000000004</v>
      </c>
      <c r="X12" s="182">
        <f t="shared" si="0"/>
        <v>1647.9738400000001</v>
      </c>
      <c r="Y12" s="182">
        <f t="shared" si="0"/>
        <v>41.199346000000006</v>
      </c>
      <c r="AA12" s="182">
        <f t="shared" si="1"/>
        <v>2.4</v>
      </c>
      <c r="AB12">
        <v>2000</v>
      </c>
      <c r="AC12" s="250">
        <f>X12*AB12</f>
        <v>3295947.68</v>
      </c>
    </row>
    <row r="13" spans="1:29" x14ac:dyDescent="0.35">
      <c r="A13" s="177">
        <f t="shared" si="11"/>
        <v>8</v>
      </c>
      <c r="B13" s="166"/>
      <c r="C13" s="166" t="s">
        <v>467</v>
      </c>
      <c r="D13" s="166" t="s">
        <v>467</v>
      </c>
      <c r="E13" s="178" t="s">
        <v>468</v>
      </c>
      <c r="F13" s="179">
        <v>60</v>
      </c>
      <c r="G13" s="180">
        <v>40</v>
      </c>
      <c r="H13" s="180">
        <f t="shared" si="2"/>
        <v>2000</v>
      </c>
      <c r="I13" s="181">
        <v>50</v>
      </c>
      <c r="J13" s="181">
        <f t="shared" si="3"/>
        <v>1914.4240000000002</v>
      </c>
      <c r="K13" s="181">
        <f t="shared" si="12"/>
        <v>47.860600000000005</v>
      </c>
      <c r="L13" s="182">
        <v>1569.2</v>
      </c>
      <c r="M13" s="182">
        <f t="shared" si="4"/>
        <v>39.230000000000004</v>
      </c>
      <c r="N13" s="183">
        <f t="shared" si="13"/>
        <v>0.11</v>
      </c>
      <c r="O13" s="184">
        <f t="shared" si="5"/>
        <v>4.3153000000000006</v>
      </c>
      <c r="P13" s="185"/>
      <c r="Q13" s="184">
        <f t="shared" si="6"/>
        <v>0</v>
      </c>
      <c r="R13" s="186"/>
      <c r="S13" s="184">
        <f t="shared" si="7"/>
        <v>0</v>
      </c>
      <c r="T13" s="182">
        <f t="shared" si="8"/>
        <v>1396.5880000000002</v>
      </c>
      <c r="U13" s="182">
        <f t="shared" si="9"/>
        <v>34.914700000000003</v>
      </c>
      <c r="V13" s="182">
        <f t="shared" si="10"/>
        <v>251.38584000000003</v>
      </c>
      <c r="W13" s="182">
        <f t="shared" si="10"/>
        <v>6.2846460000000004</v>
      </c>
      <c r="X13" s="182">
        <f t="shared" si="0"/>
        <v>1647.9738400000001</v>
      </c>
      <c r="Y13" s="182">
        <f t="shared" si="0"/>
        <v>41.199346000000006</v>
      </c>
      <c r="AA13" s="182">
        <f t="shared" si="1"/>
        <v>2.4</v>
      </c>
      <c r="AC13" s="251">
        <f>SUM(AC6:AC12)</f>
        <v>10755098.200000001</v>
      </c>
    </row>
    <row r="14" spans="1:29" x14ac:dyDescent="0.35">
      <c r="A14" s="177">
        <f>+A13+1</f>
        <v>9</v>
      </c>
      <c r="B14" s="166"/>
      <c r="C14" s="166" t="s">
        <v>469</v>
      </c>
      <c r="D14" s="166" t="s">
        <v>469</v>
      </c>
      <c r="E14" s="178" t="s">
        <v>470</v>
      </c>
      <c r="F14" s="179">
        <v>60</v>
      </c>
      <c r="G14" s="180">
        <v>40</v>
      </c>
      <c r="H14" s="180">
        <f t="shared" si="2"/>
        <v>2000</v>
      </c>
      <c r="I14" s="181">
        <v>50</v>
      </c>
      <c r="J14" s="181">
        <f t="shared" si="3"/>
        <v>1914.4240000000002</v>
      </c>
      <c r="K14" s="181">
        <f t="shared" si="12"/>
        <v>47.860600000000005</v>
      </c>
      <c r="L14" s="182">
        <v>1569.2</v>
      </c>
      <c r="M14" s="182">
        <f t="shared" si="4"/>
        <v>39.230000000000004</v>
      </c>
      <c r="N14" s="183">
        <f t="shared" si="13"/>
        <v>0.11</v>
      </c>
      <c r="O14" s="184">
        <f t="shared" si="5"/>
        <v>4.3153000000000006</v>
      </c>
      <c r="P14" s="185"/>
      <c r="Q14" s="184">
        <f t="shared" si="6"/>
        <v>0</v>
      </c>
      <c r="R14" s="186"/>
      <c r="S14" s="184">
        <f t="shared" si="7"/>
        <v>0</v>
      </c>
      <c r="T14" s="182">
        <f t="shared" si="8"/>
        <v>1396.5880000000002</v>
      </c>
      <c r="U14" s="182">
        <f t="shared" si="9"/>
        <v>34.914700000000003</v>
      </c>
      <c r="V14" s="182">
        <f t="shared" si="10"/>
        <v>251.38584000000003</v>
      </c>
      <c r="W14" s="182">
        <f t="shared" si="10"/>
        <v>6.2846460000000004</v>
      </c>
      <c r="X14" s="182">
        <f t="shared" si="0"/>
        <v>1647.9738400000001</v>
      </c>
      <c r="Y14" s="182">
        <f t="shared" si="0"/>
        <v>41.199346000000006</v>
      </c>
      <c r="AA14" s="182">
        <f t="shared" si="1"/>
        <v>2.4</v>
      </c>
    </row>
    <row r="15" spans="1:29" s="197" customFormat="1" x14ac:dyDescent="0.35">
      <c r="A15" s="187">
        <f t="shared" ref="A15:A20" si="14">+A14+1</f>
        <v>10</v>
      </c>
      <c r="B15" s="188"/>
      <c r="C15" s="188"/>
      <c r="D15" s="188"/>
      <c r="E15" s="189"/>
      <c r="F15" s="190"/>
      <c r="G15" s="191"/>
      <c r="H15" s="191"/>
      <c r="I15" s="192"/>
      <c r="J15" s="192"/>
      <c r="K15" s="192"/>
      <c r="L15" s="192"/>
      <c r="M15" s="193"/>
      <c r="N15" s="194"/>
      <c r="O15" s="195"/>
      <c r="P15" s="194"/>
      <c r="Q15" s="195"/>
      <c r="R15" s="196"/>
      <c r="S15" s="195"/>
      <c r="T15" s="193"/>
      <c r="U15" s="193"/>
      <c r="V15" s="193"/>
      <c r="W15" s="193"/>
      <c r="X15" s="193"/>
      <c r="Y15" s="193"/>
      <c r="AA15" s="193"/>
    </row>
    <row r="16" spans="1:29" s="197" customFormat="1" x14ac:dyDescent="0.35">
      <c r="A16" s="187">
        <f t="shared" si="14"/>
        <v>11</v>
      </c>
      <c r="B16" s="188"/>
      <c r="C16" s="188"/>
      <c r="D16" s="188"/>
      <c r="E16" s="189"/>
      <c r="F16" s="190"/>
      <c r="G16" s="191"/>
      <c r="H16" s="191"/>
      <c r="I16" s="192"/>
      <c r="J16" s="192"/>
      <c r="K16" s="192"/>
      <c r="L16" s="192"/>
      <c r="M16" s="193"/>
      <c r="N16" s="194"/>
      <c r="O16" s="195"/>
      <c r="P16" s="194"/>
      <c r="Q16" s="195"/>
      <c r="R16" s="196"/>
      <c r="S16" s="195"/>
      <c r="T16" s="193"/>
      <c r="U16" s="193"/>
      <c r="V16" s="193"/>
      <c r="W16" s="193"/>
      <c r="X16" s="193"/>
      <c r="Y16" s="193"/>
      <c r="AA16" s="193"/>
    </row>
    <row r="17" spans="1:27" s="197" customFormat="1" x14ac:dyDescent="0.35">
      <c r="A17" s="187">
        <f t="shared" si="14"/>
        <v>12</v>
      </c>
      <c r="B17" s="188"/>
      <c r="C17" s="188"/>
      <c r="D17" s="188"/>
      <c r="E17" s="189"/>
      <c r="F17" s="190"/>
      <c r="G17" s="191"/>
      <c r="H17" s="191"/>
      <c r="I17" s="192"/>
      <c r="J17" s="192"/>
      <c r="K17" s="192"/>
      <c r="L17" s="192"/>
      <c r="M17" s="193"/>
      <c r="N17" s="194"/>
      <c r="O17" s="195"/>
      <c r="P17" s="194"/>
      <c r="Q17" s="195"/>
      <c r="R17" s="196"/>
      <c r="S17" s="195"/>
      <c r="T17" s="193"/>
      <c r="U17" s="193"/>
      <c r="V17" s="193"/>
      <c r="W17" s="193"/>
      <c r="X17" s="193"/>
      <c r="Y17" s="193"/>
      <c r="AA17" s="193"/>
    </row>
    <row r="18" spans="1:27" s="197" customFormat="1" x14ac:dyDescent="0.35">
      <c r="A18" s="187">
        <f t="shared" si="14"/>
        <v>13</v>
      </c>
      <c r="B18" s="188"/>
      <c r="C18" s="188"/>
      <c r="D18" s="188"/>
      <c r="E18" s="189"/>
      <c r="F18" s="190"/>
      <c r="G18" s="191"/>
      <c r="H18" s="191"/>
      <c r="I18" s="192"/>
      <c r="J18" s="192"/>
      <c r="K18" s="192"/>
      <c r="L18" s="192"/>
      <c r="M18" s="193"/>
      <c r="N18" s="194"/>
      <c r="O18" s="195"/>
      <c r="P18" s="194"/>
      <c r="Q18" s="195"/>
      <c r="R18" s="196"/>
      <c r="S18" s="195"/>
      <c r="T18" s="193"/>
      <c r="U18" s="193"/>
      <c r="V18" s="193"/>
      <c r="W18" s="193"/>
      <c r="X18" s="193"/>
      <c r="Y18" s="193"/>
      <c r="AA18" s="193"/>
    </row>
    <row r="19" spans="1:27" s="197" customFormat="1" x14ac:dyDescent="0.35">
      <c r="A19" s="187">
        <f t="shared" si="14"/>
        <v>14</v>
      </c>
      <c r="B19" s="188"/>
      <c r="C19" s="188"/>
      <c r="D19" s="188"/>
      <c r="E19" s="198"/>
      <c r="F19" s="190"/>
      <c r="G19" s="191"/>
      <c r="H19" s="191"/>
      <c r="I19" s="192"/>
      <c r="J19" s="192"/>
      <c r="K19" s="192"/>
      <c r="L19" s="192"/>
      <c r="M19" s="193"/>
      <c r="N19" s="194"/>
      <c r="O19" s="195"/>
      <c r="P19" s="194"/>
      <c r="Q19" s="195"/>
      <c r="R19" s="196"/>
      <c r="S19" s="195"/>
      <c r="T19" s="193"/>
      <c r="U19" s="193"/>
      <c r="V19" s="193"/>
      <c r="W19" s="193"/>
      <c r="X19" s="193"/>
      <c r="Y19" s="193"/>
      <c r="AA19" s="193"/>
    </row>
    <row r="20" spans="1:27" s="197" customFormat="1" x14ac:dyDescent="0.35">
      <c r="A20" s="187">
        <f t="shared" si="14"/>
        <v>15</v>
      </c>
      <c r="B20" s="188"/>
      <c r="C20" s="188"/>
      <c r="D20" s="188"/>
      <c r="E20" s="198"/>
      <c r="F20" s="190"/>
      <c r="G20" s="191"/>
      <c r="H20" s="191"/>
      <c r="I20" s="192"/>
      <c r="J20" s="192"/>
      <c r="K20" s="192"/>
      <c r="L20" s="192"/>
      <c r="M20" s="193"/>
      <c r="N20" s="194"/>
      <c r="O20" s="195"/>
      <c r="P20" s="194"/>
      <c r="Q20" s="195"/>
      <c r="R20" s="196"/>
      <c r="S20" s="195"/>
      <c r="T20" s="193"/>
      <c r="U20" s="193"/>
      <c r="V20" s="193"/>
      <c r="W20" s="193"/>
      <c r="X20" s="193"/>
      <c r="Y20" s="193"/>
      <c r="AA20" s="193"/>
    </row>
    <row r="21" spans="1:27" x14ac:dyDescent="0.35">
      <c r="A21" s="199"/>
      <c r="B21" s="200"/>
      <c r="C21" s="200"/>
      <c r="D21" s="200"/>
      <c r="E21" s="201"/>
      <c r="F21" s="202"/>
      <c r="G21" s="203"/>
      <c r="H21" s="203"/>
      <c r="I21" s="203"/>
      <c r="J21" s="204"/>
      <c r="K21" s="204"/>
      <c r="L21" s="204"/>
      <c r="M21" s="205"/>
      <c r="N21" s="206"/>
      <c r="O21" s="207"/>
      <c r="P21" s="206"/>
      <c r="Q21" s="207"/>
      <c r="R21" s="208"/>
      <c r="S21" s="207"/>
      <c r="T21" s="205"/>
      <c r="U21" s="205"/>
      <c r="V21" s="205"/>
      <c r="W21" s="205"/>
      <c r="X21" s="205"/>
      <c r="Y21" s="205"/>
      <c r="AA21" s="205"/>
    </row>
    <row r="22" spans="1:27" x14ac:dyDescent="0.35">
      <c r="A22" s="177">
        <f>+A20+1</f>
        <v>16</v>
      </c>
      <c r="B22" s="166"/>
      <c r="C22" s="166"/>
      <c r="D22" s="166"/>
      <c r="E22" s="178"/>
      <c r="F22" s="209"/>
      <c r="G22" s="180"/>
      <c r="H22" s="180"/>
      <c r="I22" s="180"/>
      <c r="J22" s="181"/>
      <c r="K22" s="181"/>
      <c r="L22" s="181"/>
      <c r="M22" s="182"/>
      <c r="N22" s="185"/>
      <c r="O22" s="184"/>
      <c r="P22" s="185"/>
      <c r="Q22" s="184"/>
      <c r="R22" s="186"/>
      <c r="S22" s="184"/>
      <c r="T22" s="182"/>
      <c r="U22" s="182"/>
      <c r="V22" s="182"/>
      <c r="W22" s="182"/>
      <c r="X22" s="182"/>
      <c r="Y22" s="182"/>
      <c r="AA22" s="182"/>
    </row>
    <row r="23" spans="1:27" x14ac:dyDescent="0.35">
      <c r="A23" s="177">
        <f t="shared" si="11"/>
        <v>17</v>
      </c>
      <c r="B23" s="166"/>
      <c r="C23" s="166"/>
      <c r="D23" s="166"/>
      <c r="E23" s="178"/>
      <c r="F23" s="209"/>
      <c r="G23" s="180"/>
      <c r="H23" s="180"/>
      <c r="I23" s="180"/>
      <c r="J23" s="181"/>
      <c r="K23" s="181"/>
      <c r="L23" s="181"/>
      <c r="M23" s="182"/>
      <c r="N23" s="185"/>
      <c r="O23" s="184"/>
      <c r="P23" s="185"/>
      <c r="Q23" s="184"/>
      <c r="R23" s="186"/>
      <c r="S23" s="184"/>
      <c r="T23" s="182"/>
      <c r="U23" s="182"/>
      <c r="V23" s="182"/>
      <c r="W23" s="182"/>
      <c r="X23" s="182"/>
      <c r="Y23" s="182"/>
      <c r="AA23" s="182"/>
    </row>
    <row r="24" spans="1:27" x14ac:dyDescent="0.35">
      <c r="A24" s="177">
        <f t="shared" si="11"/>
        <v>18</v>
      </c>
      <c r="B24" s="166"/>
      <c r="C24" s="166"/>
      <c r="D24" s="166"/>
      <c r="E24" s="178"/>
      <c r="F24" s="210"/>
      <c r="G24" s="180"/>
      <c r="H24" s="180"/>
      <c r="I24" s="181"/>
      <c r="J24" s="181"/>
      <c r="K24" s="181"/>
      <c r="L24" s="181"/>
      <c r="M24" s="182"/>
      <c r="N24" s="185"/>
      <c r="O24" s="184"/>
      <c r="P24" s="185"/>
      <c r="Q24" s="184"/>
      <c r="R24" s="186"/>
      <c r="S24" s="184"/>
      <c r="T24" s="182"/>
      <c r="U24" s="182"/>
      <c r="V24" s="182"/>
      <c r="W24" s="182"/>
      <c r="X24" s="182"/>
      <c r="Y24" s="182"/>
      <c r="AA24" s="182"/>
    </row>
    <row r="25" spans="1:27" x14ac:dyDescent="0.35">
      <c r="A25" s="177">
        <f t="shared" si="11"/>
        <v>19</v>
      </c>
      <c r="B25" s="166"/>
      <c r="C25" s="166"/>
      <c r="D25" s="166"/>
      <c r="E25" s="178"/>
      <c r="F25" s="209"/>
      <c r="G25" s="180"/>
      <c r="H25" s="180"/>
      <c r="I25" s="180"/>
      <c r="J25" s="181"/>
      <c r="K25" s="181"/>
      <c r="L25" s="181"/>
      <c r="M25" s="182"/>
      <c r="N25" s="185"/>
      <c r="O25" s="184"/>
      <c r="P25" s="185"/>
      <c r="Q25" s="184"/>
      <c r="R25" s="186"/>
      <c r="S25" s="184"/>
      <c r="T25" s="182"/>
      <c r="U25" s="182"/>
      <c r="V25" s="182"/>
      <c r="W25" s="182"/>
      <c r="X25" s="182"/>
      <c r="Y25" s="182"/>
      <c r="AA25" s="182"/>
    </row>
    <row r="26" spans="1:27" x14ac:dyDescent="0.35">
      <c r="A26" s="177">
        <f t="shared" si="11"/>
        <v>20</v>
      </c>
      <c r="B26" s="166"/>
      <c r="C26" s="166"/>
      <c r="D26" s="166"/>
      <c r="E26" s="178"/>
      <c r="F26" s="209"/>
      <c r="G26" s="180"/>
      <c r="H26" s="180"/>
      <c r="I26" s="180"/>
      <c r="J26" s="181"/>
      <c r="K26" s="181"/>
      <c r="L26" s="181"/>
      <c r="M26" s="182"/>
      <c r="N26" s="185"/>
      <c r="O26" s="184"/>
      <c r="P26" s="185"/>
      <c r="Q26" s="184"/>
      <c r="R26" s="186"/>
      <c r="S26" s="184"/>
      <c r="T26" s="182"/>
      <c r="U26" s="182"/>
      <c r="V26" s="182"/>
      <c r="W26" s="182"/>
      <c r="X26" s="182"/>
      <c r="Y26" s="182"/>
      <c r="AA26" s="182"/>
    </row>
    <row r="27" spans="1:27" x14ac:dyDescent="0.35">
      <c r="A27" s="177">
        <f t="shared" si="11"/>
        <v>21</v>
      </c>
      <c r="B27" s="166"/>
      <c r="C27" s="166"/>
      <c r="D27" s="166"/>
      <c r="E27" s="178"/>
      <c r="F27" s="211"/>
      <c r="G27" s="180"/>
      <c r="H27" s="180"/>
      <c r="I27" s="180"/>
      <c r="J27" s="181"/>
      <c r="K27" s="181"/>
      <c r="L27" s="181"/>
      <c r="M27" s="182"/>
      <c r="N27" s="185"/>
      <c r="O27" s="184"/>
      <c r="P27" s="185"/>
      <c r="Q27" s="184"/>
      <c r="R27" s="186"/>
      <c r="S27" s="184"/>
      <c r="T27" s="182"/>
      <c r="U27" s="182"/>
      <c r="V27" s="182"/>
      <c r="W27" s="182"/>
      <c r="X27" s="182"/>
      <c r="Y27" s="182"/>
      <c r="AA27" s="182"/>
    </row>
    <row r="28" spans="1:27" x14ac:dyDescent="0.35">
      <c r="A28" s="177">
        <f t="shared" si="11"/>
        <v>22</v>
      </c>
      <c r="B28" s="166"/>
      <c r="C28" s="166"/>
      <c r="D28" s="166"/>
      <c r="E28" s="178"/>
      <c r="F28" s="211"/>
      <c r="G28" s="180"/>
      <c r="H28" s="180"/>
      <c r="I28" s="180"/>
      <c r="J28" s="181"/>
      <c r="K28" s="181"/>
      <c r="L28" s="181"/>
      <c r="M28" s="182"/>
      <c r="N28" s="185"/>
      <c r="O28" s="184"/>
      <c r="P28" s="185"/>
      <c r="Q28" s="184"/>
      <c r="R28" s="186"/>
      <c r="S28" s="184"/>
      <c r="T28" s="182"/>
      <c r="U28" s="182"/>
      <c r="V28" s="182"/>
      <c r="W28" s="182"/>
      <c r="X28" s="182"/>
      <c r="Y28" s="182"/>
      <c r="AA28" s="182"/>
    </row>
    <row r="29" spans="1:27" x14ac:dyDescent="0.35">
      <c r="A29" s="177">
        <f t="shared" si="11"/>
        <v>23</v>
      </c>
      <c r="B29" s="166"/>
      <c r="C29" s="166"/>
      <c r="D29" s="166"/>
      <c r="E29" s="178"/>
      <c r="F29" s="209"/>
      <c r="G29" s="180"/>
      <c r="H29" s="180"/>
      <c r="I29" s="180"/>
      <c r="J29" s="181"/>
      <c r="K29" s="181"/>
      <c r="L29" s="181"/>
      <c r="M29" s="182"/>
      <c r="N29" s="185"/>
      <c r="O29" s="184"/>
      <c r="P29" s="185"/>
      <c r="Q29" s="184"/>
      <c r="R29" s="186"/>
      <c r="S29" s="184"/>
      <c r="T29" s="182"/>
      <c r="U29" s="182"/>
      <c r="V29" s="182"/>
      <c r="W29" s="182"/>
      <c r="X29" s="182"/>
      <c r="Y29" s="182"/>
      <c r="AA29" s="182"/>
    </row>
    <row r="30" spans="1:27" x14ac:dyDescent="0.35">
      <c r="A30" s="177">
        <f t="shared" si="11"/>
        <v>24</v>
      </c>
      <c r="B30" s="166"/>
      <c r="C30" s="166"/>
      <c r="D30" s="166"/>
      <c r="E30" s="178"/>
      <c r="F30" s="209"/>
      <c r="G30" s="180"/>
      <c r="H30" s="180"/>
      <c r="I30" s="180"/>
      <c r="J30" s="181"/>
      <c r="K30" s="181"/>
      <c r="L30" s="181"/>
      <c r="M30" s="182"/>
      <c r="N30" s="185"/>
      <c r="O30" s="184"/>
      <c r="P30" s="185"/>
      <c r="Q30" s="184"/>
      <c r="R30" s="186"/>
      <c r="S30" s="184"/>
      <c r="T30" s="182"/>
      <c r="U30" s="182"/>
      <c r="V30" s="182"/>
      <c r="W30" s="182"/>
      <c r="X30" s="182"/>
      <c r="Y30" s="182"/>
      <c r="AA30" s="182"/>
    </row>
    <row r="31" spans="1:27" x14ac:dyDescent="0.35">
      <c r="A31" s="177">
        <f t="shared" si="11"/>
        <v>25</v>
      </c>
      <c r="B31" s="166"/>
      <c r="C31" s="166"/>
      <c r="D31" s="166"/>
      <c r="E31" s="178"/>
      <c r="F31" s="209"/>
      <c r="G31" s="180"/>
      <c r="H31" s="180"/>
      <c r="I31" s="180"/>
      <c r="J31" s="181"/>
      <c r="K31" s="181"/>
      <c r="L31" s="181"/>
      <c r="M31" s="182"/>
      <c r="N31" s="185"/>
      <c r="O31" s="184"/>
      <c r="P31" s="185"/>
      <c r="Q31" s="184"/>
      <c r="R31" s="186"/>
      <c r="S31" s="184"/>
      <c r="T31" s="182"/>
      <c r="U31" s="182"/>
      <c r="V31" s="182"/>
      <c r="W31" s="182"/>
      <c r="X31" s="182"/>
      <c r="Y31" s="182"/>
      <c r="AA31" s="182"/>
    </row>
    <row r="32" spans="1:27" x14ac:dyDescent="0.35">
      <c r="A32" s="177">
        <f t="shared" si="11"/>
        <v>26</v>
      </c>
      <c r="B32" s="166"/>
      <c r="C32" s="166"/>
      <c r="D32" s="166"/>
      <c r="E32" s="178"/>
      <c r="F32" s="179"/>
      <c r="G32" s="180"/>
      <c r="H32" s="180"/>
      <c r="I32" s="180"/>
      <c r="J32" s="181"/>
      <c r="K32" s="181"/>
      <c r="L32" s="181"/>
      <c r="M32" s="182"/>
      <c r="N32" s="185"/>
      <c r="O32" s="184"/>
      <c r="P32" s="185"/>
      <c r="Q32" s="184"/>
      <c r="R32" s="186"/>
      <c r="S32" s="184"/>
      <c r="T32" s="182"/>
      <c r="U32" s="182"/>
      <c r="V32" s="182"/>
      <c r="W32" s="182"/>
      <c r="X32" s="182"/>
      <c r="Y32" s="182"/>
      <c r="AA32" s="182"/>
    </row>
    <row r="33" spans="1:27" x14ac:dyDescent="0.35">
      <c r="A33" s="177">
        <f t="shared" si="11"/>
        <v>27</v>
      </c>
      <c r="B33" s="166"/>
      <c r="C33" s="166"/>
      <c r="D33" s="166"/>
      <c r="E33" s="178"/>
      <c r="F33" s="179"/>
      <c r="G33" s="180"/>
      <c r="H33" s="180"/>
      <c r="I33" s="180"/>
      <c r="J33" s="181"/>
      <c r="K33" s="181"/>
      <c r="L33" s="181"/>
      <c r="M33" s="182"/>
      <c r="N33" s="185"/>
      <c r="O33" s="184"/>
      <c r="P33" s="185"/>
      <c r="Q33" s="184"/>
      <c r="R33" s="186"/>
      <c r="S33" s="184"/>
      <c r="T33" s="182"/>
      <c r="U33" s="182"/>
      <c r="V33" s="182"/>
      <c r="W33" s="182"/>
      <c r="X33" s="182"/>
      <c r="Y33" s="182"/>
      <c r="AA33" s="182"/>
    </row>
    <row r="34" spans="1:27" x14ac:dyDescent="0.35">
      <c r="A34" s="177">
        <f t="shared" si="11"/>
        <v>28</v>
      </c>
      <c r="B34" s="166"/>
      <c r="C34" s="166"/>
      <c r="D34" s="166"/>
      <c r="E34" s="178"/>
      <c r="F34" s="179"/>
      <c r="G34" s="180"/>
      <c r="H34" s="180"/>
      <c r="I34" s="180"/>
      <c r="J34" s="181"/>
      <c r="K34" s="181"/>
      <c r="L34" s="181"/>
      <c r="M34" s="182"/>
      <c r="N34" s="185"/>
      <c r="O34" s="184"/>
      <c r="P34" s="185"/>
      <c r="Q34" s="184"/>
      <c r="R34" s="186"/>
      <c r="S34" s="184"/>
      <c r="T34" s="182"/>
      <c r="U34" s="182"/>
      <c r="V34" s="182"/>
      <c r="W34" s="182"/>
      <c r="X34" s="182"/>
      <c r="Y34" s="182"/>
      <c r="AA34" s="182"/>
    </row>
    <row r="35" spans="1:27" x14ac:dyDescent="0.35">
      <c r="A35" s="199"/>
      <c r="B35" s="200"/>
      <c r="C35" s="200"/>
      <c r="D35" s="200"/>
      <c r="E35" s="201"/>
      <c r="F35" s="202"/>
      <c r="G35" s="203"/>
      <c r="H35" s="203"/>
      <c r="I35" s="203"/>
      <c r="J35" s="204"/>
      <c r="K35" s="204"/>
      <c r="L35" s="204"/>
      <c r="M35" s="205"/>
      <c r="N35" s="206"/>
      <c r="O35" s="207"/>
      <c r="P35" s="206"/>
      <c r="Q35" s="207"/>
      <c r="R35" s="208"/>
      <c r="S35" s="207"/>
      <c r="T35" s="205"/>
      <c r="U35" s="205"/>
      <c r="V35" s="205"/>
      <c r="W35" s="205"/>
      <c r="X35" s="205"/>
      <c r="Y35" s="205"/>
      <c r="AA35" s="205"/>
    </row>
    <row r="36" spans="1:27" x14ac:dyDescent="0.35">
      <c r="A36" s="177">
        <f>+A34+1</f>
        <v>29</v>
      </c>
      <c r="B36" s="166"/>
      <c r="C36" s="166"/>
      <c r="D36" s="166"/>
      <c r="E36" s="178"/>
      <c r="F36" s="179"/>
      <c r="G36" s="180"/>
      <c r="H36" s="180"/>
      <c r="I36" s="180"/>
      <c r="J36" s="181"/>
      <c r="K36" s="181"/>
      <c r="L36" s="181"/>
      <c r="M36" s="182"/>
      <c r="N36" s="185"/>
      <c r="O36" s="184"/>
      <c r="P36" s="185"/>
      <c r="Q36" s="184"/>
      <c r="R36" s="186"/>
      <c r="S36" s="184"/>
      <c r="T36" s="182"/>
      <c r="U36" s="182"/>
      <c r="V36" s="182"/>
      <c r="W36" s="182"/>
      <c r="X36" s="182"/>
      <c r="Y36" s="182"/>
      <c r="AA36" s="182"/>
    </row>
    <row r="37" spans="1:27" x14ac:dyDescent="0.35">
      <c r="A37" s="177">
        <f t="shared" si="11"/>
        <v>30</v>
      </c>
      <c r="B37" s="166"/>
      <c r="C37" s="166"/>
      <c r="D37" s="166"/>
      <c r="E37" s="178"/>
      <c r="F37" s="179"/>
      <c r="G37" s="180"/>
      <c r="H37" s="180"/>
      <c r="I37" s="180"/>
      <c r="J37" s="181"/>
      <c r="K37" s="181"/>
      <c r="L37" s="181"/>
      <c r="M37" s="182"/>
      <c r="N37" s="185"/>
      <c r="O37" s="184"/>
      <c r="P37" s="185"/>
      <c r="Q37" s="184"/>
      <c r="R37" s="186"/>
      <c r="S37" s="184"/>
      <c r="T37" s="182"/>
      <c r="U37" s="182"/>
      <c r="V37" s="182"/>
      <c r="W37" s="182"/>
      <c r="X37" s="182"/>
      <c r="Y37" s="182"/>
      <c r="AA37" s="182"/>
    </row>
    <row r="38" spans="1:27" x14ac:dyDescent="0.35">
      <c r="A38" s="177">
        <f t="shared" si="11"/>
        <v>31</v>
      </c>
      <c r="B38" s="166"/>
      <c r="C38" s="166"/>
      <c r="D38" s="166"/>
      <c r="E38" s="178"/>
      <c r="F38" s="179"/>
      <c r="G38" s="180"/>
      <c r="H38" s="180"/>
      <c r="I38" s="180"/>
      <c r="J38" s="181"/>
      <c r="K38" s="181"/>
      <c r="L38" s="181"/>
      <c r="M38" s="182"/>
      <c r="N38" s="185"/>
      <c r="O38" s="184"/>
      <c r="P38" s="185"/>
      <c r="Q38" s="184"/>
      <c r="R38" s="186"/>
      <c r="S38" s="184"/>
      <c r="T38" s="182"/>
      <c r="U38" s="182"/>
      <c r="V38" s="182"/>
      <c r="W38" s="182"/>
      <c r="X38" s="182"/>
      <c r="Y38" s="182"/>
      <c r="AA38" s="182"/>
    </row>
    <row r="39" spans="1:27" x14ac:dyDescent="0.35">
      <c r="A39" s="177">
        <f t="shared" si="11"/>
        <v>32</v>
      </c>
      <c r="B39" s="166"/>
      <c r="C39" s="166"/>
      <c r="D39" s="166"/>
      <c r="E39" s="178"/>
      <c r="F39" s="211"/>
      <c r="G39" s="180"/>
      <c r="H39" s="180"/>
      <c r="I39" s="180"/>
      <c r="J39" s="181"/>
      <c r="K39" s="181"/>
      <c r="L39" s="181"/>
      <c r="M39" s="182"/>
      <c r="N39" s="185"/>
      <c r="O39" s="184"/>
      <c r="P39" s="185"/>
      <c r="Q39" s="184"/>
      <c r="R39" s="186"/>
      <c r="S39" s="184"/>
      <c r="T39" s="182"/>
      <c r="U39" s="182"/>
      <c r="V39" s="182"/>
      <c r="W39" s="182"/>
      <c r="X39" s="182"/>
      <c r="Y39" s="182"/>
      <c r="AA39" s="182"/>
    </row>
    <row r="40" spans="1:27" x14ac:dyDescent="0.35">
      <c r="A40" s="177">
        <f t="shared" si="11"/>
        <v>33</v>
      </c>
      <c r="B40" s="166"/>
      <c r="C40" s="166"/>
      <c r="D40" s="166"/>
      <c r="E40" s="178"/>
      <c r="F40" s="211"/>
      <c r="G40" s="180"/>
      <c r="H40" s="180"/>
      <c r="I40" s="180"/>
      <c r="J40" s="181"/>
      <c r="K40" s="181"/>
      <c r="L40" s="181"/>
      <c r="M40" s="182"/>
      <c r="N40" s="185"/>
      <c r="O40" s="184"/>
      <c r="P40" s="185"/>
      <c r="Q40" s="184"/>
      <c r="R40" s="186"/>
      <c r="S40" s="184"/>
      <c r="T40" s="182"/>
      <c r="U40" s="182"/>
      <c r="V40" s="182"/>
      <c r="W40" s="182"/>
      <c r="X40" s="182"/>
      <c r="Y40" s="182"/>
      <c r="AA40" s="182"/>
    </row>
    <row r="41" spans="1:27" x14ac:dyDescent="0.35">
      <c r="A41" s="177">
        <f t="shared" si="11"/>
        <v>34</v>
      </c>
      <c r="B41" s="166"/>
      <c r="C41" s="166"/>
      <c r="D41" s="166"/>
      <c r="E41" s="178"/>
      <c r="F41" s="179"/>
      <c r="G41" s="180"/>
      <c r="H41" s="180"/>
      <c r="I41" s="180"/>
      <c r="J41" s="181"/>
      <c r="K41" s="181"/>
      <c r="L41" s="181"/>
      <c r="M41" s="182"/>
      <c r="N41" s="185"/>
      <c r="O41" s="184"/>
      <c r="P41" s="185"/>
      <c r="Q41" s="184"/>
      <c r="R41" s="186"/>
      <c r="S41" s="184"/>
      <c r="T41" s="182"/>
      <c r="U41" s="182"/>
      <c r="V41" s="182"/>
      <c r="W41" s="182"/>
      <c r="X41" s="182"/>
      <c r="Y41" s="182"/>
      <c r="AA41" s="182"/>
    </row>
    <row r="42" spans="1:27" x14ac:dyDescent="0.35">
      <c r="A42" s="177">
        <f t="shared" si="11"/>
        <v>35</v>
      </c>
      <c r="B42" s="166"/>
      <c r="C42" s="166"/>
      <c r="D42" s="166"/>
      <c r="E42" s="178"/>
      <c r="F42" s="179"/>
      <c r="G42" s="180"/>
      <c r="H42" s="180"/>
      <c r="I42" s="180"/>
      <c r="J42" s="181"/>
      <c r="K42" s="181"/>
      <c r="L42" s="181"/>
      <c r="M42" s="182"/>
      <c r="N42" s="185"/>
      <c r="O42" s="184"/>
      <c r="P42" s="185"/>
      <c r="Q42" s="184"/>
      <c r="R42" s="186"/>
      <c r="S42" s="184"/>
      <c r="T42" s="182"/>
      <c r="U42" s="182"/>
      <c r="V42" s="182"/>
      <c r="W42" s="182"/>
      <c r="X42" s="182"/>
      <c r="Y42" s="182"/>
      <c r="AA42" s="182"/>
    </row>
    <row r="43" spans="1:27" x14ac:dyDescent="0.35">
      <c r="A43" s="177">
        <f t="shared" si="11"/>
        <v>36</v>
      </c>
      <c r="B43" s="166"/>
      <c r="C43" s="166"/>
      <c r="D43" s="166"/>
      <c r="E43" s="178"/>
      <c r="F43" s="179"/>
      <c r="G43" s="180"/>
      <c r="H43" s="180"/>
      <c r="I43" s="180"/>
      <c r="J43" s="181"/>
      <c r="K43" s="181"/>
      <c r="L43" s="181"/>
      <c r="M43" s="182"/>
      <c r="N43" s="185"/>
      <c r="O43" s="184"/>
      <c r="P43" s="185"/>
      <c r="Q43" s="184"/>
      <c r="R43" s="186"/>
      <c r="S43" s="184"/>
      <c r="T43" s="182"/>
      <c r="U43" s="182"/>
      <c r="V43" s="182"/>
      <c r="W43" s="182"/>
      <c r="X43" s="182"/>
      <c r="Y43" s="182"/>
      <c r="AA43" s="182"/>
    </row>
    <row r="44" spans="1:27" x14ac:dyDescent="0.35">
      <c r="A44" s="177">
        <f t="shared" si="11"/>
        <v>37</v>
      </c>
      <c r="B44" s="166"/>
      <c r="C44" s="166"/>
      <c r="D44" s="166"/>
      <c r="E44" s="178"/>
      <c r="F44" s="179"/>
      <c r="G44" s="180"/>
      <c r="H44" s="180"/>
      <c r="I44" s="180"/>
      <c r="J44" s="181"/>
      <c r="K44" s="181"/>
      <c r="L44" s="181"/>
      <c r="M44" s="182"/>
      <c r="N44" s="185"/>
      <c r="O44" s="184"/>
      <c r="P44" s="185"/>
      <c r="Q44" s="184"/>
      <c r="R44" s="186"/>
      <c r="S44" s="184"/>
      <c r="T44" s="182"/>
      <c r="U44" s="182"/>
      <c r="V44" s="182"/>
      <c r="W44" s="182"/>
      <c r="X44" s="182"/>
      <c r="Y44" s="182"/>
      <c r="AA44" s="182"/>
    </row>
    <row r="45" spans="1:27" x14ac:dyDescent="0.35">
      <c r="A45" s="177">
        <f t="shared" si="11"/>
        <v>38</v>
      </c>
      <c r="B45" s="166"/>
      <c r="C45" s="166"/>
      <c r="D45" s="166"/>
      <c r="E45" s="178"/>
      <c r="F45" s="179"/>
      <c r="G45" s="180"/>
      <c r="H45" s="180"/>
      <c r="I45" s="180"/>
      <c r="J45" s="181"/>
      <c r="K45" s="181"/>
      <c r="L45" s="181"/>
      <c r="M45" s="182"/>
      <c r="N45" s="185"/>
      <c r="O45" s="184"/>
      <c r="P45" s="185"/>
      <c r="Q45" s="184"/>
      <c r="R45" s="186"/>
      <c r="S45" s="184"/>
      <c r="T45" s="182"/>
      <c r="U45" s="182"/>
      <c r="V45" s="182"/>
      <c r="W45" s="182"/>
      <c r="X45" s="182"/>
      <c r="Y45" s="182"/>
      <c r="AA45" s="182"/>
    </row>
    <row r="46" spans="1:27" x14ac:dyDescent="0.35">
      <c r="A46" s="199"/>
      <c r="B46" s="200"/>
      <c r="C46" s="200"/>
      <c r="D46" s="200"/>
      <c r="E46" s="201"/>
      <c r="F46" s="202"/>
      <c r="G46" s="203"/>
      <c r="H46" s="203"/>
      <c r="I46" s="203"/>
      <c r="J46" s="204"/>
      <c r="K46" s="204"/>
      <c r="L46" s="204"/>
      <c r="M46" s="205"/>
      <c r="N46" s="206"/>
      <c r="O46" s="207"/>
      <c r="P46" s="206"/>
      <c r="Q46" s="207"/>
      <c r="R46" s="208"/>
      <c r="S46" s="207"/>
      <c r="T46" s="205"/>
      <c r="U46" s="205"/>
      <c r="V46" s="205"/>
      <c r="W46" s="205"/>
      <c r="X46" s="205"/>
      <c r="Y46" s="205"/>
      <c r="AA46" s="205"/>
    </row>
    <row r="47" spans="1:27" x14ac:dyDescent="0.35">
      <c r="A47" s="177">
        <f>+A45+1</f>
        <v>39</v>
      </c>
      <c r="B47" s="166"/>
      <c r="C47" s="166"/>
      <c r="D47" s="166"/>
      <c r="E47" s="178"/>
      <c r="F47" s="211"/>
      <c r="G47" s="180"/>
      <c r="H47" s="180"/>
      <c r="I47" s="180"/>
      <c r="J47" s="181"/>
      <c r="K47" s="181"/>
      <c r="L47" s="181"/>
      <c r="M47" s="182"/>
      <c r="N47" s="185"/>
      <c r="O47" s="184"/>
      <c r="P47" s="185"/>
      <c r="Q47" s="184"/>
      <c r="R47" s="186"/>
      <c r="S47" s="184"/>
      <c r="T47" s="182"/>
      <c r="U47" s="182"/>
      <c r="V47" s="182"/>
      <c r="W47" s="182"/>
      <c r="X47" s="182"/>
      <c r="Y47" s="182"/>
      <c r="AA47" s="182"/>
    </row>
    <row r="48" spans="1:27" x14ac:dyDescent="0.35">
      <c r="A48" s="177">
        <f t="shared" si="11"/>
        <v>40</v>
      </c>
      <c r="B48" s="166"/>
      <c r="C48" s="166"/>
      <c r="D48" s="166"/>
      <c r="E48" s="178"/>
      <c r="F48" s="211"/>
      <c r="G48" s="180"/>
      <c r="H48" s="180"/>
      <c r="I48" s="180"/>
      <c r="J48" s="181"/>
      <c r="K48" s="181"/>
      <c r="L48" s="181"/>
      <c r="M48" s="182"/>
      <c r="N48" s="185"/>
      <c r="O48" s="184"/>
      <c r="P48" s="185"/>
      <c r="Q48" s="184"/>
      <c r="R48" s="186"/>
      <c r="S48" s="184"/>
      <c r="T48" s="182"/>
      <c r="U48" s="182"/>
      <c r="V48" s="182"/>
      <c r="W48" s="182"/>
      <c r="X48" s="182"/>
      <c r="Y48" s="182"/>
      <c r="AA48" s="182"/>
    </row>
    <row r="49" spans="1:27" x14ac:dyDescent="0.35">
      <c r="A49" s="199"/>
      <c r="B49" s="200"/>
      <c r="C49" s="200"/>
      <c r="D49" s="200"/>
      <c r="E49" s="201"/>
      <c r="F49" s="202"/>
      <c r="G49" s="203"/>
      <c r="H49" s="203"/>
      <c r="I49" s="203"/>
      <c r="J49" s="204"/>
      <c r="K49" s="204"/>
      <c r="L49" s="204"/>
      <c r="M49" s="205"/>
      <c r="N49" s="206"/>
      <c r="O49" s="207"/>
      <c r="P49" s="206"/>
      <c r="Q49" s="207"/>
      <c r="R49" s="208"/>
      <c r="S49" s="207"/>
      <c r="T49" s="205"/>
      <c r="U49" s="205"/>
      <c r="V49" s="205"/>
      <c r="W49" s="205"/>
      <c r="X49" s="205"/>
      <c r="Y49" s="205"/>
      <c r="AA49" s="205"/>
    </row>
    <row r="50" spans="1:27" x14ac:dyDescent="0.35">
      <c r="A50" s="177">
        <f>+A48+1</f>
        <v>41</v>
      </c>
      <c r="B50" s="166"/>
      <c r="C50" s="166"/>
      <c r="D50" s="166"/>
      <c r="E50" s="178"/>
      <c r="F50" s="179"/>
      <c r="G50" s="180"/>
      <c r="H50" s="180"/>
      <c r="I50" s="180"/>
      <c r="J50" s="181"/>
      <c r="K50" s="181"/>
      <c r="L50" s="181"/>
      <c r="M50" s="182"/>
      <c r="N50" s="185"/>
      <c r="O50" s="184"/>
      <c r="P50" s="185"/>
      <c r="Q50" s="184"/>
      <c r="R50" s="186"/>
      <c r="S50" s="184"/>
      <c r="T50" s="182"/>
      <c r="U50" s="182"/>
      <c r="V50" s="182"/>
      <c r="W50" s="182"/>
      <c r="X50" s="182"/>
      <c r="Y50" s="182"/>
      <c r="AA50" s="182"/>
    </row>
    <row r="51" spans="1:27" x14ac:dyDescent="0.35">
      <c r="A51" s="177">
        <f t="shared" si="11"/>
        <v>42</v>
      </c>
      <c r="B51" s="166"/>
      <c r="C51" s="166"/>
      <c r="D51" s="166"/>
      <c r="E51" s="178"/>
      <c r="F51" s="179"/>
      <c r="G51" s="180"/>
      <c r="H51" s="180"/>
      <c r="I51" s="180"/>
      <c r="J51" s="181"/>
      <c r="K51" s="181"/>
      <c r="L51" s="181"/>
      <c r="M51" s="182"/>
      <c r="N51" s="185"/>
      <c r="O51" s="184"/>
      <c r="P51" s="185"/>
      <c r="Q51" s="184"/>
      <c r="R51" s="186"/>
      <c r="S51" s="184"/>
      <c r="T51" s="182"/>
      <c r="U51" s="182"/>
      <c r="V51" s="182"/>
      <c r="W51" s="182"/>
      <c r="X51" s="182"/>
      <c r="Y51" s="182"/>
      <c r="AA51" s="182"/>
    </row>
    <row r="52" spans="1:27" x14ac:dyDescent="0.35">
      <c r="A52" s="177">
        <f t="shared" si="11"/>
        <v>43</v>
      </c>
      <c r="B52" s="166"/>
      <c r="C52" s="166"/>
      <c r="D52" s="166"/>
      <c r="E52" s="212"/>
      <c r="F52" s="179"/>
      <c r="G52" s="213"/>
      <c r="H52" s="213"/>
      <c r="I52" s="213"/>
      <c r="J52" s="181"/>
      <c r="K52" s="213"/>
      <c r="L52" s="213"/>
      <c r="M52" s="128"/>
      <c r="N52" s="185"/>
      <c r="O52" s="184"/>
      <c r="P52" s="185"/>
      <c r="Q52" s="184"/>
      <c r="R52" s="186"/>
      <c r="S52" s="184"/>
      <c r="T52" s="128"/>
      <c r="U52" s="128"/>
      <c r="V52" s="182"/>
      <c r="W52" s="182"/>
      <c r="X52" s="182"/>
      <c r="Y52" s="182"/>
      <c r="AA52" s="182"/>
    </row>
    <row r="53" spans="1:27" x14ac:dyDescent="0.35">
      <c r="E53" s="214"/>
      <c r="F53" s="202"/>
      <c r="G53" s="215"/>
      <c r="H53" s="215"/>
      <c r="I53" s="215"/>
      <c r="J53" s="215"/>
      <c r="K53" s="215"/>
      <c r="L53" s="215"/>
      <c r="M53" s="164"/>
      <c r="N53" s="216"/>
      <c r="O53" s="217"/>
      <c r="P53" s="216"/>
      <c r="Q53" s="217"/>
      <c r="R53" s="218"/>
      <c r="S53" s="217"/>
      <c r="T53" s="164"/>
      <c r="U53" s="164"/>
      <c r="V53" s="164"/>
      <c r="W53" s="164"/>
      <c r="X53" s="205"/>
      <c r="Y53" s="205"/>
      <c r="AA53" s="205"/>
    </row>
    <row r="54" spans="1:27" x14ac:dyDescent="0.35">
      <c r="A54" s="177">
        <f>+A52+1</f>
        <v>44</v>
      </c>
      <c r="B54" s="166"/>
      <c r="C54" s="166"/>
      <c r="D54" s="166"/>
      <c r="E54" s="212"/>
      <c r="F54" s="211"/>
      <c r="G54" s="213"/>
      <c r="H54" s="213"/>
      <c r="I54" s="213"/>
      <c r="J54" s="181"/>
      <c r="K54" s="213"/>
      <c r="L54" s="213"/>
      <c r="M54" s="128"/>
      <c r="N54" s="185"/>
      <c r="O54" s="184"/>
      <c r="P54" s="185"/>
      <c r="Q54" s="184"/>
      <c r="R54" s="186"/>
      <c r="S54" s="184"/>
      <c r="T54" s="128"/>
      <c r="U54" s="128"/>
      <c r="V54" s="182"/>
      <c r="W54" s="182"/>
      <c r="X54" s="182"/>
      <c r="Y54" s="182"/>
      <c r="AA54" s="182"/>
    </row>
    <row r="55" spans="1:27" x14ac:dyDescent="0.35">
      <c r="A55" s="177">
        <f t="shared" ref="A55:A58" si="15">+A54+1</f>
        <v>45</v>
      </c>
      <c r="B55" s="166"/>
      <c r="C55" s="166"/>
      <c r="D55" s="166"/>
      <c r="E55" s="212"/>
      <c r="F55" s="211"/>
      <c r="G55" s="213"/>
      <c r="H55" s="213"/>
      <c r="I55" s="213"/>
      <c r="J55" s="181"/>
      <c r="K55" s="213"/>
      <c r="L55" s="213"/>
      <c r="M55" s="128"/>
      <c r="N55" s="185"/>
      <c r="O55" s="184"/>
      <c r="P55" s="185"/>
      <c r="Q55" s="184"/>
      <c r="R55" s="186"/>
      <c r="S55" s="184"/>
      <c r="T55" s="128"/>
      <c r="U55" s="128"/>
      <c r="V55" s="182"/>
      <c r="W55" s="182"/>
      <c r="X55" s="182"/>
      <c r="Y55" s="182"/>
      <c r="AA55" s="182"/>
    </row>
    <row r="56" spans="1:27" x14ac:dyDescent="0.35">
      <c r="A56" s="177">
        <f t="shared" si="15"/>
        <v>46</v>
      </c>
      <c r="B56" s="166"/>
      <c r="C56" s="166"/>
      <c r="D56" s="166"/>
      <c r="E56" s="212"/>
      <c r="F56" s="211"/>
      <c r="G56" s="213"/>
      <c r="H56" s="213"/>
      <c r="I56" s="213"/>
      <c r="J56" s="181"/>
      <c r="K56" s="213"/>
      <c r="L56" s="213"/>
      <c r="M56" s="128"/>
      <c r="N56" s="185"/>
      <c r="O56" s="184"/>
      <c r="P56" s="185"/>
      <c r="Q56" s="184"/>
      <c r="R56" s="186"/>
      <c r="S56" s="184"/>
      <c r="T56" s="128"/>
      <c r="U56" s="128"/>
      <c r="V56" s="182"/>
      <c r="W56" s="182"/>
      <c r="X56" s="182"/>
      <c r="Y56" s="182"/>
      <c r="AA56" s="182"/>
    </row>
    <row r="57" spans="1:27" x14ac:dyDescent="0.35">
      <c r="A57" s="177">
        <f t="shared" si="15"/>
        <v>47</v>
      </c>
      <c r="B57" s="166"/>
      <c r="C57" s="166"/>
      <c r="D57" s="166"/>
      <c r="E57" s="212"/>
      <c r="F57" s="211"/>
      <c r="G57" s="213"/>
      <c r="H57" s="213"/>
      <c r="I57" s="213"/>
      <c r="J57" s="181"/>
      <c r="K57" s="213"/>
      <c r="L57" s="213"/>
      <c r="M57" s="128"/>
      <c r="N57" s="185"/>
      <c r="O57" s="184"/>
      <c r="P57" s="185"/>
      <c r="Q57" s="184"/>
      <c r="R57" s="186"/>
      <c r="S57" s="184"/>
      <c r="T57" s="128"/>
      <c r="U57" s="128"/>
      <c r="V57" s="182"/>
      <c r="W57" s="182"/>
      <c r="X57" s="182"/>
      <c r="Y57" s="182"/>
      <c r="AA57" s="182"/>
    </row>
    <row r="58" spans="1:27" x14ac:dyDescent="0.35">
      <c r="A58" s="177">
        <f t="shared" si="15"/>
        <v>48</v>
      </c>
      <c r="B58" s="166"/>
      <c r="C58" s="166"/>
      <c r="D58" s="166"/>
      <c r="E58" s="212"/>
      <c r="F58" s="211"/>
      <c r="G58" s="213"/>
      <c r="H58" s="213"/>
      <c r="I58" s="213"/>
      <c r="J58" s="181"/>
      <c r="K58" s="213"/>
      <c r="L58" s="213"/>
      <c r="M58" s="128"/>
      <c r="N58" s="185"/>
      <c r="O58" s="184"/>
      <c r="P58" s="185"/>
      <c r="Q58" s="184"/>
      <c r="R58" s="186"/>
      <c r="S58" s="184"/>
      <c r="T58" s="128"/>
      <c r="U58" s="128"/>
      <c r="V58" s="182"/>
      <c r="W58" s="182"/>
      <c r="X58" s="182"/>
      <c r="Y58" s="182"/>
      <c r="AA58" s="182"/>
    </row>
    <row r="59" spans="1:27" x14ac:dyDescent="0.35">
      <c r="F59" s="215"/>
      <c r="G59" s="215"/>
      <c r="H59" s="215"/>
      <c r="I59" s="215"/>
      <c r="J59" s="215"/>
      <c r="K59" s="215"/>
      <c r="L59" s="215"/>
      <c r="M59" s="215"/>
      <c r="N59" s="215"/>
      <c r="O59" s="215"/>
      <c r="P59" s="215"/>
      <c r="Q59" s="215"/>
      <c r="R59" s="215"/>
      <c r="S59" s="215"/>
      <c r="T59" s="215"/>
      <c r="U59" s="215"/>
      <c r="V59" s="215"/>
      <c r="W59" s="215"/>
      <c r="X59" s="215"/>
      <c r="Y59" s="215"/>
    </row>
    <row r="60" spans="1:27" s="221" customFormat="1" x14ac:dyDescent="0.35">
      <c r="A60" s="177">
        <f>+A58+1</f>
        <v>49</v>
      </c>
      <c r="B60" s="166"/>
      <c r="C60" s="166"/>
      <c r="D60" s="166"/>
      <c r="E60" s="178"/>
      <c r="F60" s="219"/>
      <c r="G60" s="180"/>
      <c r="H60" s="180"/>
      <c r="I60" s="180"/>
      <c r="J60" s="181"/>
      <c r="K60" s="181"/>
      <c r="L60" s="181"/>
      <c r="M60" s="182"/>
      <c r="N60" s="185"/>
      <c r="O60" s="184"/>
      <c r="P60" s="185"/>
      <c r="Q60" s="184"/>
      <c r="R60" s="186"/>
      <c r="S60" s="184"/>
      <c r="T60" s="182"/>
      <c r="U60" s="182"/>
      <c r="V60" s="182"/>
      <c r="W60" s="182"/>
      <c r="X60" s="182"/>
      <c r="Y60" s="182"/>
      <c r="Z60" s="220"/>
      <c r="AA60" s="182"/>
    </row>
    <row r="61" spans="1:27" s="221" customFormat="1" x14ac:dyDescent="0.35">
      <c r="A61" s="177">
        <f>+A60+1</f>
        <v>50</v>
      </c>
      <c r="B61" s="166"/>
      <c r="C61" s="166"/>
      <c r="D61" s="166"/>
      <c r="E61" s="178"/>
      <c r="F61" s="219"/>
      <c r="G61" s="180"/>
      <c r="H61" s="180"/>
      <c r="I61" s="180"/>
      <c r="J61" s="181"/>
      <c r="K61" s="181"/>
      <c r="L61" s="181"/>
      <c r="M61" s="182"/>
      <c r="N61" s="185"/>
      <c r="O61" s="184"/>
      <c r="P61" s="185"/>
      <c r="Q61" s="184"/>
      <c r="R61" s="186"/>
      <c r="S61" s="184"/>
      <c r="T61" s="182"/>
      <c r="U61" s="182"/>
      <c r="V61" s="182"/>
      <c r="W61" s="182"/>
      <c r="X61" s="182"/>
      <c r="Y61" s="182"/>
      <c r="Z61" s="220"/>
      <c r="AA61" s="182"/>
    </row>
    <row r="62" spans="1:27" s="221" customFormat="1" x14ac:dyDescent="0.35">
      <c r="A62" s="177">
        <f t="shared" ref="A62:A66" si="16">+A61+1</f>
        <v>51</v>
      </c>
      <c r="B62" s="166"/>
      <c r="C62" s="166"/>
      <c r="D62" s="166"/>
      <c r="E62" s="178"/>
      <c r="F62" s="219"/>
      <c r="G62" s="180"/>
      <c r="H62" s="180"/>
      <c r="I62" s="180"/>
      <c r="J62" s="181"/>
      <c r="K62" s="181"/>
      <c r="L62" s="181"/>
      <c r="M62" s="182"/>
      <c r="N62" s="185"/>
      <c r="O62" s="184"/>
      <c r="P62" s="185"/>
      <c r="Q62" s="184"/>
      <c r="R62" s="186"/>
      <c r="S62" s="184"/>
      <c r="T62" s="182"/>
      <c r="U62" s="182"/>
      <c r="V62" s="182"/>
      <c r="W62" s="182"/>
      <c r="X62" s="182"/>
      <c r="Y62" s="182"/>
      <c r="Z62" s="220"/>
      <c r="AA62" s="182"/>
    </row>
    <row r="63" spans="1:27" s="221" customFormat="1" x14ac:dyDescent="0.35">
      <c r="A63" s="177">
        <f t="shared" si="16"/>
        <v>52</v>
      </c>
      <c r="B63" s="166"/>
      <c r="C63" s="166"/>
      <c r="D63" s="166"/>
      <c r="E63" s="178"/>
      <c r="F63" s="219"/>
      <c r="G63" s="180"/>
      <c r="H63" s="180"/>
      <c r="I63" s="180"/>
      <c r="J63" s="181"/>
      <c r="K63" s="181"/>
      <c r="L63" s="181"/>
      <c r="M63" s="182"/>
      <c r="N63" s="185"/>
      <c r="O63" s="184"/>
      <c r="P63" s="185"/>
      <c r="Q63" s="184"/>
      <c r="R63" s="186"/>
      <c r="S63" s="184"/>
      <c r="T63" s="182"/>
      <c r="U63" s="182"/>
      <c r="V63" s="182"/>
      <c r="W63" s="182"/>
      <c r="X63" s="182"/>
      <c r="Y63" s="182"/>
      <c r="Z63" s="220"/>
      <c r="AA63" s="182"/>
    </row>
    <row r="64" spans="1:27" s="221" customFormat="1" x14ac:dyDescent="0.35">
      <c r="A64" s="177">
        <f t="shared" si="16"/>
        <v>53</v>
      </c>
      <c r="B64" s="166"/>
      <c r="C64" s="166"/>
      <c r="D64" s="166"/>
      <c r="E64" s="178"/>
      <c r="F64" s="219"/>
      <c r="G64" s="180"/>
      <c r="H64" s="180"/>
      <c r="I64" s="180"/>
      <c r="J64" s="181"/>
      <c r="K64" s="181"/>
      <c r="L64" s="181"/>
      <c r="M64" s="182"/>
      <c r="N64" s="185"/>
      <c r="O64" s="184"/>
      <c r="P64" s="185"/>
      <c r="Q64" s="184"/>
      <c r="R64" s="186"/>
      <c r="S64" s="184"/>
      <c r="T64" s="182"/>
      <c r="U64" s="182"/>
      <c r="V64" s="182"/>
      <c r="W64" s="182"/>
      <c r="X64" s="182"/>
      <c r="Y64" s="182"/>
      <c r="Z64" s="220"/>
      <c r="AA64" s="182"/>
    </row>
    <row r="65" spans="1:27" s="221" customFormat="1" x14ac:dyDescent="0.35">
      <c r="A65" s="177">
        <f t="shared" si="16"/>
        <v>54</v>
      </c>
      <c r="B65" s="166"/>
      <c r="C65" s="166"/>
      <c r="D65" s="166"/>
      <c r="E65" s="178"/>
      <c r="F65" s="219"/>
      <c r="G65" s="180"/>
      <c r="H65" s="180"/>
      <c r="I65" s="181"/>
      <c r="J65" s="181"/>
      <c r="K65" s="181"/>
      <c r="L65" s="181"/>
      <c r="M65" s="182"/>
      <c r="N65" s="185"/>
      <c r="O65" s="184"/>
      <c r="P65" s="185"/>
      <c r="Q65" s="184"/>
      <c r="R65" s="186"/>
      <c r="S65" s="184"/>
      <c r="T65" s="182"/>
      <c r="U65" s="182"/>
      <c r="V65" s="182"/>
      <c r="W65" s="182"/>
      <c r="X65" s="182"/>
      <c r="Y65" s="182"/>
      <c r="Z65" s="220"/>
      <c r="AA65" s="182"/>
    </row>
    <row r="66" spans="1:27" s="221" customFormat="1" x14ac:dyDescent="0.35">
      <c r="A66" s="177">
        <f t="shared" si="16"/>
        <v>55</v>
      </c>
      <c r="B66" s="166"/>
      <c r="C66" s="166"/>
      <c r="D66" s="166"/>
      <c r="E66" s="178"/>
      <c r="F66" s="222"/>
      <c r="G66" s="180"/>
      <c r="H66" s="180"/>
      <c r="I66" s="180"/>
      <c r="J66" s="181"/>
      <c r="K66" s="181"/>
      <c r="L66" s="181"/>
      <c r="M66" s="182"/>
      <c r="N66" s="185"/>
      <c r="O66" s="184"/>
      <c r="P66" s="185"/>
      <c r="Q66" s="184"/>
      <c r="R66" s="186"/>
      <c r="S66" s="184"/>
      <c r="T66" s="182"/>
      <c r="U66" s="182"/>
      <c r="V66" s="182"/>
      <c r="W66" s="182"/>
      <c r="X66" s="182"/>
      <c r="Y66" s="182"/>
      <c r="AA66" s="182"/>
    </row>
    <row r="67" spans="1:27" x14ac:dyDescent="0.35">
      <c r="L67" s="223"/>
    </row>
    <row r="68" spans="1:27" x14ac:dyDescent="0.35">
      <c r="A68" s="177">
        <f>+A66+1</f>
        <v>56</v>
      </c>
      <c r="B68" s="224"/>
      <c r="C68" s="166"/>
      <c r="D68" s="166"/>
      <c r="E68" s="178"/>
      <c r="F68" s="225"/>
      <c r="G68" s="180"/>
      <c r="H68" s="180"/>
      <c r="I68" s="180"/>
      <c r="J68" s="181"/>
      <c r="K68" s="181"/>
      <c r="L68" s="181"/>
      <c r="M68" s="226"/>
      <c r="N68" s="185"/>
      <c r="O68" s="184"/>
      <c r="P68" s="185"/>
      <c r="Q68" s="184"/>
      <c r="R68" s="186"/>
      <c r="S68" s="184"/>
      <c r="T68" s="182"/>
      <c r="U68" s="182"/>
      <c r="V68" s="182"/>
      <c r="W68" s="182"/>
      <c r="X68" s="182"/>
      <c r="Y68" s="182"/>
      <c r="AA68" s="182"/>
    </row>
    <row r="69" spans="1:27" x14ac:dyDescent="0.35">
      <c r="A69" s="177">
        <f t="shared" ref="A69:A70" si="17">+A68+1</f>
        <v>57</v>
      </c>
      <c r="B69" s="224"/>
      <c r="C69" s="166"/>
      <c r="D69" s="166"/>
      <c r="E69" s="178"/>
      <c r="F69" s="225"/>
      <c r="G69" s="180"/>
      <c r="H69" s="180"/>
      <c r="I69" s="180"/>
      <c r="J69" s="181"/>
      <c r="K69" s="181"/>
      <c r="L69" s="181"/>
      <c r="M69" s="226"/>
      <c r="N69" s="185"/>
      <c r="O69" s="184"/>
      <c r="P69" s="185"/>
      <c r="Q69" s="184"/>
      <c r="R69" s="186"/>
      <c r="S69" s="184"/>
      <c r="T69" s="182"/>
      <c r="U69" s="182"/>
      <c r="V69" s="182"/>
      <c r="W69" s="182"/>
      <c r="X69" s="182"/>
      <c r="Y69" s="182"/>
      <c r="AA69" s="182"/>
    </row>
    <row r="70" spans="1:27" x14ac:dyDescent="0.35">
      <c r="A70" s="177">
        <f t="shared" si="17"/>
        <v>58</v>
      </c>
      <c r="B70" s="224"/>
      <c r="C70" s="166"/>
      <c r="D70" s="166"/>
      <c r="E70" s="178"/>
      <c r="F70" s="225"/>
      <c r="G70" s="180"/>
      <c r="H70" s="180"/>
      <c r="I70" s="180"/>
      <c r="J70" s="181"/>
      <c r="K70" s="181"/>
      <c r="L70" s="181"/>
      <c r="M70" s="226"/>
      <c r="N70" s="185"/>
      <c r="O70" s="184"/>
      <c r="P70" s="185"/>
      <c r="Q70" s="184"/>
      <c r="R70" s="186"/>
      <c r="S70" s="184"/>
      <c r="T70" s="182"/>
      <c r="U70" s="182"/>
      <c r="V70" s="182"/>
      <c r="W70" s="182"/>
      <c r="X70" s="182"/>
      <c r="Y70" s="182"/>
      <c r="AA70" s="182"/>
    </row>
    <row r="71" spans="1:27" x14ac:dyDescent="0.35">
      <c r="B71" s="227"/>
    </row>
  </sheetData>
  <mergeCells count="15">
    <mergeCell ref="A3:E3"/>
    <mergeCell ref="F3:Y3"/>
    <mergeCell ref="A4:A5"/>
    <mergeCell ref="D4:D5"/>
    <mergeCell ref="E4:E5"/>
    <mergeCell ref="F4:G4"/>
    <mergeCell ref="H4:I4"/>
    <mergeCell ref="J4:K4"/>
    <mergeCell ref="L4:M4"/>
    <mergeCell ref="N4:O4"/>
    <mergeCell ref="P4:Q4"/>
    <mergeCell ref="R4:S4"/>
    <mergeCell ref="T4:U4"/>
    <mergeCell ref="V4:W4"/>
    <mergeCell ref="X4:Y4"/>
  </mergeCells>
  <conditionalFormatting sqref="A3:D3 A71:D145 D4 A4:A5 B5:C5">
    <cfRule type="cellIs" dxfId="51" priority="7" stopIfTrue="1" operator="lessThan">
      <formula>1</formula>
    </cfRule>
  </conditionalFormatting>
  <conditionalFormatting sqref="A6:D67">
    <cfRule type="cellIs" dxfId="50" priority="4" stopIfTrue="1" operator="lessThan">
      <formula>1</formula>
    </cfRule>
  </conditionalFormatting>
  <conditionalFormatting sqref="A68:D70">
    <cfRule type="cellIs" dxfId="49" priority="1" stopIfTrue="1" operator="lessThan">
      <formula>1</formula>
    </cfRule>
  </conditionalFormatting>
  <conditionalFormatting sqref="A159:D163">
    <cfRule type="cellIs" dxfId="48" priority="6" stopIfTrue="1" operator="lessThan">
      <formula>1</formula>
    </cfRule>
  </conditionalFormatting>
  <conditionalFormatting sqref="A170:D172">
    <cfRule type="cellIs" dxfId="47" priority="5" stopIfTrue="1" operator="lessThan">
      <formula>1</formula>
    </cfRule>
  </conditionalFormatting>
  <conditionalFormatting sqref="D1:D3 D71:D1048576 D6:D67">
    <cfRule type="duplicateValues" dxfId="46" priority="2"/>
  </conditionalFormatting>
  <conditionalFormatting sqref="D6:D66">
    <cfRule type="duplicateValues" dxfId="45" priority="3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XEX51"/>
  <sheetViews>
    <sheetView tabSelected="1" workbookViewId="0">
      <selection activeCell="U2" sqref="U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customWidth="1"/>
    <col min="11" max="11" width="6.54296875" hidden="1" customWidth="1"/>
    <col min="12" max="12" width="9" hidden="1" customWidth="1"/>
    <col min="13" max="13" width="8" hidden="1" customWidth="1"/>
    <col min="14" max="14" width="9.1796875" style="61" hidden="1" customWidth="1"/>
    <col min="15" max="15" width="9.54296875" hidden="1" customWidth="1"/>
    <col min="16" max="16" width="8.453125" hidden="1" customWidth="1"/>
    <col min="17" max="17" width="7.54296875" bestFit="1" customWidth="1"/>
    <col min="18" max="18" width="7.1796875" bestFit="1" customWidth="1"/>
    <col min="19" max="19" width="28.7265625" customWidth="1"/>
    <col min="20" max="20" width="17.7265625" customWidth="1"/>
  </cols>
  <sheetData>
    <row r="1" spans="1:20 16377:16378" ht="15" thickBot="1" x14ac:dyDescent="0.4"/>
    <row r="2" spans="1:20 16377:16378" ht="21" x14ac:dyDescent="0.5">
      <c r="A2" s="366" t="s">
        <v>91</v>
      </c>
      <c r="B2" s="366"/>
      <c r="C2" s="366"/>
      <c r="E2" s="353" t="s">
        <v>499</v>
      </c>
      <c r="F2" s="354"/>
      <c r="G2" s="354"/>
      <c r="H2" s="351" t="s">
        <v>516</v>
      </c>
      <c r="I2" s="351"/>
      <c r="J2" s="352"/>
      <c r="R2" s="348" t="s">
        <v>498</v>
      </c>
      <c r="S2" s="349"/>
      <c r="T2" s="350"/>
    </row>
    <row r="3" spans="1:20 16377:16378" ht="21.75" customHeight="1" thickBot="1" x14ac:dyDescent="0.4">
      <c r="A3" s="367" t="s">
        <v>92</v>
      </c>
      <c r="B3" s="367"/>
      <c r="C3" s="367"/>
      <c r="E3" s="357" t="s">
        <v>512</v>
      </c>
      <c r="F3" s="358"/>
      <c r="G3" s="358"/>
      <c r="H3" s="355">
        <f ca="1">TODAY()</f>
        <v>46245</v>
      </c>
      <c r="I3" s="355"/>
      <c r="J3" s="356"/>
      <c r="K3" s="368" t="s">
        <v>43</v>
      </c>
      <c r="L3" s="368"/>
      <c r="M3" s="368"/>
      <c r="N3" s="367"/>
      <c r="O3" s="367"/>
      <c r="P3" s="367"/>
      <c r="R3" s="299">
        <v>1</v>
      </c>
      <c r="S3" s="300" t="str">
        <f>+'1'!A6:A6</f>
        <v>SK Super Store</v>
      </c>
      <c r="T3" s="301">
        <f>+'1'!P35</f>
        <v>6969.3689604661022</v>
      </c>
      <c r="XEW3" t="s">
        <v>80</v>
      </c>
      <c r="XEX3" s="135">
        <v>5.0000000000000001E-3</v>
      </c>
    </row>
    <row r="4" spans="1:20 16377:16378" ht="21.75" customHeight="1" thickBot="1" x14ac:dyDescent="0.4">
      <c r="J4" s="81"/>
      <c r="K4" s="99"/>
      <c r="L4" s="252"/>
      <c r="R4" s="299">
        <v>2</v>
      </c>
      <c r="S4" s="300" t="str">
        <f>+'2'!A6:A6</f>
        <v xml:space="preserve">Kashmir Bakers </v>
      </c>
      <c r="T4" s="301">
        <f>+'2'!P35</f>
        <v>1669.1779134915255</v>
      </c>
      <c r="XEX4" t="s">
        <v>105</v>
      </c>
    </row>
    <row r="5" spans="1:20 16377:16378" ht="21.75" customHeight="1" thickBot="1" x14ac:dyDescent="0.4">
      <c r="A5" s="387" t="s">
        <v>51</v>
      </c>
      <c r="B5" s="359"/>
      <c r="C5" s="389" t="s">
        <v>90</v>
      </c>
      <c r="D5" s="115" t="s">
        <v>52</v>
      </c>
      <c r="E5" s="391" t="s">
        <v>58</v>
      </c>
      <c r="F5" s="392"/>
      <c r="G5" s="364" t="s">
        <v>54</v>
      </c>
      <c r="H5" s="365"/>
      <c r="I5" s="393" t="s">
        <v>77</v>
      </c>
      <c r="J5" s="363" t="s">
        <v>55</v>
      </c>
      <c r="K5" s="364"/>
      <c r="L5" s="365"/>
      <c r="M5" s="359" t="s">
        <v>84</v>
      </c>
      <c r="N5" s="361" t="s">
        <v>495</v>
      </c>
      <c r="O5" s="103" t="s">
        <v>89</v>
      </c>
      <c r="P5" s="115" t="s">
        <v>56</v>
      </c>
      <c r="Q5" s="315" t="s">
        <v>511</v>
      </c>
      <c r="R5" s="314">
        <v>3</v>
      </c>
      <c r="S5" s="300" t="str">
        <f>+'3'!A6:A6</f>
        <v xml:space="preserve">Haji Charagh Deen </v>
      </c>
      <c r="T5" s="301">
        <f>+'3'!P35</f>
        <v>2193.619906449152</v>
      </c>
      <c r="XEX5" t="s">
        <v>106</v>
      </c>
    </row>
    <row r="6" spans="1:20 16377:16378" ht="21.75" customHeight="1" thickBot="1" x14ac:dyDescent="0.4">
      <c r="A6" s="388"/>
      <c r="B6" s="360"/>
      <c r="C6" s="390"/>
      <c r="D6" s="111" t="s">
        <v>57</v>
      </c>
      <c r="E6" s="143" t="s">
        <v>494</v>
      </c>
      <c r="F6" s="145" t="s">
        <v>53</v>
      </c>
      <c r="G6" s="265" t="s">
        <v>52</v>
      </c>
      <c r="H6" s="146" t="s">
        <v>41</v>
      </c>
      <c r="I6" s="362"/>
      <c r="J6" s="143" t="s">
        <v>59</v>
      </c>
      <c r="K6" s="144" t="s">
        <v>39</v>
      </c>
      <c r="L6" s="145" t="s">
        <v>493</v>
      </c>
      <c r="M6" s="360"/>
      <c r="N6" s="362"/>
      <c r="O6" s="228" t="e">
        <f>IF(#REF!="Filer",0.5%,2.5%)</f>
        <v>#REF!</v>
      </c>
      <c r="P6" s="111" t="s">
        <v>38</v>
      </c>
      <c r="Q6" s="315" t="s">
        <v>510</v>
      </c>
      <c r="R6" s="314">
        <v>4</v>
      </c>
      <c r="S6" s="300" t="str">
        <f>+'4'!A6:A6</f>
        <v xml:space="preserve">Hazrat Karmanwala </v>
      </c>
      <c r="T6" s="301">
        <f>+'4'!P35</f>
        <v>834.58895674576274</v>
      </c>
      <c r="XEX6" t="s">
        <v>72</v>
      </c>
    </row>
    <row r="7" spans="1:20 16377:16378" ht="21.75" customHeight="1" x14ac:dyDescent="0.35">
      <c r="A7" s="104" t="s">
        <v>453</v>
      </c>
      <c r="B7" s="306" t="str">
        <f>VLOOKUP($A7,'Cust. Price List'!$D$6:$O$14,2,0)</f>
        <v xml:space="preserve">Meat Masala </v>
      </c>
      <c r="C7" s="105">
        <f>VLOOKUP(A7,'Cust. Price List'!D6:M14,3,0)</f>
        <v>70</v>
      </c>
      <c r="D7" s="283">
        <f>VLOOKUP(A7,'Cust. Price List'!D6:M14,4,0)</f>
        <v>40</v>
      </c>
      <c r="E7" s="289">
        <f>VLOOKUP(A7,'Cust. Price List'!D6:M14,6,0)</f>
        <v>65</v>
      </c>
      <c r="F7" s="290">
        <f>VLOOKUP(A7,'Cust. Price List'!D6:M14,10,0)</f>
        <v>52.462499999999999</v>
      </c>
      <c r="G7" s="286">
        <f>+'1'!G16+'2'!G16+'3'!G16+'4'!G16+'5'!G16+'6'!G16+'7'!G16+'8'!G16+'9'!G16+'10'!G16+'11'!G16+'12'!G16+'13'!G16+'14'!G16+'15'!G16+'16'!G16+'17'!G16+'18'!G16+'19'!G16+'20'!G16+'21'!G16+'22'!G16+'23'!G16+'24'!G16+'25'!G16+'26'!G16+'27'!G16+'28'!G16+'29'!G16+'30'!G16</f>
        <v>0</v>
      </c>
      <c r="H7" s="309">
        <f>+'1'!H16+'2'!H16+'3'!H16+'4'!H16+'5'!H16+'6'!H16+'7'!H16+'8'!H16+'9'!H16+'10'!H16+'11'!H16+'12'!H16+'13'!H16+'14'!H16+'15'!H16+'16'!H16+'17'!H16+'18'!H16+'19'!H16+'20'!H16+'21'!H16+'22'!H16+'23'!H16+'24'!H16+'25'!H16+'26'!H16+'27'!H16+'28'!H16+'29'!H16+'30'!H16</f>
        <v>72</v>
      </c>
      <c r="I7" s="235">
        <f>(G7*D7)*F7+H7*F7</f>
        <v>3777.2999999999997</v>
      </c>
      <c r="J7" s="286">
        <f>+'1'!J16+'2'!J16+'3'!J16+'4'!J16+'5'!J16+'6'!J16+'7'!J16+'8'!J16+'9'!J16+'10'!J16+'11'!J16+'12'!J16+'13'!J16+'14'!J16+'15'!J16+'16'!J16+'17'!J16+'18'!J16+'19'!J16+'20'!J16+'21'!J16+'22'!J16+'23'!J16+'24'!J16+'25'!J16+'26'!J16+'27'!J16+'28'!J16+'29'!J16+'30'!J16</f>
        <v>302.18399999999997</v>
      </c>
      <c r="K7" s="286">
        <f>+'1'!K16+'2'!K16+'3'!K16+'4'!K16+'5'!K16+'6'!K16+'7'!K16+'8'!K16+'9'!K16+'10'!K16+'11'!K16+'12'!K16+'13'!K16+'14'!K16+'15'!K16+'16'!K16+'17'!K16+'18'!K16+'19'!K16+'20'!K16+'21'!K16+'22'!K16+'23'!K16+'24'!K16+'25'!K16+'26'!K16+'27'!K16+'28'!K16+'29'!K16+'30'!K16</f>
        <v>132.2055</v>
      </c>
      <c r="L7" s="286">
        <f>+'1'!L16+'2'!L16+'3'!L16+'4'!L16+'5'!L16+'6'!L16+'7'!L16+'8'!L16+'9'!L16+'10'!L16+'11'!L16+'12'!L16+'13'!L16+'14'!L16+'15'!L16+'16'!L16+'17'!L16+'18'!L16+'19'!L16+'20'!L16+'21'!L16+'22'!L16+'23'!L16+'24'!L16+'25'!L16+'26'!L16+'27'!L16+'28'!L16+'29'!L16+'30'!L16</f>
        <v>0</v>
      </c>
      <c r="M7" s="229">
        <f>I7-SUM(J7:L7)</f>
        <v>3342.9105</v>
      </c>
      <c r="N7" s="286">
        <f>+'1'!N16+'2'!N16+'3'!N16+'4'!N16+'5'!N16+'6'!N16+'7'!N16+'8'!N16+'9'!N16+'10'!N16+'11'!N16+'12'!N16+'13'!N16+'14'!N16+'15'!N16+'16'!N16+'17'!N16+'18'!N16+'19'!N16+'20'!N16+'21'!N16+'22'!N16+'23'!N16+'24'!N16+'25'!N16+'26'!N16+'27'!N16+'28'!N16+'29'!N16+'30'!N16</f>
        <v>713.89830508474552</v>
      </c>
      <c r="O7" s="286">
        <f>+'1'!O16+'2'!O16+'3'!O16+'4'!O16+'5'!O16+'6'!O16+'7'!O16+'8'!O16+'9'!O16+'10'!O16+'11'!O16+'12'!O16+'13'!O16+'14'!O16+'15'!O16+'16'!O16+'17'!O16+'18'!O16+'19'!O16+'20'!O16+'21'!O16+'22'!O16+'23'!O16+'24'!O16+'25'!O16+'26'!O16+'27'!O16+'28'!O16+'29'!O16+'30'!O16</f>
        <v>20.284044025423729</v>
      </c>
      <c r="P7" s="310">
        <f>M7+N7+O7</f>
        <v>4077.092849110169</v>
      </c>
      <c r="Q7" s="213">
        <f>+'1'!Q16+'2'!Q16+'3'!Q16+'4'!Q16+'5'!Q16+'6'!Q16+'7'!Q16+'8'!Q16+'9'!Q16+'10'!Q16+'11'!Q16+'12'!Q16+'13'!Q16+'14'!Q16+'15'!Q16+'16'!Q16+'17'!Q16+'18'!Q16+'19'!Q16+'20'!Q16+'21'!Q16+'22'!Q16+'23'!Q16+'24'!Q16+'25'!Q16+'26'!Q16+'27'!Q16+'28'!Q16+'29'!Q16+'30'!Q16</f>
        <v>0</v>
      </c>
      <c r="R7" s="314">
        <v>5</v>
      </c>
      <c r="S7" s="300" t="str">
        <f>+'5'!A6:A6</f>
        <v xml:space="preserve">MA Mart </v>
      </c>
      <c r="T7" s="301">
        <f>+'5'!P35</f>
        <v>15607.915834423729</v>
      </c>
      <c r="XEX7" t="s">
        <v>107</v>
      </c>
    </row>
    <row r="8" spans="1:20 16377:16378" ht="21.75" customHeight="1" x14ac:dyDescent="0.35">
      <c r="A8" s="82" t="s">
        <v>455</v>
      </c>
      <c r="B8" s="307" t="str">
        <f>VLOOKUP($A8,'Cust. Price List'!$D$6:$O$14,2,0)</f>
        <v>Lemon Tarka</v>
      </c>
      <c r="C8" s="106">
        <f>VLOOKUP(B8,'Cust. Price List'!E7:P15,2,0)</f>
        <v>70</v>
      </c>
      <c r="D8" s="284">
        <f>VLOOKUP(A8,'Cust. Price List'!D7:M15,4,0)</f>
        <v>40</v>
      </c>
      <c r="E8" s="291">
        <f>VLOOKUP(A8,'Cust. Price List'!D7:M15,6,0)</f>
        <v>65</v>
      </c>
      <c r="F8" s="292">
        <f>VLOOKUP(A8,'Cust. Price List'!D7:M15,10,0)</f>
        <v>52.462499999999999</v>
      </c>
      <c r="G8" s="286">
        <f>+'1'!G17+'2'!G17+'3'!G17+'4'!G17+'5'!G17+'6'!G17+'7'!G17+'8'!G17+'9'!G17+'10'!G17+'11'!G17+'12'!G17+'13'!G17+'14'!G17+'15'!G17+'16'!G17+'17'!G17+'18'!G17+'19'!G17+'20'!G17+'21'!G17+'22'!G17+'23'!G17+'24'!G17+'25'!G17+'26'!G17+'27'!G17+'28'!G17+'29'!G17+'30'!G17</f>
        <v>0</v>
      </c>
      <c r="H8" s="309">
        <f>+'1'!H17+'2'!H17+'3'!H17+'4'!H17+'5'!H17+'6'!H17+'7'!H17+'8'!H17+'9'!H17+'10'!H17+'11'!H17+'12'!H17+'13'!H17+'14'!H17+'15'!H17+'16'!H17+'17'!H17+'18'!H17+'19'!H17+'20'!H17+'21'!H17+'22'!H17+'23'!H17+'24'!H17+'25'!H17+'26'!H17+'27'!H17+'28'!H17+'29'!H17+'30'!H17</f>
        <v>72</v>
      </c>
      <c r="I8" s="236">
        <f t="shared" ref="I8:I14" si="0">(G8*D8)*F8+H8*F8</f>
        <v>3777.2999999999997</v>
      </c>
      <c r="J8" s="286">
        <f>+'1'!J17+'2'!J17+'3'!J17+'4'!J17+'5'!J17+'6'!J17+'7'!J17+'8'!J17+'9'!J17+'10'!J17+'11'!J17+'12'!J17+'13'!J17+'14'!J17+'15'!J17+'16'!J17+'17'!J17+'18'!J17+'19'!J17+'20'!J17+'21'!J17+'22'!J17+'23'!J17+'24'!J17+'25'!J17+'26'!J17+'27'!J17+'28'!J17+'29'!J17+'30'!J17</f>
        <v>302.18399999999997</v>
      </c>
      <c r="K8" s="286">
        <f>+'1'!K17+'2'!K17+'3'!K17+'4'!K17+'5'!K17+'6'!K17+'7'!K17+'8'!K17+'9'!K17+'10'!K17+'11'!K17+'12'!K17+'13'!K17+'14'!K17+'15'!K17+'16'!K17+'17'!K17+'18'!K17+'19'!K17+'20'!K17+'21'!K17+'22'!K17+'23'!K17+'24'!K17+'25'!K17+'26'!K17+'27'!K17+'28'!K17+'29'!K17+'30'!K17</f>
        <v>132.2055</v>
      </c>
      <c r="L8" s="286">
        <f>+'1'!L17+'2'!L17+'3'!L17+'4'!L17+'5'!L17+'6'!L17+'7'!L17+'8'!L17+'9'!L17+'10'!L17+'11'!L17+'12'!L17+'13'!L17+'14'!L17+'15'!L17+'16'!L17+'17'!L17+'18'!L17+'19'!L17+'20'!L17+'21'!L17+'22'!L17+'23'!L17+'24'!L17+'25'!L17+'26'!L17+'27'!L17+'28'!L17+'29'!L17+'30'!L17</f>
        <v>0</v>
      </c>
      <c r="M8" s="230">
        <f t="shared" ref="M8:M15" si="1">I8-SUM(J8:L8)</f>
        <v>3342.9105</v>
      </c>
      <c r="N8" s="286">
        <f>+'1'!N17+'2'!N17+'3'!N17+'4'!N17+'5'!N17+'6'!N17+'7'!N17+'8'!N17+'9'!N17+'10'!N17+'11'!N17+'12'!N17+'13'!N17+'14'!N17+'15'!N17+'16'!N17+'17'!N17+'18'!N17+'19'!N17+'20'!N17+'21'!N17+'22'!N17+'23'!N17+'24'!N17+'25'!N17+'26'!N17+'27'!N17+'28'!N17+'29'!N17+'30'!N17</f>
        <v>713.89830508474552</v>
      </c>
      <c r="O8" s="286">
        <f>+'1'!O17+'2'!O17+'3'!O17+'4'!O17+'5'!O17+'6'!O17+'7'!O17+'8'!O17+'9'!O17+'10'!O17+'11'!O17+'12'!O17+'13'!O17+'14'!O17+'15'!O17+'16'!O17+'17'!O17+'18'!O17+'19'!O17+'20'!O17+'21'!O17+'22'!O17+'23'!O17+'24'!O17+'25'!O17+'26'!O17+'27'!O17+'28'!O17+'29'!O17+'30'!O17</f>
        <v>20.284044025423729</v>
      </c>
      <c r="P8" s="311">
        <f t="shared" ref="P8:P15" si="2">M8+N8+O8</f>
        <v>4077.092849110169</v>
      </c>
      <c r="Q8" s="213">
        <f>+'1'!Q17+'2'!Q17+'3'!Q17+'4'!Q17+'5'!Q17+'6'!Q17+'7'!Q17+'8'!Q17+'9'!Q17+'10'!Q17+'11'!Q17+'12'!Q17+'13'!Q17+'14'!Q17+'15'!Q17+'16'!Q17+'17'!Q17+'18'!Q17+'19'!Q17+'20'!Q17+'21'!Q17+'22'!Q17+'23'!Q17+'24'!Q17+'25'!Q17+'26'!Q17+'27'!Q17+'28'!Q17+'29'!Q17+'30'!Q17</f>
        <v>0</v>
      </c>
      <c r="R8" s="314">
        <v>6</v>
      </c>
      <c r="S8" s="300" t="str">
        <f>+'6'!A6:A6</f>
        <v>Tahir GS</v>
      </c>
      <c r="T8" s="301">
        <f>+'6'!P35</f>
        <v>18817.269510508475</v>
      </c>
      <c r="XEX8" t="s">
        <v>108</v>
      </c>
    </row>
    <row r="9" spans="1:20 16377:16378" ht="21.75" customHeight="1" x14ac:dyDescent="0.35">
      <c r="A9" s="82" t="s">
        <v>457</v>
      </c>
      <c r="B9" s="307" t="str">
        <f>VLOOKUP($A9,'Cust. Price List'!$D$6:$O$14,2,0)</f>
        <v>Chicken Chatkhara</v>
      </c>
      <c r="C9" s="106">
        <f>VLOOKUP(B9,'Cust. Price List'!E8:P16,2,0)</f>
        <v>70</v>
      </c>
      <c r="D9" s="284">
        <f>VLOOKUP(A9,'Cust. Price List'!D8:M16,4,0)</f>
        <v>40</v>
      </c>
      <c r="E9" s="291">
        <f>VLOOKUP(A9,'Cust. Price List'!D8:M16,6,0)</f>
        <v>65</v>
      </c>
      <c r="F9" s="292">
        <f>VLOOKUP(A9,'Cust. Price List'!D8:M16,10,0)</f>
        <v>52.462499999999999</v>
      </c>
      <c r="G9" s="286">
        <f>+'1'!G18+'2'!G18+'3'!G18+'4'!G18+'5'!G18+'6'!G18+'7'!G18+'8'!G18+'9'!G18+'10'!G18+'11'!G18+'12'!G18+'13'!G18+'14'!G18+'15'!G18+'16'!G18+'17'!G18+'18'!G18+'19'!G18+'20'!G18+'21'!G18+'22'!G18+'23'!G18+'24'!G18+'25'!G18+'26'!G18+'27'!G18+'28'!G18+'29'!G18+'30'!G18</f>
        <v>0</v>
      </c>
      <c r="H9" s="309">
        <f>+'1'!H18+'2'!H18+'3'!H18+'4'!H18+'5'!H18+'6'!H18+'7'!H18+'8'!H18+'9'!H18+'10'!H18+'11'!H18+'12'!H18+'13'!H18+'14'!H18+'15'!H18+'16'!H18+'17'!H18+'18'!H18+'19'!H18+'20'!H18+'21'!H18+'22'!H18+'23'!H18+'24'!H18+'25'!H18+'26'!H18+'27'!H18+'28'!H18+'29'!H18+'30'!H18</f>
        <v>0</v>
      </c>
      <c r="I9" s="236">
        <f t="shared" si="0"/>
        <v>0</v>
      </c>
      <c r="J9" s="286">
        <f>+'1'!J18+'2'!J18+'3'!J18+'4'!J18+'5'!J18+'6'!J18+'7'!J18+'8'!J18+'9'!J18+'10'!J18+'11'!J18+'12'!J18+'13'!J18+'14'!J18+'15'!J18+'16'!J18+'17'!J18+'18'!J18+'19'!J18+'20'!J18+'21'!J18+'22'!J18+'23'!J18+'24'!J18+'25'!J18+'26'!J18+'27'!J18+'28'!J18+'29'!J18+'30'!J18</f>
        <v>0</v>
      </c>
      <c r="K9" s="286">
        <f>+'1'!K18+'2'!K18+'3'!K18+'4'!K18+'5'!K18+'6'!K18+'7'!K18+'8'!K18+'9'!K18+'10'!K18+'11'!K18+'12'!K18+'13'!K18+'14'!K18+'15'!K18+'16'!K18+'17'!K18+'18'!K18+'19'!K18+'20'!K18+'21'!K18+'22'!K18+'23'!K18+'24'!K18+'25'!K18+'26'!K18+'27'!K18+'28'!K18+'29'!K18+'30'!K18</f>
        <v>0</v>
      </c>
      <c r="L9" s="286">
        <f>+'1'!L18+'2'!L18+'3'!L18+'4'!L18+'5'!L18+'6'!L18+'7'!L18+'8'!L18+'9'!L18+'10'!L18+'11'!L18+'12'!L18+'13'!L18+'14'!L18+'15'!L18+'16'!L18+'17'!L18+'18'!L18+'19'!L18+'20'!L18+'21'!L18+'22'!L18+'23'!L18+'24'!L18+'25'!L18+'26'!L18+'27'!L18+'28'!L18+'29'!L18+'30'!L18</f>
        <v>0</v>
      </c>
      <c r="M9" s="230">
        <f t="shared" si="1"/>
        <v>0</v>
      </c>
      <c r="N9" s="286">
        <f>+'1'!N18+'2'!N18+'3'!N18+'4'!N18+'5'!N18+'6'!N18+'7'!N18+'8'!N18+'9'!N18+'10'!N18+'11'!N18+'12'!N18+'13'!N18+'14'!N18+'15'!N18+'16'!N18+'17'!N18+'18'!N18+'19'!N18+'20'!N18+'21'!N18+'22'!N18+'23'!N18+'24'!N18+'25'!N18+'26'!N18+'27'!N18+'28'!N18+'29'!N18+'30'!N18</f>
        <v>0</v>
      </c>
      <c r="O9" s="286">
        <f>+'1'!O18+'2'!O18+'3'!O18+'4'!O18+'5'!O18+'6'!O18+'7'!O18+'8'!O18+'9'!O18+'10'!O18+'11'!O18+'12'!O18+'13'!O18+'14'!O18+'15'!O18+'16'!O18+'17'!O18+'18'!O18+'19'!O18+'20'!O18+'21'!O18+'22'!O18+'23'!O18+'24'!O18+'25'!O18+'26'!O18+'27'!O18+'28'!O18+'29'!O18+'30'!O18</f>
        <v>0</v>
      </c>
      <c r="P9" s="311">
        <f t="shared" si="2"/>
        <v>0</v>
      </c>
      <c r="Q9" s="213">
        <f>+'1'!Q18+'2'!Q18+'3'!Q18+'4'!Q18+'5'!Q18+'6'!Q18+'7'!Q18+'8'!Q18+'9'!Q18+'10'!Q18+'11'!Q18+'12'!Q18+'13'!Q18+'14'!Q18+'15'!Q18+'16'!Q18+'17'!Q18+'18'!Q18+'19'!Q18+'20'!Q18+'21'!Q18+'22'!Q18+'23'!Q18+'24'!Q18+'25'!Q18+'26'!Q18+'27'!Q18+'28'!Q18+'29'!Q18+'30'!Q18</f>
        <v>0</v>
      </c>
      <c r="R9" s="314">
        <v>7</v>
      </c>
      <c r="S9" s="300" t="str">
        <f>+'7'!A6:A6</f>
        <v>Iftakhar General Store</v>
      </c>
      <c r="T9" s="301">
        <f>+'7'!P35</f>
        <v>1669.1779134915255</v>
      </c>
    </row>
    <row r="10" spans="1:20 16377:16378" ht="21.75" customHeight="1" x14ac:dyDescent="0.35">
      <c r="A10" s="82" t="s">
        <v>459</v>
      </c>
      <c r="B10" s="307" t="str">
        <f>VLOOKUP($A10,'Cust. Price List'!$D$6:$O$14,2,0)</f>
        <v>Meat Masala (Jumbo)</v>
      </c>
      <c r="C10" s="106">
        <f>VLOOKUP(B10,'Cust. Price List'!E9:P17,2,0)</f>
        <v>120</v>
      </c>
      <c r="D10" s="284">
        <f>VLOOKUP(A10,'Cust. Price List'!D9:M17,4,0)</f>
        <v>40</v>
      </c>
      <c r="E10" s="291">
        <f>VLOOKUP(A10,'Cust. Price List'!D9:M17,6,0)</f>
        <v>90</v>
      </c>
      <c r="F10" s="292">
        <f>VLOOKUP(A10,'Cust. Price List'!D9:M17,10,0)</f>
        <v>72.64</v>
      </c>
      <c r="G10" s="286">
        <f>+'1'!G19+'2'!G19+'3'!G19+'4'!G19+'5'!G19+'6'!G19+'7'!G19+'8'!G19+'9'!G19+'10'!G19+'11'!G19+'12'!G19+'13'!G19+'14'!G19+'15'!G19+'16'!G19+'17'!G19+'18'!G19+'19'!G19+'20'!G19+'21'!G19+'22'!G19+'23'!G19+'24'!G19+'25'!G19+'26'!G19+'27'!G19+'28'!G19+'29'!G19+'30'!G19</f>
        <v>0</v>
      </c>
      <c r="H10" s="309">
        <f>+'1'!H19+'2'!H19+'3'!H19+'4'!H19+'5'!H19+'6'!H19+'7'!H19+'8'!H19+'9'!H19+'10'!H19+'11'!H19+'12'!H19+'13'!H19+'14'!H19+'15'!H19+'16'!H19+'17'!H19+'18'!H19+'19'!H19+'20'!H19+'21'!H19+'22'!H19+'23'!H19+'24'!H19+'25'!H19+'26'!H19+'27'!H19+'28'!H19+'29'!H19+'30'!H19</f>
        <v>200</v>
      </c>
      <c r="I10" s="236">
        <f t="shared" si="0"/>
        <v>14528</v>
      </c>
      <c r="J10" s="286">
        <f>+'1'!J19+'2'!J19+'3'!J19+'4'!J19+'5'!J19+'6'!J19+'7'!J19+'8'!J19+'9'!J19+'10'!J19+'11'!J19+'12'!J19+'13'!J19+'14'!J19+'15'!J19+'16'!J19+'17'!J19+'18'!J19+'19'!J19+'20'!J19+'21'!J19+'22'!J19+'23'!J19+'24'!J19+'25'!J19+'26'!J19+'27'!J19+'28'!J19+'29'!J19+'30'!J19</f>
        <v>1162.24</v>
      </c>
      <c r="K10" s="286">
        <f>+'1'!K19+'2'!K19+'3'!K19+'4'!K19+'5'!K19+'6'!K19+'7'!K19+'8'!K19+'9'!K19+'10'!K19+'11'!K19+'12'!K19+'13'!K19+'14'!K19+'15'!K19+'16'!K19+'17'!K19+'18'!K19+'19'!K19+'20'!K19+'21'!K19+'22'!K19+'23'!K19+'24'!K19+'25'!K19+'26'!K19+'27'!K19+'28'!K19+'29'!K19+'30'!K19</f>
        <v>508.48</v>
      </c>
      <c r="L10" s="286">
        <f>+'1'!L19+'2'!L19+'3'!L19+'4'!L19+'5'!L19+'6'!L19+'7'!L19+'8'!L19+'9'!L19+'10'!L19+'11'!L19+'12'!L19+'13'!L19+'14'!L19+'15'!L19+'16'!L19+'17'!L19+'18'!L19+'19'!L19+'20'!L19+'21'!L19+'22'!L19+'23'!L19+'24'!L19+'25'!L19+'26'!L19+'27'!L19+'28'!L19+'29'!L19+'30'!L19</f>
        <v>0</v>
      </c>
      <c r="M10" s="230">
        <f t="shared" si="1"/>
        <v>12857.28</v>
      </c>
      <c r="N10" s="286">
        <f>+'1'!N19+'2'!N19+'3'!N19+'4'!N19+'5'!N19+'6'!N19+'7'!N19+'8'!N19+'9'!N19+'10'!N19+'11'!N19+'12'!N19+'13'!N19+'14'!N19+'15'!N19+'16'!N19+'17'!N19+'18'!N19+'19'!N19+'20'!N19+'21'!N19+'22'!N19+'23'!N19+'24'!N19+'25'!N19+'26'!N19+'27'!N19+'28'!N19+'29'!N19+'30'!N19</f>
        <v>2745.7627118644068</v>
      </c>
      <c r="O10" s="286">
        <f>+'1'!O19+'2'!O19+'3'!O19+'4'!O19+'5'!O19+'6'!O19+'7'!O19+'8'!O19+'9'!O19+'10'!O19+'11'!O19+'12'!O19+'13'!O19+'14'!O19+'15'!O19+'16'!O19+'17'!O19+'18'!O19+'19'!O19+'20'!O19+'21'!O19+'22'!O19+'23'!O19+'24'!O19+'25'!O19+'26'!O19+'27'!O19+'28'!O19+'29'!O19+'30'!O19</f>
        <v>78.015213559322035</v>
      </c>
      <c r="P10" s="311">
        <f t="shared" si="2"/>
        <v>15681.057925423729</v>
      </c>
      <c r="Q10" s="213">
        <f>+'1'!Q19+'2'!Q19+'3'!Q19+'4'!Q19+'5'!Q19+'6'!Q19+'7'!Q19+'8'!Q19+'9'!Q19+'10'!Q19+'11'!Q19+'12'!Q19+'13'!Q19+'14'!Q19+'15'!Q19+'16'!Q19+'17'!Q19+'18'!Q19+'19'!Q19+'20'!Q19+'21'!Q19+'22'!Q19+'23'!Q19+'24'!Q19+'25'!Q19+'26'!Q19+'27'!Q19+'28'!Q19+'29'!Q19+'30'!Q19</f>
        <v>0</v>
      </c>
      <c r="R10" s="314">
        <v>8</v>
      </c>
      <c r="S10" s="300" t="str">
        <f>+'8'!A6:A6</f>
        <v>Fine Dedical Store</v>
      </c>
      <c r="T10" s="301">
        <f>+'8'!P35</f>
        <v>0</v>
      </c>
    </row>
    <row r="11" spans="1:20 16377:16378" ht="21.75" customHeight="1" x14ac:dyDescent="0.35">
      <c r="A11" s="82" t="s">
        <v>461</v>
      </c>
      <c r="B11" s="307" t="str">
        <f>VLOOKUP($A11,'Cust. Price List'!$D$6:$O$14,2,0)</f>
        <v>Lemon Tarka (Jumbo)</v>
      </c>
      <c r="C11" s="106">
        <f>VLOOKUP(B11,'Cust. Price List'!E10:P18,2,0)</f>
        <v>120</v>
      </c>
      <c r="D11" s="284">
        <f>VLOOKUP(A11,'Cust. Price List'!D10:M18,4,0)</f>
        <v>40</v>
      </c>
      <c r="E11" s="291">
        <f>VLOOKUP(A11,'Cust. Price List'!D10:M18,6,0)</f>
        <v>90</v>
      </c>
      <c r="F11" s="292">
        <f>VLOOKUP(A11,'Cust. Price List'!D10:M18,10,0)</f>
        <v>72.64</v>
      </c>
      <c r="G11" s="286">
        <f>+'1'!G20+'2'!G20+'3'!G20+'4'!G20+'5'!G20+'6'!G20+'7'!G20+'8'!G20+'9'!G20+'10'!G20+'11'!G20+'12'!G20+'13'!G20+'14'!G20+'15'!G20+'16'!G20+'17'!G20+'18'!G20+'19'!G20+'20'!G20+'21'!G20+'22'!G20+'23'!G20+'24'!G20+'25'!G20+'26'!G20+'27'!G20+'28'!G20+'29'!G20+'30'!G20</f>
        <v>0</v>
      </c>
      <c r="H11" s="309">
        <f>+'1'!H20+'2'!H20+'3'!H20+'4'!H20+'5'!H20+'6'!H20+'7'!H20+'8'!H20+'9'!H20+'10'!H20+'11'!H20+'12'!H20+'13'!H20+'14'!H20+'15'!H20+'16'!H20+'17'!H20+'18'!H20+'19'!H20+'20'!H20+'21'!H20+'22'!H20+'23'!H20+'24'!H20+'25'!H20+'26'!H20+'27'!H20+'28'!H20+'29'!H20+'30'!H20</f>
        <v>40</v>
      </c>
      <c r="I11" s="236">
        <f t="shared" si="0"/>
        <v>2905.6</v>
      </c>
      <c r="J11" s="286">
        <f>+'1'!J20+'2'!J20+'3'!J20+'4'!J20+'5'!J20+'6'!J20+'7'!J20+'8'!J20+'9'!J20+'10'!J20+'11'!J20+'12'!J20+'13'!J20+'14'!J20+'15'!J20+'16'!J20+'17'!J20+'18'!J20+'19'!J20+'20'!J20+'21'!J20+'22'!J20+'23'!J20+'24'!J20+'25'!J20+'26'!J20+'27'!J20+'28'!J20+'29'!J20+'30'!J20</f>
        <v>232.44800000000001</v>
      </c>
      <c r="K11" s="286">
        <f>+'1'!K20+'2'!K20+'3'!K20+'4'!K20+'5'!K20+'6'!K20+'7'!K20+'8'!K20+'9'!K20+'10'!K20+'11'!K20+'12'!K20+'13'!K20+'14'!K20+'15'!K20+'16'!K20+'17'!K20+'18'!K20+'19'!K20+'20'!K20+'21'!K20+'22'!K20+'23'!K20+'24'!K20+'25'!K20+'26'!K20+'27'!K20+'28'!K20+'29'!K20+'30'!K20</f>
        <v>101.69600000000001</v>
      </c>
      <c r="L11" s="286">
        <f>+'1'!L20+'2'!L20+'3'!L20+'4'!L20+'5'!L20+'6'!L20+'7'!L20+'8'!L20+'9'!L20+'10'!L20+'11'!L20+'12'!L20+'13'!L20+'14'!L20+'15'!L20+'16'!L20+'17'!L20+'18'!L20+'19'!L20+'20'!L20+'21'!L20+'22'!L20+'23'!L20+'24'!L20+'25'!L20+'26'!L20+'27'!L20+'28'!L20+'29'!L20+'30'!L20</f>
        <v>0</v>
      </c>
      <c r="M11" s="230">
        <f t="shared" si="1"/>
        <v>2571.4560000000001</v>
      </c>
      <c r="N11" s="286">
        <f>+'1'!N20+'2'!N20+'3'!N20+'4'!N20+'5'!N20+'6'!N20+'7'!N20+'8'!N20+'9'!N20+'10'!N20+'11'!N20+'12'!N20+'13'!N20+'14'!N20+'15'!N20+'16'!N20+'17'!N20+'18'!N20+'19'!N20+'20'!N20+'21'!N20+'22'!N20+'23'!N20+'24'!N20+'25'!N20+'26'!N20+'27'!N20+'28'!N20+'29'!N20+'30'!N20</f>
        <v>549.15254237288138</v>
      </c>
      <c r="O11" s="286">
        <f>+'1'!O20+'2'!O20+'3'!O20+'4'!O20+'5'!O20+'6'!O20+'7'!O20+'8'!O20+'9'!O20+'10'!O20+'11'!O20+'12'!O20+'13'!O20+'14'!O20+'15'!O20+'16'!O20+'17'!O20+'18'!O20+'19'!O20+'20'!O20+'21'!O20+'22'!O20+'23'!O20+'24'!O20+'25'!O20+'26'!O20+'27'!O20+'28'!O20+'29'!O20+'30'!O20</f>
        <v>15.603042711864408</v>
      </c>
      <c r="P11" s="311">
        <f t="shared" si="2"/>
        <v>3136.2115850847458</v>
      </c>
      <c r="Q11" s="213">
        <f>+'1'!Q20+'2'!Q20+'3'!Q20+'4'!Q20+'5'!Q20+'6'!Q20+'7'!Q20+'8'!Q20+'9'!Q20+'10'!Q20+'11'!Q20+'12'!Q20+'13'!Q20+'14'!Q20+'15'!Q20+'16'!Q20+'17'!Q20+'18'!Q20+'19'!Q20+'20'!Q20+'21'!Q20+'22'!Q20+'23'!Q20+'24'!Q20+'25'!Q20+'26'!Q20+'27'!Q20+'28'!Q20+'29'!Q20+'30'!Q20</f>
        <v>0</v>
      </c>
      <c r="R11" s="314">
        <v>9</v>
      </c>
      <c r="S11" s="300" t="str">
        <f>+'9'!A6:A6</f>
        <v>Fine Dedical Store</v>
      </c>
      <c r="T11" s="301">
        <f>+'9'!P35</f>
        <v>0</v>
      </c>
    </row>
    <row r="12" spans="1:20 16377:16378" ht="21.75" customHeight="1" x14ac:dyDescent="0.35">
      <c r="A12" s="82" t="s">
        <v>463</v>
      </c>
      <c r="B12" s="307" t="str">
        <f>VLOOKUP($A12,'Cust. Price List'!$D$6:$O$14,2,0)</f>
        <v>Chicken Chatkhara (Jumbo)</v>
      </c>
      <c r="C12" s="106">
        <f>VLOOKUP(B12,'Cust. Price List'!E11:P19,2,0)</f>
        <v>120</v>
      </c>
      <c r="D12" s="284">
        <f>VLOOKUP(A12,'Cust. Price List'!D11:M19,4,0)</f>
        <v>40</v>
      </c>
      <c r="E12" s="291">
        <f>VLOOKUP(A12,'Cust. Price List'!D11:M19,6,0)</f>
        <v>90</v>
      </c>
      <c r="F12" s="292">
        <f>VLOOKUP(A12,'Cust. Price List'!D11:M19,10,0)</f>
        <v>72.64</v>
      </c>
      <c r="G12" s="286">
        <f>+'1'!G21+'2'!G21+'3'!G21+'4'!G21+'5'!G21+'6'!G21+'7'!G21+'8'!G21+'9'!G21+'10'!G21+'11'!G21+'12'!G21+'13'!G21+'14'!G21+'15'!G21+'16'!G21+'17'!G21+'18'!G21+'19'!G21+'20'!G21+'21'!G21+'22'!G21+'23'!G21+'24'!G21+'25'!G21+'26'!G21+'27'!G21+'28'!G21+'29'!G21+'30'!G21</f>
        <v>0</v>
      </c>
      <c r="H12" s="309">
        <f>+'1'!H21+'2'!H21+'3'!H21+'4'!H21+'5'!H21+'6'!H21+'7'!H21+'8'!H21+'9'!H21+'10'!H21+'11'!H21+'12'!H21+'13'!H21+'14'!H21+'15'!H21+'16'!H21+'17'!H21+'18'!H21+'19'!H21+'20'!H21+'21'!H21+'22'!H21+'23'!H21+'24'!H21+'25'!H21+'26'!H21+'27'!H21+'28'!H21+'29'!H21+'30'!H21</f>
        <v>180</v>
      </c>
      <c r="I12" s="236">
        <f t="shared" si="0"/>
        <v>13075.2</v>
      </c>
      <c r="J12" s="286">
        <f>+'1'!J21+'2'!J21+'3'!J21+'4'!J21+'5'!J21+'6'!J21+'7'!J21+'8'!J21+'9'!J21+'10'!J21+'11'!J21+'12'!J21+'13'!J21+'14'!J21+'15'!J21+'16'!J21+'17'!J21+'18'!J21+'19'!J21+'20'!J21+'21'!J21+'22'!J21+'23'!J21+'24'!J21+'25'!J21+'26'!J21+'27'!J21+'28'!J21+'29'!J21+'30'!J21</f>
        <v>1046.0160000000001</v>
      </c>
      <c r="K12" s="286">
        <f>+'1'!K21+'2'!K21+'3'!K21+'4'!K21+'5'!K21+'6'!K21+'7'!K21+'8'!K21+'9'!K21+'10'!K21+'11'!K21+'12'!K21+'13'!K21+'14'!K21+'15'!K21+'16'!K21+'17'!K21+'18'!K21+'19'!K21+'20'!K21+'21'!K21+'22'!K21+'23'!K21+'24'!K21+'25'!K21+'26'!K21+'27'!K21+'28'!K21+'29'!K21+'30'!K21</f>
        <v>457.63200000000006</v>
      </c>
      <c r="L12" s="286">
        <f>+'1'!L21+'2'!L21+'3'!L21+'4'!L21+'5'!L21+'6'!L21+'7'!L21+'8'!L21+'9'!L21+'10'!L21+'11'!L21+'12'!L21+'13'!L21+'14'!L21+'15'!L21+'16'!L21+'17'!L21+'18'!L21+'19'!L21+'20'!L21+'21'!L21+'22'!L21+'23'!L21+'24'!L21+'25'!L21+'26'!L21+'27'!L21+'28'!L21+'29'!L21+'30'!L21</f>
        <v>0</v>
      </c>
      <c r="M12" s="230">
        <f t="shared" si="1"/>
        <v>11571.552</v>
      </c>
      <c r="N12" s="286">
        <f>+'1'!N21+'2'!N21+'3'!N21+'4'!N21+'5'!N21+'6'!N21+'7'!N21+'8'!N21+'9'!N21+'10'!N21+'11'!N21+'12'!N21+'13'!N21+'14'!N21+'15'!N21+'16'!N21+'17'!N21+'18'!N21+'19'!N21+'20'!N21+'21'!N21+'22'!N21+'23'!N21+'24'!N21+'25'!N21+'26'!N21+'27'!N21+'28'!N21+'29'!N21+'30'!N21</f>
        <v>2471.1864406779664</v>
      </c>
      <c r="O12" s="286">
        <f>+'1'!O21+'2'!O21+'3'!O21+'4'!O21+'5'!O21+'6'!O21+'7'!O21+'8'!O21+'9'!O21+'10'!O21+'11'!O21+'12'!O21+'13'!O21+'14'!O21+'15'!O21+'16'!O21+'17'!O21+'18'!O21+'19'!O21+'20'!O21+'21'!O21+'22'!O21+'23'!O21+'24'!O21+'25'!O21+'26'!O21+'27'!O21+'28'!O21+'29'!O21+'30'!O21</f>
        <v>70.213692203389826</v>
      </c>
      <c r="P12" s="311">
        <f t="shared" si="2"/>
        <v>14112.952132881355</v>
      </c>
      <c r="Q12" s="213">
        <f>+'1'!Q21+'2'!Q21+'3'!Q21+'4'!Q21+'5'!Q21+'6'!Q21+'7'!Q21+'8'!Q21+'9'!Q21+'10'!Q21+'11'!Q21+'12'!Q21+'13'!Q21+'14'!Q21+'15'!Q21+'16'!Q21+'17'!Q21+'18'!Q21+'19'!Q21+'20'!Q21+'21'!Q21+'22'!Q21+'23'!Q21+'24'!Q21+'25'!Q21+'26'!Q21+'27'!Q21+'28'!Q21+'29'!Q21+'30'!Q21</f>
        <v>0</v>
      </c>
      <c r="R12" s="314">
        <v>10</v>
      </c>
      <c r="S12" s="300" t="str">
        <f>+'10'!A6:A6</f>
        <v>Fine Dedical Store</v>
      </c>
      <c r="T12" s="301">
        <f>+'10'!P35</f>
        <v>0</v>
      </c>
    </row>
    <row r="13" spans="1:20 16377:16378" ht="21.75" customHeight="1" x14ac:dyDescent="0.35">
      <c r="A13" s="82" t="s">
        <v>465</v>
      </c>
      <c r="B13" s="307" t="str">
        <f>VLOOKUP($A13,'Cust. Price List'!$D$6:$O$14,2,0)</f>
        <v>Chicken Chatkhara  (ECO)</v>
      </c>
      <c r="C13" s="106">
        <f>VLOOKUP(B13,'Cust. Price List'!E12:P20,2,0)</f>
        <v>60</v>
      </c>
      <c r="D13" s="284">
        <f>VLOOKUP(A13,'Cust. Price List'!D12:M20,4,0)</f>
        <v>40</v>
      </c>
      <c r="E13" s="291">
        <f>VLOOKUP(A13,'Cust. Price List'!D12:M20,6,0)</f>
        <v>50</v>
      </c>
      <c r="F13" s="292">
        <f>VLOOKUP(A13,'Cust. Price List'!D12:M20,10,0)</f>
        <v>39.230000000000004</v>
      </c>
      <c r="G13" s="286">
        <f>+'1'!G22+'2'!G22+'3'!G22+'4'!G22+'5'!G22+'6'!G22+'7'!G22+'8'!G22+'9'!G22+'10'!G22+'11'!G22+'12'!G22+'13'!G22+'14'!G22+'15'!G22+'16'!G22+'17'!G22+'18'!G22+'19'!G22+'20'!G22+'21'!G22+'22'!G22+'23'!G22+'24'!G22+'25'!G22+'26'!G22+'27'!G22+'28'!G22+'29'!G22+'30'!G22</f>
        <v>0</v>
      </c>
      <c r="H13" s="309">
        <f>+'1'!H22+'2'!H22+'3'!H22+'4'!H22+'5'!H22+'6'!H22+'7'!H22+'8'!H22+'9'!H22+'10'!H22+'11'!H22+'12'!H22+'13'!H22+'14'!H22+'15'!H22+'16'!H22+'17'!H22+'18'!H22+'19'!H22+'20'!H22+'21'!H22+'22'!H22+'23'!H22+'24'!H22+'25'!H22+'26'!H22+'27'!H22+'28'!H22+'29'!H22+'30'!H22</f>
        <v>160</v>
      </c>
      <c r="I13" s="236">
        <f t="shared" si="0"/>
        <v>6276.8000000000011</v>
      </c>
      <c r="J13" s="286">
        <f>+'1'!J22+'2'!J22+'3'!J22+'4'!J22+'5'!J22+'6'!J22+'7'!J22+'8'!J22+'9'!J22+'10'!J22+'11'!J22+'12'!J22+'13'!J22+'14'!J22+'15'!J22+'16'!J22+'17'!J22+'18'!J22+'19'!J22+'20'!J22+'21'!J22+'22'!J22+'23'!J22+'24'!J22+'25'!J22+'26'!J22+'27'!J22+'28'!J22+'29'!J22+'30'!J22</f>
        <v>313.84000000000009</v>
      </c>
      <c r="K13" s="286">
        <f>+'1'!K22+'2'!K22+'3'!K22+'4'!K22+'5'!K22+'6'!K22+'7'!K22+'8'!K22+'9'!K22+'10'!K22+'11'!K22+'12'!K22+'13'!K22+'14'!K22+'15'!K22+'16'!K22+'17'!K22+'18'!K22+'19'!K22+'20'!K22+'21'!K22+'22'!K22+'23'!K22+'24'!K22+'25'!K22+'26'!K22+'27'!K22+'28'!K22+'29'!K22+'30'!K22</f>
        <v>219.68800000000005</v>
      </c>
      <c r="L13" s="286">
        <f>+'1'!L22+'2'!L22+'3'!L22+'4'!L22+'5'!L22+'6'!L22+'7'!L22+'8'!L22+'9'!L22+'10'!L22+'11'!L22+'12'!L22+'13'!L22+'14'!L22+'15'!L22+'16'!L22+'17'!L22+'18'!L22+'19'!L22+'20'!L22+'21'!L22+'22'!L22+'23'!L22+'24'!L22+'25'!L22+'26'!L22+'27'!L22+'28'!L22+'29'!L22+'30'!L22</f>
        <v>320.11680000000001</v>
      </c>
      <c r="M13" s="230">
        <f t="shared" si="1"/>
        <v>5423.1552000000011</v>
      </c>
      <c r="N13" s="286">
        <f>+'1'!N22+'2'!N22+'3'!N22+'4'!N22+'5'!N22+'6'!N22+'7'!N22+'8'!N22+'9'!N22+'10'!N22+'11'!N22+'12'!N22+'13'!N22+'14'!N22+'15'!N22+'16'!N22+'17'!N22+'18'!N22+'19'!N22+'20'!N22+'21'!N22+'22'!N22+'23'!N22+'24'!N22+'25'!N22+'26'!N22+'27'!N22+'28'!N22+'29'!N22+'30'!N22</f>
        <v>1220.3389830508468</v>
      </c>
      <c r="O13" s="286">
        <f>+'1'!O22+'2'!O22+'3'!O22+'4'!O22+'5'!O22+'6'!O22+'7'!O22+'8'!O22+'9'!O22+'10'!O22+'11'!O22+'12'!O22+'13'!O22+'14'!O22+'15'!O22+'16'!O22+'17'!O22+'18'!O22+'19'!O22+'20'!O22+'21'!O22+'22'!O22+'23'!O22+'24'!O22+'25'!O22+'26'!O22+'27'!O22+'28'!O22+'29'!O22+'30'!O22</f>
        <v>33.217470915254239</v>
      </c>
      <c r="P13" s="311">
        <f t="shared" si="2"/>
        <v>6676.7116539661019</v>
      </c>
      <c r="Q13" s="213">
        <f>+'1'!Q22+'2'!Q22+'3'!Q22+'4'!Q22+'5'!Q22+'6'!Q22+'7'!Q22+'8'!Q22+'9'!Q22+'10'!Q22+'11'!Q22+'12'!Q22+'13'!Q22+'14'!Q22+'15'!Q22+'16'!Q22+'17'!Q22+'18'!Q22+'19'!Q22+'20'!Q22+'21'!Q22+'22'!Q22+'23'!Q22+'24'!Q22+'25'!Q22+'26'!Q22+'27'!Q22+'28'!Q22+'29'!Q22+'30'!Q22</f>
        <v>0</v>
      </c>
      <c r="R13" s="314">
        <v>11</v>
      </c>
      <c r="S13" s="300" t="str">
        <f>+'11'!A6:A6</f>
        <v>Fine Dedical Store</v>
      </c>
      <c r="T13" s="301">
        <f>+'11'!P35</f>
        <v>0</v>
      </c>
    </row>
    <row r="14" spans="1:20 16377:16378" ht="21.75" customHeight="1" x14ac:dyDescent="0.35">
      <c r="A14" s="82" t="s">
        <v>467</v>
      </c>
      <c r="B14" s="307" t="str">
        <f>VLOOKUP($A14,'Cust. Price List'!$D$6:$O$14,2,0)</f>
        <v>Lemon Tarka (ECO)</v>
      </c>
      <c r="C14" s="106">
        <f>VLOOKUP(B14,'Cust. Price List'!E13:P21,2,0)</f>
        <v>60</v>
      </c>
      <c r="D14" s="284">
        <f>VLOOKUP(A14,'Cust. Price List'!D13:M21,4,0)</f>
        <v>40</v>
      </c>
      <c r="E14" s="291">
        <f>VLOOKUP(A14,'Cust. Price List'!D13:M21,6,0)</f>
        <v>50</v>
      </c>
      <c r="F14" s="292">
        <f>VLOOKUP(A14,'Cust. Price List'!D13:M21,10,0)</f>
        <v>39.230000000000004</v>
      </c>
      <c r="G14" s="286">
        <f>+'1'!G23+'2'!G23+'3'!G23+'4'!G23+'5'!G23+'6'!G23+'7'!G23+'8'!G23+'9'!G23+'10'!G23+'11'!G23+'12'!G23+'13'!G23+'14'!G23+'15'!G23+'16'!G23+'17'!G23+'18'!G23+'19'!G23+'20'!G23+'21'!G23+'22'!G23+'23'!G23+'24'!G23+'25'!G23+'26'!G23+'27'!G23+'28'!G23+'29'!G23+'30'!G23</f>
        <v>0</v>
      </c>
      <c r="H14" s="309">
        <f>+'1'!H23+'2'!H23+'3'!H23+'4'!H23+'5'!H23+'6'!H23+'7'!H23+'8'!H23+'9'!H23+'10'!H23+'11'!H23+'12'!H23+'13'!H23+'14'!H23+'15'!H23+'16'!H23+'17'!H23+'18'!H23+'19'!H23+'20'!H23+'21'!H23+'22'!H23+'23'!H23+'24'!H23+'25'!H23+'26'!H23+'27'!H23+'28'!H23+'29'!H23+'30'!H23</f>
        <v>0</v>
      </c>
      <c r="I14" s="236">
        <f t="shared" si="0"/>
        <v>0</v>
      </c>
      <c r="J14" s="286">
        <f>+'1'!J23+'2'!J23+'3'!J23+'4'!J23+'5'!J23+'6'!J23+'7'!J23+'8'!J23+'9'!J23+'10'!J23+'11'!J23+'12'!J23+'13'!J23+'14'!J23+'15'!J23+'16'!J23+'17'!J23+'18'!J23+'19'!J23+'20'!J23+'21'!J23+'22'!J23+'23'!J23+'24'!J23+'25'!J23+'26'!J23+'27'!J23+'28'!J23+'29'!J23+'30'!J23</f>
        <v>0</v>
      </c>
      <c r="K14" s="286">
        <f>+'1'!K23+'2'!K23+'3'!K23+'4'!K23+'5'!K23+'6'!K23+'7'!K23+'8'!K23+'9'!K23+'10'!K23+'11'!K23+'12'!K23+'13'!K23+'14'!K23+'15'!K23+'16'!K23+'17'!K23+'18'!K23+'19'!K23+'20'!K23+'21'!K23+'22'!K23+'23'!K23+'24'!K23+'25'!K23+'26'!K23+'27'!K23+'28'!K23+'29'!K23+'30'!K23</f>
        <v>0</v>
      </c>
      <c r="L14" s="286">
        <f>+'1'!L23+'2'!L23+'3'!L23+'4'!L23+'5'!L23+'6'!L23+'7'!L23+'8'!L23+'9'!L23+'10'!L23+'11'!L23+'12'!L23+'13'!L23+'14'!L23+'15'!L23+'16'!L23+'17'!L23+'18'!L23+'19'!L23+'20'!L23+'21'!L23+'22'!L23+'23'!L23+'24'!L23+'25'!L23+'26'!L23+'27'!L23+'28'!L23+'29'!L23+'30'!L23</f>
        <v>0</v>
      </c>
      <c r="M14" s="230">
        <f t="shared" si="1"/>
        <v>0</v>
      </c>
      <c r="N14" s="286">
        <f>+'1'!N23+'2'!N23+'3'!N23+'4'!N23+'5'!N23+'6'!N23+'7'!N23+'8'!N23+'9'!N23+'10'!N23+'11'!N23+'12'!N23+'13'!N23+'14'!N23+'15'!N23+'16'!N23+'17'!N23+'18'!N23+'19'!N23+'20'!N23+'21'!N23+'22'!N23+'23'!N23+'24'!N23+'25'!N23+'26'!N23+'27'!N23+'28'!N23+'29'!N23+'30'!N23</f>
        <v>0</v>
      </c>
      <c r="O14" s="286">
        <f>+'1'!O23+'2'!O23+'3'!O23+'4'!O23+'5'!O23+'6'!O23+'7'!O23+'8'!O23+'9'!O23+'10'!O23+'11'!O23+'12'!O23+'13'!O23+'14'!O23+'15'!O23+'16'!O23+'17'!O23+'18'!O23+'19'!O23+'20'!O23+'21'!O23+'22'!O23+'23'!O23+'24'!O23+'25'!O23+'26'!O23+'27'!O23+'28'!O23+'29'!O23+'30'!O23</f>
        <v>0</v>
      </c>
      <c r="P14" s="311">
        <f t="shared" si="2"/>
        <v>0</v>
      </c>
      <c r="Q14" s="213">
        <f>+'1'!Q23+'2'!Q23+'3'!Q23+'4'!Q23+'5'!Q23+'6'!Q23+'7'!Q23+'8'!Q23+'9'!Q23+'10'!Q23+'11'!Q23+'12'!Q23+'13'!Q23+'14'!Q23+'15'!Q23+'16'!Q23+'17'!Q23+'18'!Q23+'19'!Q23+'20'!Q23+'21'!Q23+'22'!Q23+'23'!Q23+'24'!Q23+'25'!Q23+'26'!Q23+'27'!Q23+'28'!Q23+'29'!Q23+'30'!Q23</f>
        <v>0</v>
      </c>
      <c r="R14" s="314">
        <v>12</v>
      </c>
      <c r="S14" s="300" t="str">
        <f>+'12'!A6:A6</f>
        <v>Pak Madina</v>
      </c>
      <c r="T14" s="301">
        <f>+'12'!P35</f>
        <v>0</v>
      </c>
    </row>
    <row r="15" spans="1:20 16377:16378" ht="21.75" customHeight="1" thickBot="1" x14ac:dyDescent="0.4">
      <c r="A15" s="80" t="s">
        <v>469</v>
      </c>
      <c r="B15" s="308" t="str">
        <f>VLOOKUP($A15,'Cust. Price List'!$D$6:$O$14,2,0)</f>
        <v>Meat Masala (ECO)</v>
      </c>
      <c r="C15" s="107">
        <f>VLOOKUP(B15,'Cust. Price List'!E14:P22,2,0)</f>
        <v>60</v>
      </c>
      <c r="D15" s="285">
        <f>VLOOKUP(A15,'Cust. Price List'!D14:M22,4,0)</f>
        <v>40</v>
      </c>
      <c r="E15" s="293">
        <f>VLOOKUP(A15,'Cust. Price List'!D14:M22,6,0)</f>
        <v>50</v>
      </c>
      <c r="F15" s="294">
        <f>VLOOKUP(A15,'Cust. Price List'!D14:M22,10,0)</f>
        <v>39.230000000000004</v>
      </c>
      <c r="G15" s="286">
        <f>+'1'!G24+'2'!G24+'3'!G24+'4'!G24+'5'!G24+'6'!G24+'7'!G24+'8'!G24+'9'!G24+'10'!G24+'11'!G24+'12'!G24+'13'!G24+'14'!G24+'15'!G24+'16'!G24+'17'!G24+'18'!G24+'19'!G24+'20'!G24+'21'!G24+'22'!G24+'23'!G24+'24'!G24+'25'!G24+'26'!G24+'27'!G24+'28'!G24+'29'!G24+'30'!G24</f>
        <v>0</v>
      </c>
      <c r="H15" s="309">
        <f>+'1'!H24+'2'!H24+'3'!H24+'4'!H24+'5'!H24+'6'!H24+'7'!H24+'8'!H24+'9'!H24+'10'!H24+'11'!H24+'12'!H24+'13'!H24+'14'!H24+'15'!H24+'16'!H24+'17'!H24+'18'!H24+'19'!H24+'20'!H24+'21'!H24+'22'!H24+'23'!H24+'24'!H24+'25'!H24+'26'!H24+'27'!H24+'28'!H24+'29'!H24+'30'!H24</f>
        <v>0</v>
      </c>
      <c r="I15" s="237">
        <f>(G15*D15)*F15+H15*F15</f>
        <v>0</v>
      </c>
      <c r="J15" s="286">
        <f>+'1'!J24+'2'!J24+'3'!J24+'4'!J24+'5'!J24+'6'!J24+'7'!J24+'8'!J24+'9'!J24+'10'!J24+'11'!J24+'12'!J24+'13'!J24+'14'!J24+'15'!J24+'16'!J24+'17'!J24+'18'!J24+'19'!J24+'20'!J24+'21'!J24+'22'!J24+'23'!J24+'24'!J24+'25'!J24+'26'!J24+'27'!J24+'28'!J24+'29'!J24+'30'!J24</f>
        <v>0</v>
      </c>
      <c r="K15" s="286">
        <f>+'1'!K24+'2'!K24+'3'!K24+'4'!K24+'5'!K24+'6'!K24+'7'!K24+'8'!K24+'9'!K24+'10'!K24+'11'!K24+'12'!K24+'13'!K24+'14'!K24+'15'!K24+'16'!K24+'17'!K24+'18'!K24+'19'!K24+'20'!K24+'21'!K24+'22'!K24+'23'!K24+'24'!K24+'25'!K24+'26'!K24+'27'!K24+'28'!K24+'29'!K24+'30'!K24</f>
        <v>0</v>
      </c>
      <c r="L15" s="286">
        <f>+'1'!L24+'2'!L24+'3'!L24+'4'!L24+'5'!L24+'6'!L24+'7'!L24+'8'!L24+'9'!L24+'10'!L24+'11'!L24+'12'!L24+'13'!L24+'14'!L24+'15'!L24+'16'!L24+'17'!L24+'18'!L24+'19'!L24+'20'!L24+'21'!L24+'22'!L24+'23'!L24+'24'!L24+'25'!L24+'26'!L24+'27'!L24+'28'!L24+'29'!L24+'30'!L24</f>
        <v>0</v>
      </c>
      <c r="M15" s="231">
        <f t="shared" si="1"/>
        <v>0</v>
      </c>
      <c r="N15" s="286">
        <f>+'1'!N24+'2'!N24+'3'!N24+'4'!N24+'5'!N24+'6'!N24+'7'!N24+'8'!N24+'9'!N24+'10'!N24+'11'!N24+'12'!N24+'13'!N24+'14'!N24+'15'!N24+'16'!N24+'17'!N24+'18'!N24+'19'!N24+'20'!N24+'21'!N24+'22'!N24+'23'!N24+'24'!N24+'25'!N24+'26'!N24+'27'!N24+'28'!N24+'29'!N24+'30'!N24</f>
        <v>0</v>
      </c>
      <c r="O15" s="286">
        <f>+'1'!O24+'2'!O24+'3'!O24+'4'!O24+'5'!O24+'6'!O24+'7'!O24+'8'!O24+'9'!O24+'10'!O24+'11'!O24+'12'!O24+'13'!O24+'14'!O24+'15'!O24+'16'!O24+'17'!O24+'18'!O24+'19'!O24+'20'!O24+'21'!O24+'22'!O24+'23'!O24+'24'!O24+'25'!O24+'26'!O24+'27'!O24+'28'!O24+'29'!O24+'30'!O24</f>
        <v>0</v>
      </c>
      <c r="P15" s="312">
        <f t="shared" si="2"/>
        <v>0</v>
      </c>
      <c r="Q15" s="213">
        <f>+'1'!Q24+'2'!Q24+'3'!Q24+'4'!Q24+'5'!Q24+'6'!Q24+'7'!Q24+'8'!Q24+'9'!Q24+'10'!Q24+'11'!Q24+'12'!Q24+'13'!Q24+'14'!Q24+'15'!Q24+'16'!Q24+'17'!Q24+'18'!Q24+'19'!Q24+'20'!Q24+'21'!Q24+'22'!Q24+'23'!Q24+'24'!Q24+'25'!Q24+'26'!Q24+'27'!Q24+'28'!Q24+'29'!Q24+'30'!Q24</f>
        <v>0</v>
      </c>
      <c r="R15" s="314">
        <v>13</v>
      </c>
      <c r="S15" s="300" t="str">
        <f>+'13'!A6:A6</f>
        <v>Fine Dedical Store</v>
      </c>
      <c r="T15" s="301">
        <f>+'13'!P35</f>
        <v>0</v>
      </c>
    </row>
    <row r="16" spans="1:20 16377:16378" ht="21.75" customHeight="1" thickBot="1" x14ac:dyDescent="0.4">
      <c r="A16" s="369">
        <f>COUNT(A7:A15)</f>
        <v>0</v>
      </c>
      <c r="B16" s="370"/>
      <c r="C16" s="370" t="s">
        <v>40</v>
      </c>
      <c r="D16" s="370"/>
      <c r="E16" s="370"/>
      <c r="F16" s="371"/>
      <c r="G16" s="117">
        <f>H16/40</f>
        <v>18.100000000000001</v>
      </c>
      <c r="H16" s="113">
        <f t="shared" ref="H16:M16" si="3">SUM(H7:H15)</f>
        <v>724</v>
      </c>
      <c r="I16" s="114">
        <f t="shared" si="3"/>
        <v>44340.2</v>
      </c>
      <c r="J16" s="274">
        <f>SUM(J7:J15)</f>
        <v>3358.9120000000003</v>
      </c>
      <c r="K16" s="275">
        <f t="shared" si="3"/>
        <v>1551.9070000000002</v>
      </c>
      <c r="L16" s="276">
        <f t="shared" si="3"/>
        <v>320.11680000000001</v>
      </c>
      <c r="M16" s="232">
        <f t="shared" si="3"/>
        <v>39109.264199999998</v>
      </c>
      <c r="N16" s="233">
        <f>SUM(N7:N15)</f>
        <v>8414.2372881355914</v>
      </c>
      <c r="O16" s="101">
        <f>SUM(O7:O15)</f>
        <v>237.61750744067797</v>
      </c>
      <c r="P16" s="113">
        <f>SUM(P7:P15)</f>
        <v>47761.118995576267</v>
      </c>
      <c r="Q16" s="128">
        <f>SUM(Q7:Q15)</f>
        <v>0</v>
      </c>
      <c r="R16" s="314">
        <v>14</v>
      </c>
      <c r="S16" s="300" t="str">
        <f>+'14'!A6:A6</f>
        <v>Fine Dedical Store</v>
      </c>
      <c r="T16" s="301">
        <f>+'14'!P35</f>
        <v>0</v>
      </c>
    </row>
    <row r="17" spans="1:20" ht="21.75" customHeight="1" x14ac:dyDescent="0.35">
      <c r="A17" s="122"/>
      <c r="B17" s="122"/>
      <c r="C17" s="122"/>
      <c r="D17" s="122"/>
      <c r="E17" s="122"/>
      <c r="F17" s="122"/>
      <c r="G17" s="123"/>
      <c r="H17" s="123"/>
      <c r="I17" s="124"/>
      <c r="K17" s="125"/>
      <c r="L17" s="125"/>
      <c r="M17" s="125"/>
      <c r="N17" s="125"/>
      <c r="O17" s="126"/>
      <c r="P17" s="125"/>
      <c r="R17" s="299">
        <v>15</v>
      </c>
      <c r="S17" s="300" t="str">
        <f>+'15'!A6:A6</f>
        <v>Fine Dedical Store</v>
      </c>
      <c r="T17" s="301">
        <f>+'15'!P35</f>
        <v>0</v>
      </c>
    </row>
    <row r="18" spans="1:20" ht="21.75" customHeight="1" thickBot="1" x14ac:dyDescent="0.4">
      <c r="A18" s="61"/>
      <c r="B18" s="61"/>
      <c r="C18" s="93"/>
      <c r="D18" s="93"/>
      <c r="E18" s="93"/>
      <c r="F18" s="93"/>
      <c r="G18" s="94"/>
      <c r="H18" s="94"/>
      <c r="R18" s="299">
        <v>16</v>
      </c>
      <c r="S18" s="300" t="str">
        <f>+'16'!A6:A6</f>
        <v>Fine Dedical Store</v>
      </c>
      <c r="T18" s="301">
        <f>+'16'!P35</f>
        <v>0</v>
      </c>
    </row>
    <row r="19" spans="1:20" ht="21.75" customHeight="1" x14ac:dyDescent="0.35">
      <c r="B19" s="372" t="s">
        <v>64</v>
      </c>
      <c r="C19" s="373"/>
      <c r="D19" s="373"/>
      <c r="E19" s="373"/>
      <c r="F19" s="373"/>
      <c r="G19" s="373"/>
      <c r="H19" s="373"/>
      <c r="I19" s="373"/>
      <c r="J19" s="373"/>
      <c r="K19" s="373"/>
      <c r="L19" s="374"/>
      <c r="N19" s="381" t="s">
        <v>60</v>
      </c>
      <c r="O19" s="382"/>
      <c r="P19" s="139">
        <f>I16</f>
        <v>44340.2</v>
      </c>
      <c r="R19" s="299">
        <v>17</v>
      </c>
      <c r="S19" s="300" t="str">
        <f>+'17'!A6:A6</f>
        <v>Watto Store</v>
      </c>
      <c r="T19" s="301">
        <f>+'17'!P35</f>
        <v>0</v>
      </c>
    </row>
    <row r="20" spans="1:20" ht="21.75" customHeight="1" x14ac:dyDescent="0.35">
      <c r="B20" s="375"/>
      <c r="C20" s="376"/>
      <c r="D20" s="376"/>
      <c r="E20" s="376"/>
      <c r="F20" s="376"/>
      <c r="G20" s="376"/>
      <c r="H20" s="376"/>
      <c r="I20" s="376"/>
      <c r="J20" s="376"/>
      <c r="K20" s="376"/>
      <c r="L20" s="377"/>
      <c r="N20" s="383" t="s">
        <v>85</v>
      </c>
      <c r="O20" s="384"/>
      <c r="P20" s="140">
        <f>+J16</f>
        <v>3358.9120000000003</v>
      </c>
      <c r="R20" s="299">
        <v>18</v>
      </c>
      <c r="S20" s="300" t="str">
        <f>+'18'!A6:A6</f>
        <v>Fine Dedical Store</v>
      </c>
      <c r="T20" s="301">
        <f>+'18'!P35</f>
        <v>0</v>
      </c>
    </row>
    <row r="21" spans="1:20" ht="21.75" customHeight="1" x14ac:dyDescent="0.35">
      <c r="B21" s="375"/>
      <c r="C21" s="376"/>
      <c r="D21" s="376"/>
      <c r="E21" s="376"/>
      <c r="F21" s="376"/>
      <c r="G21" s="376"/>
      <c r="H21" s="376"/>
      <c r="I21" s="376"/>
      <c r="J21" s="376"/>
      <c r="K21" s="376"/>
      <c r="L21" s="377"/>
      <c r="N21" s="383" t="s">
        <v>86</v>
      </c>
      <c r="O21" s="384"/>
      <c r="P21" s="140">
        <f>+K16+L16</f>
        <v>1872.0238000000002</v>
      </c>
      <c r="R21" s="299">
        <v>19</v>
      </c>
      <c r="S21" s="300" t="str">
        <f>+'19'!A6:A6</f>
        <v>Fine Dedical Store</v>
      </c>
      <c r="T21" s="301">
        <f>+'19'!P35</f>
        <v>0</v>
      </c>
    </row>
    <row r="22" spans="1:20" ht="21.75" customHeight="1" x14ac:dyDescent="0.35">
      <c r="B22" s="375"/>
      <c r="C22" s="376"/>
      <c r="D22" s="376"/>
      <c r="E22" s="376"/>
      <c r="F22" s="376"/>
      <c r="G22" s="376"/>
      <c r="H22" s="376"/>
      <c r="I22" s="376"/>
      <c r="J22" s="376"/>
      <c r="K22" s="376"/>
      <c r="L22" s="377"/>
      <c r="M22" s="131"/>
      <c r="N22" s="383" t="s">
        <v>87</v>
      </c>
      <c r="O22" s="384"/>
      <c r="P22" s="140">
        <f>P19-P20-P21</f>
        <v>39109.264199999998</v>
      </c>
      <c r="R22" s="299">
        <v>20</v>
      </c>
      <c r="S22" s="300" t="str">
        <f>+'20'!A6:A6</f>
        <v>Faheem Store</v>
      </c>
      <c r="T22" s="301">
        <f>+'20'!P35</f>
        <v>0</v>
      </c>
    </row>
    <row r="23" spans="1:20" ht="21.75" customHeight="1" x14ac:dyDescent="0.35">
      <c r="B23" s="375"/>
      <c r="C23" s="376"/>
      <c r="D23" s="376"/>
      <c r="E23" s="376"/>
      <c r="F23" s="376"/>
      <c r="G23" s="376"/>
      <c r="H23" s="376"/>
      <c r="I23" s="376"/>
      <c r="J23" s="376"/>
      <c r="K23" s="376"/>
      <c r="L23" s="377"/>
      <c r="M23" s="131"/>
      <c r="N23" s="136" t="s">
        <v>61</v>
      </c>
      <c r="O23" s="133">
        <v>0.18</v>
      </c>
      <c r="P23" s="140">
        <f>+N16</f>
        <v>8414.2372881355914</v>
      </c>
      <c r="R23" s="299">
        <v>21</v>
      </c>
      <c r="S23" s="300" t="str">
        <f>+'21'!A6:A6</f>
        <v>Fine Dedical Store</v>
      </c>
      <c r="T23" s="301">
        <f>+'21'!P35</f>
        <v>0</v>
      </c>
    </row>
    <row r="24" spans="1:20" ht="21.75" customHeight="1" x14ac:dyDescent="0.35">
      <c r="B24" s="375"/>
      <c r="C24" s="376"/>
      <c r="D24" s="376"/>
      <c r="E24" s="376"/>
      <c r="F24" s="376"/>
      <c r="G24" s="376"/>
      <c r="H24" s="376"/>
      <c r="I24" s="376"/>
      <c r="J24" s="376"/>
      <c r="K24" s="376"/>
      <c r="L24" s="377"/>
      <c r="M24" s="131"/>
      <c r="N24" s="385" t="s">
        <v>76</v>
      </c>
      <c r="O24" s="386"/>
      <c r="P24" s="140">
        <f>P22+P23</f>
        <v>47523.501488135589</v>
      </c>
      <c r="R24" s="299">
        <v>22</v>
      </c>
      <c r="S24" s="300" t="str">
        <f>+'22'!A6:A6</f>
        <v>Fine Dedical Store</v>
      </c>
      <c r="T24" s="301">
        <f>+'22'!P35</f>
        <v>0</v>
      </c>
    </row>
    <row r="25" spans="1:20" ht="21.75" customHeight="1" thickBot="1" x14ac:dyDescent="0.4">
      <c r="B25" s="378"/>
      <c r="C25" s="379"/>
      <c r="D25" s="379"/>
      <c r="E25" s="379"/>
      <c r="F25" s="379"/>
      <c r="G25" s="379"/>
      <c r="H25" s="379"/>
      <c r="I25" s="379"/>
      <c r="J25" s="379"/>
      <c r="K25" s="379"/>
      <c r="L25" s="380"/>
      <c r="M25" s="99"/>
      <c r="N25" s="138" t="s">
        <v>83</v>
      </c>
      <c r="O25" s="137" t="e">
        <f>IF(#REF!="Filer",0.5%,2.5%)</f>
        <v>#REF!</v>
      </c>
      <c r="P25" s="140">
        <f>+O16</f>
        <v>237.61750744067797</v>
      </c>
      <c r="R25" s="299">
        <v>23</v>
      </c>
      <c r="S25" s="300" t="str">
        <f>+'23'!A6:A6</f>
        <v>Fine Dedical Store</v>
      </c>
      <c r="T25" s="301">
        <f>+'23'!P35</f>
        <v>0</v>
      </c>
    </row>
    <row r="26" spans="1:20" ht="21.75" customHeight="1" thickBot="1" x14ac:dyDescent="0.4">
      <c r="N26" s="342" t="s">
        <v>88</v>
      </c>
      <c r="O26" s="343"/>
      <c r="P26" s="297">
        <f>+P24+P25</f>
        <v>47761.118995576267</v>
      </c>
      <c r="R26" s="299">
        <v>24</v>
      </c>
      <c r="S26" s="300" t="str">
        <f>+'24'!A6:A6</f>
        <v>Fine Dedical Store</v>
      </c>
      <c r="T26" s="301">
        <f>+'24'!P35</f>
        <v>0</v>
      </c>
    </row>
    <row r="27" spans="1:20" ht="21.75" customHeight="1" thickBot="1" x14ac:dyDescent="0.4">
      <c r="B27" s="121" t="s">
        <v>63</v>
      </c>
      <c r="C27" s="344"/>
      <c r="D27" s="344"/>
      <c r="E27" s="344"/>
      <c r="F27" s="344"/>
      <c r="G27" s="344"/>
      <c r="H27" s="344"/>
      <c r="I27" s="345"/>
      <c r="J27" s="346"/>
      <c r="K27" s="347"/>
      <c r="R27" s="299">
        <v>25</v>
      </c>
      <c r="S27" s="300" t="str">
        <f>+'25'!A6:A6</f>
        <v>Fine Dedical Store</v>
      </c>
      <c r="T27" s="301">
        <f>+'25'!P35</f>
        <v>0</v>
      </c>
    </row>
    <row r="28" spans="1:20" ht="21.75" customHeight="1" x14ac:dyDescent="0.35">
      <c r="R28" s="299">
        <v>26</v>
      </c>
      <c r="S28" s="300" t="str">
        <f>+'26'!A6:A6</f>
        <v>Fine Dedical Store</v>
      </c>
      <c r="T28" s="301">
        <f>+'26'!P35</f>
        <v>0</v>
      </c>
    </row>
    <row r="29" spans="1:20" ht="21.75" customHeight="1" x14ac:dyDescent="0.35">
      <c r="L29">
        <v>0</v>
      </c>
      <c r="R29" s="299">
        <v>27</v>
      </c>
      <c r="S29" s="300" t="str">
        <f>+'27'!A6:A6</f>
        <v>Fine Dedical Store</v>
      </c>
      <c r="T29" s="301">
        <f>+'27'!P35</f>
        <v>0</v>
      </c>
    </row>
    <row r="30" spans="1:20" ht="21.75" customHeight="1" x14ac:dyDescent="0.35">
      <c r="R30" s="299">
        <v>28</v>
      </c>
      <c r="S30" s="300" t="str">
        <f>+'28'!A6:A6</f>
        <v>Fine Dedical Store</v>
      </c>
      <c r="T30" s="301">
        <f>+'28'!P35</f>
        <v>0</v>
      </c>
    </row>
    <row r="31" spans="1:20" ht="21.75" customHeight="1" x14ac:dyDescent="0.35">
      <c r="R31" s="299">
        <v>29</v>
      </c>
      <c r="S31" s="300" t="str">
        <f>+'29'!A6:A6</f>
        <v>Fine Dedical Store</v>
      </c>
      <c r="T31" s="301">
        <f>+'29'!P35</f>
        <v>0</v>
      </c>
    </row>
    <row r="32" spans="1:20" ht="21.75" customHeight="1" x14ac:dyDescent="0.35">
      <c r="R32" s="299">
        <v>30</v>
      </c>
      <c r="S32" s="300" t="str">
        <f>+'30'!A6:A6</f>
        <v>Fine Dedical Store</v>
      </c>
      <c r="T32" s="301">
        <f>+'30'!P35</f>
        <v>0</v>
      </c>
    </row>
    <row r="33" spans="2:20" ht="21.75" customHeight="1" thickBot="1" x14ac:dyDescent="0.6">
      <c r="R33" s="303"/>
      <c r="S33" s="302" t="s">
        <v>497</v>
      </c>
      <c r="T33" s="304">
        <f>SUM(T3:T32)</f>
        <v>47761.118995576275</v>
      </c>
    </row>
    <row r="44" spans="2:20" x14ac:dyDescent="0.35">
      <c r="B44" t="s">
        <v>504</v>
      </c>
    </row>
    <row r="45" spans="2:20" x14ac:dyDescent="0.35">
      <c r="B45" t="s">
        <v>505</v>
      </c>
    </row>
    <row r="46" spans="2:20" x14ac:dyDescent="0.35">
      <c r="B46" t="s">
        <v>506</v>
      </c>
    </row>
    <row r="47" spans="2:20" x14ac:dyDescent="0.35">
      <c r="B47" t="s">
        <v>507</v>
      </c>
    </row>
    <row r="48" spans="2:20" x14ac:dyDescent="0.35">
      <c r="B48" t="s">
        <v>508</v>
      </c>
    </row>
    <row r="49" spans="2:2" x14ac:dyDescent="0.35">
      <c r="B49" t="s">
        <v>513</v>
      </c>
    </row>
    <row r="50" spans="2:2" x14ac:dyDescent="0.35">
      <c r="B50" t="s">
        <v>515</v>
      </c>
    </row>
    <row r="51" spans="2:2" x14ac:dyDescent="0.35">
      <c r="B51" t="s">
        <v>514</v>
      </c>
    </row>
  </sheetData>
  <dataConsolidate/>
  <mergeCells count="28">
    <mergeCell ref="A5:B6"/>
    <mergeCell ref="C5:C6"/>
    <mergeCell ref="E5:F5"/>
    <mergeCell ref="G5:H5"/>
    <mergeCell ref="I5:I6"/>
    <mergeCell ref="C16:F16"/>
    <mergeCell ref="B19:L25"/>
    <mergeCell ref="N19:O19"/>
    <mergeCell ref="N20:O20"/>
    <mergeCell ref="N21:O21"/>
    <mergeCell ref="N22:O22"/>
    <mergeCell ref="N24:O24"/>
    <mergeCell ref="N26:O26"/>
    <mergeCell ref="C27:I27"/>
    <mergeCell ref="J27:K27"/>
    <mergeCell ref="R2:T2"/>
    <mergeCell ref="H2:J2"/>
    <mergeCell ref="E2:G2"/>
    <mergeCell ref="H3:J3"/>
    <mergeCell ref="E3:G3"/>
    <mergeCell ref="M5:M6"/>
    <mergeCell ref="N5:N6"/>
    <mergeCell ref="J5:L5"/>
    <mergeCell ref="A2:C2"/>
    <mergeCell ref="A3:C3"/>
    <mergeCell ref="K3:M3"/>
    <mergeCell ref="N3:P3"/>
    <mergeCell ref="A16:B16"/>
  </mergeCells>
  <pageMargins left="0.7" right="0.7" top="0.75" bottom="0.75" header="0.3" footer="0.3"/>
  <pageSetup paperSize="9" scale="10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2:XFD38"/>
  <sheetViews>
    <sheetView workbookViewId="0">
      <selection activeCell="F9" sqref="F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503</v>
      </c>
      <c r="B4" s="367"/>
      <c r="C4" s="367"/>
      <c r="F4" s="85"/>
      <c r="G4" s="1"/>
      <c r="K4" s="368" t="s">
        <v>44</v>
      </c>
      <c r="L4" s="368"/>
      <c r="M4" s="368"/>
      <c r="N4" s="398">
        <v>46244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46243</v>
      </c>
      <c r="O5" s="367"/>
      <c r="P5" s="367"/>
      <c r="R5" s="85"/>
      <c r="S5" s="266"/>
    </row>
    <row r="6" spans="1:22 16383:16384" ht="17.25" customHeight="1" x14ac:dyDescent="0.4">
      <c r="A6" s="396" t="s">
        <v>517</v>
      </c>
      <c r="B6" s="396"/>
      <c r="C6" s="396"/>
      <c r="F6" s="85"/>
      <c r="G6" s="86"/>
      <c r="K6" s="368" t="s">
        <v>69</v>
      </c>
      <c r="L6" s="368"/>
      <c r="M6" s="368"/>
      <c r="N6" s="397" t="s">
        <v>506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509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518</v>
      </c>
      <c r="B8" s="394"/>
      <c r="C8" s="394"/>
      <c r="F8" s="85"/>
      <c r="G8" s="86"/>
      <c r="K8" s="368" t="s">
        <v>67</v>
      </c>
      <c r="L8" s="368"/>
      <c r="M8" s="368"/>
      <c r="N8" s="397" t="s">
        <v>509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6" t="s">
        <v>511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6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>
        <v>20</v>
      </c>
      <c r="I16" s="235">
        <f>(G16*D16)*F16+H16*F16</f>
        <v>1049.25</v>
      </c>
      <c r="J16" s="271">
        <f>$I16*S16</f>
        <v>83.94</v>
      </c>
      <c r="K16" s="127">
        <f>$I16*T16</f>
        <v>36.723750000000003</v>
      </c>
      <c r="L16" s="118">
        <f>$I16*U16</f>
        <v>0</v>
      </c>
      <c r="M16" s="229">
        <f>I16-SUM(J16:L16)</f>
        <v>928.58625000000006</v>
      </c>
      <c r="N16" s="248">
        <f>+(G16*D16+H16)*V16</f>
        <v>198.30508474576263</v>
      </c>
      <c r="O16" s="238">
        <f>(N16+M16)*$O$15</f>
        <v>5.6344566737288133</v>
      </c>
      <c r="P16" s="310">
        <f>M16+N16+O16</f>
        <v>1132.5257914194915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>
        <v>20</v>
      </c>
      <c r="I17" s="236">
        <f t="shared" ref="I17:I23" si="0">(G17*D17)*F17+H17*F17</f>
        <v>1049.25</v>
      </c>
      <c r="J17" s="272">
        <f t="shared" ref="J17:L24" si="1">$I17*S17</f>
        <v>83.94</v>
      </c>
      <c r="K17" s="128">
        <f>$I17*T17</f>
        <v>36.723750000000003</v>
      </c>
      <c r="L17" s="119">
        <f>$I17*U17</f>
        <v>0</v>
      </c>
      <c r="M17" s="230">
        <f t="shared" ref="M17:M24" si="2">I17-SUM(J17:L17)</f>
        <v>928.58625000000006</v>
      </c>
      <c r="N17" s="277">
        <f t="shared" ref="N17:N24" si="3">+(G17*D17+H17)*V17</f>
        <v>198.30508474576263</v>
      </c>
      <c r="O17" s="239">
        <f t="shared" ref="O17:O24" si="4">(N17+M17)*$O$15</f>
        <v>5.6344566737288133</v>
      </c>
      <c r="P17" s="311">
        <f t="shared" ref="P17:P24" si="5">M17+N17+O17</f>
        <v>1132.5257914194915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ref="I18:I21" si="7">(G18*D18)*F18+H18*F18</f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40</v>
      </c>
      <c r="I19" s="236">
        <f t="shared" si="7"/>
        <v>2905.6</v>
      </c>
      <c r="J19" s="272">
        <f t="shared" si="1"/>
        <v>232.44800000000001</v>
      </c>
      <c r="K19" s="128">
        <f t="shared" si="1"/>
        <v>101.69600000000001</v>
      </c>
      <c r="L19" s="119">
        <f t="shared" si="1"/>
        <v>0</v>
      </c>
      <c r="M19" s="230">
        <f t="shared" si="2"/>
        <v>2571.4560000000001</v>
      </c>
      <c r="N19" s="277">
        <f t="shared" si="3"/>
        <v>549.15254237288138</v>
      </c>
      <c r="O19" s="239">
        <f t="shared" si="4"/>
        <v>15.603042711864408</v>
      </c>
      <c r="P19" s="311">
        <f t="shared" si="5"/>
        <v>3136.2115850847458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7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20</v>
      </c>
      <c r="I21" s="236">
        <f t="shared" si="7"/>
        <v>1452.8</v>
      </c>
      <c r="J21" s="272">
        <f t="shared" si="1"/>
        <v>116.224</v>
      </c>
      <c r="K21" s="128">
        <f t="shared" si="1"/>
        <v>50.848000000000006</v>
      </c>
      <c r="L21" s="119">
        <f t="shared" si="1"/>
        <v>0</v>
      </c>
      <c r="M21" s="230">
        <f t="shared" si="2"/>
        <v>1285.7280000000001</v>
      </c>
      <c r="N21" s="277">
        <f t="shared" si="3"/>
        <v>274.57627118644069</v>
      </c>
      <c r="O21" s="239">
        <f t="shared" si="4"/>
        <v>7.8015213559322039</v>
      </c>
      <c r="P21" s="311">
        <f t="shared" si="5"/>
        <v>1568.1057925423729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" si="8">SUM(G16:G24)</f>
        <v>0</v>
      </c>
      <c r="H25" s="113">
        <f t="shared" ref="H25" si="9">SUM(H16:H24)</f>
        <v>100</v>
      </c>
      <c r="I25" s="114">
        <f t="shared" ref="I25:M25" si="10">SUM(I16:I24)</f>
        <v>6456.9000000000005</v>
      </c>
      <c r="J25" s="274">
        <f>SUM(J16:J24)</f>
        <v>516.55200000000002</v>
      </c>
      <c r="K25" s="275">
        <f t="shared" si="10"/>
        <v>225.99150000000003</v>
      </c>
      <c r="L25" s="276">
        <f t="shared" si="10"/>
        <v>0</v>
      </c>
      <c r="M25" s="232">
        <f t="shared" si="10"/>
        <v>5714.3565000000008</v>
      </c>
      <c r="N25" s="233">
        <f>SUM(N16:N24)</f>
        <v>1220.3389830508472</v>
      </c>
      <c r="O25" s="101">
        <f>SUM(O16:O24)</f>
        <v>34.67347741525424</v>
      </c>
      <c r="P25" s="113">
        <f>SUM(P16:P24)</f>
        <v>6969.3689604661022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6456.9000000000005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516.55200000000002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225.99150000000003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5714.3565000000008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1220.3389830508472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6934.6954830508475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34.67347741525424</v>
      </c>
    </row>
    <row r="35" spans="2:16" ht="15.75" customHeight="1" thickBot="1" x14ac:dyDescent="0.4">
      <c r="N35" s="342" t="s">
        <v>88</v>
      </c>
      <c r="O35" s="343"/>
      <c r="P35" s="297">
        <f>+P33+P34</f>
        <v>6969.3689604661022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9:P9"/>
    <mergeCell ref="K3:M3"/>
    <mergeCell ref="N3:P3"/>
    <mergeCell ref="N4:P4"/>
    <mergeCell ref="N5:P5"/>
    <mergeCell ref="N6:P6"/>
    <mergeCell ref="N7:P7"/>
    <mergeCell ref="K4:M4"/>
    <mergeCell ref="K5:M5"/>
    <mergeCell ref="K6:M6"/>
    <mergeCell ref="N8:P8"/>
    <mergeCell ref="C36:I36"/>
    <mergeCell ref="J36:K36"/>
    <mergeCell ref="N10:P10"/>
    <mergeCell ref="N11:P11"/>
    <mergeCell ref="N12:P12"/>
    <mergeCell ref="B28:L34"/>
    <mergeCell ref="K11:M11"/>
    <mergeCell ref="K12:M12"/>
    <mergeCell ref="N29:O29"/>
    <mergeCell ref="N35:O35"/>
    <mergeCell ref="G14:H14"/>
    <mergeCell ref="A14:B15"/>
    <mergeCell ref="I14:I15"/>
    <mergeCell ref="N28:O28"/>
    <mergeCell ref="C25:F25"/>
    <mergeCell ref="A25:B25"/>
    <mergeCell ref="A2:C2"/>
    <mergeCell ref="A3:C3"/>
    <mergeCell ref="A4:C4"/>
    <mergeCell ref="A5:C5"/>
    <mergeCell ref="A6:C6"/>
    <mergeCell ref="N33:O33"/>
    <mergeCell ref="N30:O30"/>
    <mergeCell ref="J14:L14"/>
    <mergeCell ref="M14:M15"/>
    <mergeCell ref="N31:O31"/>
    <mergeCell ref="N14:N15"/>
    <mergeCell ref="C14:C15"/>
    <mergeCell ref="K7:M7"/>
    <mergeCell ref="K8:M8"/>
    <mergeCell ref="K9:M9"/>
    <mergeCell ref="K10:M10"/>
    <mergeCell ref="A8:C8"/>
    <mergeCell ref="A9:C9"/>
    <mergeCell ref="A10:C10"/>
    <mergeCell ref="A7:C7"/>
    <mergeCell ref="E14:F14"/>
  </mergeCells>
  <phoneticPr fontId="23" type="noConversion"/>
  <dataValidations count="3">
    <dataValidation type="list" allowBlank="1" showInputMessage="1" showErrorMessage="1" sqref="B11" xr:uid="{00000000-0002-0000-0400-000000000000}">
      <formula1>$XFC$3:$XFC$4</formula1>
    </dataValidation>
    <dataValidation type="list" allowBlank="1" showInputMessage="1" showErrorMessage="1" sqref="B12" xr:uid="{00000000-0002-0000-0400-000001000000}">
      <formula1>$XFC$6:$XFC$7</formula1>
    </dataValidation>
    <dataValidation type="list" allowBlank="1" showInputMessage="1" showErrorMessage="1" sqref="N9:P9" xr:uid="{00000000-0002-0000-04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4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2:XFD38"/>
  <sheetViews>
    <sheetView topLeftCell="A6" workbookViewId="0">
      <selection activeCell="F9" sqref="F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503</v>
      </c>
      <c r="B4" s="367"/>
      <c r="C4" s="367"/>
      <c r="F4" s="85"/>
      <c r="G4" s="1"/>
      <c r="K4" s="368" t="s">
        <v>44</v>
      </c>
      <c r="L4" s="368"/>
      <c r="M4" s="368"/>
      <c r="N4" s="398">
        <v>46244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46243</v>
      </c>
      <c r="O5" s="367"/>
      <c r="P5" s="367"/>
      <c r="R5" s="85"/>
      <c r="S5" s="266"/>
    </row>
    <row r="6" spans="1:22 16383:16384" ht="15" customHeight="1" x14ac:dyDescent="0.4">
      <c r="A6" s="396" t="s">
        <v>519</v>
      </c>
      <c r="B6" s="396"/>
      <c r="C6" s="396"/>
      <c r="F6" s="85"/>
      <c r="G6" s="86"/>
      <c r="K6" s="368" t="s">
        <v>69</v>
      </c>
      <c r="L6" s="368"/>
      <c r="M6" s="368"/>
      <c r="N6" s="397" t="s">
        <v>506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509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518</v>
      </c>
      <c r="B8" s="394"/>
      <c r="C8" s="394"/>
      <c r="F8" s="85"/>
      <c r="G8" s="86"/>
      <c r="K8" s="368" t="s">
        <v>67</v>
      </c>
      <c r="L8" s="368"/>
      <c r="M8" s="368"/>
      <c r="N8" s="397" t="s">
        <v>509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>
        <v>40</v>
      </c>
      <c r="I22" s="236">
        <f t="shared" si="0"/>
        <v>1569.2000000000003</v>
      </c>
      <c r="J22" s="272">
        <f t="shared" si="1"/>
        <v>78.460000000000022</v>
      </c>
      <c r="K22" s="128">
        <f t="shared" si="1"/>
        <v>54.922000000000011</v>
      </c>
      <c r="L22" s="119">
        <f t="shared" si="1"/>
        <v>80.029200000000003</v>
      </c>
      <c r="M22" s="230">
        <f t="shared" si="2"/>
        <v>1355.7888000000003</v>
      </c>
      <c r="N22" s="277">
        <f t="shared" si="3"/>
        <v>305.08474576271169</v>
      </c>
      <c r="O22" s="239">
        <f t="shared" si="4"/>
        <v>8.3043677288135598</v>
      </c>
      <c r="P22" s="311">
        <f t="shared" si="5"/>
        <v>1669.1779134915255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40</v>
      </c>
      <c r="I25" s="114">
        <f t="shared" si="7"/>
        <v>1569.2000000000003</v>
      </c>
      <c r="J25" s="274">
        <f>SUM(J16:J24)</f>
        <v>78.460000000000022</v>
      </c>
      <c r="K25" s="275">
        <f t="shared" si="7"/>
        <v>54.922000000000011</v>
      </c>
      <c r="L25" s="276">
        <f t="shared" si="7"/>
        <v>80.029200000000003</v>
      </c>
      <c r="M25" s="232">
        <f t="shared" si="7"/>
        <v>1355.7888000000003</v>
      </c>
      <c r="N25" s="233">
        <f>SUM(N16:N24)</f>
        <v>305.08474576271169</v>
      </c>
      <c r="O25" s="101">
        <f>SUM(O16:O24)</f>
        <v>8.3043677288135598</v>
      </c>
      <c r="P25" s="113">
        <f>SUM(P16:P24)</f>
        <v>1669.1779134915255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1569.2000000000003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78.460000000000022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134.95120000000003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1355.7888000000003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305.08474576271169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1660.873545762712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8.3043677288135598</v>
      </c>
    </row>
    <row r="35" spans="2:16" ht="15.75" customHeight="1" thickBot="1" x14ac:dyDescent="0.4">
      <c r="N35" s="342" t="s">
        <v>88</v>
      </c>
      <c r="O35" s="343"/>
      <c r="P35" s="297">
        <f>+P33+P34</f>
        <v>1669.1779134915255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500-000000000000}">
      <formula1>$XFD$12:$XFD$17</formula1>
    </dataValidation>
    <dataValidation type="list" allowBlank="1" showInputMessage="1" showErrorMessage="1" sqref="B12" xr:uid="{00000000-0002-0000-0500-000001000000}">
      <formula1>$XFC$6:$XFC$7</formula1>
    </dataValidation>
    <dataValidation type="list" allowBlank="1" showInputMessage="1" showErrorMessage="1" sqref="B11" xr:uid="{00000000-0002-0000-05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5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2:XFD38"/>
  <sheetViews>
    <sheetView topLeftCell="A6" workbookViewId="0">
      <selection activeCell="F9" sqref="F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503</v>
      </c>
      <c r="B4" s="367"/>
      <c r="C4" s="367"/>
      <c r="F4" s="85"/>
      <c r="G4" s="1"/>
      <c r="K4" s="368" t="s">
        <v>44</v>
      </c>
      <c r="L4" s="368"/>
      <c r="M4" s="368"/>
      <c r="N4" s="398">
        <v>46244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46243</v>
      </c>
      <c r="O5" s="367"/>
      <c r="P5" s="367"/>
      <c r="R5" s="85"/>
      <c r="S5" s="266"/>
    </row>
    <row r="6" spans="1:22 16383:16384" ht="18.75" customHeight="1" x14ac:dyDescent="0.4">
      <c r="A6" s="396" t="s">
        <v>520</v>
      </c>
      <c r="B6" s="396"/>
      <c r="C6" s="396"/>
      <c r="F6" s="85"/>
      <c r="G6" s="86"/>
      <c r="K6" s="368" t="s">
        <v>69</v>
      </c>
      <c r="L6" s="368"/>
      <c r="M6" s="368"/>
      <c r="N6" s="397" t="s">
        <v>506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509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518</v>
      </c>
      <c r="B8" s="394"/>
      <c r="C8" s="394"/>
      <c r="F8" s="85"/>
      <c r="G8" s="86"/>
      <c r="K8" s="368" t="s">
        <v>67</v>
      </c>
      <c r="L8" s="368"/>
      <c r="M8" s="368"/>
      <c r="N8" s="397" t="s">
        <v>509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>
        <v>12</v>
      </c>
      <c r="I16" s="235">
        <f>(G16*D16)*F16+H16*F16</f>
        <v>629.54999999999995</v>
      </c>
      <c r="J16" s="271">
        <f>$I16*S16</f>
        <v>50.363999999999997</v>
      </c>
      <c r="K16" s="127">
        <f>$I16*T16</f>
        <v>22.03425</v>
      </c>
      <c r="L16" s="118">
        <f>$I16*U16</f>
        <v>0</v>
      </c>
      <c r="M16" s="229">
        <f>I16-SUM(J16:L16)</f>
        <v>557.15174999999999</v>
      </c>
      <c r="N16" s="248">
        <f>+(G16*D16+H16)*V16</f>
        <v>118.98305084745758</v>
      </c>
      <c r="O16" s="238">
        <f>(N16+M16)*$O$15</f>
        <v>3.3806740042372878</v>
      </c>
      <c r="P16" s="310">
        <f>M16+N16+O16</f>
        <v>679.51547485169488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>
        <v>12</v>
      </c>
      <c r="I17" s="236">
        <f t="shared" ref="I17:I23" si="0">(G17*D17)*F17+H17*F17</f>
        <v>629.54999999999995</v>
      </c>
      <c r="J17" s="272">
        <f t="shared" ref="J17:L24" si="1">$I17*S17</f>
        <v>50.363999999999997</v>
      </c>
      <c r="K17" s="128">
        <f>$I17*T17</f>
        <v>22.03425</v>
      </c>
      <c r="L17" s="119">
        <f>$I17*U17</f>
        <v>0</v>
      </c>
      <c r="M17" s="230">
        <f t="shared" ref="M17:M24" si="2">I17-SUM(J17:L17)</f>
        <v>557.15174999999999</v>
      </c>
      <c r="N17" s="277">
        <f t="shared" ref="N17:N24" si="3">+(G17*D17+H17)*V17</f>
        <v>118.98305084745758</v>
      </c>
      <c r="O17" s="239">
        <f t="shared" ref="O17:O24" si="4">(N17+M17)*$O$15</f>
        <v>3.3806740042372878</v>
      </c>
      <c r="P17" s="311">
        <f t="shared" ref="P17:P24" si="5">M17+N17+O17</f>
        <v>679.51547485169488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>
        <v>20</v>
      </c>
      <c r="I22" s="236">
        <f t="shared" si="0"/>
        <v>784.60000000000014</v>
      </c>
      <c r="J22" s="272">
        <f t="shared" si="1"/>
        <v>39.230000000000011</v>
      </c>
      <c r="K22" s="128">
        <f t="shared" si="1"/>
        <v>27.461000000000006</v>
      </c>
      <c r="L22" s="119">
        <f t="shared" si="1"/>
        <v>40.014600000000002</v>
      </c>
      <c r="M22" s="230">
        <f t="shared" si="2"/>
        <v>677.89440000000013</v>
      </c>
      <c r="N22" s="277">
        <f t="shared" si="3"/>
        <v>152.54237288135585</v>
      </c>
      <c r="O22" s="239">
        <f t="shared" si="4"/>
        <v>4.1521838644067799</v>
      </c>
      <c r="P22" s="311">
        <f t="shared" si="5"/>
        <v>834.58895674576274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44</v>
      </c>
      <c r="I25" s="114">
        <f t="shared" si="7"/>
        <v>2043.7</v>
      </c>
      <c r="J25" s="274">
        <f>SUM(J16:J24)</f>
        <v>139.958</v>
      </c>
      <c r="K25" s="275">
        <f t="shared" si="7"/>
        <v>71.529500000000013</v>
      </c>
      <c r="L25" s="276">
        <f t="shared" si="7"/>
        <v>40.014600000000002</v>
      </c>
      <c r="M25" s="232">
        <f t="shared" si="7"/>
        <v>1792.1979000000001</v>
      </c>
      <c r="N25" s="233">
        <f>SUM(N16:N24)</f>
        <v>390.508474576271</v>
      </c>
      <c r="O25" s="101">
        <f>SUM(O16:O24)</f>
        <v>10.913531872881356</v>
      </c>
      <c r="P25" s="113">
        <f>SUM(P16:P24)</f>
        <v>2193.6199064491525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2043.7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139.958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111.54410000000001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1792.1978999999999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390.508474576271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2182.7063745762707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10.913531872881354</v>
      </c>
    </row>
    <row r="35" spans="2:16" ht="15.75" customHeight="1" thickBot="1" x14ac:dyDescent="0.4">
      <c r="N35" s="342" t="s">
        <v>88</v>
      </c>
      <c r="O35" s="343"/>
      <c r="P35" s="297">
        <f>+P33+P34</f>
        <v>2193.619906449152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600-000000000000}">
      <formula1>$XFC$3:$XFC$4</formula1>
    </dataValidation>
    <dataValidation type="list" allowBlank="1" showInputMessage="1" showErrorMessage="1" sqref="B12" xr:uid="{00000000-0002-0000-0600-000001000000}">
      <formula1>$XFC$6:$XFC$7</formula1>
    </dataValidation>
    <dataValidation type="list" allowBlank="1" showInputMessage="1" showErrorMessage="1" sqref="N9:P9" xr:uid="{00000000-0002-0000-06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6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2:XFD38"/>
  <sheetViews>
    <sheetView topLeftCell="A6" workbookViewId="0">
      <selection activeCell="F9" sqref="F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503</v>
      </c>
      <c r="B4" s="367"/>
      <c r="C4" s="367"/>
      <c r="F4" s="85"/>
      <c r="G4" s="1"/>
      <c r="K4" s="368" t="s">
        <v>44</v>
      </c>
      <c r="L4" s="368"/>
      <c r="M4" s="368"/>
      <c r="N4" s="398">
        <v>46244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46243</v>
      </c>
      <c r="O5" s="367"/>
      <c r="P5" s="367"/>
      <c r="R5" s="85"/>
      <c r="S5" s="266"/>
    </row>
    <row r="6" spans="1:22 16383:16384" ht="15" customHeight="1" x14ac:dyDescent="0.4">
      <c r="A6" s="396" t="s">
        <v>521</v>
      </c>
      <c r="B6" s="396"/>
      <c r="C6" s="396"/>
      <c r="F6" s="85"/>
      <c r="G6" s="86"/>
      <c r="K6" s="368" t="s">
        <v>69</v>
      </c>
      <c r="L6" s="368"/>
      <c r="M6" s="368"/>
      <c r="N6" s="397" t="s">
        <v>506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509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518</v>
      </c>
      <c r="B8" s="394"/>
      <c r="C8" s="394"/>
      <c r="F8" s="85"/>
      <c r="G8" s="86"/>
      <c r="K8" s="368" t="s">
        <v>67</v>
      </c>
      <c r="L8" s="368"/>
      <c r="M8" s="368"/>
      <c r="N8" s="397" t="s">
        <v>509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>
        <v>20</v>
      </c>
      <c r="I22" s="236">
        <f t="shared" si="0"/>
        <v>784.60000000000014</v>
      </c>
      <c r="J22" s="272">
        <f t="shared" si="1"/>
        <v>39.230000000000011</v>
      </c>
      <c r="K22" s="128">
        <f t="shared" si="1"/>
        <v>27.461000000000006</v>
      </c>
      <c r="L22" s="119">
        <f t="shared" si="1"/>
        <v>40.014600000000002</v>
      </c>
      <c r="M22" s="230">
        <f t="shared" si="2"/>
        <v>677.89440000000013</v>
      </c>
      <c r="N22" s="277">
        <f t="shared" si="3"/>
        <v>152.54237288135585</v>
      </c>
      <c r="O22" s="239">
        <f t="shared" si="4"/>
        <v>4.1521838644067799</v>
      </c>
      <c r="P22" s="311">
        <f t="shared" si="5"/>
        <v>834.58895674576274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20</v>
      </c>
      <c r="I25" s="114">
        <f t="shared" si="7"/>
        <v>784.60000000000014</v>
      </c>
      <c r="J25" s="274">
        <f>SUM(J16:J24)</f>
        <v>39.230000000000011</v>
      </c>
      <c r="K25" s="275">
        <f t="shared" si="7"/>
        <v>27.461000000000006</v>
      </c>
      <c r="L25" s="276">
        <f t="shared" si="7"/>
        <v>40.014600000000002</v>
      </c>
      <c r="M25" s="232">
        <f t="shared" si="7"/>
        <v>677.89440000000013</v>
      </c>
      <c r="N25" s="233">
        <f>SUM(N16:N24)</f>
        <v>152.54237288135585</v>
      </c>
      <c r="O25" s="101">
        <f>SUM(O16:O24)</f>
        <v>4.1521838644067799</v>
      </c>
      <c r="P25" s="113">
        <f>SUM(P16:P24)</f>
        <v>834.58895674576274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784.60000000000014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39.230000000000011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67.475600000000014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677.89440000000013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152.54237288135585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830.43677288135598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4.1521838644067799</v>
      </c>
    </row>
    <row r="35" spans="2:16" ht="15.75" customHeight="1" thickBot="1" x14ac:dyDescent="0.4">
      <c r="N35" s="342" t="s">
        <v>88</v>
      </c>
      <c r="O35" s="343"/>
      <c r="P35" s="297">
        <f>+P33+P34</f>
        <v>834.58895674576274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700-000000000000}">
      <formula1>$XFD$12:$XFD$17</formula1>
    </dataValidation>
    <dataValidation type="list" allowBlank="1" showInputMessage="1" showErrorMessage="1" sqref="B12" xr:uid="{00000000-0002-0000-0700-000001000000}">
      <formula1>$XFC$6:$XFC$7</formula1>
    </dataValidation>
    <dataValidation type="list" allowBlank="1" showInputMessage="1" showErrorMessage="1" sqref="B11" xr:uid="{00000000-0002-0000-07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7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2:XFD38"/>
  <sheetViews>
    <sheetView topLeftCell="A6" workbookViewId="0">
      <selection activeCell="F9" sqref="F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503</v>
      </c>
      <c r="B4" s="367"/>
      <c r="C4" s="367"/>
      <c r="F4" s="85"/>
      <c r="G4" s="1"/>
      <c r="K4" s="368" t="s">
        <v>44</v>
      </c>
      <c r="L4" s="368"/>
      <c r="M4" s="368"/>
      <c r="N4" s="398">
        <v>46244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46243</v>
      </c>
      <c r="O5" s="367"/>
      <c r="P5" s="367"/>
      <c r="R5" s="85"/>
      <c r="S5" s="266"/>
    </row>
    <row r="6" spans="1:22 16383:16384" ht="15" customHeight="1" x14ac:dyDescent="0.4">
      <c r="A6" s="396" t="s">
        <v>522</v>
      </c>
      <c r="B6" s="396"/>
      <c r="C6" s="396"/>
      <c r="F6" s="85"/>
      <c r="G6" s="86"/>
      <c r="K6" s="368" t="s">
        <v>69</v>
      </c>
      <c r="L6" s="368"/>
      <c r="M6" s="368"/>
      <c r="N6" s="397" t="s">
        <v>506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509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523</v>
      </c>
      <c r="B8" s="394"/>
      <c r="C8" s="394"/>
      <c r="F8" s="85"/>
      <c r="G8" s="86"/>
      <c r="K8" s="368" t="s">
        <v>67</v>
      </c>
      <c r="L8" s="368"/>
      <c r="M8" s="368"/>
      <c r="N8" s="397" t="s">
        <v>509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>
        <v>40</v>
      </c>
      <c r="I16" s="235">
        <f>(G16*D16)*F16+H16*F16</f>
        <v>2098.5</v>
      </c>
      <c r="J16" s="271">
        <f>$I16*S16</f>
        <v>167.88</v>
      </c>
      <c r="K16" s="127">
        <f>$I16*T16</f>
        <v>73.447500000000005</v>
      </c>
      <c r="L16" s="118">
        <f>$I16*U16</f>
        <v>0</v>
      </c>
      <c r="M16" s="229">
        <f>I16-SUM(J16:L16)</f>
        <v>1857.1725000000001</v>
      </c>
      <c r="N16" s="248">
        <f>+(G16*D16+H16)*V16</f>
        <v>396.61016949152526</v>
      </c>
      <c r="O16" s="238">
        <f>(N16+M16)*$O$15</f>
        <v>11.268913347457627</v>
      </c>
      <c r="P16" s="310">
        <f>M16+N16+O16</f>
        <v>2265.051582838983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>
        <v>40</v>
      </c>
      <c r="I17" s="236">
        <f t="shared" ref="I17:I23" si="0">(G17*D17)*F17+H17*F17</f>
        <v>2098.5</v>
      </c>
      <c r="J17" s="272">
        <f t="shared" ref="J17:L24" si="1">$I17*S17</f>
        <v>167.88</v>
      </c>
      <c r="K17" s="128">
        <f>$I17*T17</f>
        <v>73.447500000000005</v>
      </c>
      <c r="L17" s="119">
        <f>$I17*U17</f>
        <v>0</v>
      </c>
      <c r="M17" s="230">
        <f t="shared" ref="M17:M24" si="2">I17-SUM(J17:L17)</f>
        <v>1857.1725000000001</v>
      </c>
      <c r="N17" s="277">
        <f t="shared" ref="N17:N24" si="3">+(G17*D17+H17)*V17</f>
        <v>396.61016949152526</v>
      </c>
      <c r="O17" s="239">
        <f t="shared" ref="O17:O24" si="4">(N17+M17)*$O$15</f>
        <v>11.268913347457627</v>
      </c>
      <c r="P17" s="311">
        <f t="shared" ref="P17:P24" si="5">M17+N17+O17</f>
        <v>2265.051582838983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40</v>
      </c>
      <c r="I19" s="236">
        <f t="shared" si="0"/>
        <v>2905.6</v>
      </c>
      <c r="J19" s="272">
        <f t="shared" si="1"/>
        <v>232.44800000000001</v>
      </c>
      <c r="K19" s="128">
        <f t="shared" si="1"/>
        <v>101.69600000000001</v>
      </c>
      <c r="L19" s="119">
        <f t="shared" si="1"/>
        <v>0</v>
      </c>
      <c r="M19" s="230">
        <f t="shared" si="2"/>
        <v>2571.4560000000001</v>
      </c>
      <c r="N19" s="277">
        <f t="shared" si="3"/>
        <v>549.15254237288138</v>
      </c>
      <c r="O19" s="239">
        <f t="shared" si="4"/>
        <v>15.603042711864408</v>
      </c>
      <c r="P19" s="311">
        <f t="shared" si="5"/>
        <v>3136.2115850847458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40</v>
      </c>
      <c r="I20" s="236">
        <f t="shared" si="0"/>
        <v>2905.6</v>
      </c>
      <c r="J20" s="272">
        <f t="shared" si="1"/>
        <v>232.44800000000001</v>
      </c>
      <c r="K20" s="128">
        <f t="shared" si="1"/>
        <v>101.69600000000001</v>
      </c>
      <c r="L20" s="119">
        <f t="shared" si="1"/>
        <v>0</v>
      </c>
      <c r="M20" s="230">
        <f t="shared" si="2"/>
        <v>2571.4560000000001</v>
      </c>
      <c r="N20" s="277">
        <f t="shared" si="3"/>
        <v>549.15254237288138</v>
      </c>
      <c r="O20" s="239">
        <f t="shared" si="4"/>
        <v>15.603042711864408</v>
      </c>
      <c r="P20" s="311">
        <f t="shared" si="5"/>
        <v>3136.2115850847458</v>
      </c>
      <c r="Q20" s="156"/>
      <c r="R20">
        <f>P20/21</f>
        <v>149.34340881355934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40</v>
      </c>
      <c r="I21" s="236">
        <f t="shared" si="0"/>
        <v>2905.6</v>
      </c>
      <c r="J21" s="272">
        <f t="shared" si="1"/>
        <v>232.44800000000001</v>
      </c>
      <c r="K21" s="128">
        <f t="shared" si="1"/>
        <v>101.69600000000001</v>
      </c>
      <c r="L21" s="119">
        <f t="shared" si="1"/>
        <v>0</v>
      </c>
      <c r="M21" s="230">
        <f t="shared" si="2"/>
        <v>2571.4560000000001</v>
      </c>
      <c r="N21" s="277">
        <f t="shared" si="3"/>
        <v>549.15254237288138</v>
      </c>
      <c r="O21" s="239">
        <f t="shared" si="4"/>
        <v>15.603042711864408</v>
      </c>
      <c r="P21" s="311">
        <f t="shared" si="5"/>
        <v>3136.2115850847458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>
        <v>40</v>
      </c>
      <c r="I22" s="236">
        <f t="shared" si="0"/>
        <v>1569.2000000000003</v>
      </c>
      <c r="J22" s="272">
        <f t="shared" si="1"/>
        <v>78.460000000000022</v>
      </c>
      <c r="K22" s="128">
        <f t="shared" si="1"/>
        <v>54.922000000000011</v>
      </c>
      <c r="L22" s="119">
        <f t="shared" si="1"/>
        <v>80.029200000000003</v>
      </c>
      <c r="M22" s="230">
        <f t="shared" si="2"/>
        <v>1355.7888000000003</v>
      </c>
      <c r="N22" s="277">
        <f t="shared" si="3"/>
        <v>305.08474576271169</v>
      </c>
      <c r="O22" s="239">
        <f t="shared" si="4"/>
        <v>8.3043677288135598</v>
      </c>
      <c r="P22" s="311">
        <f t="shared" si="5"/>
        <v>1669.1779134915255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240</v>
      </c>
      <c r="I25" s="114">
        <f t="shared" si="7"/>
        <v>14483.000000000002</v>
      </c>
      <c r="J25" s="274">
        <f>SUM(J16:J24)</f>
        <v>1111.5640000000001</v>
      </c>
      <c r="K25" s="275">
        <f t="shared" si="7"/>
        <v>506.90500000000009</v>
      </c>
      <c r="L25" s="276">
        <f t="shared" si="7"/>
        <v>80.029200000000003</v>
      </c>
      <c r="M25" s="232">
        <f t="shared" si="7"/>
        <v>12784.501800000002</v>
      </c>
      <c r="N25" s="233">
        <f>SUM(N16:N24)</f>
        <v>2745.7627118644059</v>
      </c>
      <c r="O25" s="101">
        <f>SUM(O16:O24)</f>
        <v>77.651322559322026</v>
      </c>
      <c r="P25" s="113">
        <f>SUM(P16:P24)</f>
        <v>15607.915834423729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14483.000000000002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1111.5640000000001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586.93420000000015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12784.501800000002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2745.7627118644059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15530.264511864407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77.65132255932204</v>
      </c>
    </row>
    <row r="35" spans="2:16" ht="15.75" customHeight="1" thickBot="1" x14ac:dyDescent="0.4">
      <c r="N35" s="342" t="s">
        <v>88</v>
      </c>
      <c r="O35" s="343"/>
      <c r="P35" s="297">
        <f>+P33+P34</f>
        <v>15607.915834423729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800-000000000000}">
      <formula1>$XFC$3:$XFC$4</formula1>
    </dataValidation>
    <dataValidation type="list" allowBlank="1" showInputMessage="1" showErrorMessage="1" sqref="B12" xr:uid="{00000000-0002-0000-0800-000001000000}">
      <formula1>$XFC$6:$XFC$7</formula1>
    </dataValidation>
    <dataValidation type="list" allowBlank="1" showInputMessage="1" showErrorMessage="1" sqref="N9:P9" xr:uid="{00000000-0002-0000-08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8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2:XFD38"/>
  <sheetViews>
    <sheetView topLeftCell="A7" workbookViewId="0">
      <selection activeCell="F9" sqref="F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503</v>
      </c>
      <c r="B4" s="367"/>
      <c r="C4" s="367"/>
      <c r="F4" s="85"/>
      <c r="G4" s="1"/>
      <c r="K4" s="368" t="s">
        <v>44</v>
      </c>
      <c r="L4" s="368"/>
      <c r="M4" s="368"/>
      <c r="N4" s="398">
        <v>46244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46243</v>
      </c>
      <c r="O5" s="367"/>
      <c r="P5" s="367"/>
      <c r="R5" s="85"/>
      <c r="S5" s="266"/>
    </row>
    <row r="6" spans="1:22 16383:16384" ht="15" customHeight="1" x14ac:dyDescent="0.4">
      <c r="A6" s="396" t="s">
        <v>524</v>
      </c>
      <c r="B6" s="396"/>
      <c r="C6" s="396"/>
      <c r="F6" s="85"/>
      <c r="G6" s="86"/>
      <c r="K6" s="368" t="s">
        <v>69</v>
      </c>
      <c r="L6" s="368"/>
      <c r="M6" s="368"/>
      <c r="N6" s="397" t="s">
        <v>506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509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518</v>
      </c>
      <c r="B8" s="394"/>
      <c r="C8" s="394"/>
      <c r="F8" s="85"/>
      <c r="G8" s="86"/>
      <c r="K8" s="368" t="s">
        <v>67</v>
      </c>
      <c r="L8" s="368"/>
      <c r="M8" s="368"/>
      <c r="N8" s="397" t="s">
        <v>509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120</v>
      </c>
      <c r="I19" s="236">
        <f t="shared" si="0"/>
        <v>8716.7999999999993</v>
      </c>
      <c r="J19" s="272">
        <f t="shared" si="1"/>
        <v>697.34399999999994</v>
      </c>
      <c r="K19" s="128">
        <f t="shared" si="1"/>
        <v>305.08800000000002</v>
      </c>
      <c r="L19" s="119">
        <f t="shared" si="1"/>
        <v>0</v>
      </c>
      <c r="M19" s="230">
        <f t="shared" si="2"/>
        <v>7714.3679999999995</v>
      </c>
      <c r="N19" s="277">
        <f t="shared" si="3"/>
        <v>1647.4576271186443</v>
      </c>
      <c r="O19" s="239">
        <f t="shared" si="4"/>
        <v>46.80912813559322</v>
      </c>
      <c r="P19" s="311">
        <f t="shared" si="5"/>
        <v>9408.6347552542375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120</v>
      </c>
      <c r="I21" s="236">
        <f t="shared" si="0"/>
        <v>8716.7999999999993</v>
      </c>
      <c r="J21" s="272">
        <f t="shared" si="1"/>
        <v>697.34399999999994</v>
      </c>
      <c r="K21" s="128">
        <f t="shared" si="1"/>
        <v>305.08800000000002</v>
      </c>
      <c r="L21" s="119">
        <f t="shared" si="1"/>
        <v>0</v>
      </c>
      <c r="M21" s="230">
        <f t="shared" si="2"/>
        <v>7714.3679999999995</v>
      </c>
      <c r="N21" s="277">
        <f t="shared" si="3"/>
        <v>1647.4576271186443</v>
      </c>
      <c r="O21" s="239">
        <f t="shared" si="4"/>
        <v>46.80912813559322</v>
      </c>
      <c r="P21" s="311">
        <f t="shared" si="5"/>
        <v>9408.6347552542375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240</v>
      </c>
      <c r="I25" s="114">
        <f t="shared" si="7"/>
        <v>17433.599999999999</v>
      </c>
      <c r="J25" s="274">
        <f>SUM(J16:J24)</f>
        <v>1394.6879999999999</v>
      </c>
      <c r="K25" s="275">
        <f t="shared" si="7"/>
        <v>610.17600000000004</v>
      </c>
      <c r="L25" s="276">
        <f t="shared" si="7"/>
        <v>0</v>
      </c>
      <c r="M25" s="232">
        <f t="shared" si="7"/>
        <v>15428.735999999999</v>
      </c>
      <c r="N25" s="233">
        <f>SUM(N16:N24)</f>
        <v>3294.9152542372885</v>
      </c>
      <c r="O25" s="101">
        <f>SUM(O16:O24)</f>
        <v>93.618256271186439</v>
      </c>
      <c r="P25" s="113">
        <f>SUM(P16:P24)</f>
        <v>18817.269510508475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17433.599999999999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1394.6879999999999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610.17600000000004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15428.735999999999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3294.9152542372885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18723.651254237288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93.618256271186439</v>
      </c>
    </row>
    <row r="35" spans="2:16" ht="15.75" customHeight="1" thickBot="1" x14ac:dyDescent="0.4">
      <c r="N35" s="342" t="s">
        <v>88</v>
      </c>
      <c r="O35" s="343"/>
      <c r="P35" s="297">
        <f>+P33+P34</f>
        <v>18817.269510508475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900-000000000000}">
      <formula1>$XFD$12:$XFD$17</formula1>
    </dataValidation>
    <dataValidation type="list" allowBlank="1" showInputMessage="1" showErrorMessage="1" sqref="B12" xr:uid="{00000000-0002-0000-0900-000001000000}">
      <formula1>$XFC$6:$XFC$7</formula1>
    </dataValidation>
    <dataValidation type="list" allowBlank="1" showInputMessage="1" showErrorMessage="1" sqref="B11" xr:uid="{00000000-0002-0000-09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9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2:XFD38"/>
  <sheetViews>
    <sheetView workbookViewId="0">
      <selection activeCell="F9" sqref="F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503</v>
      </c>
      <c r="B4" s="367"/>
      <c r="C4" s="367"/>
      <c r="F4" s="85"/>
      <c r="G4" s="1"/>
      <c r="K4" s="368" t="s">
        <v>44</v>
      </c>
      <c r="L4" s="368"/>
      <c r="M4" s="368"/>
      <c r="N4" s="398">
        <v>46244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46243</v>
      </c>
      <c r="O5" s="367"/>
      <c r="P5" s="367"/>
      <c r="R5" s="85"/>
      <c r="S5" s="266"/>
    </row>
    <row r="6" spans="1:22 16383:16384" ht="15" customHeight="1" x14ac:dyDescent="0.4">
      <c r="A6" s="396" t="s">
        <v>525</v>
      </c>
      <c r="B6" s="396"/>
      <c r="C6" s="396"/>
      <c r="F6" s="85"/>
      <c r="G6" s="86"/>
      <c r="K6" s="368" t="s">
        <v>69</v>
      </c>
      <c r="L6" s="368"/>
      <c r="M6" s="368"/>
      <c r="N6" s="397" t="s">
        <v>506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509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526</v>
      </c>
      <c r="B8" s="394"/>
      <c r="C8" s="394"/>
      <c r="F8" s="85"/>
      <c r="G8" s="86"/>
      <c r="K8" s="368" t="s">
        <v>67</v>
      </c>
      <c r="L8" s="368"/>
      <c r="M8" s="368"/>
      <c r="N8" s="397" t="s">
        <v>509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>
        <v>40</v>
      </c>
      <c r="I22" s="236">
        <f t="shared" si="0"/>
        <v>1569.2000000000003</v>
      </c>
      <c r="J22" s="272">
        <f t="shared" si="1"/>
        <v>78.460000000000022</v>
      </c>
      <c r="K22" s="128">
        <f t="shared" si="1"/>
        <v>54.922000000000011</v>
      </c>
      <c r="L22" s="119">
        <f t="shared" si="1"/>
        <v>80.029200000000003</v>
      </c>
      <c r="M22" s="230">
        <f t="shared" si="2"/>
        <v>1355.7888000000003</v>
      </c>
      <c r="N22" s="277">
        <f t="shared" si="3"/>
        <v>305.08474576271169</v>
      </c>
      <c r="O22" s="239">
        <f t="shared" si="4"/>
        <v>8.3043677288135598</v>
      </c>
      <c r="P22" s="311">
        <f t="shared" si="5"/>
        <v>1669.1779134915255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40</v>
      </c>
      <c r="I25" s="114">
        <f t="shared" si="7"/>
        <v>1569.2000000000003</v>
      </c>
      <c r="J25" s="274">
        <f>SUM(J16:J24)</f>
        <v>78.460000000000022</v>
      </c>
      <c r="K25" s="275">
        <f t="shared" si="7"/>
        <v>54.922000000000011</v>
      </c>
      <c r="L25" s="276">
        <f t="shared" si="7"/>
        <v>80.029200000000003</v>
      </c>
      <c r="M25" s="232">
        <f t="shared" si="7"/>
        <v>1355.7888000000003</v>
      </c>
      <c r="N25" s="233">
        <f>SUM(N16:N24)</f>
        <v>305.08474576271169</v>
      </c>
      <c r="O25" s="101">
        <f>SUM(O16:O24)</f>
        <v>8.3043677288135598</v>
      </c>
      <c r="P25" s="113">
        <f>SUM(P16:P24)</f>
        <v>1669.1779134915255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1569.2000000000003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78.460000000000022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134.95120000000003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1355.7888000000003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305.08474576271169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1660.873545762712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8.3043677288135598</v>
      </c>
    </row>
    <row r="35" spans="2:16" ht="15.75" customHeight="1" thickBot="1" x14ac:dyDescent="0.4">
      <c r="N35" s="342" t="s">
        <v>88</v>
      </c>
      <c r="O35" s="343"/>
      <c r="P35" s="297">
        <f>+P33+P34</f>
        <v>1669.1779134915255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A00-000000000000}">
      <formula1>$XFC$3:$XFC$4</formula1>
    </dataValidation>
    <dataValidation type="list" allowBlank="1" showInputMessage="1" showErrorMessage="1" sqref="B12" xr:uid="{00000000-0002-0000-0A00-000001000000}">
      <formula1>$XFC$6:$XFC$7</formula1>
    </dataValidation>
    <dataValidation type="list" allowBlank="1" showInputMessage="1" showErrorMessage="1" sqref="N9:P9" xr:uid="{00000000-0002-0000-0A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A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503</v>
      </c>
      <c r="B4" s="367"/>
      <c r="C4" s="367"/>
      <c r="F4" s="85"/>
      <c r="G4" s="1"/>
      <c r="K4" s="368" t="s">
        <v>44</v>
      </c>
      <c r="L4" s="368"/>
      <c r="M4" s="368"/>
      <c r="N4" s="398">
        <v>46244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46243</v>
      </c>
      <c r="O5" s="367"/>
      <c r="P5" s="367"/>
      <c r="R5" s="85"/>
      <c r="S5" s="266"/>
    </row>
    <row r="6" spans="1:22 16383:16384" ht="15" customHeight="1" x14ac:dyDescent="0.4">
      <c r="A6" s="396" t="s">
        <v>496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509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95</v>
      </c>
      <c r="B8" s="394"/>
      <c r="C8" s="394"/>
      <c r="F8" s="85"/>
      <c r="G8" s="86"/>
      <c r="K8" s="368" t="s">
        <v>67</v>
      </c>
      <c r="L8" s="368"/>
      <c r="M8" s="368"/>
      <c r="N8" s="397" t="s">
        <v>509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B00-000000000000}">
      <formula1>$XFD$12:$XFD$17</formula1>
    </dataValidation>
    <dataValidation type="list" allowBlank="1" showInputMessage="1" showErrorMessage="1" sqref="B12" xr:uid="{00000000-0002-0000-0B00-000001000000}">
      <formula1>$XFC$6:$XFC$7</formula1>
    </dataValidation>
    <dataValidation type="list" allowBlank="1" showInputMessage="1" showErrorMessage="1" sqref="B11" xr:uid="{00000000-0002-0000-0B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B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503</v>
      </c>
      <c r="B4" s="367"/>
      <c r="C4" s="367"/>
      <c r="F4" s="85"/>
      <c r="G4" s="1"/>
      <c r="K4" s="368" t="s">
        <v>44</v>
      </c>
      <c r="L4" s="368"/>
      <c r="M4" s="368"/>
      <c r="N4" s="398">
        <v>46244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46243</v>
      </c>
      <c r="O5" s="367"/>
      <c r="P5" s="367"/>
      <c r="R5" s="85"/>
      <c r="S5" s="266"/>
    </row>
    <row r="6" spans="1:22 16383:16384" ht="15" customHeight="1" x14ac:dyDescent="0.4">
      <c r="A6" s="396" t="s">
        <v>496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509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95</v>
      </c>
      <c r="B8" s="394"/>
      <c r="C8" s="394"/>
      <c r="F8" s="85"/>
      <c r="G8" s="86"/>
      <c r="K8" s="368" t="s">
        <v>67</v>
      </c>
      <c r="L8" s="368"/>
      <c r="M8" s="368"/>
      <c r="N8" s="397" t="s">
        <v>509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C00-000000000000}">
      <formula1>$XFC$3:$XFC$4</formula1>
    </dataValidation>
    <dataValidation type="list" allowBlank="1" showInputMessage="1" showErrorMessage="1" sqref="B12" xr:uid="{00000000-0002-0000-0C00-000001000000}">
      <formula1>$XFC$6:$XFC$7</formula1>
    </dataValidation>
    <dataValidation type="list" allowBlank="1" showInputMessage="1" showErrorMessage="1" sqref="N9:P9" xr:uid="{00000000-0002-0000-0C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C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503</v>
      </c>
      <c r="B4" s="367"/>
      <c r="C4" s="367"/>
      <c r="F4" s="85"/>
      <c r="G4" s="1"/>
      <c r="K4" s="368" t="s">
        <v>44</v>
      </c>
      <c r="L4" s="368"/>
      <c r="M4" s="368"/>
      <c r="N4" s="398">
        <v>46244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46243</v>
      </c>
      <c r="O5" s="367"/>
      <c r="P5" s="367"/>
      <c r="R5" s="85"/>
      <c r="S5" s="266"/>
    </row>
    <row r="6" spans="1:22 16383:16384" ht="15" customHeight="1" x14ac:dyDescent="0.4">
      <c r="A6" s="396" t="s">
        <v>496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509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95</v>
      </c>
      <c r="B8" s="394"/>
      <c r="C8" s="394"/>
      <c r="F8" s="85"/>
      <c r="G8" s="86"/>
      <c r="K8" s="368" t="s">
        <v>67</v>
      </c>
      <c r="L8" s="368"/>
      <c r="M8" s="368"/>
      <c r="N8" s="397" t="s">
        <v>509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D00-000000000000}">
      <formula1>$XFD$12:$XFD$17</formula1>
    </dataValidation>
    <dataValidation type="list" allowBlank="1" showInputMessage="1" showErrorMessage="1" sqref="B12" xr:uid="{00000000-0002-0000-0D00-000001000000}">
      <formula1>$XFC$6:$XFC$7</formula1>
    </dataValidation>
    <dataValidation type="list" allowBlank="1" showInputMessage="1" showErrorMessage="1" sqref="B11" xr:uid="{00000000-0002-0000-0D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D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503</v>
      </c>
      <c r="B4" s="367"/>
      <c r="C4" s="367"/>
      <c r="F4" s="85"/>
      <c r="G4" s="1"/>
      <c r="K4" s="368" t="s">
        <v>44</v>
      </c>
      <c r="L4" s="368"/>
      <c r="M4" s="368"/>
      <c r="N4" s="398">
        <v>46244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46243</v>
      </c>
      <c r="O5" s="367"/>
      <c r="P5" s="367"/>
      <c r="R5" s="85"/>
      <c r="S5" s="266"/>
    </row>
    <row r="6" spans="1:22 16383:16384" ht="15" customHeight="1" x14ac:dyDescent="0.4">
      <c r="A6" s="396" t="s">
        <v>496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509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95</v>
      </c>
      <c r="B8" s="394"/>
      <c r="C8" s="394"/>
      <c r="F8" s="85"/>
      <c r="G8" s="86"/>
      <c r="K8" s="368" t="s">
        <v>67</v>
      </c>
      <c r="L8" s="368"/>
      <c r="M8" s="368"/>
      <c r="N8" s="397" t="s">
        <v>509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E00-000000000000}">
      <formula1>$XFC$3:$XFC$4</formula1>
    </dataValidation>
    <dataValidation type="list" allowBlank="1" showInputMessage="1" showErrorMessage="1" sqref="B12" xr:uid="{00000000-0002-0000-0E00-000001000000}">
      <formula1>$XFC$6:$XFC$7</formula1>
    </dataValidation>
    <dataValidation type="list" allowBlank="1" showInputMessage="1" showErrorMessage="1" sqref="N9:P9" xr:uid="{00000000-0002-0000-0E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E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503</v>
      </c>
      <c r="B4" s="367"/>
      <c r="C4" s="367"/>
      <c r="F4" s="85"/>
      <c r="G4" s="1"/>
      <c r="K4" s="368" t="s">
        <v>44</v>
      </c>
      <c r="L4" s="368"/>
      <c r="M4" s="368"/>
      <c r="N4" s="398">
        <v>46244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46243</v>
      </c>
      <c r="O5" s="367"/>
      <c r="P5" s="367"/>
      <c r="R5" s="85"/>
      <c r="S5" s="266"/>
    </row>
    <row r="6" spans="1:22 16383:16384" ht="15" customHeight="1" x14ac:dyDescent="0.4">
      <c r="A6" s="396" t="s">
        <v>500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509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95</v>
      </c>
      <c r="B8" s="394"/>
      <c r="C8" s="394"/>
      <c r="F8" s="85"/>
      <c r="G8" s="86"/>
      <c r="K8" s="368" t="s">
        <v>67</v>
      </c>
      <c r="L8" s="368"/>
      <c r="M8" s="368"/>
      <c r="N8" s="397" t="s">
        <v>509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F00-000000000000}">
      <formula1>$XFD$12:$XFD$17</formula1>
    </dataValidation>
    <dataValidation type="list" allowBlank="1" showInputMessage="1" showErrorMessage="1" sqref="B12" xr:uid="{00000000-0002-0000-0F00-000001000000}">
      <formula1>$XFC$6:$XFC$7</formula1>
    </dataValidation>
    <dataValidation type="list" allowBlank="1" showInputMessage="1" showErrorMessage="1" sqref="B11" xr:uid="{00000000-0002-0000-0F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F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503</v>
      </c>
      <c r="B4" s="367"/>
      <c r="C4" s="367"/>
      <c r="F4" s="85"/>
      <c r="G4" s="1"/>
      <c r="K4" s="368" t="s">
        <v>44</v>
      </c>
      <c r="L4" s="368"/>
      <c r="M4" s="368"/>
      <c r="N4" s="398">
        <v>46244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46243</v>
      </c>
      <c r="O5" s="367"/>
      <c r="P5" s="367"/>
      <c r="R5" s="85"/>
      <c r="S5" s="266"/>
    </row>
    <row r="6" spans="1:22 16383:16384" ht="15" customHeight="1" x14ac:dyDescent="0.4">
      <c r="A6" s="396" t="s">
        <v>496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509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95</v>
      </c>
      <c r="B8" s="394"/>
      <c r="C8" s="394"/>
      <c r="F8" s="85"/>
      <c r="G8" s="86"/>
      <c r="K8" s="368" t="s">
        <v>67</v>
      </c>
      <c r="L8" s="368"/>
      <c r="M8" s="368"/>
      <c r="N8" s="397" t="s">
        <v>509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000-000000000000}">
      <formula1>$XFC$3:$XFC$4</formula1>
    </dataValidation>
    <dataValidation type="list" allowBlank="1" showInputMessage="1" showErrorMessage="1" sqref="B12" xr:uid="{00000000-0002-0000-1000-000001000000}">
      <formula1>$XFC$6:$XFC$7</formula1>
    </dataValidation>
    <dataValidation type="list" allowBlank="1" showInputMessage="1" showErrorMessage="1" sqref="N9:P9" xr:uid="{00000000-0002-0000-10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0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503</v>
      </c>
      <c r="B4" s="367"/>
      <c r="C4" s="367"/>
      <c r="F4" s="85"/>
      <c r="G4" s="1"/>
      <c r="K4" s="368" t="s">
        <v>44</v>
      </c>
      <c r="L4" s="368"/>
      <c r="M4" s="368"/>
      <c r="N4" s="398">
        <v>46244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46243</v>
      </c>
      <c r="O5" s="367"/>
      <c r="P5" s="367"/>
      <c r="R5" s="85"/>
      <c r="S5" s="266"/>
    </row>
    <row r="6" spans="1:22 16383:16384" ht="15" customHeight="1" x14ac:dyDescent="0.4">
      <c r="A6" s="396" t="s">
        <v>496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509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95</v>
      </c>
      <c r="B8" s="394"/>
      <c r="C8" s="394"/>
      <c r="F8" s="85"/>
      <c r="G8" s="86"/>
      <c r="K8" s="368" t="s">
        <v>67</v>
      </c>
      <c r="L8" s="368"/>
      <c r="M8" s="368"/>
      <c r="N8" s="397" t="s">
        <v>509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100-000000000000}">
      <formula1>$XFD$12:$XFD$17</formula1>
    </dataValidation>
    <dataValidation type="list" allowBlank="1" showInputMessage="1" showErrorMessage="1" sqref="B12" xr:uid="{00000000-0002-0000-1100-000001000000}">
      <formula1>$XFC$6:$XFC$7</formula1>
    </dataValidation>
    <dataValidation type="list" allowBlank="1" showInputMessage="1" showErrorMessage="1" sqref="B11" xr:uid="{00000000-0002-0000-11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1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503</v>
      </c>
      <c r="B4" s="367"/>
      <c r="C4" s="367"/>
      <c r="F4" s="85"/>
      <c r="G4" s="1"/>
      <c r="K4" s="368" t="s">
        <v>44</v>
      </c>
      <c r="L4" s="368"/>
      <c r="M4" s="368"/>
      <c r="N4" s="398">
        <v>46244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46243</v>
      </c>
      <c r="O5" s="367"/>
      <c r="P5" s="367"/>
      <c r="R5" s="85"/>
      <c r="S5" s="266"/>
    </row>
    <row r="6" spans="1:22 16383:16384" ht="15" customHeight="1" x14ac:dyDescent="0.4">
      <c r="A6" s="396" t="s">
        <v>496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509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95</v>
      </c>
      <c r="B8" s="394"/>
      <c r="C8" s="394"/>
      <c r="F8" s="85"/>
      <c r="G8" s="86"/>
      <c r="K8" s="368" t="s">
        <v>67</v>
      </c>
      <c r="L8" s="368"/>
      <c r="M8" s="368"/>
      <c r="N8" s="397" t="s">
        <v>509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200-000000000000}">
      <formula1>$XFC$3:$XFC$4</formula1>
    </dataValidation>
    <dataValidation type="list" allowBlank="1" showInputMessage="1" showErrorMessage="1" sqref="B12" xr:uid="{00000000-0002-0000-1200-000001000000}">
      <formula1>$XFC$6:$XFC$7</formula1>
    </dataValidation>
    <dataValidation type="list" allowBlank="1" showInputMessage="1" showErrorMessage="1" sqref="N9:P9" xr:uid="{00000000-0002-0000-12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2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503</v>
      </c>
      <c r="B4" s="367"/>
      <c r="C4" s="367"/>
      <c r="F4" s="85"/>
      <c r="G4" s="1"/>
      <c r="K4" s="368" t="s">
        <v>44</v>
      </c>
      <c r="L4" s="368"/>
      <c r="M4" s="368"/>
      <c r="N4" s="398">
        <v>46244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46243</v>
      </c>
      <c r="O5" s="367"/>
      <c r="P5" s="367"/>
      <c r="R5" s="85"/>
      <c r="S5" s="266"/>
    </row>
    <row r="6" spans="1:22 16383:16384" ht="15" customHeight="1" x14ac:dyDescent="0.4">
      <c r="A6" s="396" t="s">
        <v>496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509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95</v>
      </c>
      <c r="B8" s="394"/>
      <c r="C8" s="394"/>
      <c r="F8" s="85"/>
      <c r="G8" s="86"/>
      <c r="K8" s="368" t="s">
        <v>67</v>
      </c>
      <c r="L8" s="368"/>
      <c r="M8" s="368"/>
      <c r="N8" s="397" t="s">
        <v>509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300-000000000000}">
      <formula1>$XFD$12:$XFD$17</formula1>
    </dataValidation>
    <dataValidation type="list" allowBlank="1" showInputMessage="1" showErrorMessage="1" sqref="B12" xr:uid="{00000000-0002-0000-1300-000001000000}">
      <formula1>$XFC$6:$XFC$7</formula1>
    </dataValidation>
    <dataValidation type="list" allowBlank="1" showInputMessage="1" showErrorMessage="1" sqref="B11" xr:uid="{00000000-0002-0000-13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3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503</v>
      </c>
      <c r="B4" s="367"/>
      <c r="C4" s="367"/>
      <c r="F4" s="85"/>
      <c r="G4" s="1"/>
      <c r="K4" s="368" t="s">
        <v>44</v>
      </c>
      <c r="L4" s="368"/>
      <c r="M4" s="368"/>
      <c r="N4" s="398">
        <v>46244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46243</v>
      </c>
      <c r="O5" s="367"/>
      <c r="P5" s="367"/>
      <c r="R5" s="85"/>
      <c r="S5" s="266"/>
    </row>
    <row r="6" spans="1:22 16383:16384" ht="15" customHeight="1" x14ac:dyDescent="0.4">
      <c r="A6" s="396" t="s">
        <v>501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509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95</v>
      </c>
      <c r="B8" s="394"/>
      <c r="C8" s="394"/>
      <c r="F8" s="85"/>
      <c r="G8" s="86"/>
      <c r="K8" s="368" t="s">
        <v>67</v>
      </c>
      <c r="L8" s="368"/>
      <c r="M8" s="368"/>
      <c r="N8" s="397" t="s">
        <v>509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305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400-000000000000}">
      <formula1>$XFC$3:$XFC$4</formula1>
    </dataValidation>
    <dataValidation type="list" allowBlank="1" showInputMessage="1" showErrorMessage="1" sqref="B12" xr:uid="{00000000-0002-0000-1400-000001000000}">
      <formula1>$XFC$6:$XFC$7</formula1>
    </dataValidation>
    <dataValidation type="list" allowBlank="1" showInputMessage="1" showErrorMessage="1" sqref="N9:P9" xr:uid="{00000000-0002-0000-14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4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503</v>
      </c>
      <c r="B4" s="367"/>
      <c r="C4" s="367"/>
      <c r="F4" s="85"/>
      <c r="G4" s="1"/>
      <c r="K4" s="368" t="s">
        <v>44</v>
      </c>
      <c r="L4" s="368"/>
      <c r="M4" s="368"/>
      <c r="N4" s="398">
        <v>46244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46243</v>
      </c>
      <c r="O5" s="367"/>
      <c r="P5" s="367"/>
      <c r="R5" s="85"/>
      <c r="S5" s="266"/>
    </row>
    <row r="6" spans="1:22 16383:16384" ht="15" customHeight="1" x14ac:dyDescent="0.4">
      <c r="A6" s="396" t="s">
        <v>496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509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95</v>
      </c>
      <c r="B8" s="394"/>
      <c r="C8" s="394"/>
      <c r="F8" s="85"/>
      <c r="G8" s="86"/>
      <c r="K8" s="368" t="s">
        <v>67</v>
      </c>
      <c r="L8" s="368"/>
      <c r="M8" s="368"/>
      <c r="N8" s="397" t="s">
        <v>509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500-000000000000}">
      <formula1>$XFD$12:$XFD$17</formula1>
    </dataValidation>
    <dataValidation type="list" allowBlank="1" showInputMessage="1" showErrorMessage="1" sqref="B12" xr:uid="{00000000-0002-0000-1500-000001000000}">
      <formula1>$XFC$6:$XFC$7</formula1>
    </dataValidation>
    <dataValidation type="list" allowBlank="1" showInputMessage="1" showErrorMessage="1" sqref="B11" xr:uid="{00000000-0002-0000-15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5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503</v>
      </c>
      <c r="B4" s="367"/>
      <c r="C4" s="367"/>
      <c r="F4" s="85"/>
      <c r="G4" s="1"/>
      <c r="K4" s="368" t="s">
        <v>44</v>
      </c>
      <c r="L4" s="368"/>
      <c r="M4" s="368"/>
      <c r="N4" s="398">
        <v>46244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46243</v>
      </c>
      <c r="O5" s="367"/>
      <c r="P5" s="367"/>
      <c r="R5" s="85"/>
      <c r="S5" s="266"/>
    </row>
    <row r="6" spans="1:22 16383:16384" ht="15" customHeight="1" x14ac:dyDescent="0.4">
      <c r="A6" s="396" t="s">
        <v>496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509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95</v>
      </c>
      <c r="B8" s="394"/>
      <c r="C8" s="394"/>
      <c r="F8" s="85"/>
      <c r="G8" s="86"/>
      <c r="K8" s="368" t="s">
        <v>67</v>
      </c>
      <c r="L8" s="368"/>
      <c r="M8" s="368"/>
      <c r="N8" s="397" t="s">
        <v>509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600-000000000000}">
      <formula1>$XFC$3:$XFC$4</formula1>
    </dataValidation>
    <dataValidation type="list" allowBlank="1" showInputMessage="1" showErrorMessage="1" sqref="B12" xr:uid="{00000000-0002-0000-1600-000001000000}">
      <formula1>$XFC$6:$XFC$7</formula1>
    </dataValidation>
    <dataValidation type="list" allowBlank="1" showInputMessage="1" showErrorMessage="1" sqref="N9:P9" xr:uid="{00000000-0002-0000-16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6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503</v>
      </c>
      <c r="B4" s="367"/>
      <c r="C4" s="367"/>
      <c r="F4" s="85"/>
      <c r="G4" s="1"/>
      <c r="K4" s="368" t="s">
        <v>44</v>
      </c>
      <c r="L4" s="368"/>
      <c r="M4" s="368"/>
      <c r="N4" s="398">
        <v>46244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46243</v>
      </c>
      <c r="O5" s="367"/>
      <c r="P5" s="367"/>
      <c r="R5" s="85"/>
      <c r="S5" s="266"/>
    </row>
    <row r="6" spans="1:22 16383:16384" ht="18.75" customHeight="1" x14ac:dyDescent="0.4">
      <c r="A6" s="396" t="s">
        <v>502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509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95</v>
      </c>
      <c r="B8" s="394"/>
      <c r="C8" s="394"/>
      <c r="F8" s="85"/>
      <c r="G8" s="86"/>
      <c r="K8" s="368" t="s">
        <v>67</v>
      </c>
      <c r="L8" s="368"/>
      <c r="M8" s="368"/>
      <c r="N8" s="397" t="s">
        <v>509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700-000000000000}">
      <formula1>$XFD$12:$XFD$17</formula1>
    </dataValidation>
    <dataValidation type="list" allowBlank="1" showInputMessage="1" showErrorMessage="1" sqref="B12" xr:uid="{00000000-0002-0000-1700-000001000000}">
      <formula1>$XFC$6:$XFC$7</formula1>
    </dataValidation>
    <dataValidation type="list" allowBlank="1" showInputMessage="1" showErrorMessage="1" sqref="B11" xr:uid="{00000000-0002-0000-17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7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503</v>
      </c>
      <c r="B4" s="367"/>
      <c r="C4" s="367"/>
      <c r="F4" s="85"/>
      <c r="G4" s="1"/>
      <c r="K4" s="368" t="s">
        <v>44</v>
      </c>
      <c r="L4" s="368"/>
      <c r="M4" s="368"/>
      <c r="N4" s="398">
        <v>46244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46243</v>
      </c>
      <c r="O5" s="367"/>
      <c r="P5" s="367"/>
      <c r="R5" s="85"/>
      <c r="S5" s="266"/>
    </row>
    <row r="6" spans="1:22 16383:16384" ht="15" customHeight="1" x14ac:dyDescent="0.4">
      <c r="A6" s="396" t="s">
        <v>496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509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95</v>
      </c>
      <c r="B8" s="394"/>
      <c r="C8" s="394"/>
      <c r="F8" s="85"/>
      <c r="G8" s="86"/>
      <c r="K8" s="368" t="s">
        <v>67</v>
      </c>
      <c r="L8" s="368"/>
      <c r="M8" s="368"/>
      <c r="N8" s="397" t="s">
        <v>509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800-000000000000}">
      <formula1>$XFC$3:$XFC$4</formula1>
    </dataValidation>
    <dataValidation type="list" allowBlank="1" showInputMessage="1" showErrorMessage="1" sqref="B12" xr:uid="{00000000-0002-0000-1800-000001000000}">
      <formula1>$XFC$6:$XFC$7</formula1>
    </dataValidation>
    <dataValidation type="list" allowBlank="1" showInputMessage="1" showErrorMessage="1" sqref="N9:P9" xr:uid="{00000000-0002-0000-18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8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503</v>
      </c>
      <c r="B4" s="367"/>
      <c r="C4" s="367"/>
      <c r="F4" s="85"/>
      <c r="G4" s="1"/>
      <c r="K4" s="368" t="s">
        <v>44</v>
      </c>
      <c r="L4" s="368"/>
      <c r="M4" s="368"/>
      <c r="N4" s="398">
        <v>46244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46243</v>
      </c>
      <c r="O5" s="367"/>
      <c r="P5" s="367"/>
      <c r="R5" s="85"/>
      <c r="S5" s="266"/>
    </row>
    <row r="6" spans="1:22 16383:16384" ht="15" customHeight="1" x14ac:dyDescent="0.4">
      <c r="A6" s="396" t="s">
        <v>496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509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95</v>
      </c>
      <c r="B8" s="394"/>
      <c r="C8" s="394"/>
      <c r="F8" s="85"/>
      <c r="G8" s="86"/>
      <c r="K8" s="368" t="s">
        <v>67</v>
      </c>
      <c r="L8" s="368"/>
      <c r="M8" s="368"/>
      <c r="N8" s="397" t="s">
        <v>509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900-000000000000}">
      <formula1>$XFD$12:$XFD$17</formula1>
    </dataValidation>
    <dataValidation type="list" allowBlank="1" showInputMessage="1" showErrorMessage="1" sqref="B12" xr:uid="{00000000-0002-0000-1900-000001000000}">
      <formula1>$XFC$6:$XFC$7</formula1>
    </dataValidation>
    <dataValidation type="list" allowBlank="1" showInputMessage="1" showErrorMessage="1" sqref="B11" xr:uid="{00000000-0002-0000-19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9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503</v>
      </c>
      <c r="B4" s="367"/>
      <c r="C4" s="367"/>
      <c r="F4" s="85"/>
      <c r="G4" s="1"/>
      <c r="K4" s="368" t="s">
        <v>44</v>
      </c>
      <c r="L4" s="368"/>
      <c r="M4" s="368"/>
      <c r="N4" s="398">
        <v>46244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46243</v>
      </c>
      <c r="O5" s="367"/>
      <c r="P5" s="367"/>
      <c r="R5" s="85"/>
      <c r="S5" s="266"/>
    </row>
    <row r="6" spans="1:22 16383:16384" ht="15" customHeight="1" x14ac:dyDescent="0.4">
      <c r="A6" s="396" t="s">
        <v>496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509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95</v>
      </c>
      <c r="B8" s="394"/>
      <c r="C8" s="394"/>
      <c r="F8" s="85"/>
      <c r="G8" s="86"/>
      <c r="K8" s="368" t="s">
        <v>67</v>
      </c>
      <c r="L8" s="368"/>
      <c r="M8" s="368"/>
      <c r="N8" s="397" t="s">
        <v>509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A00-000000000000}">
      <formula1>$XFC$3:$XFC$4</formula1>
    </dataValidation>
    <dataValidation type="list" allowBlank="1" showInputMessage="1" showErrorMessage="1" sqref="B12" xr:uid="{00000000-0002-0000-1A00-000001000000}">
      <formula1>$XFC$6:$XFC$7</formula1>
    </dataValidation>
    <dataValidation type="list" allowBlank="1" showInputMessage="1" showErrorMessage="1" sqref="N9:P9" xr:uid="{00000000-0002-0000-1A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A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503</v>
      </c>
      <c r="B4" s="367"/>
      <c r="C4" s="367"/>
      <c r="F4" s="85"/>
      <c r="G4" s="1"/>
      <c r="K4" s="368" t="s">
        <v>44</v>
      </c>
      <c r="L4" s="368"/>
      <c r="M4" s="368"/>
      <c r="N4" s="398">
        <v>46244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46243</v>
      </c>
      <c r="O5" s="367"/>
      <c r="P5" s="367"/>
      <c r="R5" s="85"/>
      <c r="S5" s="266"/>
    </row>
    <row r="6" spans="1:22 16383:16384" ht="15" customHeight="1" x14ac:dyDescent="0.4">
      <c r="A6" s="396" t="s">
        <v>496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509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95</v>
      </c>
      <c r="B8" s="394"/>
      <c r="C8" s="394"/>
      <c r="F8" s="85"/>
      <c r="G8" s="86"/>
      <c r="K8" s="368" t="s">
        <v>67</v>
      </c>
      <c r="L8" s="368"/>
      <c r="M8" s="368"/>
      <c r="N8" s="397" t="s">
        <v>509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B00-000000000000}">
      <formula1>$XFD$12:$XFD$17</formula1>
    </dataValidation>
    <dataValidation type="list" allowBlank="1" showInputMessage="1" showErrorMessage="1" sqref="B12" xr:uid="{00000000-0002-0000-1B00-000001000000}">
      <formula1>$XFC$6:$XFC$7</formula1>
    </dataValidation>
    <dataValidation type="list" allowBlank="1" showInputMessage="1" showErrorMessage="1" sqref="B11" xr:uid="{00000000-0002-0000-1B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B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503</v>
      </c>
      <c r="B4" s="367"/>
      <c r="C4" s="367"/>
      <c r="F4" s="85"/>
      <c r="G4" s="1"/>
      <c r="K4" s="368" t="s">
        <v>44</v>
      </c>
      <c r="L4" s="368"/>
      <c r="M4" s="368"/>
      <c r="N4" s="398">
        <v>46244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46243</v>
      </c>
      <c r="O5" s="367"/>
      <c r="P5" s="367"/>
      <c r="R5" s="85"/>
      <c r="S5" s="266"/>
    </row>
    <row r="6" spans="1:22 16383:16384" ht="15" customHeight="1" x14ac:dyDescent="0.4">
      <c r="A6" s="396" t="s">
        <v>496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509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95</v>
      </c>
      <c r="B8" s="394"/>
      <c r="C8" s="394"/>
      <c r="F8" s="85"/>
      <c r="G8" s="86"/>
      <c r="K8" s="368" t="s">
        <v>67</v>
      </c>
      <c r="L8" s="368"/>
      <c r="M8" s="368"/>
      <c r="N8" s="397" t="s">
        <v>509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C00-000000000000}">
      <formula1>$XFC$3:$XFC$4</formula1>
    </dataValidation>
    <dataValidation type="list" allowBlank="1" showInputMessage="1" showErrorMessage="1" sqref="B12" xr:uid="{00000000-0002-0000-1C00-000001000000}">
      <formula1>$XFC$6:$XFC$7</formula1>
    </dataValidation>
    <dataValidation type="list" allowBlank="1" showInputMessage="1" showErrorMessage="1" sqref="N9:P9" xr:uid="{00000000-0002-0000-1C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C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503</v>
      </c>
      <c r="B4" s="367"/>
      <c r="C4" s="367"/>
      <c r="F4" s="85"/>
      <c r="G4" s="1"/>
      <c r="K4" s="368" t="s">
        <v>44</v>
      </c>
      <c r="L4" s="368"/>
      <c r="M4" s="368"/>
      <c r="N4" s="398">
        <v>46244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46243</v>
      </c>
      <c r="O5" s="367"/>
      <c r="P5" s="367"/>
      <c r="R5" s="85"/>
      <c r="S5" s="266"/>
    </row>
    <row r="6" spans="1:22 16383:16384" ht="15" customHeight="1" x14ac:dyDescent="0.4">
      <c r="A6" s="396" t="s">
        <v>496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509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95</v>
      </c>
      <c r="B8" s="394"/>
      <c r="C8" s="394"/>
      <c r="F8" s="85"/>
      <c r="G8" s="86"/>
      <c r="K8" s="368" t="s">
        <v>67</v>
      </c>
      <c r="L8" s="368"/>
      <c r="M8" s="368"/>
      <c r="N8" s="397" t="s">
        <v>509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D00-000000000000}">
      <formula1>$XFD$12:$XFD$17</formula1>
    </dataValidation>
    <dataValidation type="list" allowBlank="1" showInputMessage="1" showErrorMessage="1" sqref="B12" xr:uid="{00000000-0002-0000-1D00-000001000000}">
      <formula1>$XFC$6:$XFC$7</formula1>
    </dataValidation>
    <dataValidation type="list" allowBlank="1" showInputMessage="1" showErrorMessage="1" sqref="B11" xr:uid="{00000000-0002-0000-1D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D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503</v>
      </c>
      <c r="B4" s="367"/>
      <c r="C4" s="367"/>
      <c r="F4" s="85"/>
      <c r="G4" s="1"/>
      <c r="K4" s="368" t="s">
        <v>44</v>
      </c>
      <c r="L4" s="368"/>
      <c r="M4" s="368"/>
      <c r="N4" s="398">
        <v>46244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46243</v>
      </c>
      <c r="O5" s="367"/>
      <c r="P5" s="367"/>
      <c r="R5" s="85"/>
      <c r="S5" s="266"/>
    </row>
    <row r="6" spans="1:22 16383:16384" ht="15" customHeight="1" x14ac:dyDescent="0.4">
      <c r="A6" s="396" t="s">
        <v>496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509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95</v>
      </c>
      <c r="B8" s="394"/>
      <c r="C8" s="394"/>
      <c r="F8" s="85"/>
      <c r="G8" s="86"/>
      <c r="K8" s="368" t="s">
        <v>67</v>
      </c>
      <c r="L8" s="368"/>
      <c r="M8" s="368"/>
      <c r="N8" s="397" t="s">
        <v>509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E00-000000000000}">
      <formula1>$XFC$3:$XFC$4</formula1>
    </dataValidation>
    <dataValidation type="list" allowBlank="1" showInputMessage="1" showErrorMessage="1" sqref="B12" xr:uid="{00000000-0002-0000-1E00-000001000000}">
      <formula1>$XFC$6:$XFC$7</formula1>
    </dataValidation>
    <dataValidation type="list" allowBlank="1" showInputMessage="1" showErrorMessage="1" sqref="N9:P9" xr:uid="{00000000-0002-0000-1E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E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503</v>
      </c>
      <c r="B4" s="367"/>
      <c r="C4" s="367"/>
      <c r="F4" s="85"/>
      <c r="G4" s="1"/>
      <c r="K4" s="368" t="s">
        <v>44</v>
      </c>
      <c r="L4" s="368"/>
      <c r="M4" s="368"/>
      <c r="N4" s="398">
        <v>46244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46243</v>
      </c>
      <c r="O5" s="367"/>
      <c r="P5" s="367"/>
      <c r="R5" s="85"/>
      <c r="S5" s="266"/>
    </row>
    <row r="6" spans="1:22 16383:16384" ht="15" customHeight="1" x14ac:dyDescent="0.4">
      <c r="A6" s="396" t="s">
        <v>496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509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95</v>
      </c>
      <c r="B8" s="394"/>
      <c r="C8" s="394"/>
      <c r="F8" s="85"/>
      <c r="G8" s="86"/>
      <c r="K8" s="368" t="s">
        <v>67</v>
      </c>
      <c r="L8" s="368"/>
      <c r="M8" s="368"/>
      <c r="N8" s="397" t="s">
        <v>509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F00-000000000000}">
      <formula1>$XFD$12:$XFD$17</formula1>
    </dataValidation>
    <dataValidation type="list" allowBlank="1" showInputMessage="1" showErrorMessage="1" sqref="B12" xr:uid="{00000000-0002-0000-1F00-000001000000}">
      <formula1>$XFC$6:$XFC$7</formula1>
    </dataValidation>
    <dataValidation type="list" allowBlank="1" showInputMessage="1" showErrorMessage="1" sqref="B11" xr:uid="{00000000-0002-0000-1F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F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503</v>
      </c>
      <c r="B4" s="367"/>
      <c r="C4" s="367"/>
      <c r="F4" s="85"/>
      <c r="G4" s="1"/>
      <c r="K4" s="368" t="s">
        <v>44</v>
      </c>
      <c r="L4" s="368"/>
      <c r="M4" s="368"/>
      <c r="N4" s="398">
        <v>46244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46243</v>
      </c>
      <c r="O5" s="367"/>
      <c r="P5" s="367"/>
      <c r="R5" s="85"/>
      <c r="S5" s="266"/>
    </row>
    <row r="6" spans="1:22 16383:16384" ht="15" customHeight="1" x14ac:dyDescent="0.4">
      <c r="A6" s="396" t="s">
        <v>496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509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95</v>
      </c>
      <c r="B8" s="394"/>
      <c r="C8" s="394"/>
      <c r="F8" s="85"/>
      <c r="G8" s="86"/>
      <c r="K8" s="368" t="s">
        <v>67</v>
      </c>
      <c r="L8" s="368"/>
      <c r="M8" s="368"/>
      <c r="N8" s="397" t="s">
        <v>509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2000-000000000000}">
      <formula1>$XFC$3:$XFC$4</formula1>
    </dataValidation>
    <dataValidation type="list" allowBlank="1" showInputMessage="1" showErrorMessage="1" sqref="B12" xr:uid="{00000000-0002-0000-2000-000001000000}">
      <formula1>$XFC$6:$XFC$7</formula1>
    </dataValidation>
    <dataValidation type="list" allowBlank="1" showInputMessage="1" showErrorMessage="1" sqref="N9:P9" xr:uid="{00000000-0002-0000-20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0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503</v>
      </c>
      <c r="B4" s="367"/>
      <c r="C4" s="367"/>
      <c r="F4" s="85"/>
      <c r="G4" s="1"/>
      <c r="K4" s="368" t="s">
        <v>44</v>
      </c>
      <c r="L4" s="368"/>
      <c r="M4" s="368"/>
      <c r="N4" s="398">
        <v>46244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46243</v>
      </c>
      <c r="O5" s="367"/>
      <c r="P5" s="367"/>
      <c r="R5" s="85"/>
      <c r="S5" s="266"/>
    </row>
    <row r="6" spans="1:22 16383:16384" ht="15" customHeight="1" x14ac:dyDescent="0.4">
      <c r="A6" s="396" t="s">
        <v>496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509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95</v>
      </c>
      <c r="B8" s="394"/>
      <c r="C8" s="394"/>
      <c r="F8" s="85"/>
      <c r="G8" s="86"/>
      <c r="K8" s="368" t="s">
        <v>67</v>
      </c>
      <c r="L8" s="368"/>
      <c r="M8" s="368"/>
      <c r="N8" s="397" t="s">
        <v>509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2100-000000000000}">
      <formula1>$XFD$12:$XFD$17</formula1>
    </dataValidation>
    <dataValidation type="list" allowBlank="1" showInputMessage="1" showErrorMessage="1" sqref="B12" xr:uid="{00000000-0002-0000-2100-000001000000}">
      <formula1>$XFC$6:$XFC$7</formula1>
    </dataValidation>
    <dataValidation type="list" allowBlank="1" showInputMessage="1" showErrorMessage="1" sqref="B11" xr:uid="{00000000-0002-0000-21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1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2:XFC37"/>
  <sheetViews>
    <sheetView topLeftCell="A8" workbookViewId="0">
      <selection activeCell="I20" sqref="I20"/>
    </sheetView>
  </sheetViews>
  <sheetFormatPr defaultColWidth="29.81640625" defaultRowHeight="14.5" x14ac:dyDescent="0.35"/>
  <cols>
    <col min="1" max="1" width="11.453125" bestFit="1" customWidth="1"/>
    <col min="3" max="3" width="5.54296875" bestFit="1" customWidth="1"/>
    <col min="4" max="4" width="5.1796875" bestFit="1" customWidth="1"/>
    <col min="5" max="5" width="5.54296875" bestFit="1" customWidth="1"/>
    <col min="6" max="6" width="10.26953125" customWidth="1"/>
    <col min="7" max="7" width="4" bestFit="1" customWidth="1"/>
    <col min="8" max="8" width="5.453125" customWidth="1"/>
    <col min="9" max="9" width="11.54296875" customWidth="1"/>
    <col min="10" max="10" width="9.453125" bestFit="1" customWidth="1"/>
    <col min="11" max="11" width="6.54296875" bestFit="1" customWidth="1"/>
    <col min="12" max="12" width="8" customWidth="1"/>
    <col min="13" max="13" width="9.1796875" style="61" bestFit="1" customWidth="1"/>
    <col min="14" max="14" width="9.54296875" customWidth="1"/>
    <col min="15" max="15" width="8.453125" bestFit="1" customWidth="1"/>
    <col min="16" max="16" width="7.54296875" bestFit="1" customWidth="1"/>
    <col min="17" max="17" width="7.1796875" bestFit="1" customWidth="1"/>
  </cols>
  <sheetData>
    <row r="2" spans="1:18 16382:16383" ht="21" x14ac:dyDescent="0.5">
      <c r="A2" s="366" t="s">
        <v>91</v>
      </c>
      <c r="B2" s="366"/>
      <c r="C2" s="366"/>
    </row>
    <row r="3" spans="1:18 16382:16383" ht="15" customHeight="1" x14ac:dyDescent="0.35">
      <c r="A3" s="367" t="s">
        <v>92</v>
      </c>
      <c r="B3" s="367"/>
      <c r="C3" s="367"/>
      <c r="F3" s="85"/>
      <c r="G3" s="1"/>
      <c r="J3" s="368" t="s">
        <v>43</v>
      </c>
      <c r="K3" s="368"/>
      <c r="L3" s="368"/>
      <c r="M3" s="367"/>
      <c r="N3" s="367"/>
      <c r="O3" s="367"/>
      <c r="Q3" s="85"/>
      <c r="R3" s="1"/>
      <c r="XFB3" t="s">
        <v>80</v>
      </c>
      <c r="XFC3" s="135">
        <v>5.0000000000000001E-3</v>
      </c>
    </row>
    <row r="4" spans="1:18 16382:16383" ht="15" customHeight="1" x14ac:dyDescent="0.35">
      <c r="A4" s="367" t="s">
        <v>65</v>
      </c>
      <c r="B4" s="367"/>
      <c r="C4" s="367"/>
      <c r="F4" s="85"/>
      <c r="G4" s="1"/>
      <c r="J4" s="368" t="s">
        <v>44</v>
      </c>
      <c r="K4" s="368"/>
      <c r="L4" s="368"/>
      <c r="M4" s="398">
        <f ca="1">TODAY()+1</f>
        <v>46246</v>
      </c>
      <c r="N4" s="398"/>
      <c r="O4" s="398"/>
      <c r="Q4" s="85"/>
      <c r="R4" s="1"/>
      <c r="XFB4" s="87" t="s">
        <v>81</v>
      </c>
      <c r="XFC4" s="135">
        <v>2.5000000000000001E-2</v>
      </c>
    </row>
    <row r="5" spans="1:18 16382:16383" ht="15" customHeight="1" x14ac:dyDescent="0.35">
      <c r="A5" s="395" t="s">
        <v>93</v>
      </c>
      <c r="B5" s="395"/>
      <c r="C5" s="395"/>
      <c r="F5" s="85"/>
      <c r="G5" s="1"/>
      <c r="J5" s="368" t="s">
        <v>45</v>
      </c>
      <c r="K5" s="368"/>
      <c r="L5" s="368"/>
      <c r="M5" s="398">
        <f ca="1">M4-1</f>
        <v>46245</v>
      </c>
      <c r="N5" s="367"/>
      <c r="O5" s="367"/>
      <c r="Q5" s="85"/>
      <c r="R5" s="1"/>
    </row>
    <row r="6" spans="1:18 16382:16383" ht="15" customHeight="1" x14ac:dyDescent="0.35">
      <c r="A6" s="368" t="s">
        <v>94</v>
      </c>
      <c r="B6" s="368"/>
      <c r="C6" s="368"/>
      <c r="F6" s="85"/>
      <c r="G6" s="86"/>
      <c r="J6" s="368" t="s">
        <v>69</v>
      </c>
      <c r="K6" s="368"/>
      <c r="L6" s="368"/>
      <c r="M6" s="397" t="s">
        <v>62</v>
      </c>
      <c r="N6" s="397"/>
      <c r="O6" s="397"/>
      <c r="Q6" s="85"/>
      <c r="R6" s="86"/>
      <c r="XFB6" t="s">
        <v>79</v>
      </c>
      <c r="XFC6" s="131">
        <v>0.18</v>
      </c>
    </row>
    <row r="7" spans="1:18 16382:16383" s="87" customFormat="1" x14ac:dyDescent="0.35">
      <c r="A7" s="368" t="s">
        <v>73</v>
      </c>
      <c r="B7" s="368"/>
      <c r="C7" s="368"/>
      <c r="F7" s="85"/>
      <c r="G7" s="86"/>
      <c r="J7" s="368" t="s">
        <v>66</v>
      </c>
      <c r="K7" s="368"/>
      <c r="L7" s="368"/>
      <c r="M7" s="397" t="s">
        <v>70</v>
      </c>
      <c r="N7" s="397"/>
      <c r="O7" s="397"/>
      <c r="Q7" s="85"/>
      <c r="R7" s="86"/>
      <c r="XFB7" t="s">
        <v>78</v>
      </c>
      <c r="XFC7" s="131">
        <v>0.22</v>
      </c>
    </row>
    <row r="8" spans="1:18 16382:16383" ht="15" customHeight="1" x14ac:dyDescent="0.35">
      <c r="A8" s="394" t="s">
        <v>95</v>
      </c>
      <c r="B8" s="394"/>
      <c r="C8" s="394"/>
      <c r="F8" s="85"/>
      <c r="G8" s="86"/>
      <c r="J8" s="368" t="s">
        <v>67</v>
      </c>
      <c r="K8" s="368"/>
      <c r="L8" s="368"/>
      <c r="M8" s="397" t="s">
        <v>71</v>
      </c>
      <c r="N8" s="397"/>
      <c r="O8" s="397"/>
      <c r="Q8" s="85"/>
      <c r="R8" s="86"/>
    </row>
    <row r="9" spans="1:18 16382:16383" x14ac:dyDescent="0.35">
      <c r="A9" s="394" t="s">
        <v>96</v>
      </c>
      <c r="B9" s="394"/>
      <c r="C9" s="394"/>
      <c r="F9" s="85"/>
      <c r="G9" s="86"/>
      <c r="J9" s="368" t="s">
        <v>68</v>
      </c>
      <c r="K9" s="368"/>
      <c r="L9" s="368"/>
      <c r="M9" s="397" t="s">
        <v>104</v>
      </c>
      <c r="N9" s="397"/>
      <c r="O9" s="397"/>
      <c r="Q9" s="85"/>
      <c r="R9" s="86"/>
      <c r="XFC9" t="s">
        <v>49</v>
      </c>
    </row>
    <row r="10" spans="1:18 16382:16383" x14ac:dyDescent="0.35">
      <c r="A10" s="394" t="s">
        <v>97</v>
      </c>
      <c r="B10" s="394"/>
      <c r="C10" s="394"/>
      <c r="F10" s="85"/>
      <c r="G10" s="1"/>
      <c r="J10" s="368" t="s">
        <v>46</v>
      </c>
      <c r="K10" s="368"/>
      <c r="L10" s="368"/>
      <c r="M10" s="367" t="s">
        <v>47</v>
      </c>
      <c r="N10" s="367"/>
      <c r="O10" s="367"/>
      <c r="Q10" s="85"/>
      <c r="R10" s="1"/>
      <c r="XFC10" t="s">
        <v>82</v>
      </c>
    </row>
    <row r="11" spans="1:18 16382:16383" x14ac:dyDescent="0.35">
      <c r="A11" s="134" t="s">
        <v>480</v>
      </c>
      <c r="B11" s="241" t="s">
        <v>81</v>
      </c>
      <c r="C11" s="81" t="str">
        <f>IF($N34&gt;2.49%,"No","Yes")</f>
        <v>No</v>
      </c>
      <c r="F11" s="85"/>
      <c r="G11" s="1"/>
      <c r="J11" s="368" t="s">
        <v>48</v>
      </c>
      <c r="K11" s="368"/>
      <c r="L11" s="368"/>
      <c r="M11" s="367" t="s">
        <v>49</v>
      </c>
      <c r="N11" s="367"/>
      <c r="O11" s="367"/>
      <c r="P11" s="250"/>
      <c r="Q11" s="85"/>
      <c r="R11" s="1"/>
    </row>
    <row r="12" spans="1:18 16382:16383" ht="14.5" customHeight="1" x14ac:dyDescent="0.35">
      <c r="A12" s="249" t="s">
        <v>481</v>
      </c>
      <c r="B12" s="241" t="s">
        <v>78</v>
      </c>
      <c r="C12" s="81" t="str">
        <f>IF($N32&gt;21.99%,"No","Yes")</f>
        <v>No</v>
      </c>
      <c r="F12" s="85"/>
      <c r="G12" s="1"/>
      <c r="J12" s="368" t="s">
        <v>50</v>
      </c>
      <c r="K12" s="368"/>
      <c r="L12" s="368"/>
      <c r="M12" s="367"/>
      <c r="N12" s="367"/>
      <c r="O12" s="367"/>
      <c r="Q12" s="85"/>
      <c r="R12" s="1"/>
      <c r="XFC12" t="s">
        <v>104</v>
      </c>
    </row>
    <row r="13" spans="1:18 16382:16383" ht="15" thickBot="1" x14ac:dyDescent="0.4">
      <c r="J13" s="99">
        <v>3.5000000000000003E-2</v>
      </c>
      <c r="K13" s="252"/>
      <c r="XFC13" t="s">
        <v>105</v>
      </c>
    </row>
    <row r="14" spans="1:18 16382:16383" ht="20.5" customHeight="1" thickBot="1" x14ac:dyDescent="0.4">
      <c r="A14" s="387" t="s">
        <v>51</v>
      </c>
      <c r="B14" s="359"/>
      <c r="C14" s="389" t="s">
        <v>90</v>
      </c>
      <c r="D14" s="88" t="s">
        <v>52</v>
      </c>
      <c r="E14" s="95" t="s">
        <v>74</v>
      </c>
      <c r="F14" s="115" t="s">
        <v>53</v>
      </c>
      <c r="G14" s="363" t="s">
        <v>54</v>
      </c>
      <c r="H14" s="365"/>
      <c r="I14" s="393" t="s">
        <v>77</v>
      </c>
      <c r="J14" s="364" t="s">
        <v>55</v>
      </c>
      <c r="K14" s="365"/>
      <c r="L14" s="393" t="s">
        <v>84</v>
      </c>
      <c r="M14" s="130" t="s">
        <v>75</v>
      </c>
      <c r="N14" s="103" t="s">
        <v>89</v>
      </c>
      <c r="O14" s="89" t="s">
        <v>56</v>
      </c>
      <c r="XFC14" t="s">
        <v>106</v>
      </c>
    </row>
    <row r="15" spans="1:18 16382:16383" ht="20.5" thickBot="1" x14ac:dyDescent="0.4">
      <c r="A15" s="388"/>
      <c r="B15" s="360"/>
      <c r="C15" s="390"/>
      <c r="D15" s="90" t="s">
        <v>57</v>
      </c>
      <c r="E15" s="90" t="s">
        <v>58</v>
      </c>
      <c r="F15" s="111" t="s">
        <v>58</v>
      </c>
      <c r="G15" s="143" t="s">
        <v>52</v>
      </c>
      <c r="H15" s="146" t="s">
        <v>41</v>
      </c>
      <c r="I15" s="362"/>
      <c r="J15" s="144" t="s">
        <v>39</v>
      </c>
      <c r="K15" s="145" t="s">
        <v>59</v>
      </c>
      <c r="L15" s="362"/>
      <c r="M15" s="132">
        <f>IF(B12="Registered",18%,22%)</f>
        <v>0.22</v>
      </c>
      <c r="N15" s="228">
        <f>IF(B11="Filer",0.5%,2.5%)</f>
        <v>2.5000000000000001E-2</v>
      </c>
      <c r="O15" s="91" t="s">
        <v>38</v>
      </c>
      <c r="XFC15" t="s">
        <v>72</v>
      </c>
    </row>
    <row r="16" spans="1:18 16382:16383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100">
        <f>VLOOKUP(A16,'Cust. Price List'!D6:M14,4,0)</f>
        <v>40</v>
      </c>
      <c r="E16" s="100">
        <f>VLOOKUP(A16,'Cust. Price List'!D6:M14,6,0)</f>
        <v>65</v>
      </c>
      <c r="F16" s="262">
        <f>VLOOKUP(A16,'Cust. Price List'!D6:M14,10,0)</f>
        <v>52.462499999999999</v>
      </c>
      <c r="G16" s="116"/>
      <c r="H16" s="112"/>
      <c r="I16" s="235">
        <f>(G16*D16)*F16+H16*F16</f>
        <v>0</v>
      </c>
      <c r="J16" s="127">
        <f t="shared" ref="J16:J24" si="0">I16*$J$13</f>
        <v>0</v>
      </c>
      <c r="K16" s="118">
        <f t="shared" ref="K16:K24" si="1">I16*$K$13</f>
        <v>0</v>
      </c>
      <c r="L16" s="229">
        <f t="shared" ref="L16:L24" si="2">I16-J16-K16</f>
        <v>0</v>
      </c>
      <c r="M16" s="229">
        <f>(L16*$M$15)</f>
        <v>0</v>
      </c>
      <c r="N16" s="238">
        <f>(M16+L16)*$N$15</f>
        <v>0</v>
      </c>
      <c r="O16" s="118">
        <f t="shared" ref="O16:O24" si="3">L16+M16+N16</f>
        <v>0</v>
      </c>
      <c r="P16" s="142"/>
      <c r="XFC16" t="s">
        <v>107</v>
      </c>
    </row>
    <row r="17" spans="1:18 16383:16383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92">
        <f>VLOOKUP(A17,'Cust. Price List'!D7:M15,4,0)</f>
        <v>40</v>
      </c>
      <c r="E17" s="92">
        <f>VLOOKUP(A17,'Cust. Price List'!D7:M15,6,0)</f>
        <v>65</v>
      </c>
      <c r="F17" s="263">
        <f>VLOOKUP(A17,'Cust. Price List'!D7:M15,10,0)</f>
        <v>52.462499999999999</v>
      </c>
      <c r="G17" s="83"/>
      <c r="H17" s="96"/>
      <c r="I17" s="236">
        <f t="shared" ref="I17:I23" si="4">(G17*D17)*F17+H17*F17</f>
        <v>0</v>
      </c>
      <c r="J17" s="128">
        <f t="shared" si="0"/>
        <v>0</v>
      </c>
      <c r="K17" s="119">
        <f t="shared" si="1"/>
        <v>0</v>
      </c>
      <c r="L17" s="230">
        <f t="shared" si="2"/>
        <v>0</v>
      </c>
      <c r="M17" s="230">
        <f t="shared" ref="M17:M24" si="5">(L17*$M$15)</f>
        <v>0</v>
      </c>
      <c r="N17" s="239">
        <f t="shared" ref="N17:N24" si="6">(M17+L17)*$N$15</f>
        <v>0</v>
      </c>
      <c r="O17" s="119">
        <f t="shared" si="3"/>
        <v>0</v>
      </c>
      <c r="R17" s="223"/>
      <c r="XFC17" t="s">
        <v>108</v>
      </c>
    </row>
    <row r="18" spans="1:18 16383:16383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92">
        <f>VLOOKUP(A18,'Cust. Price List'!D8:M16,4,0)</f>
        <v>40</v>
      </c>
      <c r="E18" s="92">
        <f>VLOOKUP(A18,'Cust. Price List'!D8:M16,6,0)</f>
        <v>65</v>
      </c>
      <c r="F18" s="263">
        <f>VLOOKUP(A18,'Cust. Price List'!D8:M16,10,0)</f>
        <v>52.462499999999999</v>
      </c>
      <c r="G18" s="83"/>
      <c r="H18" s="96"/>
      <c r="I18" s="236">
        <f t="shared" si="4"/>
        <v>0</v>
      </c>
      <c r="J18" s="128">
        <f t="shared" si="0"/>
        <v>0</v>
      </c>
      <c r="K18" s="119">
        <f t="shared" si="1"/>
        <v>0</v>
      </c>
      <c r="L18" s="230">
        <f t="shared" si="2"/>
        <v>0</v>
      </c>
      <c r="M18" s="230">
        <f t="shared" si="5"/>
        <v>0</v>
      </c>
      <c r="N18" s="239">
        <f t="shared" si="6"/>
        <v>0</v>
      </c>
      <c r="O18" s="119">
        <f t="shared" si="3"/>
        <v>0</v>
      </c>
    </row>
    <row r="19" spans="1:18 16383:16383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92">
        <f>VLOOKUP(A19,'Cust. Price List'!D9:M17,4,0)</f>
        <v>40</v>
      </c>
      <c r="E19" s="92">
        <f>VLOOKUP(A19,'Cust. Price List'!D9:M17,6,0)</f>
        <v>90</v>
      </c>
      <c r="F19" s="263">
        <f>VLOOKUP(A19,'Cust. Price List'!D9:M17,10,0)</f>
        <v>72.64</v>
      </c>
      <c r="G19" s="83"/>
      <c r="H19" s="96"/>
      <c r="I19" s="236">
        <f t="shared" si="4"/>
        <v>0</v>
      </c>
      <c r="J19" s="128">
        <f t="shared" si="0"/>
        <v>0</v>
      </c>
      <c r="K19" s="119">
        <f t="shared" si="1"/>
        <v>0</v>
      </c>
      <c r="L19" s="230">
        <f t="shared" si="2"/>
        <v>0</v>
      </c>
      <c r="M19" s="230">
        <f t="shared" si="5"/>
        <v>0</v>
      </c>
      <c r="N19" s="239">
        <f t="shared" si="6"/>
        <v>0</v>
      </c>
      <c r="O19" s="119">
        <f t="shared" si="3"/>
        <v>0</v>
      </c>
    </row>
    <row r="20" spans="1:18 16383:16383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92">
        <f>VLOOKUP(A20,'Cust. Price List'!D10:M18,4,0)</f>
        <v>40</v>
      </c>
      <c r="E20" s="92">
        <f>VLOOKUP(A20,'Cust. Price List'!D10:M18,6,0)</f>
        <v>90</v>
      </c>
      <c r="F20" s="263">
        <f>VLOOKUP(A20,'Cust. Price List'!D10:M18,10,0)</f>
        <v>72.64</v>
      </c>
      <c r="G20" s="83"/>
      <c r="H20" s="96">
        <v>20</v>
      </c>
      <c r="I20" s="236">
        <f t="shared" si="4"/>
        <v>1452.8</v>
      </c>
      <c r="J20" s="128">
        <f t="shared" si="0"/>
        <v>50.848000000000006</v>
      </c>
      <c r="K20" s="119">
        <f t="shared" si="1"/>
        <v>0</v>
      </c>
      <c r="L20" s="230">
        <f t="shared" si="2"/>
        <v>1401.952</v>
      </c>
      <c r="M20" s="230">
        <f t="shared" si="5"/>
        <v>308.42944</v>
      </c>
      <c r="N20" s="239">
        <f t="shared" si="6"/>
        <v>42.759536000000004</v>
      </c>
      <c r="O20" s="119">
        <f t="shared" si="3"/>
        <v>1753.1409760000001</v>
      </c>
    </row>
    <row r="21" spans="1:18 16383:16383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92">
        <f>VLOOKUP(A21,'Cust. Price List'!D11:M19,4,0)</f>
        <v>40</v>
      </c>
      <c r="E21" s="92">
        <f>VLOOKUP(A21,'Cust. Price List'!D11:M19,6,0)</f>
        <v>90</v>
      </c>
      <c r="F21" s="263">
        <f>VLOOKUP(A21,'Cust. Price List'!D11:M19,10,0)</f>
        <v>72.64</v>
      </c>
      <c r="G21" s="83"/>
      <c r="H21" s="96"/>
      <c r="I21" s="236">
        <f t="shared" si="4"/>
        <v>0</v>
      </c>
      <c r="J21" s="128">
        <f t="shared" si="0"/>
        <v>0</v>
      </c>
      <c r="K21" s="119">
        <f t="shared" si="1"/>
        <v>0</v>
      </c>
      <c r="L21" s="230">
        <f t="shared" si="2"/>
        <v>0</v>
      </c>
      <c r="M21" s="230">
        <f t="shared" si="5"/>
        <v>0</v>
      </c>
      <c r="N21" s="239">
        <f t="shared" si="6"/>
        <v>0</v>
      </c>
      <c r="O21" s="119">
        <f t="shared" si="3"/>
        <v>0</v>
      </c>
    </row>
    <row r="22" spans="1:18 16383:16383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92">
        <f>VLOOKUP(A22,'Cust. Price List'!D12:M20,4,0)</f>
        <v>40</v>
      </c>
      <c r="E22" s="92">
        <f>VLOOKUP(A22,'Cust. Price List'!D12:M20,6,0)</f>
        <v>50</v>
      </c>
      <c r="F22" s="263">
        <f>VLOOKUP(A22,'Cust. Price List'!D12:M20,10,0)</f>
        <v>39.230000000000004</v>
      </c>
      <c r="G22" s="83"/>
      <c r="H22" s="96"/>
      <c r="I22" s="236">
        <f t="shared" si="4"/>
        <v>0</v>
      </c>
      <c r="J22" s="128">
        <f t="shared" si="0"/>
        <v>0</v>
      </c>
      <c r="K22" s="119">
        <f t="shared" si="1"/>
        <v>0</v>
      </c>
      <c r="L22" s="230">
        <f t="shared" si="2"/>
        <v>0</v>
      </c>
      <c r="M22" s="230">
        <f t="shared" si="5"/>
        <v>0</v>
      </c>
      <c r="N22" s="239">
        <f t="shared" si="6"/>
        <v>0</v>
      </c>
      <c r="O22" s="119">
        <f t="shared" si="3"/>
        <v>0</v>
      </c>
    </row>
    <row r="23" spans="1:18 16383:16383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92">
        <f>VLOOKUP(A23,'Cust. Price List'!D13:M21,4,0)</f>
        <v>40</v>
      </c>
      <c r="E23" s="92">
        <f>VLOOKUP(A23,'Cust. Price List'!D13:M21,6,0)</f>
        <v>50</v>
      </c>
      <c r="F23" s="263">
        <f>VLOOKUP(A23,'Cust. Price List'!D13:M21,10,0)</f>
        <v>39.230000000000004</v>
      </c>
      <c r="G23" s="83"/>
      <c r="H23" s="96"/>
      <c r="I23" s="236">
        <f t="shared" si="4"/>
        <v>0</v>
      </c>
      <c r="J23" s="128">
        <f t="shared" si="0"/>
        <v>0</v>
      </c>
      <c r="K23" s="119">
        <f t="shared" si="1"/>
        <v>0</v>
      </c>
      <c r="L23" s="230">
        <f t="shared" si="2"/>
        <v>0</v>
      </c>
      <c r="M23" s="230">
        <f t="shared" si="5"/>
        <v>0</v>
      </c>
      <c r="N23" s="239">
        <f t="shared" si="6"/>
        <v>0</v>
      </c>
      <c r="O23" s="119">
        <f t="shared" si="3"/>
        <v>0</v>
      </c>
    </row>
    <row r="24" spans="1:18 16383:16383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98">
        <f>VLOOKUP(A24,'Cust. Price List'!D14:M22,4,0)</f>
        <v>40</v>
      </c>
      <c r="E24" s="98">
        <f>VLOOKUP(A24,'Cust. Price List'!D14:M22,6,0)</f>
        <v>50</v>
      </c>
      <c r="F24" s="264">
        <f>VLOOKUP(A24,'Cust. Price List'!D14:M22,10,0)</f>
        <v>39.230000000000004</v>
      </c>
      <c r="G24" s="84"/>
      <c r="H24" s="97"/>
      <c r="I24" s="237">
        <f>(G24*D24)*F24+H24*F24</f>
        <v>0</v>
      </c>
      <c r="J24" s="129">
        <f t="shared" si="0"/>
        <v>0</v>
      </c>
      <c r="K24" s="120">
        <f t="shared" si="1"/>
        <v>0</v>
      </c>
      <c r="L24" s="231">
        <f t="shared" si="2"/>
        <v>0</v>
      </c>
      <c r="M24" s="231">
        <f t="shared" si="5"/>
        <v>0</v>
      </c>
      <c r="N24" s="240">
        <f t="shared" si="6"/>
        <v>0</v>
      </c>
      <c r="O24" s="120">
        <f t="shared" si="3"/>
        <v>0</v>
      </c>
    </row>
    <row r="25" spans="1:18 16383:16383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L25" si="7">SUM(G16:G24)</f>
        <v>0</v>
      </c>
      <c r="H25" s="113">
        <f t="shared" si="7"/>
        <v>20</v>
      </c>
      <c r="I25" s="114">
        <f t="shared" si="7"/>
        <v>1452.8</v>
      </c>
      <c r="J25" s="101">
        <f t="shared" si="7"/>
        <v>50.848000000000006</v>
      </c>
      <c r="K25" s="102">
        <f t="shared" si="7"/>
        <v>0</v>
      </c>
      <c r="L25" s="232">
        <f t="shared" si="7"/>
        <v>1401.952</v>
      </c>
      <c r="M25" s="233">
        <f>SUM(M16:M24)</f>
        <v>308.42944</v>
      </c>
      <c r="N25" s="101">
        <f>SUM(N16:N24)</f>
        <v>42.759536000000004</v>
      </c>
      <c r="O25" s="234">
        <f>SUM(O16:O24)</f>
        <v>1753.1409760000001</v>
      </c>
    </row>
    <row r="26" spans="1:18 16383:16383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J26" s="125"/>
      <c r="K26" s="125"/>
      <c r="L26" s="125"/>
      <c r="M26" s="125"/>
      <c r="N26" s="126"/>
      <c r="O26" s="125"/>
    </row>
    <row r="27" spans="1:18 16383:16383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18 16383:16383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4"/>
      <c r="M28" s="381" t="s">
        <v>60</v>
      </c>
      <c r="N28" s="382"/>
      <c r="O28" s="139">
        <f>I25</f>
        <v>1452.8</v>
      </c>
    </row>
    <row r="29" spans="1:18 16383:16383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7"/>
      <c r="M29" s="383" t="s">
        <v>85</v>
      </c>
      <c r="N29" s="384"/>
      <c r="O29" s="140">
        <f>K25</f>
        <v>0</v>
      </c>
    </row>
    <row r="30" spans="1:18 16383:16383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7"/>
      <c r="M30" s="383" t="s">
        <v>86</v>
      </c>
      <c r="N30" s="384"/>
      <c r="O30" s="140">
        <f>J25</f>
        <v>50.848000000000006</v>
      </c>
    </row>
    <row r="31" spans="1:18 16383:16383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7"/>
      <c r="L31" s="131"/>
      <c r="M31" s="383" t="s">
        <v>87</v>
      </c>
      <c r="N31" s="384"/>
      <c r="O31" s="140">
        <f>O28-O29-O30</f>
        <v>1401.952</v>
      </c>
    </row>
    <row r="32" spans="1:18 16383:16383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7"/>
      <c r="L32" s="131"/>
      <c r="M32" s="136" t="s">
        <v>61</v>
      </c>
      <c r="N32" s="133">
        <f>IF(B12="Registered",18%,22%)</f>
        <v>0.22</v>
      </c>
      <c r="O32" s="140">
        <f>N32*O31</f>
        <v>308.42944</v>
      </c>
    </row>
    <row r="33" spans="2:15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7"/>
      <c r="L33" s="131"/>
      <c r="M33" s="385" t="s">
        <v>76</v>
      </c>
      <c r="N33" s="386"/>
      <c r="O33" s="140">
        <f>O31+O32</f>
        <v>1710.3814400000001</v>
      </c>
    </row>
    <row r="34" spans="2:15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80"/>
      <c r="L34" s="99"/>
      <c r="M34" s="138" t="s">
        <v>83</v>
      </c>
      <c r="N34" s="137">
        <f>IF(B11="Filer",0.5%,2.5%)</f>
        <v>2.5000000000000001E-2</v>
      </c>
      <c r="O34" s="140">
        <f>N34*O33</f>
        <v>42.759536000000004</v>
      </c>
    </row>
    <row r="35" spans="2:15" ht="15.75" customHeight="1" thickBot="1" x14ac:dyDescent="0.4">
      <c r="M35" s="342" t="s">
        <v>88</v>
      </c>
      <c r="N35" s="343"/>
      <c r="O35" s="141">
        <f>O28-O29+O31+O34</f>
        <v>2897.511536</v>
      </c>
    </row>
    <row r="36" spans="2:15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261"/>
    </row>
    <row r="37" spans="2:15" ht="15.75" customHeight="1" x14ac:dyDescent="0.35"/>
  </sheetData>
  <dataConsolidate/>
  <mergeCells count="45">
    <mergeCell ref="M35:N35"/>
    <mergeCell ref="C36:I36"/>
    <mergeCell ref="J14:K14"/>
    <mergeCell ref="A25:B25"/>
    <mergeCell ref="C25:F25"/>
    <mergeCell ref="B28:K34"/>
    <mergeCell ref="M28:N28"/>
    <mergeCell ref="M29:N29"/>
    <mergeCell ref="M30:N30"/>
    <mergeCell ref="M31:N31"/>
    <mergeCell ref="M33:N33"/>
    <mergeCell ref="J11:L11"/>
    <mergeCell ref="M11:O11"/>
    <mergeCell ref="J12:L12"/>
    <mergeCell ref="M12:O12"/>
    <mergeCell ref="A14:B15"/>
    <mergeCell ref="C14:C15"/>
    <mergeCell ref="G14:H14"/>
    <mergeCell ref="I14:I15"/>
    <mergeCell ref="L14:L15"/>
    <mergeCell ref="A9:C9"/>
    <mergeCell ref="J9:L9"/>
    <mergeCell ref="M9:O9"/>
    <mergeCell ref="A10:C10"/>
    <mergeCell ref="J10:L10"/>
    <mergeCell ref="M10:O10"/>
    <mergeCell ref="A7:C7"/>
    <mergeCell ref="J7:L7"/>
    <mergeCell ref="M7:O7"/>
    <mergeCell ref="A8:C8"/>
    <mergeCell ref="J8:L8"/>
    <mergeCell ref="M8:O8"/>
    <mergeCell ref="A5:C5"/>
    <mergeCell ref="J5:L5"/>
    <mergeCell ref="M5:O5"/>
    <mergeCell ref="A6:C6"/>
    <mergeCell ref="J6:L6"/>
    <mergeCell ref="M6:O6"/>
    <mergeCell ref="A2:C2"/>
    <mergeCell ref="A3:C3"/>
    <mergeCell ref="J3:L3"/>
    <mergeCell ref="M3:O3"/>
    <mergeCell ref="A4:C4"/>
    <mergeCell ref="J4:L4"/>
    <mergeCell ref="M4:O4"/>
  </mergeCells>
  <dataValidations count="3">
    <dataValidation type="list" allowBlank="1" showInputMessage="1" showErrorMessage="1" sqref="M9:O9" xr:uid="{00000000-0002-0000-2200-000000000000}">
      <formula1>$XFC$12:$XFD$17</formula1>
    </dataValidation>
    <dataValidation type="list" allowBlank="1" showInputMessage="1" showErrorMessage="1" sqref="B12" xr:uid="{00000000-0002-0000-2200-000001000000}">
      <formula1>$XFB$6:$XFB$7</formula1>
    </dataValidation>
    <dataValidation type="list" allowBlank="1" showInputMessage="1" showErrorMessage="1" sqref="B11" xr:uid="{00000000-0002-0000-2200-000002000000}">
      <formula1>$XFB$3:$XFB$4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200-000003000000}">
          <x14:formula1>
            <xm:f>Sheet2!$B$5:$B$13</xm:f>
          </x14:formula1>
          <xm:sqref>M6:O6</xm:sqref>
        </x14:dataValidation>
      </x14:dataValidations>
    </ext>
  </extLst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C1:X31"/>
  <sheetViews>
    <sheetView topLeftCell="D1" workbookViewId="0">
      <selection activeCell="N30" sqref="N30:O30"/>
    </sheetView>
  </sheetViews>
  <sheetFormatPr defaultRowHeight="14.5" x14ac:dyDescent="0.35"/>
  <cols>
    <col min="4" max="4" width="23.81640625" bestFit="1" customWidth="1"/>
    <col min="5" max="5" width="3.81640625" bestFit="1" customWidth="1"/>
    <col min="6" max="6" width="4.1796875" bestFit="1" customWidth="1"/>
    <col min="7" max="7" width="4.81640625" bestFit="1" customWidth="1"/>
    <col min="8" max="8" width="2.81640625" bestFit="1" customWidth="1"/>
    <col min="9" max="9" width="4.81640625" bestFit="1" customWidth="1"/>
    <col min="10" max="10" width="3.453125" bestFit="1" customWidth="1"/>
    <col min="11" max="11" width="7.453125" bestFit="1" customWidth="1"/>
    <col min="12" max="12" width="5.453125" bestFit="1" customWidth="1"/>
    <col min="13" max="13" width="8.54296875" bestFit="1" customWidth="1"/>
    <col min="14" max="15" width="8.54296875" customWidth="1"/>
    <col min="16" max="16" width="8.54296875" bestFit="1" customWidth="1"/>
    <col min="17" max="17" width="6.81640625" bestFit="1" customWidth="1"/>
    <col min="18" max="18" width="8.453125" bestFit="1" customWidth="1"/>
  </cols>
  <sheetData>
    <row r="1" spans="3:24" ht="14.5" customHeight="1" x14ac:dyDescent="0.35">
      <c r="C1" s="334" t="s">
        <v>438</v>
      </c>
      <c r="D1" s="401" t="s">
        <v>439</v>
      </c>
      <c r="E1" s="334" t="s">
        <v>58</v>
      </c>
      <c r="F1" s="334"/>
      <c r="G1" s="335" t="s">
        <v>440</v>
      </c>
      <c r="H1" s="335"/>
      <c r="I1" s="408" t="s">
        <v>441</v>
      </c>
      <c r="J1" s="408"/>
      <c r="K1" s="408" t="s">
        <v>442</v>
      </c>
      <c r="L1" s="408"/>
      <c r="M1" s="403" t="s">
        <v>484</v>
      </c>
      <c r="N1" s="404"/>
      <c r="O1" s="405"/>
    </row>
    <row r="2" spans="3:24" ht="29" x14ac:dyDescent="0.35">
      <c r="C2" s="334"/>
      <c r="D2" s="401"/>
      <c r="E2" s="168" t="s">
        <v>36</v>
      </c>
      <c r="F2" s="169" t="s">
        <v>52</v>
      </c>
      <c r="G2" s="253" t="s">
        <v>449</v>
      </c>
      <c r="H2" s="254" t="s">
        <v>450</v>
      </c>
      <c r="I2" s="242" t="s">
        <v>449</v>
      </c>
      <c r="J2" s="242" t="s">
        <v>451</v>
      </c>
      <c r="K2" s="242" t="s">
        <v>449</v>
      </c>
      <c r="L2" s="242" t="s">
        <v>451</v>
      </c>
      <c r="M2" s="242" t="s">
        <v>471</v>
      </c>
      <c r="N2" s="242" t="s">
        <v>482</v>
      </c>
      <c r="O2" s="242" t="s">
        <v>483</v>
      </c>
    </row>
    <row r="3" spans="3:24" x14ac:dyDescent="0.35">
      <c r="C3" s="166" t="s">
        <v>453</v>
      </c>
      <c r="D3" s="178" t="s">
        <v>454</v>
      </c>
      <c r="E3" s="179">
        <v>70</v>
      </c>
      <c r="F3" s="180">
        <v>40</v>
      </c>
      <c r="G3" s="180">
        <f>H3*F3</f>
        <v>2600</v>
      </c>
      <c r="H3" s="180">
        <v>65</v>
      </c>
      <c r="I3" s="181">
        <f>J3*F3</f>
        <v>2560.17</v>
      </c>
      <c r="J3" s="181">
        <f>L3*1.22</f>
        <v>64.004249999999999</v>
      </c>
      <c r="K3" s="182">
        <v>2098.5</v>
      </c>
      <c r="L3" s="182">
        <f>K3/F3</f>
        <v>52.462499999999999</v>
      </c>
      <c r="M3" s="243">
        <v>0.08</v>
      </c>
      <c r="N3" s="255">
        <v>3.5000000000000003E-2</v>
      </c>
      <c r="O3" s="243">
        <f>M3+N3</f>
        <v>0.115</v>
      </c>
    </row>
    <row r="4" spans="3:24" x14ac:dyDescent="0.35">
      <c r="C4" s="166" t="s">
        <v>459</v>
      </c>
      <c r="D4" s="178" t="s">
        <v>460</v>
      </c>
      <c r="E4" s="179">
        <v>120</v>
      </c>
      <c r="F4" s="180">
        <v>40</v>
      </c>
      <c r="G4" s="180">
        <f t="shared" ref="G4:G5" si="0">H4*F4</f>
        <v>3600</v>
      </c>
      <c r="H4" s="180">
        <v>90</v>
      </c>
      <c r="I4" s="181">
        <f t="shared" ref="I4:I5" si="1">J4*F4</f>
        <v>3544.8320000000003</v>
      </c>
      <c r="J4" s="181">
        <f t="shared" ref="J4:J5" si="2">L4*1.22</f>
        <v>88.620800000000003</v>
      </c>
      <c r="K4" s="182">
        <v>2905.6</v>
      </c>
      <c r="L4" s="182">
        <f t="shared" ref="L4:L5" si="3">K4/F4</f>
        <v>72.64</v>
      </c>
      <c r="M4" s="243">
        <v>0.08</v>
      </c>
      <c r="N4" s="255">
        <v>3.5000000000000003E-2</v>
      </c>
      <c r="O4" s="243">
        <f t="shared" ref="O4:O5" si="4">M4+N4</f>
        <v>0.115</v>
      </c>
    </row>
    <row r="5" spans="3:24" ht="14.5" customHeight="1" x14ac:dyDescent="0.35">
      <c r="C5" s="166" t="s">
        <v>465</v>
      </c>
      <c r="D5" s="178" t="s">
        <v>466</v>
      </c>
      <c r="E5" s="179">
        <v>60</v>
      </c>
      <c r="F5" s="180">
        <v>40</v>
      </c>
      <c r="G5" s="180">
        <f t="shared" si="0"/>
        <v>2000</v>
      </c>
      <c r="H5" s="181">
        <v>50</v>
      </c>
      <c r="I5" s="181">
        <f t="shared" si="1"/>
        <v>1914.4240000000002</v>
      </c>
      <c r="J5" s="181">
        <f t="shared" si="2"/>
        <v>47.860600000000005</v>
      </c>
      <c r="K5" s="182">
        <v>1569.2</v>
      </c>
      <c r="L5" s="182">
        <f t="shared" si="3"/>
        <v>39.230000000000004</v>
      </c>
      <c r="M5" s="243">
        <v>0.05</v>
      </c>
      <c r="N5" s="255">
        <v>3.5000000000000003E-2</v>
      </c>
      <c r="O5" s="243">
        <f t="shared" si="4"/>
        <v>8.5000000000000006E-2</v>
      </c>
    </row>
    <row r="6" spans="3:24" x14ac:dyDescent="0.35">
      <c r="C6" s="406" t="s">
        <v>476</v>
      </c>
      <c r="D6" s="406"/>
      <c r="E6" s="406"/>
      <c r="F6" s="406"/>
      <c r="G6" s="406"/>
      <c r="T6" s="257" t="s">
        <v>487</v>
      </c>
      <c r="U6" s="257" t="s">
        <v>488</v>
      </c>
    </row>
    <row r="7" spans="3:24" ht="14.5" customHeight="1" x14ac:dyDescent="0.35">
      <c r="C7" s="329" t="s">
        <v>438</v>
      </c>
      <c r="D7" s="333" t="s">
        <v>439</v>
      </c>
      <c r="E7" s="402" t="s">
        <v>58</v>
      </c>
      <c r="F7" s="402"/>
      <c r="G7" s="400" t="s">
        <v>440</v>
      </c>
      <c r="H7" s="335"/>
      <c r="I7" s="336" t="s">
        <v>441</v>
      </c>
      <c r="J7" s="337"/>
      <c r="K7" s="336" t="s">
        <v>442</v>
      </c>
      <c r="L7" s="337"/>
      <c r="M7" s="403" t="s">
        <v>484</v>
      </c>
      <c r="N7" s="404"/>
      <c r="O7" s="405"/>
      <c r="P7" s="256" t="s">
        <v>475</v>
      </c>
      <c r="Q7" s="242" t="s">
        <v>473</v>
      </c>
      <c r="R7" s="401" t="s">
        <v>475</v>
      </c>
      <c r="S7" s="401" t="s">
        <v>485</v>
      </c>
      <c r="T7" s="399" t="s">
        <v>486</v>
      </c>
      <c r="U7" s="399" t="s">
        <v>486</v>
      </c>
    </row>
    <row r="8" spans="3:24" ht="15" customHeight="1" thickBot="1" x14ac:dyDescent="0.4">
      <c r="C8" s="331"/>
      <c r="D8" s="333"/>
      <c r="E8" s="168" t="s">
        <v>36</v>
      </c>
      <c r="F8" s="169" t="s">
        <v>52</v>
      </c>
      <c r="G8" s="170" t="s">
        <v>449</v>
      </c>
      <c r="H8" s="171" t="s">
        <v>450</v>
      </c>
      <c r="I8" s="172" t="s">
        <v>449</v>
      </c>
      <c r="J8" s="172" t="s">
        <v>451</v>
      </c>
      <c r="K8" s="172" t="s">
        <v>449</v>
      </c>
      <c r="L8" s="172" t="s">
        <v>451</v>
      </c>
      <c r="M8" s="242" t="s">
        <v>471</v>
      </c>
      <c r="N8" s="242" t="s">
        <v>482</v>
      </c>
      <c r="O8" s="242" t="s">
        <v>483</v>
      </c>
      <c r="P8" s="242" t="s">
        <v>472</v>
      </c>
      <c r="Q8" s="242" t="s">
        <v>474</v>
      </c>
      <c r="R8" s="401"/>
      <c r="S8" s="401"/>
      <c r="T8" s="400"/>
      <c r="U8" s="400"/>
    </row>
    <row r="9" spans="3:24" x14ac:dyDescent="0.35">
      <c r="C9" s="166" t="s">
        <v>453</v>
      </c>
      <c r="D9" s="178" t="s">
        <v>454</v>
      </c>
      <c r="E9" s="179">
        <v>70</v>
      </c>
      <c r="F9" s="180">
        <v>40</v>
      </c>
      <c r="G9" s="180">
        <f>H9*F9</f>
        <v>2600</v>
      </c>
      <c r="H9" s="180">
        <v>65</v>
      </c>
      <c r="I9" s="181">
        <f>J9*F9</f>
        <v>2560.17</v>
      </c>
      <c r="J9" s="181">
        <f>L9*1.22</f>
        <v>64.004249999999999</v>
      </c>
      <c r="K9" s="182">
        <v>2098.5</v>
      </c>
      <c r="L9" s="182">
        <f>K9/F9</f>
        <v>52.462499999999999</v>
      </c>
      <c r="M9" s="243">
        <f>M3</f>
        <v>0.08</v>
      </c>
      <c r="N9" s="255"/>
      <c r="O9" s="243">
        <f>M9+N9</f>
        <v>0.08</v>
      </c>
      <c r="P9" s="128">
        <f>(L9-(L9*O9))*1.22</f>
        <v>58.883909999999993</v>
      </c>
      <c r="Q9" s="244">
        <v>2.5000000000000001E-2</v>
      </c>
      <c r="R9" s="128">
        <f>P9*Q9+P9</f>
        <v>60.356007749999996</v>
      </c>
      <c r="S9" s="128">
        <f>L9*22%</f>
        <v>11.54175</v>
      </c>
      <c r="T9" s="213">
        <f>R9*20+S9</f>
        <v>1218.6619049999999</v>
      </c>
      <c r="U9" s="213">
        <f>T9*2</f>
        <v>2437.3238099999999</v>
      </c>
      <c r="X9" s="260"/>
    </row>
    <row r="10" spans="3:24" x14ac:dyDescent="0.35">
      <c r="C10" s="166" t="s">
        <v>459</v>
      </c>
      <c r="D10" s="178" t="s">
        <v>460</v>
      </c>
      <c r="E10" s="179">
        <v>120</v>
      </c>
      <c r="F10" s="180">
        <v>40</v>
      </c>
      <c r="G10" s="180">
        <f t="shared" ref="G10:G11" si="5">H10*F10</f>
        <v>3600</v>
      </c>
      <c r="H10" s="180">
        <v>90</v>
      </c>
      <c r="I10" s="181">
        <f t="shared" ref="I10:I11" si="6">J10*F10</f>
        <v>3544.8320000000003</v>
      </c>
      <c r="J10" s="181">
        <f t="shared" ref="J10:J11" si="7">L10*1.22</f>
        <v>88.620800000000003</v>
      </c>
      <c r="K10" s="182">
        <v>2905.6</v>
      </c>
      <c r="L10" s="182">
        <f t="shared" ref="L10:L11" si="8">K10/F10</f>
        <v>72.64</v>
      </c>
      <c r="M10" s="243">
        <f t="shared" ref="M10" si="9">M4</f>
        <v>0.08</v>
      </c>
      <c r="N10" s="255"/>
      <c r="O10" s="243">
        <f t="shared" ref="O10:O11" si="10">M10+N10</f>
        <v>0.08</v>
      </c>
      <c r="P10" s="128">
        <f t="shared" ref="P10:P11" si="11">(L10-(L10*O10))*1.22</f>
        <v>81.531136000000004</v>
      </c>
      <c r="Q10" s="244">
        <v>2.5000000000000001E-2</v>
      </c>
      <c r="R10" s="128">
        <f t="shared" ref="R10:R11" si="12">P10*Q10+P10</f>
        <v>83.569414399999999</v>
      </c>
      <c r="S10" s="128">
        <f>L10*22%</f>
        <v>15.9808</v>
      </c>
      <c r="T10" s="213">
        <f t="shared" ref="T10" si="13">R10*20+S10</f>
        <v>1687.3690880000001</v>
      </c>
      <c r="U10" s="213">
        <f t="shared" ref="U10:U11" si="14">T10*2</f>
        <v>3374.7381760000003</v>
      </c>
    </row>
    <row r="11" spans="3:24" x14ac:dyDescent="0.35">
      <c r="C11" s="166" t="s">
        <v>465</v>
      </c>
      <c r="D11" s="178" t="s">
        <v>466</v>
      </c>
      <c r="E11" s="179">
        <v>60</v>
      </c>
      <c r="F11" s="180">
        <v>40</v>
      </c>
      <c r="G11" s="180">
        <f t="shared" si="5"/>
        <v>2000</v>
      </c>
      <c r="H11" s="181">
        <v>50</v>
      </c>
      <c r="I11" s="181">
        <f t="shared" si="6"/>
        <v>1914.4240000000002</v>
      </c>
      <c r="J11" s="181">
        <f t="shared" si="7"/>
        <v>47.860600000000005</v>
      </c>
      <c r="K11" s="182">
        <v>1569.2</v>
      </c>
      <c r="L11" s="182">
        <f t="shared" si="8"/>
        <v>39.230000000000004</v>
      </c>
      <c r="M11" s="243">
        <v>0.05</v>
      </c>
      <c r="N11" s="255">
        <f>N5</f>
        <v>3.5000000000000003E-2</v>
      </c>
      <c r="O11" s="243">
        <f t="shared" si="10"/>
        <v>8.5000000000000006E-2</v>
      </c>
      <c r="P11" s="128">
        <f t="shared" si="11"/>
        <v>43.792449000000005</v>
      </c>
      <c r="Q11" s="244">
        <v>2.5000000000000001E-2</v>
      </c>
      <c r="R11" s="128">
        <f t="shared" si="12"/>
        <v>44.887260225000006</v>
      </c>
      <c r="S11" s="128"/>
      <c r="T11" s="213">
        <f>R11*20+S11</f>
        <v>897.74520450000011</v>
      </c>
      <c r="U11" s="213">
        <f t="shared" si="14"/>
        <v>1795.4904090000002</v>
      </c>
    </row>
    <row r="12" spans="3:24" ht="15" thickBot="1" x14ac:dyDescent="0.4">
      <c r="C12" s="407" t="s">
        <v>477</v>
      </c>
      <c r="D12" s="407"/>
      <c r="E12" s="407"/>
      <c r="F12" s="407"/>
      <c r="G12" s="407"/>
    </row>
    <row r="13" spans="3:24" x14ac:dyDescent="0.35">
      <c r="C13" s="330" t="s">
        <v>438</v>
      </c>
      <c r="D13" s="332" t="s">
        <v>439</v>
      </c>
      <c r="E13" s="334" t="s">
        <v>58</v>
      </c>
      <c r="F13" s="334"/>
      <c r="G13" s="335" t="s">
        <v>440</v>
      </c>
      <c r="H13" s="335"/>
      <c r="I13" s="336" t="s">
        <v>441</v>
      </c>
      <c r="J13" s="337"/>
      <c r="K13" s="336" t="s">
        <v>442</v>
      </c>
      <c r="L13" s="337"/>
      <c r="M13" s="403" t="s">
        <v>484</v>
      </c>
      <c r="N13" s="404"/>
      <c r="O13" s="405"/>
      <c r="P13" s="256" t="s">
        <v>475</v>
      </c>
      <c r="Q13" s="242" t="s">
        <v>473</v>
      </c>
      <c r="R13" s="401" t="s">
        <v>475</v>
      </c>
      <c r="S13" s="401" t="s">
        <v>485</v>
      </c>
      <c r="T13" s="399" t="s">
        <v>486</v>
      </c>
      <c r="U13" s="399" t="s">
        <v>486</v>
      </c>
    </row>
    <row r="14" spans="3:24" ht="29.5" thickBot="1" x14ac:dyDescent="0.4">
      <c r="C14" s="331"/>
      <c r="D14" s="333"/>
      <c r="E14" s="168" t="s">
        <v>36</v>
      </c>
      <c r="F14" s="169" t="s">
        <v>52</v>
      </c>
      <c r="G14" s="170" t="s">
        <v>449</v>
      </c>
      <c r="H14" s="171" t="s">
        <v>450</v>
      </c>
      <c r="I14" s="172" t="s">
        <v>449</v>
      </c>
      <c r="J14" s="172" t="s">
        <v>451</v>
      </c>
      <c r="K14" s="172" t="s">
        <v>449</v>
      </c>
      <c r="L14" s="172" t="s">
        <v>451</v>
      </c>
      <c r="M14" s="242" t="s">
        <v>471</v>
      </c>
      <c r="N14" s="242" t="s">
        <v>482</v>
      </c>
      <c r="O14" s="242" t="s">
        <v>483</v>
      </c>
      <c r="P14" s="242" t="s">
        <v>472</v>
      </c>
      <c r="Q14" s="242" t="s">
        <v>474</v>
      </c>
      <c r="R14" s="401"/>
      <c r="S14" s="401"/>
      <c r="T14" s="400"/>
      <c r="U14" s="400"/>
    </row>
    <row r="15" spans="3:24" x14ac:dyDescent="0.35">
      <c r="C15" s="166" t="s">
        <v>453</v>
      </c>
      <c r="D15" s="178" t="s">
        <v>454</v>
      </c>
      <c r="E15" s="179">
        <v>70</v>
      </c>
      <c r="F15" s="180">
        <v>40</v>
      </c>
      <c r="G15" s="180">
        <f>H15*F15</f>
        <v>2600</v>
      </c>
      <c r="H15" s="180">
        <v>65</v>
      </c>
      <c r="I15" s="181">
        <f>J15*F15</f>
        <v>2560.17</v>
      </c>
      <c r="J15" s="181">
        <f>L15*1.22</f>
        <v>64.004249999999999</v>
      </c>
      <c r="K15" s="182">
        <v>2098.5</v>
      </c>
      <c r="L15" s="182">
        <f>K15/F15</f>
        <v>52.462499999999999</v>
      </c>
      <c r="M15" s="243">
        <f>M3</f>
        <v>0.08</v>
      </c>
      <c r="N15" s="255"/>
      <c r="O15" s="243">
        <f>M15+N15</f>
        <v>0.08</v>
      </c>
      <c r="P15" s="128">
        <f t="shared" ref="P15:P17" si="15">(L15-(L15*O15))*1.22</f>
        <v>58.883909999999993</v>
      </c>
      <c r="Q15" s="244">
        <v>5.0000000000000001E-3</v>
      </c>
      <c r="R15" s="128">
        <f>P15*Q15+P15</f>
        <v>59.178329549999994</v>
      </c>
      <c r="S15" s="128">
        <f>L15*22%</f>
        <v>11.54175</v>
      </c>
      <c r="T15" s="213">
        <f>R15*20+S15</f>
        <v>1195.1083409999999</v>
      </c>
      <c r="U15" s="213">
        <f t="shared" ref="U15:U17" si="16">T15*2</f>
        <v>2390.2166819999998</v>
      </c>
    </row>
    <row r="16" spans="3:24" x14ac:dyDescent="0.35">
      <c r="C16" s="166" t="s">
        <v>459</v>
      </c>
      <c r="D16" s="178" t="s">
        <v>460</v>
      </c>
      <c r="E16" s="179">
        <v>120</v>
      </c>
      <c r="F16" s="180">
        <v>40</v>
      </c>
      <c r="G16" s="180">
        <f t="shared" ref="G16:G17" si="17">H16*F16</f>
        <v>3600</v>
      </c>
      <c r="H16" s="180">
        <v>90</v>
      </c>
      <c r="I16" s="181">
        <f t="shared" ref="I16:I17" si="18">J16*F16</f>
        <v>3544.8320000000003</v>
      </c>
      <c r="J16" s="181">
        <f t="shared" ref="J16:J17" si="19">L16*1.22</f>
        <v>88.620800000000003</v>
      </c>
      <c r="K16" s="182">
        <v>2905.6</v>
      </c>
      <c r="L16" s="182">
        <f t="shared" ref="L16:L17" si="20">K16/F16</f>
        <v>72.64</v>
      </c>
      <c r="M16" s="243">
        <f t="shared" ref="M16:N17" si="21">M4</f>
        <v>0.08</v>
      </c>
      <c r="N16" s="255"/>
      <c r="O16" s="243">
        <f t="shared" ref="O16:O17" si="22">M16+N16</f>
        <v>0.08</v>
      </c>
      <c r="P16" s="128">
        <f t="shared" si="15"/>
        <v>81.531136000000004</v>
      </c>
      <c r="Q16" s="244">
        <v>5.0000000000000001E-3</v>
      </c>
      <c r="R16" s="128">
        <f t="shared" ref="R16:R17" si="23">P16*Q16+P16</f>
        <v>81.938791680000008</v>
      </c>
      <c r="S16" s="128">
        <f>L16*22%</f>
        <v>15.9808</v>
      </c>
      <c r="T16" s="213">
        <f t="shared" ref="T16:T17" si="24">R16*20+S16</f>
        <v>1654.7566336000002</v>
      </c>
      <c r="U16" s="213">
        <f t="shared" si="16"/>
        <v>3309.5132672000004</v>
      </c>
    </row>
    <row r="17" spans="3:21" x14ac:dyDescent="0.35">
      <c r="C17" s="166" t="s">
        <v>465</v>
      </c>
      <c r="D17" s="178" t="s">
        <v>466</v>
      </c>
      <c r="E17" s="179">
        <v>60</v>
      </c>
      <c r="F17" s="180">
        <v>40</v>
      </c>
      <c r="G17" s="180">
        <f t="shared" si="17"/>
        <v>2000</v>
      </c>
      <c r="H17" s="181">
        <v>50</v>
      </c>
      <c r="I17" s="181">
        <f t="shared" si="18"/>
        <v>1914.4240000000002</v>
      </c>
      <c r="J17" s="181">
        <f t="shared" si="19"/>
        <v>47.860600000000005</v>
      </c>
      <c r="K17" s="182">
        <v>1569.2</v>
      </c>
      <c r="L17" s="182">
        <f t="shared" si="20"/>
        <v>39.230000000000004</v>
      </c>
      <c r="M17" s="243">
        <f t="shared" si="21"/>
        <v>0.05</v>
      </c>
      <c r="N17" s="255">
        <f t="shared" si="21"/>
        <v>3.5000000000000003E-2</v>
      </c>
      <c r="O17" s="258">
        <f t="shared" si="22"/>
        <v>8.5000000000000006E-2</v>
      </c>
      <c r="P17" s="128">
        <f t="shared" si="15"/>
        <v>43.792449000000005</v>
      </c>
      <c r="Q17" s="244">
        <v>5.0000000000000001E-3</v>
      </c>
      <c r="R17" s="128">
        <f t="shared" si="23"/>
        <v>44.011411245000005</v>
      </c>
      <c r="S17" s="128"/>
      <c r="T17" s="213">
        <f t="shared" si="24"/>
        <v>880.2282249000001</v>
      </c>
      <c r="U17" s="213">
        <f t="shared" si="16"/>
        <v>1760.4564498000002</v>
      </c>
    </row>
    <row r="19" spans="3:21" ht="15" thickBot="1" x14ac:dyDescent="0.4">
      <c r="C19" s="406" t="s">
        <v>478</v>
      </c>
      <c r="D19" s="406"/>
      <c r="E19" s="406"/>
      <c r="F19" s="406"/>
      <c r="G19" s="406"/>
    </row>
    <row r="20" spans="3:21" x14ac:dyDescent="0.35">
      <c r="C20" s="330" t="s">
        <v>438</v>
      </c>
      <c r="D20" s="332" t="s">
        <v>439</v>
      </c>
      <c r="E20" s="334" t="s">
        <v>58</v>
      </c>
      <c r="F20" s="334"/>
      <c r="G20" s="335" t="s">
        <v>440</v>
      </c>
      <c r="H20" s="335"/>
      <c r="I20" s="336" t="s">
        <v>441</v>
      </c>
      <c r="J20" s="337"/>
      <c r="K20" s="336" t="s">
        <v>442</v>
      </c>
      <c r="L20" s="337"/>
      <c r="M20" s="403" t="s">
        <v>484</v>
      </c>
      <c r="N20" s="404"/>
      <c r="O20" s="405"/>
      <c r="P20" s="256" t="s">
        <v>475</v>
      </c>
      <c r="Q20" s="242" t="s">
        <v>473</v>
      </c>
      <c r="R20" s="401" t="s">
        <v>475</v>
      </c>
      <c r="S20" s="401" t="s">
        <v>485</v>
      </c>
      <c r="T20" s="399" t="s">
        <v>486</v>
      </c>
      <c r="U20" s="399" t="s">
        <v>486</v>
      </c>
    </row>
    <row r="21" spans="3:21" ht="29.5" thickBot="1" x14ac:dyDescent="0.4">
      <c r="C21" s="331"/>
      <c r="D21" s="333"/>
      <c r="E21" s="168" t="s">
        <v>36</v>
      </c>
      <c r="F21" s="169" t="s">
        <v>52</v>
      </c>
      <c r="G21" s="170" t="s">
        <v>449</v>
      </c>
      <c r="H21" s="171" t="s">
        <v>450</v>
      </c>
      <c r="I21" s="172" t="s">
        <v>449</v>
      </c>
      <c r="J21" s="172" t="s">
        <v>451</v>
      </c>
      <c r="K21" s="172" t="s">
        <v>449</v>
      </c>
      <c r="L21" s="172" t="s">
        <v>451</v>
      </c>
      <c r="M21" s="242" t="s">
        <v>471</v>
      </c>
      <c r="N21" s="242" t="s">
        <v>482</v>
      </c>
      <c r="O21" s="242" t="s">
        <v>483</v>
      </c>
      <c r="P21" s="242" t="s">
        <v>489</v>
      </c>
      <c r="Q21" s="242" t="s">
        <v>474</v>
      </c>
      <c r="R21" s="401"/>
      <c r="S21" s="401"/>
      <c r="T21" s="400"/>
      <c r="U21" s="400"/>
    </row>
    <row r="22" spans="3:21" x14ac:dyDescent="0.35">
      <c r="C22" s="166" t="s">
        <v>453</v>
      </c>
      <c r="D22" s="178" t="s">
        <v>454</v>
      </c>
      <c r="E22" s="179">
        <v>70</v>
      </c>
      <c r="F22" s="180">
        <v>40</v>
      </c>
      <c r="G22" s="180">
        <f>H22*F22</f>
        <v>2600</v>
      </c>
      <c r="H22" s="180">
        <v>65</v>
      </c>
      <c r="I22" s="181">
        <f>J22*F22</f>
        <v>2560.17</v>
      </c>
      <c r="J22" s="181">
        <f>L22*1.22</f>
        <v>64.004249999999999</v>
      </c>
      <c r="K22" s="182">
        <v>2098.5</v>
      </c>
      <c r="L22" s="182">
        <f>K22/F22</f>
        <v>52.462499999999999</v>
      </c>
      <c r="M22" s="243">
        <f>M3</f>
        <v>0.08</v>
      </c>
      <c r="N22" s="255"/>
      <c r="O22" s="243">
        <f>M22+N22</f>
        <v>0.08</v>
      </c>
      <c r="P22" s="128">
        <f>(L22-(L22*O22))*1.18</f>
        <v>56.953289999999996</v>
      </c>
      <c r="Q22" s="244">
        <v>2.5000000000000001E-2</v>
      </c>
      <c r="R22" s="128">
        <f>P22*Q22+P22</f>
        <v>58.377122249999992</v>
      </c>
      <c r="S22" s="128">
        <f>L22*18%</f>
        <v>9.443249999999999</v>
      </c>
      <c r="T22" s="213">
        <f>R22*20+S22</f>
        <v>1176.9856949999999</v>
      </c>
      <c r="U22" s="213">
        <f t="shared" ref="U22:U24" si="25">T22*2</f>
        <v>2353.9713899999997</v>
      </c>
    </row>
    <row r="23" spans="3:21" x14ac:dyDescent="0.35">
      <c r="C23" s="166" t="s">
        <v>459</v>
      </c>
      <c r="D23" s="178" t="s">
        <v>460</v>
      </c>
      <c r="E23" s="179">
        <v>120</v>
      </c>
      <c r="F23" s="180">
        <v>40</v>
      </c>
      <c r="G23" s="180">
        <f t="shared" ref="G23:G24" si="26">H23*F23</f>
        <v>3600</v>
      </c>
      <c r="H23" s="180">
        <v>90</v>
      </c>
      <c r="I23" s="181">
        <f t="shared" ref="I23:I24" si="27">J23*F23</f>
        <v>3544.8320000000003</v>
      </c>
      <c r="J23" s="181">
        <f t="shared" ref="J23:J24" si="28">L23*1.22</f>
        <v>88.620800000000003</v>
      </c>
      <c r="K23" s="182">
        <v>2905.6</v>
      </c>
      <c r="L23" s="182">
        <f t="shared" ref="L23:L24" si="29">K23/F23</f>
        <v>72.64</v>
      </c>
      <c r="M23" s="243">
        <f t="shared" ref="M23:N24" si="30">M4</f>
        <v>0.08</v>
      </c>
      <c r="N23" s="255"/>
      <c r="O23" s="243">
        <f t="shared" ref="O23:O24" si="31">M23+N23</f>
        <v>0.08</v>
      </c>
      <c r="P23" s="128">
        <f t="shared" ref="P23:P24" si="32">(L23-(L23*O23))*1.18</f>
        <v>78.857984000000002</v>
      </c>
      <c r="Q23" s="244">
        <v>2.5000000000000001E-2</v>
      </c>
      <c r="R23" s="128">
        <f t="shared" ref="R23:R24" si="33">P23*Q23+P23</f>
        <v>80.829433600000002</v>
      </c>
      <c r="S23" s="128">
        <f>L23*18%</f>
        <v>13.075199999999999</v>
      </c>
      <c r="T23" s="213">
        <f t="shared" ref="T23:T24" si="34">R23*20+S23</f>
        <v>1629.6638720000001</v>
      </c>
      <c r="U23" s="213">
        <f t="shared" si="25"/>
        <v>3259.3277440000002</v>
      </c>
    </row>
    <row r="24" spans="3:21" x14ac:dyDescent="0.35">
      <c r="C24" s="166" t="s">
        <v>465</v>
      </c>
      <c r="D24" s="178" t="s">
        <v>466</v>
      </c>
      <c r="E24" s="179">
        <v>60</v>
      </c>
      <c r="F24" s="180">
        <v>40</v>
      </c>
      <c r="G24" s="180">
        <f t="shared" si="26"/>
        <v>2000</v>
      </c>
      <c r="H24" s="181">
        <v>50</v>
      </c>
      <c r="I24" s="181">
        <f t="shared" si="27"/>
        <v>1914.4240000000002</v>
      </c>
      <c r="J24" s="181">
        <f t="shared" si="28"/>
        <v>47.860600000000005</v>
      </c>
      <c r="K24" s="182">
        <v>1569.2</v>
      </c>
      <c r="L24" s="182">
        <f t="shared" si="29"/>
        <v>39.230000000000004</v>
      </c>
      <c r="M24" s="243">
        <f t="shared" si="30"/>
        <v>0.05</v>
      </c>
      <c r="N24" s="255">
        <f t="shared" si="30"/>
        <v>3.5000000000000003E-2</v>
      </c>
      <c r="O24" s="258">
        <f t="shared" si="31"/>
        <v>8.5000000000000006E-2</v>
      </c>
      <c r="P24" s="128">
        <f t="shared" si="32"/>
        <v>42.356631</v>
      </c>
      <c r="Q24" s="244">
        <v>2.5000000000000001E-2</v>
      </c>
      <c r="R24" s="128">
        <f t="shared" si="33"/>
        <v>43.415546775000003</v>
      </c>
      <c r="S24" s="128"/>
      <c r="T24" s="213">
        <f t="shared" si="34"/>
        <v>868.31093550000003</v>
      </c>
      <c r="U24" s="213">
        <f t="shared" si="25"/>
        <v>1736.6218710000001</v>
      </c>
    </row>
    <row r="25" spans="3:21" x14ac:dyDescent="0.35">
      <c r="C25" s="200"/>
      <c r="D25" s="201"/>
      <c r="E25" s="245"/>
      <c r="F25" s="203"/>
      <c r="G25" s="203"/>
      <c r="H25" s="204"/>
      <c r="I25" s="204"/>
      <c r="J25" s="204"/>
      <c r="K25" s="205"/>
      <c r="L25" s="205"/>
      <c r="M25" s="246"/>
      <c r="N25" s="246"/>
      <c r="O25" s="246"/>
      <c r="P25" s="164"/>
      <c r="Q25" s="247"/>
      <c r="R25" s="164"/>
    </row>
    <row r="26" spans="3:21" ht="15" thickBot="1" x14ac:dyDescent="0.4">
      <c r="C26" s="406" t="s">
        <v>479</v>
      </c>
      <c r="D26" s="406"/>
      <c r="E26" s="406"/>
      <c r="F26" s="406"/>
      <c r="G26" s="406"/>
    </row>
    <row r="27" spans="3:21" x14ac:dyDescent="0.35">
      <c r="C27" s="330" t="s">
        <v>438</v>
      </c>
      <c r="D27" s="332" t="s">
        <v>439</v>
      </c>
      <c r="E27" s="334" t="s">
        <v>58</v>
      </c>
      <c r="F27" s="334"/>
      <c r="G27" s="335" t="s">
        <v>440</v>
      </c>
      <c r="H27" s="335"/>
      <c r="I27" s="336" t="s">
        <v>441</v>
      </c>
      <c r="J27" s="337"/>
      <c r="K27" s="336" t="s">
        <v>442</v>
      </c>
      <c r="L27" s="337"/>
      <c r="M27" s="403" t="s">
        <v>484</v>
      </c>
      <c r="N27" s="404"/>
      <c r="O27" s="405"/>
      <c r="P27" s="256" t="s">
        <v>475</v>
      </c>
      <c r="Q27" s="242" t="s">
        <v>473</v>
      </c>
      <c r="R27" s="401" t="s">
        <v>475</v>
      </c>
      <c r="S27" s="401" t="s">
        <v>485</v>
      </c>
      <c r="T27" s="399" t="s">
        <v>486</v>
      </c>
      <c r="U27" s="399" t="s">
        <v>486</v>
      </c>
    </row>
    <row r="28" spans="3:21" ht="29.5" thickBot="1" x14ac:dyDescent="0.4">
      <c r="C28" s="331"/>
      <c r="D28" s="333"/>
      <c r="E28" s="168" t="s">
        <v>36</v>
      </c>
      <c r="F28" s="169" t="s">
        <v>52</v>
      </c>
      <c r="G28" s="170" t="s">
        <v>449</v>
      </c>
      <c r="H28" s="171" t="s">
        <v>450</v>
      </c>
      <c r="I28" s="172" t="s">
        <v>449</v>
      </c>
      <c r="J28" s="172" t="s">
        <v>451</v>
      </c>
      <c r="K28" s="172" t="s">
        <v>449</v>
      </c>
      <c r="L28" s="172" t="s">
        <v>451</v>
      </c>
      <c r="M28" s="242" t="s">
        <v>471</v>
      </c>
      <c r="N28" s="242" t="s">
        <v>482</v>
      </c>
      <c r="O28" s="242" t="s">
        <v>483</v>
      </c>
      <c r="P28" s="242" t="s">
        <v>489</v>
      </c>
      <c r="Q28" s="242" t="s">
        <v>474</v>
      </c>
      <c r="R28" s="401"/>
      <c r="S28" s="401"/>
      <c r="T28" s="400"/>
      <c r="U28" s="400"/>
    </row>
    <row r="29" spans="3:21" x14ac:dyDescent="0.35">
      <c r="C29" s="166" t="s">
        <v>453</v>
      </c>
      <c r="D29" s="178" t="s">
        <v>454</v>
      </c>
      <c r="E29" s="179">
        <v>70</v>
      </c>
      <c r="F29" s="180">
        <v>40</v>
      </c>
      <c r="G29" s="180">
        <f>H29*F29</f>
        <v>2600</v>
      </c>
      <c r="H29" s="180">
        <v>65</v>
      </c>
      <c r="I29" s="181">
        <f>J29*F29</f>
        <v>2560.17</v>
      </c>
      <c r="J29" s="181">
        <f>L29*1.22</f>
        <v>64.004249999999999</v>
      </c>
      <c r="K29" s="182">
        <v>2098.5</v>
      </c>
      <c r="L29" s="182">
        <f>K29/F29</f>
        <v>52.462499999999999</v>
      </c>
      <c r="M29" s="243">
        <f>M3</f>
        <v>0.08</v>
      </c>
      <c r="N29" s="255"/>
      <c r="O29" s="243">
        <f>M29+N29</f>
        <v>0.08</v>
      </c>
      <c r="P29" s="128">
        <f>(L29-(L29*O29))*1.18</f>
        <v>56.953289999999996</v>
      </c>
      <c r="Q29" s="244">
        <v>5.0000000000000001E-3</v>
      </c>
      <c r="R29" s="128">
        <f>P29*Q29+P29</f>
        <v>57.238056449999995</v>
      </c>
      <c r="S29" s="128">
        <f>L29*18%</f>
        <v>9.443249999999999</v>
      </c>
      <c r="T29" s="213">
        <f>R29*20+S29</f>
        <v>1154.204379</v>
      </c>
      <c r="U29" s="213">
        <f t="shared" ref="U29:U31" si="35">T29*2</f>
        <v>2308.408758</v>
      </c>
    </row>
    <row r="30" spans="3:21" x14ac:dyDescent="0.35">
      <c r="C30" s="166" t="s">
        <v>459</v>
      </c>
      <c r="D30" s="178" t="s">
        <v>460</v>
      </c>
      <c r="E30" s="179">
        <v>120</v>
      </c>
      <c r="F30" s="180">
        <v>40</v>
      </c>
      <c r="G30" s="180">
        <f t="shared" ref="G30:G31" si="36">H30*F30</f>
        <v>3600</v>
      </c>
      <c r="H30" s="180">
        <v>90</v>
      </c>
      <c r="I30" s="181">
        <f t="shared" ref="I30:I31" si="37">J30*F30</f>
        <v>3544.8320000000003</v>
      </c>
      <c r="J30" s="181">
        <f t="shared" ref="J30:J31" si="38">L30*1.22</f>
        <v>88.620800000000003</v>
      </c>
      <c r="K30" s="182">
        <v>2905.6</v>
      </c>
      <c r="L30" s="182">
        <f t="shared" ref="L30:L31" si="39">K30/F30</f>
        <v>72.64</v>
      </c>
      <c r="M30" s="243">
        <f t="shared" ref="M30:N31" si="40">M4</f>
        <v>0.08</v>
      </c>
      <c r="N30" s="255"/>
      <c r="O30" s="243">
        <f t="shared" ref="O30:O31" si="41">M30+N30</f>
        <v>0.08</v>
      </c>
      <c r="P30" s="128">
        <f t="shared" ref="P30:P31" si="42">(L30-(L30*O30))*1.18</f>
        <v>78.857984000000002</v>
      </c>
      <c r="Q30" s="244">
        <v>5.0000000000000001E-3</v>
      </c>
      <c r="R30" s="128">
        <f t="shared" ref="R30:R31" si="43">P30*Q30+P30</f>
        <v>79.252273920000007</v>
      </c>
      <c r="S30" s="128">
        <f>L30*18%</f>
        <v>13.075199999999999</v>
      </c>
      <c r="T30" s="213">
        <f t="shared" ref="T30:T31" si="44">R30*20+S30</f>
        <v>1598.1206784000001</v>
      </c>
      <c r="U30" s="213">
        <f t="shared" si="35"/>
        <v>3196.2413568000002</v>
      </c>
    </row>
    <row r="31" spans="3:21" x14ac:dyDescent="0.35">
      <c r="C31" s="166" t="s">
        <v>465</v>
      </c>
      <c r="D31" s="178" t="s">
        <v>466</v>
      </c>
      <c r="E31" s="179">
        <v>60</v>
      </c>
      <c r="F31" s="180">
        <v>40</v>
      </c>
      <c r="G31" s="180">
        <f t="shared" si="36"/>
        <v>2000</v>
      </c>
      <c r="H31" s="181">
        <v>50</v>
      </c>
      <c r="I31" s="181">
        <f t="shared" si="37"/>
        <v>1914.4240000000002</v>
      </c>
      <c r="J31" s="181">
        <f t="shared" si="38"/>
        <v>47.860600000000005</v>
      </c>
      <c r="K31" s="182">
        <v>1569.2</v>
      </c>
      <c r="L31" s="182">
        <f t="shared" si="39"/>
        <v>39.230000000000004</v>
      </c>
      <c r="M31" s="243">
        <f t="shared" si="40"/>
        <v>0.05</v>
      </c>
      <c r="N31" s="255">
        <f t="shared" si="40"/>
        <v>3.5000000000000003E-2</v>
      </c>
      <c r="O31" s="258">
        <f t="shared" si="41"/>
        <v>8.5000000000000006E-2</v>
      </c>
      <c r="P31" s="128">
        <f t="shared" si="42"/>
        <v>42.356631</v>
      </c>
      <c r="Q31" s="244">
        <v>5.0000000000000001E-3</v>
      </c>
      <c r="R31" s="128">
        <f t="shared" si="43"/>
        <v>42.568414154999999</v>
      </c>
      <c r="S31" s="128"/>
      <c r="T31" s="213">
        <f t="shared" si="44"/>
        <v>851.36828309999999</v>
      </c>
      <c r="U31" s="213">
        <f t="shared" si="35"/>
        <v>1702.7365662</v>
      </c>
    </row>
  </sheetData>
  <mergeCells count="55">
    <mergeCell ref="M1:O1"/>
    <mergeCell ref="K27:L27"/>
    <mergeCell ref="R27:R28"/>
    <mergeCell ref="K1:L1"/>
    <mergeCell ref="I20:J20"/>
    <mergeCell ref="K20:L20"/>
    <mergeCell ref="R7:R8"/>
    <mergeCell ref="I13:J13"/>
    <mergeCell ref="K13:L13"/>
    <mergeCell ref="K7:L7"/>
    <mergeCell ref="I1:J1"/>
    <mergeCell ref="M7:O7"/>
    <mergeCell ref="M13:O13"/>
    <mergeCell ref="M20:O20"/>
    <mergeCell ref="R20:R21"/>
    <mergeCell ref="R13:R14"/>
    <mergeCell ref="M27:O27"/>
    <mergeCell ref="C19:G19"/>
    <mergeCell ref="C26:G26"/>
    <mergeCell ref="C1:C2"/>
    <mergeCell ref="D1:D2"/>
    <mergeCell ref="E1:F1"/>
    <mergeCell ref="G1:H1"/>
    <mergeCell ref="C20:C21"/>
    <mergeCell ref="D20:D21"/>
    <mergeCell ref="E20:F20"/>
    <mergeCell ref="G20:H20"/>
    <mergeCell ref="C6:G6"/>
    <mergeCell ref="C12:G12"/>
    <mergeCell ref="C13:C14"/>
    <mergeCell ref="D13:D14"/>
    <mergeCell ref="E13:F13"/>
    <mergeCell ref="I27:J27"/>
    <mergeCell ref="C7:C8"/>
    <mergeCell ref="D7:D8"/>
    <mergeCell ref="E7:F7"/>
    <mergeCell ref="G7:H7"/>
    <mergeCell ref="I7:J7"/>
    <mergeCell ref="G13:H13"/>
    <mergeCell ref="C27:C28"/>
    <mergeCell ref="D27:D28"/>
    <mergeCell ref="E27:F27"/>
    <mergeCell ref="G27:H27"/>
    <mergeCell ref="U20:U21"/>
    <mergeCell ref="S27:S28"/>
    <mergeCell ref="T27:T28"/>
    <mergeCell ref="U27:U28"/>
    <mergeCell ref="U7:U8"/>
    <mergeCell ref="S13:S14"/>
    <mergeCell ref="T13:T14"/>
    <mergeCell ref="U13:U14"/>
    <mergeCell ref="S7:S8"/>
    <mergeCell ref="T7:T8"/>
    <mergeCell ref="S20:S21"/>
    <mergeCell ref="T20:T21"/>
  </mergeCells>
  <conditionalFormatting sqref="C1 C3:C5">
    <cfRule type="cellIs" dxfId="44" priority="1" stopIfTrue="1" operator="lessThan">
      <formula>1</formula>
    </cfRule>
  </conditionalFormatting>
  <conditionalFormatting sqref="C3:C5">
    <cfRule type="duplicateValues" dxfId="43" priority="2"/>
  </conditionalFormatting>
  <conditionalFormatting sqref="C7 C9:C11 C15:C17 C22:C25">
    <cfRule type="cellIs" dxfId="42" priority="22" stopIfTrue="1" operator="lessThan">
      <formula>1</formula>
    </cfRule>
  </conditionalFormatting>
  <conditionalFormatting sqref="C9:C11">
    <cfRule type="duplicateValues" dxfId="41" priority="52"/>
  </conditionalFormatting>
  <conditionalFormatting sqref="C13">
    <cfRule type="cellIs" dxfId="40" priority="18" stopIfTrue="1" operator="lessThan">
      <formula>1</formula>
    </cfRule>
  </conditionalFormatting>
  <conditionalFormatting sqref="C15:C17">
    <cfRule type="duplicateValues" dxfId="39" priority="58"/>
  </conditionalFormatting>
  <conditionalFormatting sqref="C20">
    <cfRule type="cellIs" dxfId="38" priority="14" stopIfTrue="1" operator="lessThan">
      <formula>1</formula>
    </cfRule>
  </conditionalFormatting>
  <conditionalFormatting sqref="C22:C25">
    <cfRule type="duplicateValues" dxfId="37" priority="45"/>
  </conditionalFormatting>
  <conditionalFormatting sqref="C27">
    <cfRule type="cellIs" dxfId="36" priority="10" stopIfTrue="1" operator="lessThan">
      <formula>1</formula>
    </cfRule>
  </conditionalFormatting>
  <conditionalFormatting sqref="C29:C31">
    <cfRule type="cellIs" dxfId="35" priority="3" stopIfTrue="1" operator="lessThan">
      <formula>1</formula>
    </cfRule>
    <cfRule type="duplicateValues" dxfId="34" priority="4"/>
  </conditionalFormatting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B1:Q5"/>
  <sheetViews>
    <sheetView workbookViewId="0">
      <selection activeCell="N30" sqref="N30:O30"/>
    </sheetView>
  </sheetViews>
  <sheetFormatPr defaultRowHeight="14.5" x14ac:dyDescent="0.35"/>
  <cols>
    <col min="2" max="2" width="4.81640625" bestFit="1" customWidth="1"/>
    <col min="3" max="3" width="22.1796875" bestFit="1" customWidth="1"/>
    <col min="4" max="4" width="3.81640625" bestFit="1" customWidth="1"/>
    <col min="5" max="5" width="4.1796875" bestFit="1" customWidth="1"/>
    <col min="6" max="6" width="4.81640625" bestFit="1" customWidth="1"/>
    <col min="7" max="7" width="2.81640625" bestFit="1" customWidth="1"/>
    <col min="8" max="8" width="4.81640625" bestFit="1" customWidth="1"/>
    <col min="9" max="9" width="3.453125" bestFit="1" customWidth="1"/>
    <col min="10" max="10" width="7.453125" bestFit="1" customWidth="1"/>
    <col min="11" max="11" width="5.453125" bestFit="1" customWidth="1"/>
    <col min="12" max="12" width="8.54296875" bestFit="1" customWidth="1"/>
    <col min="13" max="13" width="5.81640625" bestFit="1" customWidth="1"/>
    <col min="14" max="14" width="5.54296875" bestFit="1" customWidth="1"/>
    <col min="16" max="16" width="4.26953125" bestFit="1" customWidth="1"/>
  </cols>
  <sheetData>
    <row r="1" spans="2:17" x14ac:dyDescent="0.35">
      <c r="B1" s="334" t="s">
        <v>438</v>
      </c>
      <c r="C1" s="401" t="s">
        <v>439</v>
      </c>
      <c r="D1" s="334" t="s">
        <v>58</v>
      </c>
      <c r="E1" s="334"/>
      <c r="F1" s="335" t="s">
        <v>440</v>
      </c>
      <c r="G1" s="335"/>
      <c r="H1" s="408" t="s">
        <v>441</v>
      </c>
      <c r="I1" s="408"/>
      <c r="J1" s="408" t="s">
        <v>442</v>
      </c>
      <c r="K1" s="408"/>
      <c r="L1" s="403" t="s">
        <v>484</v>
      </c>
      <c r="M1" s="404"/>
      <c r="N1" s="405"/>
    </row>
    <row r="2" spans="2:17" ht="29" x14ac:dyDescent="0.35">
      <c r="B2" s="334"/>
      <c r="C2" s="401"/>
      <c r="D2" s="168" t="s">
        <v>36</v>
      </c>
      <c r="E2" s="169" t="s">
        <v>52</v>
      </c>
      <c r="F2" s="253" t="s">
        <v>449</v>
      </c>
      <c r="G2" s="254" t="s">
        <v>450</v>
      </c>
      <c r="H2" s="242" t="s">
        <v>449</v>
      </c>
      <c r="I2" s="242" t="s">
        <v>451</v>
      </c>
      <c r="J2" s="242" t="s">
        <v>449</v>
      </c>
      <c r="K2" s="242" t="s">
        <v>451</v>
      </c>
      <c r="L2" s="242" t="s">
        <v>471</v>
      </c>
      <c r="M2" s="242" t="s">
        <v>482</v>
      </c>
      <c r="N2" s="242" t="s">
        <v>483</v>
      </c>
      <c r="P2" s="242" t="s">
        <v>490</v>
      </c>
      <c r="Q2" s="259" t="s">
        <v>491</v>
      </c>
    </row>
    <row r="3" spans="2:17" x14ac:dyDescent="0.35">
      <c r="B3" s="166" t="s">
        <v>453</v>
      </c>
      <c r="C3" s="178" t="s">
        <v>454</v>
      </c>
      <c r="D3" s="179">
        <v>70</v>
      </c>
      <c r="E3" s="180">
        <v>40</v>
      </c>
      <c r="F3" s="180">
        <f>G3*E3</f>
        <v>2600</v>
      </c>
      <c r="G3" s="180">
        <v>65</v>
      </c>
      <c r="H3" s="181">
        <f>I3*E3</f>
        <v>2560.17</v>
      </c>
      <c r="I3" s="181">
        <f>K3*1.22</f>
        <v>64.004249999999999</v>
      </c>
      <c r="J3" s="182">
        <v>2098.5</v>
      </c>
      <c r="K3" s="182">
        <f>J3/E3</f>
        <v>52.462499999999999</v>
      </c>
      <c r="L3" s="243">
        <v>0.08</v>
      </c>
      <c r="M3" s="255"/>
      <c r="N3" s="243">
        <f>L3+M3</f>
        <v>0.08</v>
      </c>
      <c r="P3" s="243">
        <v>0.14000000000000001</v>
      </c>
      <c r="Q3" s="243">
        <v>0.08</v>
      </c>
    </row>
    <row r="4" spans="2:17" x14ac:dyDescent="0.35">
      <c r="B4" s="166" t="s">
        <v>459</v>
      </c>
      <c r="C4" s="178" t="s">
        <v>460</v>
      </c>
      <c r="D4" s="179">
        <v>120</v>
      </c>
      <c r="E4" s="180">
        <v>40</v>
      </c>
      <c r="F4" s="180">
        <f t="shared" ref="F4:F5" si="0">G4*E4</f>
        <v>3600</v>
      </c>
      <c r="G4" s="180">
        <v>90</v>
      </c>
      <c r="H4" s="181">
        <f t="shared" ref="H4:H5" si="1">I4*E4</f>
        <v>3544.8320000000003</v>
      </c>
      <c r="I4" s="181">
        <f t="shared" ref="I4:I5" si="2">K4*1.22</f>
        <v>88.620800000000003</v>
      </c>
      <c r="J4" s="182">
        <v>2905.6</v>
      </c>
      <c r="K4" s="182">
        <f t="shared" ref="K4:K5" si="3">J4/E4</f>
        <v>72.64</v>
      </c>
      <c r="L4" s="243">
        <v>0.08</v>
      </c>
      <c r="M4" s="255"/>
      <c r="N4" s="243">
        <f t="shared" ref="N4:N5" si="4">L4+M4</f>
        <v>0.08</v>
      </c>
      <c r="P4" s="243">
        <v>0.14000000000000001</v>
      </c>
      <c r="Q4" s="243">
        <v>0.08</v>
      </c>
    </row>
    <row r="5" spans="2:17" x14ac:dyDescent="0.35">
      <c r="B5" s="166" t="s">
        <v>465</v>
      </c>
      <c r="C5" s="178" t="s">
        <v>466</v>
      </c>
      <c r="D5" s="179">
        <v>60</v>
      </c>
      <c r="E5" s="180">
        <v>40</v>
      </c>
      <c r="F5" s="180">
        <f t="shared" si="0"/>
        <v>2000</v>
      </c>
      <c r="G5" s="181">
        <v>50</v>
      </c>
      <c r="H5" s="181">
        <f t="shared" si="1"/>
        <v>1914.4240000000002</v>
      </c>
      <c r="I5" s="181">
        <f t="shared" si="2"/>
        <v>47.860600000000005</v>
      </c>
      <c r="J5" s="182">
        <v>1569.2</v>
      </c>
      <c r="K5" s="182">
        <f t="shared" si="3"/>
        <v>39.230000000000004</v>
      </c>
      <c r="L5" s="243">
        <v>0.05</v>
      </c>
      <c r="M5" s="255">
        <v>3.5000000000000003E-2</v>
      </c>
      <c r="N5" s="243">
        <f t="shared" si="4"/>
        <v>8.5000000000000006E-2</v>
      </c>
      <c r="P5" s="243">
        <v>0.115</v>
      </c>
      <c r="Q5" s="243">
        <v>0.05</v>
      </c>
    </row>
  </sheetData>
  <mergeCells count="7">
    <mergeCell ref="L1:N1"/>
    <mergeCell ref="B1:B2"/>
    <mergeCell ref="C1:C2"/>
    <mergeCell ref="D1:E1"/>
    <mergeCell ref="F1:G1"/>
    <mergeCell ref="H1:I1"/>
    <mergeCell ref="J1:K1"/>
  </mergeCells>
  <phoneticPr fontId="23" type="noConversion"/>
  <conditionalFormatting sqref="B1 B3:B5">
    <cfRule type="cellIs" dxfId="33" priority="1" stopIfTrue="1" operator="lessThan">
      <formula>1</formula>
    </cfRule>
  </conditionalFormatting>
  <conditionalFormatting sqref="B3:B5">
    <cfRule type="duplicateValues" dxfId="32" priority="2"/>
  </conditionalFormatting>
  <pageMargins left="0.7" right="0.7" top="0.75" bottom="0.75" header="0.3" footer="0.3"/>
  <pageSetup orientation="portrait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3:H244"/>
  <sheetViews>
    <sheetView topLeftCell="A4" workbookViewId="0">
      <selection activeCell="F5" sqref="F5:F10"/>
    </sheetView>
  </sheetViews>
  <sheetFormatPr defaultRowHeight="14.5" x14ac:dyDescent="0.35"/>
  <cols>
    <col min="5" max="5" width="12.26953125" bestFit="1" customWidth="1"/>
    <col min="7" max="7" width="23.1796875" bestFit="1" customWidth="1"/>
    <col min="8" max="8" width="10.54296875" bestFit="1" customWidth="1"/>
  </cols>
  <sheetData>
    <row r="3" spans="1:8" ht="15" thickBot="1" x14ac:dyDescent="0.4"/>
    <row r="4" spans="1:8" ht="15" thickBot="1" x14ac:dyDescent="0.4">
      <c r="B4" t="s">
        <v>109</v>
      </c>
      <c r="E4" s="147" t="s">
        <v>119</v>
      </c>
      <c r="F4" s="147" t="s">
        <v>120</v>
      </c>
      <c r="G4" s="147" t="s">
        <v>121</v>
      </c>
      <c r="H4" s="147" t="s">
        <v>122</v>
      </c>
    </row>
    <row r="5" spans="1:8" x14ac:dyDescent="0.35">
      <c r="A5">
        <v>1</v>
      </c>
      <c r="B5" t="s">
        <v>111</v>
      </c>
      <c r="E5" s="148" t="s">
        <v>123</v>
      </c>
      <c r="F5" s="411" t="s">
        <v>124</v>
      </c>
      <c r="G5" s="149" t="s">
        <v>124</v>
      </c>
      <c r="H5" s="150" t="s">
        <v>99</v>
      </c>
    </row>
    <row r="6" spans="1:8" x14ac:dyDescent="0.35">
      <c r="A6">
        <v>2</v>
      </c>
      <c r="B6" t="s">
        <v>110</v>
      </c>
      <c r="E6" s="148" t="s">
        <v>123</v>
      </c>
      <c r="F6" s="409"/>
      <c r="G6" s="151" t="s">
        <v>125</v>
      </c>
      <c r="H6" s="152" t="s">
        <v>100</v>
      </c>
    </row>
    <row r="7" spans="1:8" x14ac:dyDescent="0.35">
      <c r="A7">
        <v>3</v>
      </c>
      <c r="B7" t="s">
        <v>112</v>
      </c>
      <c r="E7" s="148" t="s">
        <v>123</v>
      </c>
      <c r="F7" s="409"/>
      <c r="G7" s="151" t="s">
        <v>126</v>
      </c>
      <c r="H7" s="152" t="s">
        <v>98</v>
      </c>
    </row>
    <row r="8" spans="1:8" x14ac:dyDescent="0.35">
      <c r="A8">
        <v>4</v>
      </c>
      <c r="B8" t="s">
        <v>113</v>
      </c>
      <c r="E8" s="148" t="s">
        <v>123</v>
      </c>
      <c r="F8" s="409"/>
      <c r="G8" s="151" t="s">
        <v>127</v>
      </c>
      <c r="H8" s="152" t="s">
        <v>101</v>
      </c>
    </row>
    <row r="9" spans="1:8" x14ac:dyDescent="0.35">
      <c r="A9">
        <v>5</v>
      </c>
      <c r="B9" t="s">
        <v>114</v>
      </c>
      <c r="E9" s="148" t="s">
        <v>123</v>
      </c>
      <c r="F9" s="409"/>
      <c r="G9" s="151" t="s">
        <v>128</v>
      </c>
      <c r="H9" s="152" t="s">
        <v>102</v>
      </c>
    </row>
    <row r="10" spans="1:8" x14ac:dyDescent="0.35">
      <c r="A10">
        <v>6</v>
      </c>
      <c r="B10" t="s">
        <v>115</v>
      </c>
      <c r="E10" s="148" t="s">
        <v>123</v>
      </c>
      <c r="F10" s="409"/>
      <c r="G10" s="151" t="s">
        <v>129</v>
      </c>
      <c r="H10" s="152" t="s">
        <v>103</v>
      </c>
    </row>
    <row r="11" spans="1:8" x14ac:dyDescent="0.35">
      <c r="A11">
        <v>7</v>
      </c>
      <c r="B11" t="s">
        <v>116</v>
      </c>
      <c r="E11" s="153" t="s">
        <v>130</v>
      </c>
      <c r="F11" s="409" t="s">
        <v>131</v>
      </c>
      <c r="G11" s="154" t="s">
        <v>132</v>
      </c>
      <c r="H11" s="152" t="s">
        <v>99</v>
      </c>
    </row>
    <row r="12" spans="1:8" x14ac:dyDescent="0.35">
      <c r="A12">
        <v>8</v>
      </c>
      <c r="B12" t="s">
        <v>117</v>
      </c>
      <c r="E12" s="153" t="s">
        <v>130</v>
      </c>
      <c r="F12" s="409"/>
      <c r="G12" s="154" t="s">
        <v>133</v>
      </c>
      <c r="H12" s="152" t="s">
        <v>100</v>
      </c>
    </row>
    <row r="13" spans="1:8" x14ac:dyDescent="0.35">
      <c r="A13">
        <v>9</v>
      </c>
      <c r="B13" t="s">
        <v>118</v>
      </c>
      <c r="E13" s="153" t="s">
        <v>130</v>
      </c>
      <c r="F13" s="409"/>
      <c r="G13" s="155" t="s">
        <v>134</v>
      </c>
      <c r="H13" s="152" t="s">
        <v>98</v>
      </c>
    </row>
    <row r="14" spans="1:8" x14ac:dyDescent="0.35">
      <c r="A14">
        <v>10</v>
      </c>
      <c r="E14" s="153" t="s">
        <v>130</v>
      </c>
      <c r="F14" s="409"/>
      <c r="G14" s="154" t="s">
        <v>135</v>
      </c>
      <c r="H14" s="152" t="s">
        <v>101</v>
      </c>
    </row>
    <row r="15" spans="1:8" x14ac:dyDescent="0.35">
      <c r="E15" s="153" t="s">
        <v>130</v>
      </c>
      <c r="F15" s="409"/>
      <c r="G15" s="154" t="s">
        <v>136</v>
      </c>
      <c r="H15" s="152" t="s">
        <v>102</v>
      </c>
    </row>
    <row r="16" spans="1:8" x14ac:dyDescent="0.35">
      <c r="E16" s="153" t="s">
        <v>130</v>
      </c>
      <c r="F16" s="409"/>
      <c r="G16" s="151" t="s">
        <v>137</v>
      </c>
      <c r="H16" s="152" t="s">
        <v>103</v>
      </c>
    </row>
    <row r="17" spans="5:8" x14ac:dyDescent="0.35">
      <c r="E17" s="153" t="s">
        <v>138</v>
      </c>
      <c r="F17" s="409" t="s">
        <v>139</v>
      </c>
      <c r="G17" s="155" t="s">
        <v>140</v>
      </c>
      <c r="H17" s="152" t="s">
        <v>99</v>
      </c>
    </row>
    <row r="18" spans="5:8" x14ac:dyDescent="0.35">
      <c r="E18" s="153" t="s">
        <v>138</v>
      </c>
      <c r="F18" s="409"/>
      <c r="G18" s="156" t="s">
        <v>141</v>
      </c>
      <c r="H18" s="152" t="s">
        <v>100</v>
      </c>
    </row>
    <row r="19" spans="5:8" x14ac:dyDescent="0.35">
      <c r="E19" s="153" t="s">
        <v>138</v>
      </c>
      <c r="F19" s="409"/>
      <c r="G19" s="156" t="s">
        <v>142</v>
      </c>
      <c r="H19" s="152" t="s">
        <v>98</v>
      </c>
    </row>
    <row r="20" spans="5:8" x14ac:dyDescent="0.35">
      <c r="E20" s="153" t="s">
        <v>138</v>
      </c>
      <c r="F20" s="409"/>
      <c r="G20" s="155" t="s">
        <v>143</v>
      </c>
      <c r="H20" s="152" t="s">
        <v>101</v>
      </c>
    </row>
    <row r="21" spans="5:8" x14ac:dyDescent="0.35">
      <c r="E21" s="153" t="s">
        <v>138</v>
      </c>
      <c r="F21" s="409"/>
      <c r="G21" s="155" t="s">
        <v>144</v>
      </c>
      <c r="H21" s="152" t="s">
        <v>102</v>
      </c>
    </row>
    <row r="22" spans="5:8" x14ac:dyDescent="0.35">
      <c r="E22" s="153" t="s">
        <v>138</v>
      </c>
      <c r="F22" s="409"/>
      <c r="G22" s="155" t="s">
        <v>145</v>
      </c>
      <c r="H22" s="152" t="s">
        <v>103</v>
      </c>
    </row>
    <row r="23" spans="5:8" x14ac:dyDescent="0.35">
      <c r="E23" s="153" t="s">
        <v>146</v>
      </c>
      <c r="F23" s="409" t="s">
        <v>147</v>
      </c>
      <c r="G23" s="155" t="s">
        <v>148</v>
      </c>
      <c r="H23" s="152" t="s">
        <v>99</v>
      </c>
    </row>
    <row r="24" spans="5:8" x14ac:dyDescent="0.35">
      <c r="E24" s="153" t="s">
        <v>146</v>
      </c>
      <c r="F24" s="409"/>
      <c r="G24" s="155" t="s">
        <v>147</v>
      </c>
      <c r="H24" s="152" t="s">
        <v>100</v>
      </c>
    </row>
    <row r="25" spans="5:8" x14ac:dyDescent="0.35">
      <c r="E25" s="153" t="s">
        <v>146</v>
      </c>
      <c r="F25" s="409"/>
      <c r="G25" s="155" t="s">
        <v>149</v>
      </c>
      <c r="H25" s="152" t="s">
        <v>98</v>
      </c>
    </row>
    <row r="26" spans="5:8" x14ac:dyDescent="0.35">
      <c r="E26" s="153" t="s">
        <v>146</v>
      </c>
      <c r="F26" s="409"/>
      <c r="G26" s="155" t="s">
        <v>150</v>
      </c>
      <c r="H26" s="152" t="s">
        <v>101</v>
      </c>
    </row>
    <row r="27" spans="5:8" x14ac:dyDescent="0.35">
      <c r="E27" s="153" t="s">
        <v>146</v>
      </c>
      <c r="F27" s="409"/>
      <c r="G27" s="155" t="s">
        <v>151</v>
      </c>
      <c r="H27" s="152" t="s">
        <v>102</v>
      </c>
    </row>
    <row r="28" spans="5:8" x14ac:dyDescent="0.35">
      <c r="E28" s="153" t="s">
        <v>146</v>
      </c>
      <c r="F28" s="409"/>
      <c r="G28" s="155" t="s">
        <v>152</v>
      </c>
      <c r="H28" s="152" t="s">
        <v>103</v>
      </c>
    </row>
    <row r="29" spans="5:8" x14ac:dyDescent="0.35">
      <c r="E29" s="153" t="s">
        <v>153</v>
      </c>
      <c r="F29" s="409" t="s">
        <v>154</v>
      </c>
      <c r="G29" s="155" t="s">
        <v>155</v>
      </c>
      <c r="H29" s="152" t="s">
        <v>99</v>
      </c>
    </row>
    <row r="30" spans="5:8" x14ac:dyDescent="0.35">
      <c r="E30" s="153" t="s">
        <v>153</v>
      </c>
      <c r="F30" s="409"/>
      <c r="G30" s="155" t="s">
        <v>156</v>
      </c>
      <c r="H30" s="152" t="s">
        <v>100</v>
      </c>
    </row>
    <row r="31" spans="5:8" x14ac:dyDescent="0.35">
      <c r="E31" s="153" t="s">
        <v>153</v>
      </c>
      <c r="F31" s="409"/>
      <c r="G31" s="155" t="s">
        <v>157</v>
      </c>
      <c r="H31" s="152" t="s">
        <v>98</v>
      </c>
    </row>
    <row r="32" spans="5:8" x14ac:dyDescent="0.35">
      <c r="E32" s="153" t="s">
        <v>153</v>
      </c>
      <c r="F32" s="409"/>
      <c r="G32" s="155" t="s">
        <v>158</v>
      </c>
      <c r="H32" s="152" t="s">
        <v>101</v>
      </c>
    </row>
    <row r="33" spans="5:8" x14ac:dyDescent="0.35">
      <c r="E33" s="153" t="s">
        <v>153</v>
      </c>
      <c r="F33" s="409"/>
      <c r="G33" s="155" t="s">
        <v>159</v>
      </c>
      <c r="H33" s="152" t="s">
        <v>102</v>
      </c>
    </row>
    <row r="34" spans="5:8" x14ac:dyDescent="0.35">
      <c r="E34" s="153" t="s">
        <v>153</v>
      </c>
      <c r="F34" s="409"/>
      <c r="G34" s="155" t="s">
        <v>160</v>
      </c>
      <c r="H34" s="152" t="s">
        <v>103</v>
      </c>
    </row>
    <row r="35" spans="5:8" x14ac:dyDescent="0.35">
      <c r="E35" s="153" t="s">
        <v>161</v>
      </c>
      <c r="F35" s="409" t="s">
        <v>162</v>
      </c>
      <c r="G35" s="157" t="s">
        <v>162</v>
      </c>
      <c r="H35" s="152" t="s">
        <v>99</v>
      </c>
    </row>
    <row r="36" spans="5:8" x14ac:dyDescent="0.35">
      <c r="E36" s="153" t="s">
        <v>161</v>
      </c>
      <c r="F36" s="409"/>
      <c r="G36" s="154" t="s">
        <v>163</v>
      </c>
      <c r="H36" s="152" t="s">
        <v>100</v>
      </c>
    </row>
    <row r="37" spans="5:8" x14ac:dyDescent="0.35">
      <c r="E37" s="153" t="s">
        <v>161</v>
      </c>
      <c r="F37" s="409"/>
      <c r="G37" s="154" t="s">
        <v>164</v>
      </c>
      <c r="H37" s="152" t="s">
        <v>98</v>
      </c>
    </row>
    <row r="38" spans="5:8" x14ac:dyDescent="0.35">
      <c r="E38" s="153" t="s">
        <v>161</v>
      </c>
      <c r="F38" s="409"/>
      <c r="G38" s="154" t="s">
        <v>165</v>
      </c>
      <c r="H38" s="152" t="s">
        <v>101</v>
      </c>
    </row>
    <row r="39" spans="5:8" x14ac:dyDescent="0.35">
      <c r="E39" s="153" t="s">
        <v>161</v>
      </c>
      <c r="F39" s="409"/>
      <c r="G39" s="158" t="s">
        <v>166</v>
      </c>
      <c r="H39" s="152" t="s">
        <v>102</v>
      </c>
    </row>
    <row r="40" spans="5:8" x14ac:dyDescent="0.35">
      <c r="E40" s="153" t="s">
        <v>161</v>
      </c>
      <c r="F40" s="409"/>
      <c r="G40" s="154" t="s">
        <v>167</v>
      </c>
      <c r="H40" s="152" t="s">
        <v>103</v>
      </c>
    </row>
    <row r="41" spans="5:8" x14ac:dyDescent="0.35">
      <c r="E41" s="153" t="s">
        <v>168</v>
      </c>
      <c r="F41" s="409" t="s">
        <v>169</v>
      </c>
      <c r="G41" s="154" t="s">
        <v>170</v>
      </c>
      <c r="H41" s="152" t="s">
        <v>99</v>
      </c>
    </row>
    <row r="42" spans="5:8" x14ac:dyDescent="0.35">
      <c r="E42" s="153" t="s">
        <v>168</v>
      </c>
      <c r="F42" s="409"/>
      <c r="G42" s="154" t="s">
        <v>171</v>
      </c>
      <c r="H42" s="152" t="s">
        <v>100</v>
      </c>
    </row>
    <row r="43" spans="5:8" x14ac:dyDescent="0.35">
      <c r="E43" s="153" t="s">
        <v>168</v>
      </c>
      <c r="F43" s="409"/>
      <c r="G43" s="154" t="s">
        <v>172</v>
      </c>
      <c r="H43" s="152" t="s">
        <v>98</v>
      </c>
    </row>
    <row r="44" spans="5:8" x14ac:dyDescent="0.35">
      <c r="E44" s="153" t="s">
        <v>168</v>
      </c>
      <c r="F44" s="409"/>
      <c r="G44" s="154" t="s">
        <v>173</v>
      </c>
      <c r="H44" s="152" t="s">
        <v>101</v>
      </c>
    </row>
    <row r="45" spans="5:8" x14ac:dyDescent="0.35">
      <c r="E45" s="153" t="s">
        <v>168</v>
      </c>
      <c r="F45" s="409"/>
      <c r="G45" s="154" t="s">
        <v>174</v>
      </c>
      <c r="H45" s="152" t="s">
        <v>102</v>
      </c>
    </row>
    <row r="46" spans="5:8" x14ac:dyDescent="0.35">
      <c r="E46" s="153" t="s">
        <v>168</v>
      </c>
      <c r="F46" s="409"/>
      <c r="G46" s="154" t="s">
        <v>175</v>
      </c>
      <c r="H46" s="152" t="s">
        <v>103</v>
      </c>
    </row>
    <row r="47" spans="5:8" x14ac:dyDescent="0.35">
      <c r="E47" s="153" t="s">
        <v>176</v>
      </c>
      <c r="F47" s="409" t="s">
        <v>177</v>
      </c>
      <c r="G47" s="154" t="s">
        <v>178</v>
      </c>
      <c r="H47" s="152" t="s">
        <v>99</v>
      </c>
    </row>
    <row r="48" spans="5:8" x14ac:dyDescent="0.35">
      <c r="E48" s="153" t="s">
        <v>176</v>
      </c>
      <c r="F48" s="409"/>
      <c r="G48" s="154" t="s">
        <v>179</v>
      </c>
      <c r="H48" s="152" t="s">
        <v>100</v>
      </c>
    </row>
    <row r="49" spans="5:8" x14ac:dyDescent="0.35">
      <c r="E49" s="153" t="s">
        <v>176</v>
      </c>
      <c r="F49" s="409"/>
      <c r="G49" s="154" t="s">
        <v>180</v>
      </c>
      <c r="H49" s="152" t="s">
        <v>98</v>
      </c>
    </row>
    <row r="50" spans="5:8" x14ac:dyDescent="0.35">
      <c r="E50" s="153" t="s">
        <v>176</v>
      </c>
      <c r="F50" s="409"/>
      <c r="G50" s="154" t="s">
        <v>181</v>
      </c>
      <c r="H50" s="152" t="s">
        <v>101</v>
      </c>
    </row>
    <row r="51" spans="5:8" x14ac:dyDescent="0.35">
      <c r="E51" s="153" t="s">
        <v>176</v>
      </c>
      <c r="F51" s="409"/>
      <c r="G51" s="154" t="s">
        <v>182</v>
      </c>
      <c r="H51" s="152" t="s">
        <v>102</v>
      </c>
    </row>
    <row r="52" spans="5:8" x14ac:dyDescent="0.35">
      <c r="E52" s="153" t="s">
        <v>176</v>
      </c>
      <c r="F52" s="409"/>
      <c r="G52" s="158" t="s">
        <v>183</v>
      </c>
      <c r="H52" s="152" t="s">
        <v>103</v>
      </c>
    </row>
    <row r="53" spans="5:8" x14ac:dyDescent="0.35">
      <c r="E53" s="153" t="s">
        <v>184</v>
      </c>
      <c r="F53" s="409" t="s">
        <v>185</v>
      </c>
      <c r="G53" s="154" t="s">
        <v>186</v>
      </c>
      <c r="H53" s="152" t="s">
        <v>99</v>
      </c>
    </row>
    <row r="54" spans="5:8" x14ac:dyDescent="0.35">
      <c r="E54" s="153" t="s">
        <v>184</v>
      </c>
      <c r="F54" s="409"/>
      <c r="G54" s="154" t="s">
        <v>187</v>
      </c>
      <c r="H54" s="152" t="s">
        <v>100</v>
      </c>
    </row>
    <row r="55" spans="5:8" x14ac:dyDescent="0.35">
      <c r="E55" s="153" t="s">
        <v>184</v>
      </c>
      <c r="F55" s="409"/>
      <c r="G55" s="154" t="s">
        <v>188</v>
      </c>
      <c r="H55" s="152" t="s">
        <v>98</v>
      </c>
    </row>
    <row r="56" spans="5:8" x14ac:dyDescent="0.35">
      <c r="E56" s="153" t="s">
        <v>184</v>
      </c>
      <c r="F56" s="409"/>
      <c r="G56" s="154" t="s">
        <v>189</v>
      </c>
      <c r="H56" s="152" t="s">
        <v>101</v>
      </c>
    </row>
    <row r="57" spans="5:8" x14ac:dyDescent="0.35">
      <c r="E57" s="153" t="s">
        <v>184</v>
      </c>
      <c r="F57" s="409"/>
      <c r="G57" s="154" t="s">
        <v>190</v>
      </c>
      <c r="H57" s="152" t="s">
        <v>102</v>
      </c>
    </row>
    <row r="58" spans="5:8" x14ac:dyDescent="0.35">
      <c r="E58" s="153" t="s">
        <v>184</v>
      </c>
      <c r="F58" s="409"/>
      <c r="G58" s="158" t="s">
        <v>191</v>
      </c>
      <c r="H58" s="152" t="s">
        <v>103</v>
      </c>
    </row>
    <row r="59" spans="5:8" x14ac:dyDescent="0.35">
      <c r="E59" s="159" t="s">
        <v>192</v>
      </c>
      <c r="F59" s="410" t="s">
        <v>193</v>
      </c>
      <c r="G59" s="160" t="s">
        <v>194</v>
      </c>
      <c r="H59" s="161" t="s">
        <v>99</v>
      </c>
    </row>
    <row r="60" spans="5:8" x14ac:dyDescent="0.35">
      <c r="E60" s="159" t="s">
        <v>192</v>
      </c>
      <c r="F60" s="410"/>
      <c r="G60" s="160" t="s">
        <v>195</v>
      </c>
      <c r="H60" s="161" t="s">
        <v>100</v>
      </c>
    </row>
    <row r="61" spans="5:8" x14ac:dyDescent="0.35">
      <c r="E61" s="159" t="s">
        <v>192</v>
      </c>
      <c r="F61" s="410"/>
      <c r="G61" s="160" t="s">
        <v>196</v>
      </c>
      <c r="H61" s="161" t="s">
        <v>98</v>
      </c>
    </row>
    <row r="62" spans="5:8" x14ac:dyDescent="0.35">
      <c r="E62" s="159" t="s">
        <v>192</v>
      </c>
      <c r="F62" s="410"/>
      <c r="G62" s="160" t="s">
        <v>197</v>
      </c>
      <c r="H62" s="161" t="s">
        <v>101</v>
      </c>
    </row>
    <row r="63" spans="5:8" x14ac:dyDescent="0.35">
      <c r="E63" s="159" t="s">
        <v>192</v>
      </c>
      <c r="F63" s="410"/>
      <c r="G63" s="160" t="s">
        <v>198</v>
      </c>
      <c r="H63" s="161" t="s">
        <v>102</v>
      </c>
    </row>
    <row r="64" spans="5:8" x14ac:dyDescent="0.35">
      <c r="E64" s="159" t="s">
        <v>192</v>
      </c>
      <c r="F64" s="410"/>
      <c r="G64" s="162" t="s">
        <v>199</v>
      </c>
      <c r="H64" s="161" t="s">
        <v>103</v>
      </c>
    </row>
    <row r="65" spans="5:8" x14ac:dyDescent="0.35">
      <c r="E65" s="148" t="s">
        <v>200</v>
      </c>
      <c r="F65" s="409" t="s">
        <v>201</v>
      </c>
      <c r="G65" s="151" t="s">
        <v>202</v>
      </c>
      <c r="H65" s="152" t="s">
        <v>99</v>
      </c>
    </row>
    <row r="66" spans="5:8" x14ac:dyDescent="0.35">
      <c r="E66" s="148" t="s">
        <v>200</v>
      </c>
      <c r="F66" s="409"/>
      <c r="G66" s="151" t="s">
        <v>203</v>
      </c>
      <c r="H66" s="152" t="s">
        <v>100</v>
      </c>
    </row>
    <row r="67" spans="5:8" x14ac:dyDescent="0.35">
      <c r="E67" s="148" t="s">
        <v>200</v>
      </c>
      <c r="F67" s="409"/>
      <c r="G67" s="151" t="s">
        <v>204</v>
      </c>
      <c r="H67" s="152" t="s">
        <v>98</v>
      </c>
    </row>
    <row r="68" spans="5:8" x14ac:dyDescent="0.35">
      <c r="E68" s="148" t="s">
        <v>200</v>
      </c>
      <c r="F68" s="409"/>
      <c r="G68" s="151" t="s">
        <v>201</v>
      </c>
      <c r="H68" s="152" t="s">
        <v>101</v>
      </c>
    </row>
    <row r="69" spans="5:8" x14ac:dyDescent="0.35">
      <c r="E69" s="148" t="s">
        <v>200</v>
      </c>
      <c r="F69" s="409"/>
      <c r="G69" s="151" t="s">
        <v>205</v>
      </c>
      <c r="H69" s="152" t="s">
        <v>102</v>
      </c>
    </row>
    <row r="70" spans="5:8" x14ac:dyDescent="0.35">
      <c r="E70" s="148" t="s">
        <v>200</v>
      </c>
      <c r="F70" s="409"/>
      <c r="G70" s="151" t="s">
        <v>206</v>
      </c>
      <c r="H70" s="152" t="s">
        <v>103</v>
      </c>
    </row>
    <row r="71" spans="5:8" x14ac:dyDescent="0.35">
      <c r="E71" s="153" t="s">
        <v>207</v>
      </c>
      <c r="F71" s="409" t="s">
        <v>208</v>
      </c>
      <c r="G71" s="154" t="s">
        <v>209</v>
      </c>
      <c r="H71" s="152" t="s">
        <v>99</v>
      </c>
    </row>
    <row r="72" spans="5:8" x14ac:dyDescent="0.35">
      <c r="E72" s="153" t="s">
        <v>207</v>
      </c>
      <c r="F72" s="409"/>
      <c r="G72" s="154" t="s">
        <v>210</v>
      </c>
      <c r="H72" s="152" t="s">
        <v>100</v>
      </c>
    </row>
    <row r="73" spans="5:8" x14ac:dyDescent="0.35">
      <c r="E73" s="153" t="s">
        <v>207</v>
      </c>
      <c r="F73" s="409"/>
      <c r="G73" s="154" t="s">
        <v>211</v>
      </c>
      <c r="H73" s="152" t="s">
        <v>98</v>
      </c>
    </row>
    <row r="74" spans="5:8" x14ac:dyDescent="0.35">
      <c r="E74" s="153" t="s">
        <v>207</v>
      </c>
      <c r="F74" s="409"/>
      <c r="G74" s="154" t="s">
        <v>212</v>
      </c>
      <c r="H74" s="152" t="s">
        <v>101</v>
      </c>
    </row>
    <row r="75" spans="5:8" x14ac:dyDescent="0.35">
      <c r="E75" s="153" t="s">
        <v>207</v>
      </c>
      <c r="F75" s="409"/>
      <c r="G75" s="154" t="s">
        <v>213</v>
      </c>
      <c r="H75" s="152" t="s">
        <v>102</v>
      </c>
    </row>
    <row r="76" spans="5:8" x14ac:dyDescent="0.35">
      <c r="E76" s="153" t="s">
        <v>207</v>
      </c>
      <c r="F76" s="409"/>
      <c r="G76" s="151" t="s">
        <v>214</v>
      </c>
      <c r="H76" s="152" t="s">
        <v>103</v>
      </c>
    </row>
    <row r="77" spans="5:8" x14ac:dyDescent="0.35">
      <c r="E77" s="153" t="s">
        <v>215</v>
      </c>
      <c r="F77" s="409" t="s">
        <v>216</v>
      </c>
      <c r="G77" s="151" t="s">
        <v>217</v>
      </c>
      <c r="H77" s="152" t="s">
        <v>99</v>
      </c>
    </row>
    <row r="78" spans="5:8" x14ac:dyDescent="0.35">
      <c r="E78" s="153" t="s">
        <v>215</v>
      </c>
      <c r="F78" s="409"/>
      <c r="G78" s="154" t="s">
        <v>218</v>
      </c>
      <c r="H78" s="152" t="s">
        <v>100</v>
      </c>
    </row>
    <row r="79" spans="5:8" x14ac:dyDescent="0.35">
      <c r="E79" s="153" t="s">
        <v>215</v>
      </c>
      <c r="F79" s="409"/>
      <c r="G79" s="154" t="s">
        <v>219</v>
      </c>
      <c r="H79" s="152" t="s">
        <v>98</v>
      </c>
    </row>
    <row r="80" spans="5:8" x14ac:dyDescent="0.35">
      <c r="E80" s="153" t="s">
        <v>215</v>
      </c>
      <c r="F80" s="409"/>
      <c r="G80" s="154" t="s">
        <v>220</v>
      </c>
      <c r="H80" s="152" t="s">
        <v>101</v>
      </c>
    </row>
    <row r="81" spans="5:8" x14ac:dyDescent="0.35">
      <c r="E81" s="153" t="s">
        <v>215</v>
      </c>
      <c r="F81" s="409"/>
      <c r="G81" s="154" t="s">
        <v>221</v>
      </c>
      <c r="H81" s="152" t="s">
        <v>102</v>
      </c>
    </row>
    <row r="82" spans="5:8" x14ac:dyDescent="0.35">
      <c r="E82" s="153" t="s">
        <v>215</v>
      </c>
      <c r="F82" s="409"/>
      <c r="G82" s="151" t="s">
        <v>222</v>
      </c>
      <c r="H82" s="152" t="s">
        <v>103</v>
      </c>
    </row>
    <row r="83" spans="5:8" x14ac:dyDescent="0.35">
      <c r="E83" s="153" t="s">
        <v>223</v>
      </c>
      <c r="F83" s="409" t="s">
        <v>224</v>
      </c>
      <c r="G83" s="154" t="s">
        <v>225</v>
      </c>
      <c r="H83" s="152" t="s">
        <v>99</v>
      </c>
    </row>
    <row r="84" spans="5:8" x14ac:dyDescent="0.35">
      <c r="E84" s="153" t="s">
        <v>223</v>
      </c>
      <c r="F84" s="409"/>
      <c r="G84" s="154" t="s">
        <v>226</v>
      </c>
      <c r="H84" s="152" t="s">
        <v>100</v>
      </c>
    </row>
    <row r="85" spans="5:8" x14ac:dyDescent="0.35">
      <c r="E85" s="153" t="s">
        <v>223</v>
      </c>
      <c r="F85" s="409"/>
      <c r="G85" s="154" t="s">
        <v>227</v>
      </c>
      <c r="H85" s="152" t="s">
        <v>98</v>
      </c>
    </row>
    <row r="86" spans="5:8" x14ac:dyDescent="0.35">
      <c r="E86" s="153" t="s">
        <v>223</v>
      </c>
      <c r="F86" s="409"/>
      <c r="G86" s="154" t="s">
        <v>228</v>
      </c>
      <c r="H86" s="152" t="s">
        <v>101</v>
      </c>
    </row>
    <row r="87" spans="5:8" x14ac:dyDescent="0.35">
      <c r="E87" s="153" t="s">
        <v>223</v>
      </c>
      <c r="F87" s="409"/>
      <c r="G87" s="154" t="s">
        <v>229</v>
      </c>
      <c r="H87" s="152" t="s">
        <v>102</v>
      </c>
    </row>
    <row r="88" spans="5:8" x14ac:dyDescent="0.35">
      <c r="E88" s="153" t="s">
        <v>223</v>
      </c>
      <c r="F88" s="409"/>
      <c r="G88" s="151" t="s">
        <v>230</v>
      </c>
      <c r="H88" s="152" t="s">
        <v>103</v>
      </c>
    </row>
    <row r="89" spans="5:8" x14ac:dyDescent="0.35">
      <c r="E89" s="153" t="s">
        <v>231</v>
      </c>
      <c r="F89" s="409" t="s">
        <v>232</v>
      </c>
      <c r="G89" s="154" t="s">
        <v>233</v>
      </c>
      <c r="H89" s="152" t="s">
        <v>99</v>
      </c>
    </row>
    <row r="90" spans="5:8" x14ac:dyDescent="0.35">
      <c r="E90" s="153" t="s">
        <v>231</v>
      </c>
      <c r="F90" s="409"/>
      <c r="G90" s="154" t="s">
        <v>234</v>
      </c>
      <c r="H90" s="152" t="s">
        <v>100</v>
      </c>
    </row>
    <row r="91" spans="5:8" x14ac:dyDescent="0.35">
      <c r="E91" s="153" t="s">
        <v>231</v>
      </c>
      <c r="F91" s="409"/>
      <c r="G91" s="154" t="s">
        <v>235</v>
      </c>
      <c r="H91" s="152" t="s">
        <v>98</v>
      </c>
    </row>
    <row r="92" spans="5:8" x14ac:dyDescent="0.35">
      <c r="E92" s="153" t="s">
        <v>231</v>
      </c>
      <c r="F92" s="409"/>
      <c r="G92" s="154" t="s">
        <v>236</v>
      </c>
      <c r="H92" s="152" t="s">
        <v>101</v>
      </c>
    </row>
    <row r="93" spans="5:8" x14ac:dyDescent="0.35">
      <c r="E93" s="153" t="s">
        <v>231</v>
      </c>
      <c r="F93" s="409"/>
      <c r="G93" s="154" t="s">
        <v>232</v>
      </c>
      <c r="H93" s="152" t="s">
        <v>102</v>
      </c>
    </row>
    <row r="94" spans="5:8" x14ac:dyDescent="0.35">
      <c r="E94" s="153" t="s">
        <v>231</v>
      </c>
      <c r="F94" s="409"/>
      <c r="G94" s="158" t="s">
        <v>237</v>
      </c>
      <c r="H94" s="152" t="s">
        <v>103</v>
      </c>
    </row>
    <row r="95" spans="5:8" x14ac:dyDescent="0.35">
      <c r="E95" s="153" t="s">
        <v>238</v>
      </c>
      <c r="F95" s="409" t="s">
        <v>239</v>
      </c>
      <c r="G95" s="157" t="s">
        <v>240</v>
      </c>
      <c r="H95" s="152" t="s">
        <v>99</v>
      </c>
    </row>
    <row r="96" spans="5:8" x14ac:dyDescent="0.35">
      <c r="E96" s="153" t="s">
        <v>238</v>
      </c>
      <c r="F96" s="409"/>
      <c r="G96" s="154" t="s">
        <v>241</v>
      </c>
      <c r="H96" s="152" t="s">
        <v>100</v>
      </c>
    </row>
    <row r="97" spans="5:8" x14ac:dyDescent="0.35">
      <c r="E97" s="153" t="s">
        <v>238</v>
      </c>
      <c r="F97" s="409"/>
      <c r="G97" s="154" t="s">
        <v>242</v>
      </c>
      <c r="H97" s="152" t="s">
        <v>98</v>
      </c>
    </row>
    <row r="98" spans="5:8" x14ac:dyDescent="0.35">
      <c r="E98" s="153" t="s">
        <v>238</v>
      </c>
      <c r="F98" s="409"/>
      <c r="G98" s="154" t="s">
        <v>243</v>
      </c>
      <c r="H98" s="152" t="s">
        <v>101</v>
      </c>
    </row>
    <row r="99" spans="5:8" x14ac:dyDescent="0.35">
      <c r="E99" s="153" t="s">
        <v>238</v>
      </c>
      <c r="F99" s="409"/>
      <c r="G99" s="158" t="s">
        <v>244</v>
      </c>
      <c r="H99" s="152" t="s">
        <v>102</v>
      </c>
    </row>
    <row r="100" spans="5:8" x14ac:dyDescent="0.35">
      <c r="E100" s="153" t="s">
        <v>238</v>
      </c>
      <c r="F100" s="409"/>
      <c r="G100" s="154" t="s">
        <v>245</v>
      </c>
      <c r="H100" s="152" t="s">
        <v>103</v>
      </c>
    </row>
    <row r="101" spans="5:8" x14ac:dyDescent="0.35">
      <c r="E101" s="153" t="s">
        <v>246</v>
      </c>
      <c r="F101" s="409" t="s">
        <v>247</v>
      </c>
      <c r="G101" s="154" t="s">
        <v>248</v>
      </c>
      <c r="H101" s="152" t="s">
        <v>99</v>
      </c>
    </row>
    <row r="102" spans="5:8" x14ac:dyDescent="0.35">
      <c r="E102" s="153" t="s">
        <v>246</v>
      </c>
      <c r="F102" s="409"/>
      <c r="G102" s="154" t="s">
        <v>247</v>
      </c>
      <c r="H102" s="152" t="s">
        <v>100</v>
      </c>
    </row>
    <row r="103" spans="5:8" x14ac:dyDescent="0.35">
      <c r="E103" s="153" t="s">
        <v>246</v>
      </c>
      <c r="F103" s="409"/>
      <c r="G103" s="154" t="s">
        <v>249</v>
      </c>
      <c r="H103" s="152" t="s">
        <v>98</v>
      </c>
    </row>
    <row r="104" spans="5:8" x14ac:dyDescent="0.35">
      <c r="E104" s="153" t="s">
        <v>246</v>
      </c>
      <c r="F104" s="409"/>
      <c r="G104" s="154" t="s">
        <v>250</v>
      </c>
      <c r="H104" s="152" t="s">
        <v>101</v>
      </c>
    </row>
    <row r="105" spans="5:8" x14ac:dyDescent="0.35">
      <c r="E105" s="153" t="s">
        <v>246</v>
      </c>
      <c r="F105" s="409"/>
      <c r="G105" s="154" t="s">
        <v>251</v>
      </c>
      <c r="H105" s="152" t="s">
        <v>102</v>
      </c>
    </row>
    <row r="106" spans="5:8" x14ac:dyDescent="0.35">
      <c r="E106" s="153" t="s">
        <v>246</v>
      </c>
      <c r="F106" s="409"/>
      <c r="G106" s="154" t="s">
        <v>252</v>
      </c>
      <c r="H106" s="152" t="s">
        <v>103</v>
      </c>
    </row>
    <row r="107" spans="5:8" x14ac:dyDescent="0.35">
      <c r="E107" s="153" t="s">
        <v>253</v>
      </c>
      <c r="F107" s="409" t="s">
        <v>254</v>
      </c>
      <c r="G107" s="154" t="s">
        <v>255</v>
      </c>
      <c r="H107" s="152" t="s">
        <v>99</v>
      </c>
    </row>
    <row r="108" spans="5:8" x14ac:dyDescent="0.35">
      <c r="E108" s="153" t="s">
        <v>253</v>
      </c>
      <c r="F108" s="409"/>
      <c r="G108" s="154" t="s">
        <v>256</v>
      </c>
      <c r="H108" s="152" t="s">
        <v>100</v>
      </c>
    </row>
    <row r="109" spans="5:8" x14ac:dyDescent="0.35">
      <c r="E109" s="153" t="s">
        <v>253</v>
      </c>
      <c r="F109" s="409"/>
      <c r="G109" s="154" t="s">
        <v>257</v>
      </c>
      <c r="H109" s="152" t="s">
        <v>98</v>
      </c>
    </row>
    <row r="110" spans="5:8" x14ac:dyDescent="0.35">
      <c r="E110" s="153" t="s">
        <v>253</v>
      </c>
      <c r="F110" s="409"/>
      <c r="G110" s="154" t="s">
        <v>258</v>
      </c>
      <c r="H110" s="152" t="s">
        <v>101</v>
      </c>
    </row>
    <row r="111" spans="5:8" x14ac:dyDescent="0.35">
      <c r="E111" s="153" t="s">
        <v>253</v>
      </c>
      <c r="F111" s="409"/>
      <c r="G111" s="154" t="s">
        <v>259</v>
      </c>
      <c r="H111" s="152" t="s">
        <v>102</v>
      </c>
    </row>
    <row r="112" spans="5:8" x14ac:dyDescent="0.35">
      <c r="E112" s="153" t="s">
        <v>253</v>
      </c>
      <c r="F112" s="409"/>
      <c r="G112" s="158" t="s">
        <v>260</v>
      </c>
      <c r="H112" s="152" t="s">
        <v>103</v>
      </c>
    </row>
    <row r="113" spans="5:8" x14ac:dyDescent="0.35">
      <c r="E113" s="153" t="s">
        <v>261</v>
      </c>
      <c r="F113" s="409" t="s">
        <v>262</v>
      </c>
      <c r="G113" s="154" t="s">
        <v>263</v>
      </c>
      <c r="H113" s="152" t="s">
        <v>99</v>
      </c>
    </row>
    <row r="114" spans="5:8" x14ac:dyDescent="0.35">
      <c r="E114" s="153" t="s">
        <v>261</v>
      </c>
      <c r="F114" s="409"/>
      <c r="G114" s="154" t="s">
        <v>264</v>
      </c>
      <c r="H114" s="152" t="s">
        <v>100</v>
      </c>
    </row>
    <row r="115" spans="5:8" x14ac:dyDescent="0.35">
      <c r="E115" s="153" t="s">
        <v>261</v>
      </c>
      <c r="F115" s="409"/>
      <c r="G115" s="154" t="s">
        <v>265</v>
      </c>
      <c r="H115" s="152" t="s">
        <v>98</v>
      </c>
    </row>
    <row r="116" spans="5:8" x14ac:dyDescent="0.35">
      <c r="E116" s="153" t="s">
        <v>261</v>
      </c>
      <c r="F116" s="409"/>
      <c r="G116" s="154" t="s">
        <v>266</v>
      </c>
      <c r="H116" s="152" t="s">
        <v>101</v>
      </c>
    </row>
    <row r="117" spans="5:8" x14ac:dyDescent="0.35">
      <c r="E117" s="153" t="s">
        <v>261</v>
      </c>
      <c r="F117" s="409"/>
      <c r="G117" s="154" t="s">
        <v>267</v>
      </c>
      <c r="H117" s="152" t="s">
        <v>102</v>
      </c>
    </row>
    <row r="118" spans="5:8" x14ac:dyDescent="0.35">
      <c r="E118" s="153" t="s">
        <v>261</v>
      </c>
      <c r="F118" s="409"/>
      <c r="G118" s="158" t="s">
        <v>268</v>
      </c>
      <c r="H118" s="152" t="s">
        <v>103</v>
      </c>
    </row>
    <row r="119" spans="5:8" x14ac:dyDescent="0.35">
      <c r="E119" s="159" t="s">
        <v>269</v>
      </c>
      <c r="F119" s="410" t="s">
        <v>270</v>
      </c>
      <c r="G119" s="160" t="s">
        <v>271</v>
      </c>
      <c r="H119" s="161" t="s">
        <v>99</v>
      </c>
    </row>
    <row r="120" spans="5:8" x14ac:dyDescent="0.35">
      <c r="E120" s="159" t="s">
        <v>269</v>
      </c>
      <c r="F120" s="410"/>
      <c r="G120" s="160" t="s">
        <v>272</v>
      </c>
      <c r="H120" s="161" t="s">
        <v>100</v>
      </c>
    </row>
    <row r="121" spans="5:8" x14ac:dyDescent="0.35">
      <c r="E121" s="159" t="s">
        <v>269</v>
      </c>
      <c r="F121" s="410"/>
      <c r="G121" s="160" t="s">
        <v>273</v>
      </c>
      <c r="H121" s="161" t="s">
        <v>98</v>
      </c>
    </row>
    <row r="122" spans="5:8" x14ac:dyDescent="0.35">
      <c r="E122" s="159" t="s">
        <v>269</v>
      </c>
      <c r="F122" s="410"/>
      <c r="G122" s="160" t="s">
        <v>274</v>
      </c>
      <c r="H122" s="161" t="s">
        <v>101</v>
      </c>
    </row>
    <row r="123" spans="5:8" x14ac:dyDescent="0.35">
      <c r="E123" s="159" t="s">
        <v>269</v>
      </c>
      <c r="F123" s="410"/>
      <c r="G123" s="160" t="s">
        <v>275</v>
      </c>
      <c r="H123" s="161" t="s">
        <v>102</v>
      </c>
    </row>
    <row r="124" spans="5:8" x14ac:dyDescent="0.35">
      <c r="E124" s="159" t="s">
        <v>269</v>
      </c>
      <c r="F124" s="410"/>
      <c r="G124" s="162" t="s">
        <v>276</v>
      </c>
      <c r="H124" s="161" t="s">
        <v>103</v>
      </c>
    </row>
    <row r="125" spans="5:8" x14ac:dyDescent="0.35">
      <c r="E125" s="148" t="s">
        <v>277</v>
      </c>
      <c r="F125" s="409" t="s">
        <v>278</v>
      </c>
      <c r="G125" s="151" t="s">
        <v>279</v>
      </c>
      <c r="H125" s="152" t="s">
        <v>99</v>
      </c>
    </row>
    <row r="126" spans="5:8" x14ac:dyDescent="0.35">
      <c r="E126" s="148" t="s">
        <v>280</v>
      </c>
      <c r="F126" s="409"/>
      <c r="G126" s="151" t="s">
        <v>281</v>
      </c>
      <c r="H126" s="152" t="s">
        <v>100</v>
      </c>
    </row>
    <row r="127" spans="5:8" x14ac:dyDescent="0.35">
      <c r="E127" s="148" t="s">
        <v>280</v>
      </c>
      <c r="F127" s="409"/>
      <c r="G127" s="151" t="s">
        <v>282</v>
      </c>
      <c r="H127" s="152" t="s">
        <v>98</v>
      </c>
    </row>
    <row r="128" spans="5:8" x14ac:dyDescent="0.35">
      <c r="E128" s="148" t="s">
        <v>277</v>
      </c>
      <c r="F128" s="409"/>
      <c r="G128" s="151" t="s">
        <v>283</v>
      </c>
      <c r="H128" s="152" t="s">
        <v>101</v>
      </c>
    </row>
    <row r="129" spans="5:8" x14ac:dyDescent="0.35">
      <c r="E129" s="148" t="s">
        <v>277</v>
      </c>
      <c r="F129" s="409"/>
      <c r="G129" s="151" t="s">
        <v>284</v>
      </c>
      <c r="H129" s="152" t="s">
        <v>102</v>
      </c>
    </row>
    <row r="130" spans="5:8" x14ac:dyDescent="0.35">
      <c r="E130" s="148" t="s">
        <v>277</v>
      </c>
      <c r="F130" s="409"/>
      <c r="G130" s="151" t="s">
        <v>285</v>
      </c>
      <c r="H130" s="152" t="s">
        <v>103</v>
      </c>
    </row>
    <row r="131" spans="5:8" x14ac:dyDescent="0.35">
      <c r="E131" s="153" t="s">
        <v>286</v>
      </c>
      <c r="F131" s="409" t="s">
        <v>132</v>
      </c>
      <c r="G131" s="154" t="s">
        <v>287</v>
      </c>
      <c r="H131" s="152" t="s">
        <v>99</v>
      </c>
    </row>
    <row r="132" spans="5:8" x14ac:dyDescent="0.35">
      <c r="E132" s="153" t="s">
        <v>286</v>
      </c>
      <c r="F132" s="409"/>
      <c r="G132" s="154" t="s">
        <v>288</v>
      </c>
      <c r="H132" s="152" t="s">
        <v>100</v>
      </c>
    </row>
    <row r="133" spans="5:8" x14ac:dyDescent="0.35">
      <c r="E133" s="153" t="s">
        <v>289</v>
      </c>
      <c r="F133" s="409"/>
      <c r="G133" s="154" t="s">
        <v>290</v>
      </c>
      <c r="H133" s="152" t="s">
        <v>98</v>
      </c>
    </row>
    <row r="134" spans="5:8" x14ac:dyDescent="0.35">
      <c r="E134" s="153" t="s">
        <v>289</v>
      </c>
      <c r="F134" s="409"/>
      <c r="G134" s="154" t="s">
        <v>291</v>
      </c>
      <c r="H134" s="152" t="s">
        <v>101</v>
      </c>
    </row>
    <row r="135" spans="5:8" x14ac:dyDescent="0.35">
      <c r="E135" s="153" t="s">
        <v>286</v>
      </c>
      <c r="F135" s="409"/>
      <c r="G135" s="154" t="s">
        <v>292</v>
      </c>
      <c r="H135" s="152" t="s">
        <v>102</v>
      </c>
    </row>
    <row r="136" spans="5:8" x14ac:dyDescent="0.35">
      <c r="E136" s="153" t="s">
        <v>289</v>
      </c>
      <c r="F136" s="409"/>
      <c r="G136" s="151" t="s">
        <v>293</v>
      </c>
      <c r="H136" s="152" t="s">
        <v>103</v>
      </c>
    </row>
    <row r="137" spans="5:8" x14ac:dyDescent="0.35">
      <c r="E137" s="153" t="s">
        <v>294</v>
      </c>
      <c r="F137" s="409" t="s">
        <v>295</v>
      </c>
      <c r="G137" s="151" t="s">
        <v>296</v>
      </c>
      <c r="H137" s="152" t="s">
        <v>99</v>
      </c>
    </row>
    <row r="138" spans="5:8" x14ac:dyDescent="0.35">
      <c r="E138" s="153" t="s">
        <v>297</v>
      </c>
      <c r="F138" s="409"/>
      <c r="G138" s="154" t="s">
        <v>298</v>
      </c>
      <c r="H138" s="152" t="s">
        <v>100</v>
      </c>
    </row>
    <row r="139" spans="5:8" x14ac:dyDescent="0.35">
      <c r="E139" s="153" t="s">
        <v>297</v>
      </c>
      <c r="F139" s="409"/>
      <c r="G139" s="154" t="s">
        <v>299</v>
      </c>
      <c r="H139" s="152" t="s">
        <v>98</v>
      </c>
    </row>
    <row r="140" spans="5:8" x14ac:dyDescent="0.35">
      <c r="E140" s="153" t="s">
        <v>297</v>
      </c>
      <c r="F140" s="409"/>
      <c r="G140" s="154" t="s">
        <v>300</v>
      </c>
      <c r="H140" s="152" t="s">
        <v>101</v>
      </c>
    </row>
    <row r="141" spans="5:8" x14ac:dyDescent="0.35">
      <c r="E141" s="153" t="s">
        <v>297</v>
      </c>
      <c r="F141" s="409"/>
      <c r="G141" s="154" t="s">
        <v>301</v>
      </c>
      <c r="H141" s="152" t="s">
        <v>102</v>
      </c>
    </row>
    <row r="142" spans="5:8" x14ac:dyDescent="0.35">
      <c r="E142" s="153" t="s">
        <v>294</v>
      </c>
      <c r="F142" s="409"/>
      <c r="G142" s="151" t="s">
        <v>302</v>
      </c>
      <c r="H142" s="152" t="s">
        <v>103</v>
      </c>
    </row>
    <row r="143" spans="5:8" x14ac:dyDescent="0.35">
      <c r="E143" s="153" t="s">
        <v>303</v>
      </c>
      <c r="F143" s="409" t="s">
        <v>301</v>
      </c>
      <c r="G143" s="154" t="s">
        <v>304</v>
      </c>
      <c r="H143" s="152" t="s">
        <v>99</v>
      </c>
    </row>
    <row r="144" spans="5:8" x14ac:dyDescent="0.35">
      <c r="E144" s="153" t="s">
        <v>305</v>
      </c>
      <c r="F144" s="409"/>
      <c r="G144" s="154" t="s">
        <v>306</v>
      </c>
      <c r="H144" s="152" t="s">
        <v>100</v>
      </c>
    </row>
    <row r="145" spans="5:8" x14ac:dyDescent="0.35">
      <c r="E145" s="153" t="s">
        <v>303</v>
      </c>
      <c r="F145" s="409"/>
      <c r="G145" s="154" t="s">
        <v>307</v>
      </c>
      <c r="H145" s="152" t="s">
        <v>98</v>
      </c>
    </row>
    <row r="146" spans="5:8" x14ac:dyDescent="0.35">
      <c r="E146" s="153" t="s">
        <v>303</v>
      </c>
      <c r="F146" s="409"/>
      <c r="G146" s="154" t="s">
        <v>308</v>
      </c>
      <c r="H146" s="152" t="s">
        <v>101</v>
      </c>
    </row>
    <row r="147" spans="5:8" x14ac:dyDescent="0.35">
      <c r="E147" s="153" t="s">
        <v>305</v>
      </c>
      <c r="F147" s="409"/>
      <c r="G147" s="154" t="s">
        <v>309</v>
      </c>
      <c r="H147" s="152" t="s">
        <v>102</v>
      </c>
    </row>
    <row r="148" spans="5:8" x14ac:dyDescent="0.35">
      <c r="E148" s="153" t="s">
        <v>305</v>
      </c>
      <c r="F148" s="409"/>
      <c r="G148" s="151" t="s">
        <v>310</v>
      </c>
      <c r="H148" s="152" t="s">
        <v>103</v>
      </c>
    </row>
    <row r="149" spans="5:8" x14ac:dyDescent="0.35">
      <c r="E149" s="153" t="s">
        <v>311</v>
      </c>
      <c r="F149" s="409" t="s">
        <v>312</v>
      </c>
      <c r="G149" s="154" t="s">
        <v>313</v>
      </c>
      <c r="H149" s="152" t="s">
        <v>99</v>
      </c>
    </row>
    <row r="150" spans="5:8" x14ac:dyDescent="0.35">
      <c r="E150" s="153" t="s">
        <v>311</v>
      </c>
      <c r="F150" s="409"/>
      <c r="G150" s="154" t="s">
        <v>314</v>
      </c>
      <c r="H150" s="152" t="s">
        <v>100</v>
      </c>
    </row>
    <row r="151" spans="5:8" x14ac:dyDescent="0.35">
      <c r="E151" s="153" t="s">
        <v>315</v>
      </c>
      <c r="F151" s="409"/>
      <c r="G151" s="154" t="s">
        <v>316</v>
      </c>
      <c r="H151" s="152" t="s">
        <v>98</v>
      </c>
    </row>
    <row r="152" spans="5:8" x14ac:dyDescent="0.35">
      <c r="E152" s="153" t="s">
        <v>315</v>
      </c>
      <c r="F152" s="409"/>
      <c r="G152" s="154" t="s">
        <v>317</v>
      </c>
      <c r="H152" s="152" t="s">
        <v>101</v>
      </c>
    </row>
    <row r="153" spans="5:8" x14ac:dyDescent="0.35">
      <c r="E153" s="153" t="s">
        <v>315</v>
      </c>
      <c r="F153" s="409"/>
      <c r="G153" s="154" t="s">
        <v>318</v>
      </c>
      <c r="H153" s="152" t="s">
        <v>102</v>
      </c>
    </row>
    <row r="154" spans="5:8" x14ac:dyDescent="0.35">
      <c r="E154" s="153" t="s">
        <v>315</v>
      </c>
      <c r="F154" s="409"/>
      <c r="G154" s="158" t="s">
        <v>319</v>
      </c>
      <c r="H154" s="152" t="s">
        <v>103</v>
      </c>
    </row>
    <row r="155" spans="5:8" x14ac:dyDescent="0.35">
      <c r="E155" s="153" t="s">
        <v>320</v>
      </c>
      <c r="F155" s="409" t="s">
        <v>321</v>
      </c>
      <c r="G155" s="157" t="s">
        <v>322</v>
      </c>
      <c r="H155" s="152" t="s">
        <v>99</v>
      </c>
    </row>
    <row r="156" spans="5:8" x14ac:dyDescent="0.35">
      <c r="E156" s="153" t="s">
        <v>323</v>
      </c>
      <c r="F156" s="409"/>
      <c r="G156" s="154" t="s">
        <v>324</v>
      </c>
      <c r="H156" s="152" t="s">
        <v>100</v>
      </c>
    </row>
    <row r="157" spans="5:8" x14ac:dyDescent="0.35">
      <c r="E157" s="153" t="s">
        <v>320</v>
      </c>
      <c r="F157" s="409"/>
      <c r="G157" s="154" t="s">
        <v>325</v>
      </c>
      <c r="H157" s="152" t="s">
        <v>98</v>
      </c>
    </row>
    <row r="158" spans="5:8" x14ac:dyDescent="0.35">
      <c r="E158" s="153" t="s">
        <v>320</v>
      </c>
      <c r="F158" s="409"/>
      <c r="G158" s="154" t="s">
        <v>321</v>
      </c>
      <c r="H158" s="152" t="s">
        <v>101</v>
      </c>
    </row>
    <row r="159" spans="5:8" x14ac:dyDescent="0.35">
      <c r="E159" s="153" t="s">
        <v>320</v>
      </c>
      <c r="F159" s="409"/>
      <c r="G159" s="158" t="s">
        <v>326</v>
      </c>
      <c r="H159" s="152" t="s">
        <v>102</v>
      </c>
    </row>
    <row r="160" spans="5:8" x14ac:dyDescent="0.35">
      <c r="E160" s="153" t="s">
        <v>320</v>
      </c>
      <c r="F160" s="409"/>
      <c r="G160" s="154" t="s">
        <v>327</v>
      </c>
      <c r="H160" s="152" t="s">
        <v>103</v>
      </c>
    </row>
    <row r="161" spans="5:8" x14ac:dyDescent="0.35">
      <c r="E161" s="153" t="s">
        <v>328</v>
      </c>
      <c r="F161" s="409" t="s">
        <v>329</v>
      </c>
      <c r="G161" s="154" t="s">
        <v>330</v>
      </c>
      <c r="H161" s="152" t="s">
        <v>99</v>
      </c>
    </row>
    <row r="162" spans="5:8" x14ac:dyDescent="0.35">
      <c r="E162" s="153" t="s">
        <v>328</v>
      </c>
      <c r="F162" s="409"/>
      <c r="G162" s="154" t="s">
        <v>331</v>
      </c>
      <c r="H162" s="152" t="s">
        <v>100</v>
      </c>
    </row>
    <row r="163" spans="5:8" x14ac:dyDescent="0.35">
      <c r="E163" s="153" t="s">
        <v>332</v>
      </c>
      <c r="F163" s="409"/>
      <c r="G163" s="154" t="s">
        <v>333</v>
      </c>
      <c r="H163" s="152" t="s">
        <v>98</v>
      </c>
    </row>
    <row r="164" spans="5:8" x14ac:dyDescent="0.35">
      <c r="E164" s="153" t="s">
        <v>328</v>
      </c>
      <c r="F164" s="409"/>
      <c r="G164" s="154" t="s">
        <v>334</v>
      </c>
      <c r="H164" s="152" t="s">
        <v>101</v>
      </c>
    </row>
    <row r="165" spans="5:8" x14ac:dyDescent="0.35">
      <c r="E165" s="153" t="s">
        <v>332</v>
      </c>
      <c r="F165" s="409"/>
      <c r="G165" s="154" t="s">
        <v>329</v>
      </c>
      <c r="H165" s="152" t="s">
        <v>102</v>
      </c>
    </row>
    <row r="166" spans="5:8" x14ac:dyDescent="0.35">
      <c r="E166" s="153" t="s">
        <v>332</v>
      </c>
      <c r="F166" s="409"/>
      <c r="G166" s="154" t="s">
        <v>335</v>
      </c>
      <c r="H166" s="152" t="s">
        <v>103</v>
      </c>
    </row>
    <row r="167" spans="5:8" x14ac:dyDescent="0.35">
      <c r="E167" s="153" t="s">
        <v>336</v>
      </c>
      <c r="F167" s="409" t="s">
        <v>337</v>
      </c>
      <c r="G167" s="154" t="s">
        <v>337</v>
      </c>
      <c r="H167" s="152" t="s">
        <v>99</v>
      </c>
    </row>
    <row r="168" spans="5:8" x14ac:dyDescent="0.35">
      <c r="E168" s="153" t="s">
        <v>338</v>
      </c>
      <c r="F168" s="409"/>
      <c r="G168" s="154" t="s">
        <v>339</v>
      </c>
      <c r="H168" s="152" t="s">
        <v>100</v>
      </c>
    </row>
    <row r="169" spans="5:8" x14ac:dyDescent="0.35">
      <c r="E169" s="153" t="s">
        <v>338</v>
      </c>
      <c r="F169" s="409"/>
      <c r="G169" s="154" t="s">
        <v>340</v>
      </c>
      <c r="H169" s="152" t="s">
        <v>98</v>
      </c>
    </row>
    <row r="170" spans="5:8" x14ac:dyDescent="0.35">
      <c r="E170" s="153" t="s">
        <v>338</v>
      </c>
      <c r="F170" s="409"/>
      <c r="G170" s="154" t="s">
        <v>341</v>
      </c>
      <c r="H170" s="152" t="s">
        <v>101</v>
      </c>
    </row>
    <row r="171" spans="5:8" x14ac:dyDescent="0.35">
      <c r="E171" s="153" t="s">
        <v>338</v>
      </c>
      <c r="F171" s="409"/>
      <c r="G171" s="154" t="s">
        <v>342</v>
      </c>
      <c r="H171" s="152" t="s">
        <v>102</v>
      </c>
    </row>
    <row r="172" spans="5:8" x14ac:dyDescent="0.35">
      <c r="E172" s="153" t="s">
        <v>338</v>
      </c>
      <c r="F172" s="409"/>
      <c r="G172" s="158" t="s">
        <v>343</v>
      </c>
      <c r="H172" s="152" t="s">
        <v>103</v>
      </c>
    </row>
    <row r="173" spans="5:8" x14ac:dyDescent="0.35">
      <c r="E173" s="153" t="s">
        <v>344</v>
      </c>
      <c r="F173" s="409" t="s">
        <v>345</v>
      </c>
      <c r="G173" s="154" t="s">
        <v>346</v>
      </c>
      <c r="H173" s="152" t="s">
        <v>99</v>
      </c>
    </row>
    <row r="174" spans="5:8" x14ac:dyDescent="0.35">
      <c r="E174" s="153" t="s">
        <v>344</v>
      </c>
      <c r="F174" s="409"/>
      <c r="G174" s="154" t="s">
        <v>347</v>
      </c>
      <c r="H174" s="152" t="s">
        <v>100</v>
      </c>
    </row>
    <row r="175" spans="5:8" x14ac:dyDescent="0.35">
      <c r="E175" s="153" t="s">
        <v>344</v>
      </c>
      <c r="F175" s="409"/>
      <c r="G175" s="154" t="s">
        <v>348</v>
      </c>
      <c r="H175" s="152" t="s">
        <v>98</v>
      </c>
    </row>
    <row r="176" spans="5:8" x14ac:dyDescent="0.35">
      <c r="E176" s="153" t="s">
        <v>344</v>
      </c>
      <c r="F176" s="409"/>
      <c r="G176" s="154" t="s">
        <v>349</v>
      </c>
      <c r="H176" s="152" t="s">
        <v>101</v>
      </c>
    </row>
    <row r="177" spans="5:8" x14ac:dyDescent="0.35">
      <c r="E177" s="153" t="s">
        <v>344</v>
      </c>
      <c r="F177" s="409"/>
      <c r="G177" s="154" t="s">
        <v>350</v>
      </c>
      <c r="H177" s="152" t="s">
        <v>102</v>
      </c>
    </row>
    <row r="178" spans="5:8" x14ac:dyDescent="0.35">
      <c r="E178" s="153" t="s">
        <v>344</v>
      </c>
      <c r="F178" s="409"/>
      <c r="G178" s="158" t="s">
        <v>351</v>
      </c>
      <c r="H178" s="152" t="s">
        <v>103</v>
      </c>
    </row>
    <row r="179" spans="5:8" x14ac:dyDescent="0.35">
      <c r="E179" s="156" t="s">
        <v>352</v>
      </c>
      <c r="F179" s="409" t="s">
        <v>353</v>
      </c>
      <c r="G179" s="154" t="s">
        <v>354</v>
      </c>
      <c r="H179" s="152" t="s">
        <v>99</v>
      </c>
    </row>
    <row r="180" spans="5:8" x14ac:dyDescent="0.35">
      <c r="E180" s="156" t="s">
        <v>352</v>
      </c>
      <c r="F180" s="409"/>
      <c r="G180" s="154" t="s">
        <v>355</v>
      </c>
      <c r="H180" s="152" t="s">
        <v>100</v>
      </c>
    </row>
    <row r="181" spans="5:8" x14ac:dyDescent="0.35">
      <c r="E181" s="156" t="s">
        <v>352</v>
      </c>
      <c r="F181" s="409"/>
      <c r="G181" s="154" t="s">
        <v>356</v>
      </c>
      <c r="H181" s="152" t="s">
        <v>98</v>
      </c>
    </row>
    <row r="182" spans="5:8" x14ac:dyDescent="0.35">
      <c r="E182" s="156" t="s">
        <v>352</v>
      </c>
      <c r="F182" s="409"/>
      <c r="G182" s="154" t="s">
        <v>357</v>
      </c>
      <c r="H182" s="152" t="s">
        <v>101</v>
      </c>
    </row>
    <row r="183" spans="5:8" x14ac:dyDescent="0.35">
      <c r="E183" s="156" t="s">
        <v>352</v>
      </c>
      <c r="F183" s="409"/>
      <c r="G183" s="154" t="s">
        <v>358</v>
      </c>
      <c r="H183" s="152" t="s">
        <v>102</v>
      </c>
    </row>
    <row r="184" spans="5:8" x14ac:dyDescent="0.35">
      <c r="E184" s="156" t="s">
        <v>352</v>
      </c>
      <c r="F184" s="409"/>
      <c r="G184" s="158" t="s">
        <v>359</v>
      </c>
      <c r="H184" s="152" t="s">
        <v>103</v>
      </c>
    </row>
    <row r="185" spans="5:8" x14ac:dyDescent="0.35">
      <c r="E185" s="148" t="s">
        <v>360</v>
      </c>
      <c r="F185" s="409" t="s">
        <v>361</v>
      </c>
      <c r="G185" s="151" t="s">
        <v>362</v>
      </c>
      <c r="H185" s="152" t="s">
        <v>99</v>
      </c>
    </row>
    <row r="186" spans="5:8" x14ac:dyDescent="0.35">
      <c r="E186" s="148" t="s">
        <v>360</v>
      </c>
      <c r="F186" s="409"/>
      <c r="G186" s="151" t="s">
        <v>363</v>
      </c>
      <c r="H186" s="152" t="s">
        <v>100</v>
      </c>
    </row>
    <row r="187" spans="5:8" x14ac:dyDescent="0.35">
      <c r="E187" s="148" t="s">
        <v>360</v>
      </c>
      <c r="F187" s="409"/>
      <c r="G187" s="151" t="s">
        <v>364</v>
      </c>
      <c r="H187" s="152" t="s">
        <v>98</v>
      </c>
    </row>
    <row r="188" spans="5:8" x14ac:dyDescent="0.35">
      <c r="E188" s="148" t="s">
        <v>360</v>
      </c>
      <c r="F188" s="409"/>
      <c r="G188" s="151" t="s">
        <v>365</v>
      </c>
      <c r="H188" s="152" t="s">
        <v>101</v>
      </c>
    </row>
    <row r="189" spans="5:8" x14ac:dyDescent="0.35">
      <c r="E189" s="148" t="s">
        <v>360</v>
      </c>
      <c r="F189" s="409"/>
      <c r="G189" s="151" t="s">
        <v>366</v>
      </c>
      <c r="H189" s="152" t="s">
        <v>102</v>
      </c>
    </row>
    <row r="190" spans="5:8" x14ac:dyDescent="0.35">
      <c r="E190" s="148" t="s">
        <v>360</v>
      </c>
      <c r="F190" s="409"/>
      <c r="G190" s="151" t="s">
        <v>367</v>
      </c>
      <c r="H190" s="152" t="s">
        <v>103</v>
      </c>
    </row>
    <row r="191" spans="5:8" x14ac:dyDescent="0.35">
      <c r="E191" s="153" t="s">
        <v>368</v>
      </c>
      <c r="F191" s="409" t="s">
        <v>363</v>
      </c>
      <c r="G191" s="154" t="s">
        <v>369</v>
      </c>
      <c r="H191" s="152" t="s">
        <v>99</v>
      </c>
    </row>
    <row r="192" spans="5:8" x14ac:dyDescent="0.35">
      <c r="E192" s="153" t="s">
        <v>368</v>
      </c>
      <c r="F192" s="409"/>
      <c r="G192" s="154" t="s">
        <v>370</v>
      </c>
      <c r="H192" s="152" t="s">
        <v>100</v>
      </c>
    </row>
    <row r="193" spans="5:8" x14ac:dyDescent="0.35">
      <c r="E193" s="153" t="s">
        <v>368</v>
      </c>
      <c r="F193" s="409"/>
      <c r="G193" s="154" t="s">
        <v>371</v>
      </c>
      <c r="H193" s="152" t="s">
        <v>98</v>
      </c>
    </row>
    <row r="194" spans="5:8" x14ac:dyDescent="0.35">
      <c r="E194" s="153" t="s">
        <v>368</v>
      </c>
      <c r="F194" s="409"/>
      <c r="G194" s="154" t="s">
        <v>372</v>
      </c>
      <c r="H194" s="152" t="s">
        <v>101</v>
      </c>
    </row>
    <row r="195" spans="5:8" x14ac:dyDescent="0.35">
      <c r="E195" s="153" t="s">
        <v>368</v>
      </c>
      <c r="F195" s="409"/>
      <c r="G195" s="154" t="s">
        <v>373</v>
      </c>
      <c r="H195" s="152" t="s">
        <v>102</v>
      </c>
    </row>
    <row r="196" spans="5:8" x14ac:dyDescent="0.35">
      <c r="E196" s="153" t="s">
        <v>368</v>
      </c>
      <c r="F196" s="409"/>
      <c r="G196" s="151" t="s">
        <v>374</v>
      </c>
      <c r="H196" s="152" t="s">
        <v>103</v>
      </c>
    </row>
    <row r="197" spans="5:8" x14ac:dyDescent="0.35">
      <c r="E197" s="153" t="s">
        <v>375</v>
      </c>
      <c r="F197" s="409" t="s">
        <v>376</v>
      </c>
      <c r="G197" s="151" t="s">
        <v>377</v>
      </c>
      <c r="H197" s="152" t="s">
        <v>99</v>
      </c>
    </row>
    <row r="198" spans="5:8" x14ac:dyDescent="0.35">
      <c r="E198" s="153" t="s">
        <v>375</v>
      </c>
      <c r="F198" s="409"/>
      <c r="G198" s="154" t="s">
        <v>378</v>
      </c>
      <c r="H198" s="152" t="s">
        <v>100</v>
      </c>
    </row>
    <row r="199" spans="5:8" x14ac:dyDescent="0.35">
      <c r="E199" s="153" t="s">
        <v>375</v>
      </c>
      <c r="F199" s="409"/>
      <c r="G199" s="154" t="s">
        <v>379</v>
      </c>
      <c r="H199" s="152" t="s">
        <v>98</v>
      </c>
    </row>
    <row r="200" spans="5:8" x14ac:dyDescent="0.35">
      <c r="E200" s="153" t="s">
        <v>375</v>
      </c>
      <c r="F200" s="409"/>
      <c r="G200" s="154" t="s">
        <v>380</v>
      </c>
      <c r="H200" s="152" t="s">
        <v>101</v>
      </c>
    </row>
    <row r="201" spans="5:8" x14ac:dyDescent="0.35">
      <c r="E201" s="153" t="s">
        <v>375</v>
      </c>
      <c r="F201" s="409"/>
      <c r="G201" s="154" t="s">
        <v>381</v>
      </c>
      <c r="H201" s="152" t="s">
        <v>102</v>
      </c>
    </row>
    <row r="202" spans="5:8" x14ac:dyDescent="0.35">
      <c r="E202" s="153" t="s">
        <v>375</v>
      </c>
      <c r="F202" s="409"/>
      <c r="G202" s="151" t="s">
        <v>382</v>
      </c>
      <c r="H202" s="152" t="s">
        <v>103</v>
      </c>
    </row>
    <row r="203" spans="5:8" x14ac:dyDescent="0.35">
      <c r="E203" s="153" t="s">
        <v>383</v>
      </c>
      <c r="F203" s="409" t="s">
        <v>384</v>
      </c>
      <c r="G203" s="154" t="s">
        <v>385</v>
      </c>
      <c r="H203" s="152" t="s">
        <v>99</v>
      </c>
    </row>
    <row r="204" spans="5:8" x14ac:dyDescent="0.35">
      <c r="E204" s="153" t="s">
        <v>383</v>
      </c>
      <c r="F204" s="409"/>
      <c r="G204" s="154" t="s">
        <v>386</v>
      </c>
      <c r="H204" s="152" t="s">
        <v>100</v>
      </c>
    </row>
    <row r="205" spans="5:8" x14ac:dyDescent="0.35">
      <c r="E205" s="153" t="s">
        <v>383</v>
      </c>
      <c r="F205" s="409"/>
      <c r="G205" s="154" t="s">
        <v>384</v>
      </c>
      <c r="H205" s="152" t="s">
        <v>98</v>
      </c>
    </row>
    <row r="206" spans="5:8" x14ac:dyDescent="0.35">
      <c r="E206" s="153" t="s">
        <v>383</v>
      </c>
      <c r="F206" s="409"/>
      <c r="G206" s="154" t="s">
        <v>387</v>
      </c>
      <c r="H206" s="152" t="s">
        <v>101</v>
      </c>
    </row>
    <row r="207" spans="5:8" x14ac:dyDescent="0.35">
      <c r="E207" s="153" t="s">
        <v>383</v>
      </c>
      <c r="F207" s="409"/>
      <c r="G207" s="154" t="s">
        <v>388</v>
      </c>
      <c r="H207" s="152" t="s">
        <v>102</v>
      </c>
    </row>
    <row r="208" spans="5:8" x14ac:dyDescent="0.35">
      <c r="E208" s="153" t="s">
        <v>383</v>
      </c>
      <c r="F208" s="409"/>
      <c r="G208" s="151" t="s">
        <v>389</v>
      </c>
      <c r="H208" s="152" t="s">
        <v>103</v>
      </c>
    </row>
    <row r="209" spans="5:8" x14ac:dyDescent="0.35">
      <c r="E209" s="153" t="s">
        <v>390</v>
      </c>
      <c r="F209" s="409" t="s">
        <v>391</v>
      </c>
      <c r="G209" s="154" t="s">
        <v>392</v>
      </c>
      <c r="H209" s="152" t="s">
        <v>99</v>
      </c>
    </row>
    <row r="210" spans="5:8" x14ac:dyDescent="0.35">
      <c r="E210" s="153" t="s">
        <v>390</v>
      </c>
      <c r="F210" s="409"/>
      <c r="G210" s="154" t="s">
        <v>393</v>
      </c>
      <c r="H210" s="152" t="s">
        <v>100</v>
      </c>
    </row>
    <row r="211" spans="5:8" x14ac:dyDescent="0.35">
      <c r="E211" s="153" t="s">
        <v>390</v>
      </c>
      <c r="F211" s="409"/>
      <c r="G211" s="154" t="s">
        <v>394</v>
      </c>
      <c r="H211" s="152" t="s">
        <v>98</v>
      </c>
    </row>
    <row r="212" spans="5:8" x14ac:dyDescent="0.35">
      <c r="E212" s="153" t="s">
        <v>390</v>
      </c>
      <c r="F212" s="409"/>
      <c r="G212" s="154" t="s">
        <v>395</v>
      </c>
      <c r="H212" s="152" t="s">
        <v>101</v>
      </c>
    </row>
    <row r="213" spans="5:8" x14ac:dyDescent="0.35">
      <c r="E213" s="153" t="s">
        <v>390</v>
      </c>
      <c r="F213" s="409"/>
      <c r="G213" s="154" t="s">
        <v>396</v>
      </c>
      <c r="H213" s="152" t="s">
        <v>102</v>
      </c>
    </row>
    <row r="214" spans="5:8" x14ac:dyDescent="0.35">
      <c r="E214" s="153" t="s">
        <v>390</v>
      </c>
      <c r="F214" s="409"/>
      <c r="G214" s="158" t="s">
        <v>397</v>
      </c>
      <c r="H214" s="152" t="s">
        <v>103</v>
      </c>
    </row>
    <row r="215" spans="5:8" x14ac:dyDescent="0.35">
      <c r="E215" s="153" t="s">
        <v>398</v>
      </c>
      <c r="F215" s="409" t="s">
        <v>399</v>
      </c>
      <c r="G215" s="157" t="s">
        <v>400</v>
      </c>
      <c r="H215" s="152" t="s">
        <v>99</v>
      </c>
    </row>
    <row r="216" spans="5:8" x14ac:dyDescent="0.35">
      <c r="E216" s="153" t="s">
        <v>398</v>
      </c>
      <c r="F216" s="409"/>
      <c r="G216" s="154" t="s">
        <v>401</v>
      </c>
      <c r="H216" s="152" t="s">
        <v>100</v>
      </c>
    </row>
    <row r="217" spans="5:8" x14ac:dyDescent="0.35">
      <c r="E217" s="153" t="s">
        <v>398</v>
      </c>
      <c r="F217" s="409"/>
      <c r="G217" s="154" t="s">
        <v>399</v>
      </c>
      <c r="H217" s="152" t="s">
        <v>98</v>
      </c>
    </row>
    <row r="218" spans="5:8" x14ac:dyDescent="0.35">
      <c r="E218" s="153" t="s">
        <v>398</v>
      </c>
      <c r="F218" s="409"/>
      <c r="G218" s="154" t="s">
        <v>402</v>
      </c>
      <c r="H218" s="152" t="s">
        <v>101</v>
      </c>
    </row>
    <row r="219" spans="5:8" x14ac:dyDescent="0.35">
      <c r="E219" s="153" t="s">
        <v>398</v>
      </c>
      <c r="F219" s="409"/>
      <c r="G219" s="158" t="s">
        <v>403</v>
      </c>
      <c r="H219" s="152" t="s">
        <v>102</v>
      </c>
    </row>
    <row r="220" spans="5:8" x14ac:dyDescent="0.35">
      <c r="E220" s="153" t="s">
        <v>398</v>
      </c>
      <c r="F220" s="409"/>
      <c r="G220" s="154" t="s">
        <v>404</v>
      </c>
      <c r="H220" s="152" t="s">
        <v>103</v>
      </c>
    </row>
    <row r="221" spans="5:8" x14ac:dyDescent="0.35">
      <c r="E221" s="153" t="s">
        <v>405</v>
      </c>
      <c r="F221" s="409" t="s">
        <v>406</v>
      </c>
      <c r="G221" s="154" t="s">
        <v>407</v>
      </c>
      <c r="H221" s="152" t="s">
        <v>99</v>
      </c>
    </row>
    <row r="222" spans="5:8" x14ac:dyDescent="0.35">
      <c r="E222" s="153" t="s">
        <v>405</v>
      </c>
      <c r="F222" s="409"/>
      <c r="G222" s="154" t="s">
        <v>408</v>
      </c>
      <c r="H222" s="152" t="s">
        <v>100</v>
      </c>
    </row>
    <row r="223" spans="5:8" x14ac:dyDescent="0.35">
      <c r="E223" s="153" t="s">
        <v>405</v>
      </c>
      <c r="F223" s="409"/>
      <c r="G223" s="154" t="s">
        <v>409</v>
      </c>
      <c r="H223" s="152" t="s">
        <v>98</v>
      </c>
    </row>
    <row r="224" spans="5:8" x14ac:dyDescent="0.35">
      <c r="E224" s="153" t="s">
        <v>405</v>
      </c>
      <c r="F224" s="409"/>
      <c r="G224" s="154" t="s">
        <v>406</v>
      </c>
      <c r="H224" s="152" t="s">
        <v>101</v>
      </c>
    </row>
    <row r="225" spans="5:8" x14ac:dyDescent="0.35">
      <c r="E225" s="153" t="s">
        <v>405</v>
      </c>
      <c r="F225" s="409"/>
      <c r="G225" s="154" t="s">
        <v>410</v>
      </c>
      <c r="H225" s="152" t="s">
        <v>102</v>
      </c>
    </row>
    <row r="226" spans="5:8" x14ac:dyDescent="0.35">
      <c r="E226" s="153" t="s">
        <v>405</v>
      </c>
      <c r="F226" s="409"/>
      <c r="G226" s="154" t="s">
        <v>411</v>
      </c>
      <c r="H226" s="152" t="s">
        <v>103</v>
      </c>
    </row>
    <row r="227" spans="5:8" x14ac:dyDescent="0.35">
      <c r="E227" s="153" t="s">
        <v>412</v>
      </c>
      <c r="F227" s="409" t="s">
        <v>413</v>
      </c>
      <c r="G227" s="154" t="s">
        <v>414</v>
      </c>
      <c r="H227" s="152" t="s">
        <v>99</v>
      </c>
    </row>
    <row r="228" spans="5:8" x14ac:dyDescent="0.35">
      <c r="E228" s="153" t="s">
        <v>412</v>
      </c>
      <c r="F228" s="409"/>
      <c r="G228" s="154" t="s">
        <v>415</v>
      </c>
      <c r="H228" s="152" t="s">
        <v>100</v>
      </c>
    </row>
    <row r="229" spans="5:8" x14ac:dyDescent="0.35">
      <c r="E229" s="153" t="s">
        <v>412</v>
      </c>
      <c r="F229" s="409"/>
      <c r="G229" s="154" t="s">
        <v>416</v>
      </c>
      <c r="H229" s="152" t="s">
        <v>98</v>
      </c>
    </row>
    <row r="230" spans="5:8" x14ac:dyDescent="0.35">
      <c r="E230" s="153" t="s">
        <v>412</v>
      </c>
      <c r="F230" s="409"/>
      <c r="G230" s="154" t="s">
        <v>417</v>
      </c>
      <c r="H230" s="152" t="s">
        <v>101</v>
      </c>
    </row>
    <row r="231" spans="5:8" x14ac:dyDescent="0.35">
      <c r="E231" s="153" t="s">
        <v>412</v>
      </c>
      <c r="F231" s="409"/>
      <c r="G231" s="154" t="s">
        <v>418</v>
      </c>
      <c r="H231" s="152" t="s">
        <v>102</v>
      </c>
    </row>
    <row r="232" spans="5:8" x14ac:dyDescent="0.35">
      <c r="E232" s="153" t="s">
        <v>412</v>
      </c>
      <c r="F232" s="409"/>
      <c r="G232" s="158" t="s">
        <v>419</v>
      </c>
      <c r="H232" s="152" t="s">
        <v>103</v>
      </c>
    </row>
    <row r="233" spans="5:8" x14ac:dyDescent="0.35">
      <c r="E233" s="153" t="s">
        <v>420</v>
      </c>
      <c r="F233" s="409" t="s">
        <v>421</v>
      </c>
      <c r="G233" s="154" t="s">
        <v>422</v>
      </c>
      <c r="H233" s="152" t="s">
        <v>99</v>
      </c>
    </row>
    <row r="234" spans="5:8" x14ac:dyDescent="0.35">
      <c r="E234" s="153" t="s">
        <v>420</v>
      </c>
      <c r="F234" s="409"/>
      <c r="G234" s="154" t="s">
        <v>423</v>
      </c>
      <c r="H234" s="152" t="s">
        <v>100</v>
      </c>
    </row>
    <row r="235" spans="5:8" x14ac:dyDescent="0.35">
      <c r="E235" s="153" t="s">
        <v>420</v>
      </c>
      <c r="F235" s="409"/>
      <c r="G235" s="154" t="s">
        <v>424</v>
      </c>
      <c r="H235" s="152" t="s">
        <v>98</v>
      </c>
    </row>
    <row r="236" spans="5:8" x14ac:dyDescent="0.35">
      <c r="E236" s="153" t="s">
        <v>420</v>
      </c>
      <c r="F236" s="409"/>
      <c r="G236" s="154" t="s">
        <v>425</v>
      </c>
      <c r="H236" s="152" t="s">
        <v>101</v>
      </c>
    </row>
    <row r="237" spans="5:8" x14ac:dyDescent="0.35">
      <c r="E237" s="153" t="s">
        <v>420</v>
      </c>
      <c r="F237" s="409"/>
      <c r="G237" s="154" t="s">
        <v>426</v>
      </c>
      <c r="H237" s="152" t="s">
        <v>102</v>
      </c>
    </row>
    <row r="238" spans="5:8" x14ac:dyDescent="0.35">
      <c r="E238" s="153" t="s">
        <v>420</v>
      </c>
      <c r="F238" s="409"/>
      <c r="G238" s="158" t="s">
        <v>427</v>
      </c>
      <c r="H238" s="152" t="s">
        <v>103</v>
      </c>
    </row>
    <row r="239" spans="5:8" x14ac:dyDescent="0.35">
      <c r="E239" s="159" t="s">
        <v>428</v>
      </c>
      <c r="F239" s="410" t="s">
        <v>429</v>
      </c>
      <c r="G239" s="160" t="s">
        <v>430</v>
      </c>
      <c r="H239" s="161" t="s">
        <v>99</v>
      </c>
    </row>
    <row r="240" spans="5:8" x14ac:dyDescent="0.35">
      <c r="E240" s="159" t="s">
        <v>428</v>
      </c>
      <c r="F240" s="410"/>
      <c r="G240" s="160" t="s">
        <v>431</v>
      </c>
      <c r="H240" s="161" t="s">
        <v>100</v>
      </c>
    </row>
    <row r="241" spans="5:8" x14ac:dyDescent="0.35">
      <c r="E241" s="159" t="s">
        <v>428</v>
      </c>
      <c r="F241" s="410"/>
      <c r="G241" s="160" t="s">
        <v>432</v>
      </c>
      <c r="H241" s="161" t="s">
        <v>98</v>
      </c>
    </row>
    <row r="242" spans="5:8" x14ac:dyDescent="0.35">
      <c r="E242" s="159" t="s">
        <v>428</v>
      </c>
      <c r="F242" s="410"/>
      <c r="G242" s="160" t="s">
        <v>433</v>
      </c>
      <c r="H242" s="161" t="s">
        <v>101</v>
      </c>
    </row>
    <row r="243" spans="5:8" x14ac:dyDescent="0.35">
      <c r="E243" s="159" t="s">
        <v>428</v>
      </c>
      <c r="F243" s="410"/>
      <c r="G243" s="160" t="s">
        <v>434</v>
      </c>
      <c r="H243" s="161" t="s">
        <v>102</v>
      </c>
    </row>
    <row r="244" spans="5:8" x14ac:dyDescent="0.35">
      <c r="E244" s="159" t="s">
        <v>428</v>
      </c>
      <c r="F244" s="410"/>
      <c r="G244" s="162" t="s">
        <v>435</v>
      </c>
      <c r="H244" s="161" t="s">
        <v>103</v>
      </c>
    </row>
  </sheetData>
  <mergeCells count="40">
    <mergeCell ref="F35:F40"/>
    <mergeCell ref="F5:F10"/>
    <mergeCell ref="F11:F16"/>
    <mergeCell ref="F17:F22"/>
    <mergeCell ref="F23:F28"/>
    <mergeCell ref="F29:F34"/>
    <mergeCell ref="F107:F112"/>
    <mergeCell ref="F41:F46"/>
    <mergeCell ref="F47:F52"/>
    <mergeCell ref="F53:F58"/>
    <mergeCell ref="F59:F64"/>
    <mergeCell ref="F65:F70"/>
    <mergeCell ref="F71:F76"/>
    <mergeCell ref="F77:F82"/>
    <mergeCell ref="F83:F88"/>
    <mergeCell ref="F89:F94"/>
    <mergeCell ref="F95:F100"/>
    <mergeCell ref="F101:F106"/>
    <mergeCell ref="F179:F184"/>
    <mergeCell ref="F113:F118"/>
    <mergeCell ref="F119:F124"/>
    <mergeCell ref="F125:F130"/>
    <mergeCell ref="F131:F136"/>
    <mergeCell ref="F137:F142"/>
    <mergeCell ref="F143:F148"/>
    <mergeCell ref="F149:F154"/>
    <mergeCell ref="F155:F160"/>
    <mergeCell ref="F161:F166"/>
    <mergeCell ref="F167:F172"/>
    <mergeCell ref="F173:F178"/>
    <mergeCell ref="F221:F226"/>
    <mergeCell ref="F227:F232"/>
    <mergeCell ref="F233:F238"/>
    <mergeCell ref="F239:F244"/>
    <mergeCell ref="F185:F190"/>
    <mergeCell ref="F191:F196"/>
    <mergeCell ref="F197:F202"/>
    <mergeCell ref="F203:F208"/>
    <mergeCell ref="F209:F214"/>
    <mergeCell ref="F215:F220"/>
  </mergeCells>
  <conditionalFormatting sqref="G5:G12 G14:G16 G35:G41 G44:G58">
    <cfRule type="duplicateValues" dxfId="31" priority="30"/>
  </conditionalFormatting>
  <conditionalFormatting sqref="G35:G41 G44:G52">
    <cfRule type="duplicateValues" dxfId="30" priority="32"/>
  </conditionalFormatting>
  <conditionalFormatting sqref="G42">
    <cfRule type="duplicateValues" dxfId="29" priority="24"/>
    <cfRule type="duplicateValues" dxfId="28" priority="25"/>
  </conditionalFormatting>
  <conditionalFormatting sqref="G43">
    <cfRule type="duplicateValues" dxfId="27" priority="28"/>
    <cfRule type="duplicateValues" dxfId="26" priority="29"/>
  </conditionalFormatting>
  <conditionalFormatting sqref="G44">
    <cfRule type="duplicateValues" dxfId="25" priority="26"/>
    <cfRule type="duplicateValues" dxfId="24" priority="27"/>
  </conditionalFormatting>
  <conditionalFormatting sqref="G46">
    <cfRule type="duplicateValues" dxfId="23" priority="31"/>
  </conditionalFormatting>
  <conditionalFormatting sqref="G65:G102 G104:G118">
    <cfRule type="duplicateValues" dxfId="22" priority="21"/>
  </conditionalFormatting>
  <conditionalFormatting sqref="G95:G102 G104:G112">
    <cfRule type="duplicateValues" dxfId="21" priority="23"/>
  </conditionalFormatting>
  <conditionalFormatting sqref="G103">
    <cfRule type="duplicateValues" dxfId="20" priority="19"/>
    <cfRule type="duplicateValues" dxfId="19" priority="20"/>
  </conditionalFormatting>
  <conditionalFormatting sqref="G104">
    <cfRule type="duplicateValues" dxfId="18" priority="17"/>
    <cfRule type="duplicateValues" dxfId="17" priority="18"/>
  </conditionalFormatting>
  <conditionalFormatting sqref="G106">
    <cfRule type="duplicateValues" dxfId="16" priority="22"/>
  </conditionalFormatting>
  <conditionalFormatting sqref="G125:G162 G164:G178">
    <cfRule type="duplicateValues" dxfId="15" priority="14"/>
  </conditionalFormatting>
  <conditionalFormatting sqref="G155:G162 G164:G172">
    <cfRule type="duplicateValues" dxfId="14" priority="16"/>
  </conditionalFormatting>
  <conditionalFormatting sqref="G163">
    <cfRule type="duplicateValues" dxfId="13" priority="12"/>
    <cfRule type="duplicateValues" dxfId="12" priority="13"/>
  </conditionalFormatting>
  <conditionalFormatting sqref="G164">
    <cfRule type="duplicateValues" dxfId="11" priority="10"/>
    <cfRule type="duplicateValues" dxfId="10" priority="11"/>
  </conditionalFormatting>
  <conditionalFormatting sqref="G166">
    <cfRule type="duplicateValues" dxfId="9" priority="15"/>
  </conditionalFormatting>
  <conditionalFormatting sqref="G203">
    <cfRule type="duplicateValues" dxfId="8" priority="4"/>
  </conditionalFormatting>
  <conditionalFormatting sqref="G204">
    <cfRule type="duplicateValues" dxfId="7" priority="3"/>
  </conditionalFormatting>
  <conditionalFormatting sqref="G215:G222 G225:G232">
    <cfRule type="duplicateValues" dxfId="6" priority="9"/>
  </conditionalFormatting>
  <conditionalFormatting sqref="G223">
    <cfRule type="duplicateValues" dxfId="5" priority="5"/>
    <cfRule type="duplicateValues" dxfId="4" priority="6"/>
  </conditionalFormatting>
  <conditionalFormatting sqref="G224">
    <cfRule type="duplicateValues" dxfId="3" priority="1"/>
    <cfRule type="duplicateValues" dxfId="2" priority="2"/>
  </conditionalFormatting>
  <conditionalFormatting sqref="G225:G232 G185:G202 G205:G222 G236:G238">
    <cfRule type="duplicateValues" dxfId="1" priority="7"/>
  </conditionalFormatting>
  <conditionalFormatting sqref="G226">
    <cfRule type="duplicateValues" dxfId="0" priority="8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38</vt:i4>
      </vt:variant>
    </vt:vector>
  </HeadingPairs>
  <TitlesOfParts>
    <vt:vector size="38" baseType="lpstr">
      <vt:lpstr>Dist Price List (2)</vt:lpstr>
      <vt:lpstr>Dist Price List</vt:lpstr>
      <vt:lpstr>Cust. Price List</vt:lpstr>
      <vt:lpstr>Summary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Customer Invoice (2)</vt:lpstr>
      <vt:lpstr>Sheet1</vt:lpstr>
      <vt:lpstr>Sheet3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2026-08-11T10:48:46Z</dcterms:modified>
</cp:coreProperties>
</file>