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FAC83A3-F072-4CDA-B4AB-194C74F1EA0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71"/>
  <c r="O20" i="71" s="1"/>
  <c r="P20" i="71" s="1"/>
  <c r="R20" i="71" s="1"/>
  <c r="M16" i="43"/>
  <c r="M17" i="60"/>
  <c r="O17" i="60" s="1"/>
  <c r="P17" i="60" s="1"/>
  <c r="M22" i="43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<sst xmlns="http://schemas.openxmlformats.org/spreadsheetml/2006/main" count="3913" uniqueCount="515">
  <si>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</si>
  <si>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</si>
  <si>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</si>
  <si>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</si>
  <si>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</si>
  <si>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</si>
  <si>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</si>
  <si>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</si>
  <si>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</si>
  <si>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</si>
  <si>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</si>
  <si>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</si>
  <si>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</si>
  <si>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</si>
  <si>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</si>
  <si>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</si>
  <si>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</si>
  <si>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</si>
  <si>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</si>
  <si>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</si>
  <si>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</si>
  <si>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</si>
  <si>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</si>
  <si>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</si>
  <si>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</si>
  <si>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</si>
  <si>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</si>
  <si>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</si>
  <si>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</si>
  <si>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</si>
  <si>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</si>
  <si>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</si>
  <si>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</si>
  <si>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</si>
  <si>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</si>
  <si>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</si>
  <si>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</si>
  <si>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</si>
  <si>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</si>
  <si>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</si>
  <si>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</si>
  <si>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</si>
  <si>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</si>
  <si>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</si>
  <si>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</si>
  <si>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</si>
  <si>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</si>
  <si>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</si>
  <si>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</si>
  <si>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</si>
  <si>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</si>
  <si>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</si>
  <si>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</si>
  <si>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</si>
  <si>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</si>
  <si>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</si>
  <si>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</si>
  <si>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</si>
  <si>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</si>
  <si>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</si>
  <si>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</si>
  <si>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</si>
  <si>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</si>
  <si>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</si>
  <si>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</si>
  <si>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</si>
  <si>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</si>
  <si>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</si>
  <si>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</si>
  <si>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</si>
  <si>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</si>
  <si>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</si>
  <si>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</si>
  <si>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</si>
  <si>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</si>
  <si>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</si>
  <si>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</si>
  <si>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</si>
  <si>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</si>
  <si>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</si>
  <si>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</si>
  <si>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</si>
  <si>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</si>
  <si>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</si>
  <si>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</si>
  <si>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</si>
  <si>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</si>
  <si>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</si>
  <si>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</si>
  <si>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</si>
  <si>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</si>
  <si>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</si>
  <si>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</si>
  <si>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</si>
  <si>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</si>
  <si>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</si>
  <si>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</si>
  <si>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</si>
  <si>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</si>
  <si>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</si>
  <si>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</si>
  <si>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</si>
  <si>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</si>
  <si>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</si>
  <si>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</si>
  <si>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</si>
  <si>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</si>
  <si>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</si>
  <si>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</si>
  <si>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</si>
  <si>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</si>
  <si>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</si>
  <si>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</si>
  <si>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</si>
  <si>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</si>
  <si>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</si>
  <si>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</si>
  <si>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</si>
  <si>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</si>
  <si>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</si>
  <si>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</si>
  <si>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</si>
  <si>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</si>
  <si>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</si>
  <si>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</si>
  <si>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</si>
  <si>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</si>
  <si>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</si>
  <si>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</si>
  <si>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</si>
  <si>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</si>
  <si>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</si>
  <si>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</si>
  <si>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</si>
  <si>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</si>
  <si>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</si>
  <si>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</si>
  <si>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</si>
  <si>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</si>
  <si>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</si>
  <si>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</si>
  <si>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</si>
  <si>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</si>
  <si>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</si>
  <si>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</si>
  <si>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</si>
  <si>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</si>
  <si>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</si>
  <si>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</si>
  <si>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</si>
  <si>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</si>
  <si>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</si>
  <si>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</si>
  <si>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</si>
  <si>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</si>
  <si>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</si>
  <si>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</si>
  <si>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</si>
  <si>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</si>
  <si>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</si>
  <si>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</si>
  <si>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</si>
  <si>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</si>
  <si>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</si>
  <si>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</si>
  <si>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</si>
  <si>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</si>
  <si>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</si>
  <si>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</si>
  <si>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</si>
  <si>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</si>
  <si>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</si>
  <si>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</si>
  <si>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</si>
  <si>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</si>
  <si>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</si>
  <si>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</si>
  <si>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</si>
  <si>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</si>
  <si>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</si>
  <si>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</si>
  <si>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</si>
  <si>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</si>
  <si>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</si>
  <si>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</si>
  <si>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</si>
  <si>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</si>
  <si>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</si>
  <si>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</si>
  <si>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</si>
  <si>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</si>
  <si>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</si>
  <si>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</si>
  <si>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</si>
  <si>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</si>
  <si>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</si>
  <si>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</si>
  <si>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</si>
  <si>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</si>
  <si>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</si>
  <si>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</si>
  <si>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</si>
  <si>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</si>
  <si>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</si>
  <si>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</si>
  <si>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</si>
  <si>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</si>
  <si>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</si>
  <si>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</si>
  <si>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</si>
  <si>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</si>
  <si>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</si>
  <si>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</si>
  <si>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</si>
  <si>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</si>
  <si>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</si>
  <si>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</si>
  <si>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</si>
  <si>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</si>
  <si>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</si>
  <si>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</si>
  <si>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</si>
  <si>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</si>
  <si>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</si>
  <si>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</si>
  <si>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</si>
  <si>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</si>
  <si>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</si>
  <si>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</si>
  <si>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</si>
  <si>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</si>
  <si>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</si>
  <si>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</si>
  <si>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</si>
  <si>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</si>
  <si>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</si>
  <si>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</si>
  <si>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</si>
  <si>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</si>
  <si>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</si>
  <si>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</si>
  <si>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</si>
  <si>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</si>
  <si>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</si>
  <si>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</si>
  <si>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</si>
  <si>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</si>
  <si>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</si>
  <si>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</si>
  <si>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</si>
  <si>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</si>
  <si>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</si>
  <si>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</si>
  <si>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</si>
  <si>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</si>
  <si>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</si>
  <si>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</si>
  <si>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</si>
  <si>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</si>
  <si>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</si>
  <si>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</si>
  <si>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</si>
  <si>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</si>
  <si>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</si>
  <si>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</si>
  <si>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</si>
  <si>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</si>
  <si>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</si>
  <si>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</si>
  <si>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</si>
  <si>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</si>
  <si>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</si>
  <si>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</si>
  <si>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</si>
  <si>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</si>
  <si>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</si>
  <si>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</si>
  <si>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</si>
  <si>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</si>
  <si>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</si>
  <si>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</si>
  <si>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</si>
  <si>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</si>
  <si>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</si>
  <si>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</si>
  <si>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</si>
  <si>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</si>
  <si>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</si>
  <si>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</si>
  <si>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</si>
  <si>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</si>
  <si>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</si>
  <si>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</si>
  <si>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</si>
  <si>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</si>
  <si>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</si>
  <si>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</si>
  <si>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</si>
  <si>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</si>
  <si>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</si>
  <si>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</si>
  <si>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</si>
  <si>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</si>
  <si>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</si>
  <si>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</si>
  <si>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</si>
  <si>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</si>
  <si>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</si>
  <si>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</si>
  <si>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</si>
  <si>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</si>
  <si>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</si>
  <si>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</si>
  <si>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</si>
  <si>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</si>
  <si>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</si>
  <si>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</si>
  <si>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</si>
  <si>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</si>
  <si>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</si>
  <si>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</si>
  <si>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</si>
  <si>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</si>
  <si>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</si>
  <si>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</si>
  <si>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</si>
  <si>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</si>
  <si>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</si>
  <si>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</si>
  <si>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</si>
  <si>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</si>
  <si>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</si>
  <si>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</si>
  <si>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</si>
  <si>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</si>
  <si>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</si>
  <si>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</si>
  <si>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</si>
  <si>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</si>
  <si>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</si>
  <si>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</si>
  <si>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</si>
  <si>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</si>
  <si>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</si>
  <si>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</si>
  <si>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</si>
  <si>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</si>
  <si>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</si>
  <si>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</si>
  <si>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</si>
  <si>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</si>
  <si>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</si>
  <si>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</si>
  <si>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</si>
  <si>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</si>
  <si>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</si>
  <si>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</si>
  <si>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</si>
  <si>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</si>
  <si>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</si>
  <si>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</si>
  <si>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</si>
  <si>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</si>
  <si>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</si>
  <si>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</si>
  <si>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</si>
  <si>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</si>
  <si>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</si>
  <si>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</si>
  <si>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</si>
  <si>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</si>
  <si>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</si>
  <si>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</si>
  <si>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</si>
  <si>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</si>
  <si>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</si>
  <si>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</si>
  <si>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</si>
  <si>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</si>
  <si>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</si>
  <si>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</si>
  <si>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</si>
  <si>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</si>
  <si>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</si>
  <si>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</si>
  <si>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</si>
  <si>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</si>
  <si>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</si>
  <si>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</si>
  <si>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</si>
  <si>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</si>
  <si>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</si>
  <si>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</si>
  <si>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</si>
  <si>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</si>
  <si>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</si>
  <si>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</si>
  <si>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</si>
  <si>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</si>
  <si>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</si>
  <si>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</si>
  <si>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</si>
  <si>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</si>
  <si>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</si>
  <si>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</si>
  <si>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</si>
  <si>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</si>
  <si>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</si>
  <si>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</si>
  <si>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</si>
  <si>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</si>
  <si>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</si>
  <si>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</si>
  <si>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</si>
  <si>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</si>
  <si>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</si>
  <si>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</si>
  <si>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</si>
  <si>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</si>
  <si>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</si>
  <si>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</si>
  <si>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</si>
  <si>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</si>
  <si>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</si>
  <si>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</si>
  <si>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</si>
  <si>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</si>
  <si>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</si>
  <si>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</si>
  <si>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</si>
  <si>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</si>
  <si>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</si>
  <si>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</si>
  <si>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</si>
  <si>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</si>
  <si>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</si>
  <si>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</si>
  <si>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</si>
  <si>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</si>
  <si>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</si>
  <si>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</si>
  <si>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</si>
  <si>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</si>
  <si>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</si>
  <si>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</si>
  <si>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</si>
  <si>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</si>
  <si>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</si>
  <si>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</si>
  <si>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</si>
  <si>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</si>
  <si>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</si>
  <si>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</si>
  <si>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</si>
  <si>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</si>
  <si>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</si>
  <si>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</si>
  <si>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</si>
  <si>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</si>
  <si>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</si>
  <si>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</si>
  <si>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</si>
  <si>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</si>
  <si>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</si>
  <si>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</si>
  <si>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</si>
  <si>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</si>
  <si>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</si>
  <si>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</si>
  <si>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</si>
  <si>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</si>
  <si>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</si>
  <si>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</si>
  <si>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</si>
  <si>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</si>
  <si>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</si>
  <si>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</si>
  <si>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</si>
  <si>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</si>
  <si>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</si>
  <si>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</si>
  <si>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</si>
  <si>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</si>
  <si>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</si>
  <si>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</si>
  <si>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</si>
  <si>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</si>
  <si>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</si>
  <si>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</si>
  <si>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</si>
  <si>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</si>
  <si>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</si>
  <si>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</si>
  <si>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</si>
  <si>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</si>
  <si>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</si>
  <si>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</si>
  <si>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</si>
  <si>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</si>
  <si>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</si>
  <si>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</si>
  <si>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</si>
  <si>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</si>
  <si>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</si>
  <si>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</si>
  <si>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</si>
  <si>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</si>
  <si>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</si>
  <si>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</si>
  <si>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</si>
  <si>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Behria Town </t>
  </si>
  <si>
    <t>Address: Defence Raod</t>
  </si>
  <si>
    <t>Address: EME</t>
  </si>
  <si>
    <t xml:space="preserve">Address: Wapda Town </t>
  </si>
  <si>
    <t xml:space="preserve">Address: Model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</si>
</sst>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9" t="s">
        <v>91</v>
      </c>
      <c r="B2" s="379"/>
      <c r="C2" s="379"/>
      <c r="E2" s="372" t="s">
        <v>497</v>
      </c>
      <c r="F2" s="370"/>
      <c r="G2" s="370"/>
      <c r="H2" s="370" t="s">
        <v>507</v>
      </c>
      <c r="I2" s="370"/>
      <c r="J2" s="371"/>
      <c r="R2" s="367" t="s">
        <v>506</v>
      </c>
      <c r="S2" s="368"/>
      <c r="T2" s="369"/>
    </row>
    <row r="3" spans="1:20 16377:16378" ht="21.75" customHeight="1" thickBot="1" x14ac:dyDescent="0.4">
      <c r="A3" s="380" t="s">
        <v>92</v>
      </c>
      <c r="B3" s="380"/>
      <c r="C3" s="380"/>
      <c r="E3" s="375" t="s">
        <v>498</v>
      </c>
      <c r="F3" s="376"/>
      <c r="G3" s="376"/>
      <c r="H3" s="373">
        <f>+'1'!N4:N4</f>
        <v>46244</v>
      </c>
      <c r="I3" s="373"/>
      <c r="J3" s="374"/>
      <c r="K3" s="381" t="s">
        <v>43</v>
      </c>
      <c r="L3" s="381"/>
      <c r="M3" s="381"/>
      <c r="N3" s="380"/>
      <c r="O3" s="380"/>
      <c r="P3" s="380"/>
      <c r="R3" s="299">
        <v>1</v>
      </c>
      <c r="S3" s="300" t="str">
        <f>+'1'!A6:A6</f>
        <v>Rainbow Cash &amp; Carry</v>
      </c>
      <c r="T3" s="301">
        <f>+'1'!P35</f>
        <v>37341.595309957615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2" t="s">
        <v>51</v>
      </c>
      <c r="B5" s="333"/>
      <c r="C5" s="336" t="s">
        <v>90</v>
      </c>
      <c r="D5" s="115" t="s">
        <v>52</v>
      </c>
      <c r="E5" s="338" t="s">
        <v>58</v>
      </c>
      <c r="F5" s="339"/>
      <c r="G5" s="340" t="s">
        <v>54</v>
      </c>
      <c r="H5" s="341"/>
      <c r="I5" s="342" t="s">
        <v>77</v>
      </c>
      <c r="J5" s="378" t="s">
        <v>55</v>
      </c>
      <c r="K5" s="340"/>
      <c r="L5" s="341"/>
      <c r="M5" s="333" t="s">
        <v>84</v>
      </c>
      <c r="N5" s="37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4"/>
      <c r="B6" s="335"/>
      <c r="C6" s="33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3"/>
      <c r="J6" s="143" t="s">
        <v>59</v>
      </c>
      <c r="K6" s="144" t="s">
        <v>39</v>
      </c>
      <c r="L6" s="145" t="s">
        <v>493</v>
      </c>
      <c r="M6" s="335"/>
      <c r="N6" s="34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119">
        <f t="shared" si="2"/>
        <v>6415.5360985169482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119">
        <f t="shared" si="2"/>
        <v>8883.0117152542352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119">
        <f t="shared" si="2"/>
        <v>8883.0117152542352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2">
        <f>COUNT(A7:A15)</f>
        <v>0</v>
      </c>
      <c r="B16" s="344"/>
      <c r="C16" s="344" t="s">
        <v>40</v>
      </c>
      <c r="D16" s="344"/>
      <c r="E16" s="344"/>
      <c r="F16" s="345"/>
      <c r="G16" s="117">
        <f t="shared" ref="G16:M16" si="3">SUM(G7:G15)</f>
        <v>0</v>
      </c>
      <c r="H16" s="113">
        <f t="shared" si="3"/>
        <v>560</v>
      </c>
      <c r="I16" s="114">
        <f t="shared" si="3"/>
        <v>36642.899999999994</v>
      </c>
      <c r="J16" s="274">
        <f>SUM(J7:J15)</f>
        <v>5130.0060000000003</v>
      </c>
      <c r="K16" s="275">
        <f t="shared" si="3"/>
        <v>1282.5015000000001</v>
      </c>
      <c r="L16" s="276">
        <f t="shared" si="3"/>
        <v>0</v>
      </c>
      <c r="M16" s="232">
        <f t="shared" si="3"/>
        <v>30230.392499999994</v>
      </c>
      <c r="N16" s="233">
        <f>SUM(N7:N15)</f>
        <v>6925.4237288135591</v>
      </c>
      <c r="O16" s="101">
        <f>SUM(O7:O15)</f>
        <v>185.77908114406776</v>
      </c>
      <c r="P16" s="234">
        <f>SUM(P7:P15)</f>
        <v>37341.595309957622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6" t="s">
        <v>64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8"/>
      <c r="N19" s="355" t="s">
        <v>60</v>
      </c>
      <c r="O19" s="356"/>
      <c r="P19" s="139">
        <f>I16</f>
        <v>36642.899999999994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1"/>
      <c r="N20" s="357" t="s">
        <v>85</v>
      </c>
      <c r="O20" s="358"/>
      <c r="P20" s="140">
        <f>+J16</f>
        <v>5130.0060000000003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49"/>
      <c r="C21" s="350"/>
      <c r="D21" s="350"/>
      <c r="E21" s="350"/>
      <c r="F21" s="350"/>
      <c r="G21" s="350"/>
      <c r="H21" s="350"/>
      <c r="I21" s="350"/>
      <c r="J21" s="350"/>
      <c r="K21" s="350"/>
      <c r="L21" s="351"/>
      <c r="N21" s="357" t="s">
        <v>86</v>
      </c>
      <c r="O21" s="358"/>
      <c r="P21" s="140">
        <f>+K16+L16</f>
        <v>1282.5015000000001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49"/>
      <c r="C22" s="350"/>
      <c r="D22" s="350"/>
      <c r="E22" s="350"/>
      <c r="F22" s="350"/>
      <c r="G22" s="350"/>
      <c r="H22" s="350"/>
      <c r="I22" s="350"/>
      <c r="J22" s="350"/>
      <c r="K22" s="350"/>
      <c r="L22" s="351"/>
      <c r="M22" s="131"/>
      <c r="N22" s="357" t="s">
        <v>87</v>
      </c>
      <c r="O22" s="358"/>
      <c r="P22" s="140">
        <f>P19-P20-P21</f>
        <v>30230.392499999994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49"/>
      <c r="C23" s="350"/>
      <c r="D23" s="350"/>
      <c r="E23" s="350"/>
      <c r="F23" s="350"/>
      <c r="G23" s="350"/>
      <c r="H23" s="350"/>
      <c r="I23" s="350"/>
      <c r="J23" s="350"/>
      <c r="K23" s="350"/>
      <c r="L23" s="351"/>
      <c r="M23" s="131"/>
      <c r="N23" s="136" t="s">
        <v>61</v>
      </c>
      <c r="O23" s="133">
        <v>0.18</v>
      </c>
      <c r="P23" s="140">
        <f>+N16</f>
        <v>6925.4237288135591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49"/>
      <c r="C24" s="350"/>
      <c r="D24" s="350"/>
      <c r="E24" s="350"/>
      <c r="F24" s="350"/>
      <c r="G24" s="350"/>
      <c r="H24" s="350"/>
      <c r="I24" s="350"/>
      <c r="J24" s="350"/>
      <c r="K24" s="350"/>
      <c r="L24" s="351"/>
      <c r="M24" s="131"/>
      <c r="N24" s="359" t="s">
        <v>76</v>
      </c>
      <c r="O24" s="360"/>
      <c r="P24" s="140">
        <f>P22+P23</f>
        <v>37155.81622881355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2"/>
      <c r="C25" s="353"/>
      <c r="D25" s="353"/>
      <c r="E25" s="353"/>
      <c r="F25" s="353"/>
      <c r="G25" s="353"/>
      <c r="H25" s="353"/>
      <c r="I25" s="353"/>
      <c r="J25" s="353"/>
      <c r="K25" s="353"/>
      <c r="L25" s="354"/>
      <c r="M25" s="99"/>
      <c r="N25" s="138" t="s">
        <v>83</v>
      </c>
      <c r="O25" s="137" t="e">
        <f>IF(#REF!="Filer",0.5%,2.5%)</f>
        <v>#REF!</v>
      </c>
      <c r="P25" s="140">
        <f>+O16</f>
        <v>185.77908114406776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1" t="s">
        <v>88</v>
      </c>
      <c r="O26" s="362"/>
      <c r="P26" s="297">
        <f>+P24+P25</f>
        <v>37341.595309957615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3"/>
      <c r="D27" s="363"/>
      <c r="E27" s="363"/>
      <c r="F27" s="363"/>
      <c r="G27" s="363"/>
      <c r="H27" s="363"/>
      <c r="I27" s="364"/>
      <c r="J27" s="365"/>
      <c r="K27" s="36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37341.595309957615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0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36642.899999999994</v>
      </c>
      <c r="J25" s="274">
        <f>SUM(J16:J24)</f>
        <v>5130.0060000000003</v>
      </c>
      <c r="K25" s="275">
        <f t="shared" si="10"/>
        <v>1282.5015000000001</v>
      </c>
      <c r="L25" s="276">
        <f t="shared" si="10"/>
        <v>0</v>
      </c>
      <c r="M25" s="232">
        <f t="shared" si="10"/>
        <v>30230.392499999994</v>
      </c>
      <c r="N25" s="233">
        <f>SUM(N16:N24)</f>
        <v>6925.4237288135591</v>
      </c>
      <c r="O25" s="101">
        <f>SUM(O16:O24)</f>
        <v>185.77908114406776</v>
      </c>
      <c r="P25" s="234">
        <f>SUM(P16:P24)</f>
        <v>37341.595309957622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36642.899999999994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5130.0060000000003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1282.5015000000001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30230.392499999994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6925.4237288135591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37155.81622881355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185.77908114406776</v>
      </c>
    </row>
    <row r="35" spans="2:16" ht="15.75" customHeight="1" thickBot="1" x14ac:dyDescent="0.4">
      <c r="N35" s="361" t="s">
        <v>88</v>
      </c>
      <c r="O35" s="362"/>
      <c r="P35" s="297">
        <f>+P33+P34</f>
        <v>37341.595309957615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512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513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514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46244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46243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9" t="s">
        <v>91</v>
      </c>
      <c r="B2" s="379"/>
      <c r="C2" s="379"/>
    </row>
    <row r="3" spans="1:18 16382:16383" ht="15" customHeight="1" x14ac:dyDescent="0.35">
      <c r="A3" s="380" t="s">
        <v>92</v>
      </c>
      <c r="B3" s="380"/>
      <c r="C3" s="380"/>
      <c r="F3" s="85"/>
      <c r="G3" s="1"/>
      <c r="J3" s="381" t="s">
        <v>43</v>
      </c>
      <c r="K3" s="381"/>
      <c r="L3" s="381"/>
      <c r="M3" s="380"/>
      <c r="N3" s="380"/>
      <c r="O3" s="38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0" t="s">
        <v>65</v>
      </c>
      <c r="B4" s="380"/>
      <c r="C4" s="380"/>
      <c r="F4" s="85"/>
      <c r="G4" s="1"/>
      <c r="J4" s="381" t="s">
        <v>44</v>
      </c>
      <c r="K4" s="381"/>
      <c r="L4" s="381"/>
      <c r="M4" s="384">
        <f ca="1">TODAY()+1</f>
        <v>46246</v>
      </c>
      <c r="N4" s="384"/>
      <c r="O4" s="38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81" t="s">
        <v>45</v>
      </c>
      <c r="K5" s="381"/>
      <c r="L5" s="381"/>
      <c r="M5" s="384">
        <f ca="1">M4-1</f>
        <v>46245</v>
      </c>
      <c r="N5" s="380"/>
      <c r="O5" s="380"/>
      <c r="Q5" s="85"/>
      <c r="R5" s="1"/>
    </row>
    <row r="6" spans="1:18 16382:16383" ht="15" customHeight="1" x14ac:dyDescent="0.35">
      <c r="A6" s="381" t="s">
        <v>94</v>
      </c>
      <c r="B6" s="381"/>
      <c r="C6" s="381"/>
      <c r="F6" s="85"/>
      <c r="G6" s="86"/>
      <c r="J6" s="381" t="s">
        <v>69</v>
      </c>
      <c r="K6" s="381"/>
      <c r="L6" s="381"/>
      <c r="M6" s="383" t="s">
        <v>62</v>
      </c>
      <c r="N6" s="383"/>
      <c r="O6" s="38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1" t="s">
        <v>73</v>
      </c>
      <c r="B7" s="381"/>
      <c r="C7" s="381"/>
      <c r="F7" s="85"/>
      <c r="G7" s="86"/>
      <c r="J7" s="381" t="s">
        <v>66</v>
      </c>
      <c r="K7" s="381"/>
      <c r="L7" s="381"/>
      <c r="M7" s="383" t="s">
        <v>70</v>
      </c>
      <c r="N7" s="383"/>
      <c r="O7" s="38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81" t="s">
        <v>67</v>
      </c>
      <c r="K8" s="381"/>
      <c r="L8" s="381"/>
      <c r="M8" s="383" t="s">
        <v>71</v>
      </c>
      <c r="N8" s="383"/>
      <c r="O8" s="383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81" t="s">
        <v>68</v>
      </c>
      <c r="K9" s="381"/>
      <c r="L9" s="381"/>
      <c r="M9" s="383" t="s">
        <v>104</v>
      </c>
      <c r="N9" s="383"/>
      <c r="O9" s="383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81" t="s">
        <v>46</v>
      </c>
      <c r="K10" s="381"/>
      <c r="L10" s="381"/>
      <c r="M10" s="380" t="s">
        <v>47</v>
      </c>
      <c r="N10" s="380"/>
      <c r="O10" s="38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1" t="s">
        <v>48</v>
      </c>
      <c r="K11" s="381"/>
      <c r="L11" s="381"/>
      <c r="M11" s="380" t="s">
        <v>49</v>
      </c>
      <c r="N11" s="380"/>
      <c r="O11" s="38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1" t="s">
        <v>50</v>
      </c>
      <c r="K12" s="381"/>
      <c r="L12" s="381"/>
      <c r="M12" s="380"/>
      <c r="N12" s="380"/>
      <c r="O12" s="38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2" t="s">
        <v>51</v>
      </c>
      <c r="B14" s="333"/>
      <c r="C14" s="336" t="s">
        <v>90</v>
      </c>
      <c r="D14" s="88" t="s">
        <v>52</v>
      </c>
      <c r="E14" s="95" t="s">
        <v>74</v>
      </c>
      <c r="F14" s="115" t="s">
        <v>53</v>
      </c>
      <c r="G14" s="378" t="s">
        <v>54</v>
      </c>
      <c r="H14" s="341"/>
      <c r="I14" s="342" t="s">
        <v>77</v>
      </c>
      <c r="J14" s="340" t="s">
        <v>55</v>
      </c>
      <c r="K14" s="341"/>
      <c r="L14" s="34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4"/>
      <c r="B15" s="335"/>
      <c r="C15" s="33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3"/>
      <c r="J15" s="144" t="s">
        <v>39</v>
      </c>
      <c r="K15" s="145" t="s">
        <v>59</v>
      </c>
      <c r="L15" s="34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8"/>
      <c r="M28" s="355" t="s">
        <v>60</v>
      </c>
      <c r="N28" s="356"/>
      <c r="O28" s="139">
        <f>I25</f>
        <v>1452.8</v>
      </c>
    </row>
    <row r="29" spans="1:18 16383:16383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1"/>
      <c r="M29" s="357" t="s">
        <v>85</v>
      </c>
      <c r="N29" s="358"/>
      <c r="O29" s="140">
        <f>K25</f>
        <v>0</v>
      </c>
    </row>
    <row r="30" spans="1:18 16383:16383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1"/>
      <c r="M30" s="357" t="s">
        <v>86</v>
      </c>
      <c r="N30" s="358"/>
      <c r="O30" s="140">
        <f>J25</f>
        <v>50.848000000000006</v>
      </c>
    </row>
    <row r="31" spans="1:18 16383:16383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1"/>
      <c r="L31" s="131"/>
      <c r="M31" s="357" t="s">
        <v>87</v>
      </c>
      <c r="N31" s="358"/>
      <c r="O31" s="140">
        <f>O28-O29-O30</f>
        <v>1401.952</v>
      </c>
    </row>
    <row r="32" spans="1:18 16383:16383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1"/>
      <c r="L33" s="131"/>
      <c r="M33" s="359" t="s">
        <v>76</v>
      </c>
      <c r="N33" s="360"/>
      <c r="O33" s="140">
        <f>O31+O32</f>
        <v>1710.3814400000001</v>
      </c>
    </row>
    <row r="34" spans="2:15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1" t="s">
        <v>88</v>
      </c>
      <c r="N35" s="362"/>
      <c r="O35" s="141">
        <f>O28-O29+O31+O34</f>
        <v>2897.511536</v>
      </c>
    </row>
    <row r="36" spans="2:15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1" t="s">
        <v>439</v>
      </c>
      <c r="E1" s="324" t="s">
        <v>58</v>
      </c>
      <c r="F1" s="324"/>
      <c r="G1" s="325" t="s">
        <v>440</v>
      </c>
      <c r="H1" s="325"/>
      <c r="I1" s="392" t="s">
        <v>441</v>
      </c>
      <c r="J1" s="392"/>
      <c r="K1" s="392" t="s">
        <v>442</v>
      </c>
      <c r="L1" s="392"/>
      <c r="M1" s="388" t="s">
        <v>484</v>
      </c>
      <c r="N1" s="389"/>
      <c r="O1" s="390"/>
    </row>
    <row r="2" spans="3:24" ht="29" x14ac:dyDescent="0.35">
      <c r="C2" s="324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5" t="s">
        <v>58</v>
      </c>
      <c r="F7" s="395"/>
      <c r="G7" s="396" t="s">
        <v>440</v>
      </c>
      <c r="H7" s="325"/>
      <c r="I7" s="326" t="s">
        <v>441</v>
      </c>
      <c r="J7" s="327"/>
      <c r="K7" s="326" t="s">
        <v>442</v>
      </c>
      <c r="L7" s="327"/>
      <c r="M7" s="388" t="s">
        <v>484</v>
      </c>
      <c r="N7" s="389"/>
      <c r="O7" s="390"/>
      <c r="P7" s="256" t="s">
        <v>475</v>
      </c>
      <c r="Q7" s="242" t="s">
        <v>473</v>
      </c>
      <c r="R7" s="391" t="s">
        <v>475</v>
      </c>
      <c r="S7" s="391" t="s">
        <v>485</v>
      </c>
      <c r="T7" s="397" t="s">
        <v>486</v>
      </c>
      <c r="U7" s="397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6"/>
      <c r="U8" s="39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88" t="s">
        <v>484</v>
      </c>
      <c r="N13" s="389"/>
      <c r="O13" s="390"/>
      <c r="P13" s="256" t="s">
        <v>475</v>
      </c>
      <c r="Q13" s="242" t="s">
        <v>473</v>
      </c>
      <c r="R13" s="391" t="s">
        <v>475</v>
      </c>
      <c r="S13" s="391" t="s">
        <v>485</v>
      </c>
      <c r="T13" s="397" t="s">
        <v>486</v>
      </c>
      <c r="U13" s="397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6"/>
      <c r="U14" s="39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88" t="s">
        <v>484</v>
      </c>
      <c r="N20" s="389"/>
      <c r="O20" s="390"/>
      <c r="P20" s="256" t="s">
        <v>475</v>
      </c>
      <c r="Q20" s="242" t="s">
        <v>473</v>
      </c>
      <c r="R20" s="391" t="s">
        <v>475</v>
      </c>
      <c r="S20" s="391" t="s">
        <v>485</v>
      </c>
      <c r="T20" s="397" t="s">
        <v>486</v>
      </c>
      <c r="U20" s="397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6"/>
      <c r="U21" s="39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88" t="s">
        <v>484</v>
      </c>
      <c r="N27" s="389"/>
      <c r="O27" s="390"/>
      <c r="P27" s="256" t="s">
        <v>475</v>
      </c>
      <c r="Q27" s="242" t="s">
        <v>473</v>
      </c>
      <c r="R27" s="391" t="s">
        <v>475</v>
      </c>
      <c r="S27" s="391" t="s">
        <v>485</v>
      </c>
      <c r="T27" s="397" t="s">
        <v>486</v>
      </c>
      <c r="U27" s="397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6"/>
      <c r="U28" s="39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1" t="s">
        <v>439</v>
      </c>
      <c r="D1" s="324" t="s">
        <v>58</v>
      </c>
      <c r="E1" s="324"/>
      <c r="F1" s="325" t="s">
        <v>440</v>
      </c>
      <c r="G1" s="325"/>
      <c r="H1" s="392" t="s">
        <v>441</v>
      </c>
      <c r="I1" s="392"/>
      <c r="J1" s="392" t="s">
        <v>442</v>
      </c>
      <c r="K1" s="392"/>
      <c r="L1" s="388" t="s">
        <v>484</v>
      </c>
      <c r="M1" s="389"/>
      <c r="N1" s="390"/>
    </row>
    <row r="2" spans="2:17" ht="29" x14ac:dyDescent="0.35">
      <c r="B2" s="324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2026-08-11T11:33:15Z</dcterms:modified>
</cp:coreProperties>
</file>