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8D0CB3B-08C9-459A-8681-4CB510E8C01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<sst xmlns="http://schemas.openxmlformats.org/spreadsheetml/2006/main" count="3975" uniqueCount="524">
  <si>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</si>
  <si>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</si>
  <si>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</si>
  <si>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</si>
  <si>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</si>
  <si>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</si>
  <si>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</si>
  <si>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</si>
  <si>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</si>
  <si>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</si>
  <si>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</si>
  <si>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</si>
  <si>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</si>
  <si>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</si>
  <si>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</si>
  <si>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</si>
  <si>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</si>
  <si>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</si>
  <si>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</si>
  <si>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</si>
  <si>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</si>
  <si>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</si>
  <si>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</si>
  <si>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</si>
  <si>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</si>
  <si>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</si>
  <si>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</si>
  <si>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</si>
  <si>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</si>
  <si>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</si>
  <si>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</si>
  <si>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</si>
  <si>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</si>
  <si>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</si>
  <si>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</si>
  <si>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</si>
  <si>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</si>
  <si>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</si>
  <si>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</si>
  <si>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</si>
  <si>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</si>
  <si>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</si>
  <si>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</si>
  <si>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</si>
  <si>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</si>
  <si>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</si>
  <si>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</si>
  <si>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</si>
  <si>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</si>
  <si>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</si>
  <si>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</si>
  <si>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</si>
  <si>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</si>
  <si>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</si>
  <si>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</si>
  <si>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</si>
  <si>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</si>
  <si>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</si>
  <si>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</si>
  <si>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</si>
  <si>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</si>
  <si>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</si>
  <si>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</si>
  <si>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</si>
  <si>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</si>
  <si>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</si>
  <si>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</si>
  <si>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</si>
  <si>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</si>
  <si>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</si>
  <si>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</si>
  <si>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</si>
  <si>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</si>
  <si>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</si>
  <si>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</si>
  <si>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</si>
  <si>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</si>
  <si>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</si>
  <si>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</si>
  <si>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</si>
  <si>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</si>
  <si>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</si>
  <si>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</si>
  <si>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</si>
  <si>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</si>
  <si>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</si>
  <si>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</si>
  <si>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</si>
  <si>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</si>
  <si>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</si>
  <si>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</si>
  <si>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</si>
  <si>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</si>
  <si>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</si>
  <si>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</si>
  <si>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</si>
  <si>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</si>
  <si>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</si>
  <si>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</si>
  <si>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</si>
  <si>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</si>
  <si>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</si>
  <si>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</si>
  <si>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</si>
  <si>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</si>
  <si>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</si>
  <si>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</si>
  <si>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</si>
  <si>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</si>
  <si>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</si>
  <si>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</si>
  <si>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</si>
  <si>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</si>
  <si>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</si>
  <si>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</si>
  <si>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</si>
  <si>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</si>
  <si>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</si>
  <si>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</si>
  <si>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</si>
  <si>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</si>
  <si>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</si>
  <si>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</si>
  <si>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</si>
  <si>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</si>
  <si>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</si>
  <si>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</si>
  <si>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</si>
  <si>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</si>
  <si>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</si>
  <si>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</si>
  <si>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</si>
  <si>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</si>
  <si>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</si>
  <si>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</si>
  <si>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</si>
  <si>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</si>
  <si>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</si>
  <si>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</si>
  <si>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</si>
  <si>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</si>
  <si>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</si>
  <si>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</si>
  <si>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</si>
  <si>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</si>
  <si>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</si>
  <si>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</si>
  <si>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</si>
  <si>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</si>
  <si>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</si>
  <si>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</si>
  <si>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</si>
  <si>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</si>
  <si>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</si>
  <si>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</si>
  <si>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</si>
  <si>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</si>
  <si>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</si>
  <si>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</si>
  <si>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</si>
  <si>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</si>
  <si>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</si>
  <si>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</si>
  <si>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</si>
  <si>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</si>
  <si>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</si>
  <si>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</si>
  <si>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</si>
  <si>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</si>
  <si>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</si>
  <si>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</si>
  <si>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</si>
  <si>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</si>
  <si>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</si>
  <si>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</si>
  <si>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</si>
  <si>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</si>
  <si>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</si>
  <si>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</si>
  <si>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</si>
  <si>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</si>
  <si>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</si>
  <si>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</si>
  <si>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</si>
  <si>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</si>
  <si>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</si>
  <si>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</si>
  <si>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</si>
  <si>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</si>
  <si>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</si>
  <si>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</si>
  <si>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</si>
  <si>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</si>
  <si>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</si>
  <si>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</si>
  <si>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</si>
  <si>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</si>
  <si>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</si>
  <si>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</si>
  <si>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</si>
  <si>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</si>
  <si>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</si>
  <si>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</si>
  <si>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</si>
  <si>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</si>
  <si>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</si>
  <si>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</si>
  <si>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</si>
  <si>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</si>
  <si>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</si>
  <si>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</si>
  <si>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</si>
  <si>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</si>
  <si>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</si>
  <si>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</si>
  <si>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</si>
  <si>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</si>
  <si>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</si>
  <si>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</si>
  <si>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</si>
  <si>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</si>
  <si>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</si>
  <si>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</si>
  <si>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</si>
  <si>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</si>
  <si>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</si>
  <si>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</si>
  <si>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</si>
  <si>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</si>
  <si>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</si>
  <si>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</si>
  <si>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</si>
  <si>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</si>
  <si>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</si>
  <si>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</si>
  <si>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</si>
  <si>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</si>
  <si>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</si>
  <si>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</si>
  <si>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</si>
  <si>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</si>
  <si>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</si>
  <si>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</si>
  <si>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</si>
  <si>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</si>
  <si>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</si>
  <si>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</si>
  <si>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</si>
  <si>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</si>
  <si>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</si>
  <si>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</si>
  <si>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</si>
  <si>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</si>
  <si>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</si>
  <si>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</si>
  <si>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</si>
  <si>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</si>
  <si>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</si>
  <si>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</si>
  <si>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</si>
  <si>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</si>
  <si>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</si>
  <si>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</si>
  <si>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</si>
  <si>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</si>
  <si>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</si>
  <si>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</si>
  <si>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</si>
  <si>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</si>
  <si>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</si>
  <si>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</si>
  <si>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</si>
  <si>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</si>
  <si>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</si>
  <si>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</si>
  <si>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</si>
  <si>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</si>
  <si>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</si>
  <si>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</si>
  <si>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</si>
  <si>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</si>
  <si>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</si>
  <si>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</si>
  <si>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</si>
  <si>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</si>
  <si>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</si>
  <si>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</si>
  <si>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</si>
  <si>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</si>
  <si>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</si>
  <si>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</si>
  <si>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</si>
  <si>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</si>
  <si>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</si>
  <si>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</si>
  <si>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</si>
  <si>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</si>
  <si>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</si>
  <si>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</si>
  <si>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</si>
  <si>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</si>
  <si>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</si>
  <si>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</si>
  <si>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</si>
  <si>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</si>
  <si>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</si>
  <si>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</si>
  <si>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</si>
  <si>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</si>
  <si>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</si>
  <si>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</si>
  <si>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</si>
  <si>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</si>
  <si>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</si>
  <si>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</si>
  <si>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</si>
  <si>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</si>
  <si>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</si>
  <si>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</si>
  <si>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</si>
  <si>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</si>
  <si>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</si>
  <si>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</si>
  <si>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</si>
  <si>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</si>
  <si>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</si>
  <si>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</si>
  <si>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</si>
  <si>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</si>
  <si>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</si>
  <si>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</si>
  <si>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</si>
  <si>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</si>
  <si>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</si>
  <si>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</si>
  <si>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</si>
  <si>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</si>
  <si>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</si>
  <si>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</si>
  <si>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</si>
  <si>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</si>
  <si>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</si>
  <si>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</si>
  <si>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</si>
  <si>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</si>
  <si>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</si>
  <si>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</si>
  <si>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</si>
  <si>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</si>
  <si>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</si>
  <si>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</si>
  <si>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</si>
  <si>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</si>
  <si>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</si>
  <si>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</si>
  <si>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</si>
  <si>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</si>
  <si>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</si>
  <si>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</si>
  <si>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</si>
  <si>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</si>
  <si>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</si>
  <si>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</si>
  <si>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</si>
  <si>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</si>
  <si>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</si>
  <si>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</si>
  <si>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</si>
  <si>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</si>
  <si>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</si>
  <si>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</si>
  <si>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</si>
  <si>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</si>
  <si>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</si>
  <si>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</si>
  <si>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</si>
  <si>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</si>
  <si>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</si>
  <si>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</si>
  <si>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</si>
  <si>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</si>
  <si>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</si>
  <si>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</si>
  <si>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</si>
  <si>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</si>
  <si>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</si>
  <si>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</si>
  <si>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</si>
  <si>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</si>
  <si>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</si>
  <si>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</si>
  <si>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</si>
  <si>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</si>
  <si>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</si>
  <si>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</si>
  <si>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</si>
  <si>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</si>
  <si>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</si>
  <si>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</si>
  <si>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</si>
  <si>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</si>
  <si>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</si>
  <si>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</si>
  <si>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</si>
  <si>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</si>
  <si>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</si>
  <si>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</si>
  <si>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</si>
  <si>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</si>
  <si>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</si>
  <si>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</si>
  <si>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</si>
  <si>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</si>
  <si>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</si>
  <si>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</si>
  <si>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</si>
  <si>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</si>
  <si>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</si>
  <si>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</si>
  <si>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</si>
  <si>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</si>
  <si>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</si>
  <si>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</si>
  <si>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</si>
  <si>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</si>
  <si>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</si>
  <si>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</si>
  <si>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</si>
  <si>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</si>
  <si>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</si>
  <si>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</si>
  <si>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</si>
  <si>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</si>
  <si>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</si>
  <si>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</si>
  <si>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</si>
  <si>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</si>
  <si>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</si>
  <si>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</si>
  <si>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</si>
  <si>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</si>
  <si>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</si>
  <si>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</si>
  <si>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</si>
  <si>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</si>
  <si>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</si>
  <si>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</si>
  <si>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</si>
  <si>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</si>
  <si>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</si>
  <si>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</si>
  <si>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</si>
  <si>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</si>
  <si>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</si>
  <si>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</si>
  <si>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</si>
  <si>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</si>
  <si>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</si>
  <si>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</si>
  <si>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</si>
  <si>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</si>
  <si>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</si>
  <si>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</si>
  <si>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</si>
  <si>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</si>
  <si>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</si>
  <si>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</si>
  <si>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</si>
  <si>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</si>
  <si>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</si>
  <si>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</si>
  <si>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</si>
  <si>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</si>
  <si>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</si>
  <si>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</si>
  <si>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</si>
  <si>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</si>
  <si>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</si>
  <si>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</si>
  <si>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</si>
  <si>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</si>
  <si>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</si>
  <si>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</si>
  <si>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</si>
  <si>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</si>
  <si>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</si>
  <si>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</si>
  <si>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</si>
  <si>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</si>
  <si>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</si>
  <si>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</si>
  <si>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</si>
  <si>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</si>
  <si>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</si>
  <si>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</si>
  <si>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</si>
  <si>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</si>
  <si>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</si>
  <si>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</si>
  <si>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</si>
  <si>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</si>
  <si>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</si>
  <si>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</si>
  <si>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</si>
  <si>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</si>
  <si>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</si>
  <si>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</si>
  <si>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</si>
  <si>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</si>
  <si>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</si>
  <si>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</si>
  <si>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</si>
  <si>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</si>
  <si>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Salman</t>
  </si>
  <si>
    <t>Basic Store</t>
  </si>
  <si>
    <t>Address: Zafer Ali Road</t>
  </si>
  <si>
    <t xml:space="preserve">Shell Tuck Shop </t>
  </si>
  <si>
    <t>Address:Zafer Ali Road</t>
  </si>
  <si>
    <t xml:space="preserve">Shell Select </t>
  </si>
  <si>
    <t>Shell Select 2</t>
  </si>
  <si>
    <t>Shazad Store</t>
  </si>
  <si>
    <t>Adnan Store</t>
  </si>
  <si>
    <t>Bilal Store</t>
  </si>
  <si>
    <t>Butt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</si>
</sst>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513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v>46237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Basic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Shell Tuck Shop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Shell Select </v>
      </c>
      <c r="T5" s="301">
        <f>+'3'!P35</f>
        <v>3237.2837060338979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Shell Select 2</v>
      </c>
      <c r="T6" s="301">
        <f>+'4'!P35</f>
        <v>15607.915834423729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64</v>
      </c>
      <c r="I7" s="235">
        <f>(G7*D7)*F7+H7*F7</f>
        <v>3357.6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268.608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117.51600000000001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2971.4759999999997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634.57627118644041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18.030261355932204</v>
      </c>
      <c r="P7" s="310">
        <f>M7+N7+O7</f>
        <v>3624.0825325423721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Shazad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Adnan Store</v>
      </c>
      <c r="T8" s="301">
        <f>+'6'!P35</f>
        <v>1984.9726672627114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Bilal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28</v>
      </c>
      <c r="R10" s="314">
        <v>8</v>
      </c>
      <c r="S10" s="300" t="str">
        <f>+'8'!A6:A6</f>
        <v>Butt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65</v>
      </c>
      <c r="I11" s="236">
        <f t="shared" si="0"/>
        <v>4721.6000000000004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165.25600000000003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4178.616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892.37288135593224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25.354944406779662</v>
      </c>
      <c r="P11" s="311">
        <f t="shared" si="2"/>
        <v>5096.3438257627113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22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75</v>
      </c>
      <c r="I12" s="236">
        <f t="shared" si="0"/>
        <v>5448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190.68000000000004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4821.4799999999996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1029.6610169491526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29.255705084745763</v>
      </c>
      <c r="P12" s="311">
        <f t="shared" si="2"/>
        <v>5880.3967220338973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135</v>
      </c>
      <c r="I13" s="236">
        <f t="shared" si="0"/>
        <v>5296.05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264.80250000000007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185.36175000000003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270.09854999999999</v>
      </c>
      <c r="M13" s="230">
        <f t="shared" si="1"/>
        <v>4575.7871999999998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1029.6610169491519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28.027241084745764</v>
      </c>
      <c r="P13" s="311">
        <f t="shared" si="2"/>
        <v>5633.4754580338968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11.475</v>
      </c>
      <c r="H16" s="113">
        <f t="shared" ref="H16:M16" si="3">SUM(H7:H15)</f>
        <v>459</v>
      </c>
      <c r="I16" s="114">
        <f t="shared" si="3"/>
        <v>26732.95</v>
      </c>
      <c r="J16" s="274">
        <f>SUM(J7:J15)</f>
        <v>1979.7545</v>
      </c>
      <c r="K16" s="275">
        <f t="shared" si="3"/>
        <v>935.65325000000007</v>
      </c>
      <c r="L16" s="276">
        <f t="shared" si="3"/>
        <v>270.09854999999999</v>
      </c>
      <c r="M16" s="232">
        <f t="shared" si="3"/>
        <v>23547.443699999996</v>
      </c>
      <c r="N16" s="233">
        <f>SUM(N7:N15)</f>
        <v>5081.1864406779659</v>
      </c>
      <c r="O16" s="101">
        <f>SUM(O7:O15)</f>
        <v>143.14315070338984</v>
      </c>
      <c r="P16" s="113">
        <f>SUM(P7:P15)</f>
        <v>28771.773291381349</v>
      </c>
      <c r="Q16" s="128">
        <f>SUM(Q7:Q15)</f>
        <v>80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26732.95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1979.7545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1205.7518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23547.443700000003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5081.1864406779659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28628.630140677968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143.14315070338984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28771.773291381356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28771.77329138136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2" workbookViewId="0">
      <selection activeCell="R19" sqref="R19:R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8.7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60</v>
      </c>
      <c r="I25" s="114">
        <f t="shared" si="7"/>
        <v>3022</v>
      </c>
      <c r="J25" s="274">
        <f>SUM(J16:J24)</f>
        <v>194.68400000000003</v>
      </c>
      <c r="K25" s="275">
        <f t="shared" si="7"/>
        <v>105.77000000000001</v>
      </c>
      <c r="L25" s="276">
        <f t="shared" si="7"/>
        <v>80.029200000000003</v>
      </c>
      <c r="M25" s="232">
        <f t="shared" si="7"/>
        <v>2641.5168000000003</v>
      </c>
      <c r="N25" s="233">
        <f>SUM(N16:N24)</f>
        <v>579.66101694915233</v>
      </c>
      <c r="O25" s="101">
        <f>SUM(O16:O24)</f>
        <v>16.105889084745762</v>
      </c>
      <c r="P25" s="113">
        <f>SUM(P16:P24)</f>
        <v>3237.2837060338984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3022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194.68400000000003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185.79920000000001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2641.5167999999999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579.66101694915233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3221.1778169491522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16.105889084745762</v>
      </c>
    </row>
    <row r="35" spans="2:16" ht="15.75" customHeight="1" thickBot="1" x14ac:dyDescent="0.4">
      <c r="N35" s="371" t="s">
        <v>88</v>
      </c>
      <c r="O35" s="372"/>
      <c r="P35" s="297">
        <f>+P33+P34</f>
        <v>3237.2837060338979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240</v>
      </c>
      <c r="I25" s="114">
        <f t="shared" si="7"/>
        <v>14483.000000000002</v>
      </c>
      <c r="J25" s="274">
        <f>SUM(J16:J24)</f>
        <v>1111.5640000000001</v>
      </c>
      <c r="K25" s="275">
        <f t="shared" si="7"/>
        <v>506.90500000000009</v>
      </c>
      <c r="L25" s="276">
        <f t="shared" si="7"/>
        <v>80.029200000000003</v>
      </c>
      <c r="M25" s="232">
        <f t="shared" si="7"/>
        <v>12784.501800000002</v>
      </c>
      <c r="N25" s="233">
        <f>SUM(N16:N24)</f>
        <v>2745.7627118644059</v>
      </c>
      <c r="O25" s="101">
        <f>SUM(O16:O24)</f>
        <v>77.651322559322026</v>
      </c>
      <c r="P25" s="113">
        <f>SUM(P16:P24)</f>
        <v>15607.915834423729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14483.000000000002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1111.5640000000001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586.93420000000015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12784.501800000002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2745.7627118644059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15530.264511864407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77.65132255932204</v>
      </c>
    </row>
    <row r="35" spans="2:16" ht="15.75" customHeight="1" thickBot="1" x14ac:dyDescent="0.4">
      <c r="N35" s="371" t="s">
        <v>88</v>
      </c>
      <c r="O35" s="372"/>
      <c r="P35" s="297">
        <f>+P33+P34</f>
        <v>15607.915834423729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24</v>
      </c>
      <c r="I16" s="235">
        <f>(G16*D16)*F16+H16*F16</f>
        <v>1259.0999999999999</v>
      </c>
      <c r="J16" s="271">
        <f>$I16*S16</f>
        <v>100.72799999999999</v>
      </c>
      <c r="K16" s="127">
        <f>$I16*T16</f>
        <v>44.0685</v>
      </c>
      <c r="L16" s="118">
        <f>$I16*U16</f>
        <v>0</v>
      </c>
      <c r="M16" s="229">
        <f>I16-SUM(J16:L16)</f>
        <v>1114.3035</v>
      </c>
      <c r="N16" s="248">
        <f>+(G16*D16+H16)*V16</f>
        <v>237.96610169491515</v>
      </c>
      <c r="O16" s="238">
        <f>(N16+M16)*$O$15</f>
        <v>6.7613480084745756</v>
      </c>
      <c r="P16" s="310">
        <f>M16+N16+O16</f>
        <v>1359.0309497033898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311">
        <f t="shared" si="5"/>
        <v>625.941717559322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39</v>
      </c>
      <c r="I25" s="114">
        <f t="shared" si="7"/>
        <v>1847.55</v>
      </c>
      <c r="J25" s="274">
        <f>SUM(J16:J24)</f>
        <v>130.15049999999999</v>
      </c>
      <c r="K25" s="275">
        <f t="shared" si="7"/>
        <v>64.66425000000001</v>
      </c>
      <c r="L25" s="276">
        <f t="shared" si="7"/>
        <v>30.010950000000001</v>
      </c>
      <c r="M25" s="232">
        <f t="shared" si="7"/>
        <v>1622.7243000000001</v>
      </c>
      <c r="N25" s="233">
        <f>SUM(N16:N24)</f>
        <v>352.37288135593201</v>
      </c>
      <c r="O25" s="101">
        <f>SUM(O16:O24)</f>
        <v>9.8754859067796605</v>
      </c>
      <c r="P25" s="113">
        <f>SUM(P16:P24)</f>
        <v>1984.9726672627116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1847.55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130.15049999999999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94.675200000000018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1622.7242999999999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352.37288135593201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1975.0971813559318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9.8754859067796588</v>
      </c>
    </row>
    <row r="35" spans="2:16" ht="15.75" customHeight="1" thickBot="1" x14ac:dyDescent="0.4">
      <c r="N35" s="371" t="s">
        <v>88</v>
      </c>
      <c r="O35" s="372"/>
      <c r="P35" s="297">
        <f>+P33+P34</f>
        <v>1984.9726672627114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activeCell="H18" sqref="H18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2026-08-03T11:58:41Z</dcterms:modified>
</cp:coreProperties>
</file>