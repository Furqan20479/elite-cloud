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52FFF41-AFBE-4EC2-B986-5F37D5A8F3E7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<sst xmlns="http://schemas.openxmlformats.org/spreadsheetml/2006/main" count="3975" uniqueCount="527">
  <si>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</si>
  <si>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</si>
  <si>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</si>
  <si>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</si>
  <si>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</si>
  <si>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</si>
  <si>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</si>
  <si>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</si>
  <si>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</si>
  <si>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</si>
  <si>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</si>
  <si>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</si>
  <si>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</si>
  <si>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</si>
  <si>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</si>
  <si>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</si>
  <si>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</si>
  <si>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</si>
  <si>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</si>
  <si>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</si>
  <si>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</si>
  <si>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</si>
  <si>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</si>
  <si>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</si>
  <si>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</si>
  <si>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</si>
  <si>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</si>
  <si>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</si>
  <si>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</si>
  <si>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</si>
  <si>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</si>
  <si>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</si>
  <si>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</si>
  <si>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</si>
  <si>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</si>
  <si>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</si>
  <si>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</si>
  <si>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</si>
  <si>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</si>
  <si>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</si>
  <si>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</si>
  <si>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</si>
  <si>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</si>
  <si>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</si>
  <si>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</si>
  <si>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</si>
  <si>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</si>
  <si>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</si>
  <si>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</si>
  <si>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</si>
  <si>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</si>
  <si>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</si>
  <si>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</si>
  <si>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</si>
  <si>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</si>
  <si>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</si>
  <si>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</si>
  <si>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</si>
  <si>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</si>
  <si>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</si>
  <si>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</si>
  <si>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</si>
  <si>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</si>
  <si>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</si>
  <si>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</si>
  <si>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</si>
  <si>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</si>
  <si>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</si>
  <si>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</si>
  <si>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</si>
  <si>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</si>
  <si>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</si>
  <si>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</si>
  <si>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</si>
  <si>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</si>
  <si>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</si>
  <si>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</si>
  <si>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</si>
  <si>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</si>
  <si>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</si>
  <si>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</si>
  <si>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</si>
  <si>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</si>
  <si>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</si>
  <si>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</si>
  <si>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</si>
  <si>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</si>
  <si>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</si>
  <si>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</si>
  <si>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</si>
  <si>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</si>
  <si>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</si>
  <si>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</si>
  <si>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</si>
  <si>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</si>
  <si>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</si>
  <si>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</si>
  <si>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</si>
  <si>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</si>
  <si>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</si>
  <si>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</si>
  <si>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</si>
  <si>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</si>
  <si>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</si>
  <si>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</si>
  <si>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</si>
  <si>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</si>
  <si>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</si>
  <si>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</si>
  <si>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</si>
  <si>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</si>
  <si>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</si>
  <si>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</si>
  <si>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</si>
  <si>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</si>
  <si>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</si>
  <si>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</si>
  <si>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</si>
  <si>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</si>
  <si>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</si>
  <si>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</si>
  <si>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</si>
  <si>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</si>
  <si>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</si>
  <si>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</si>
  <si>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</si>
  <si>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</si>
  <si>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</si>
  <si>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</si>
  <si>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</si>
  <si>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</si>
  <si>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</si>
  <si>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</si>
  <si>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</si>
  <si>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</si>
  <si>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</si>
  <si>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</si>
  <si>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</si>
  <si>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</si>
  <si>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</si>
  <si>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</si>
  <si>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</si>
  <si>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</si>
  <si>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</si>
  <si>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</si>
  <si>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</si>
  <si>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</si>
  <si>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</si>
  <si>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</si>
  <si>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</si>
  <si>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</si>
  <si>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</si>
  <si>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</si>
  <si>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</si>
  <si>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</si>
  <si>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</si>
  <si>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</si>
  <si>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</si>
  <si>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</si>
  <si>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</si>
  <si>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</si>
  <si>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</si>
  <si>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</si>
  <si>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</si>
  <si>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</si>
  <si>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</si>
  <si>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</si>
  <si>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</si>
  <si>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</si>
  <si>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</si>
  <si>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</si>
  <si>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</si>
  <si>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</si>
  <si>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</si>
  <si>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</si>
  <si>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</si>
  <si>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</si>
  <si>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</si>
  <si>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</si>
  <si>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</si>
  <si>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</si>
  <si>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</si>
  <si>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</si>
  <si>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</si>
  <si>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</si>
  <si>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</si>
  <si>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</si>
  <si>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</si>
  <si>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</si>
  <si>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</si>
  <si>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</si>
  <si>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</si>
  <si>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</si>
  <si>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</si>
  <si>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</si>
  <si>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</si>
  <si>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</si>
  <si>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</si>
  <si>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</si>
  <si>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</si>
  <si>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</si>
  <si>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</si>
  <si>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</si>
  <si>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</si>
  <si>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</si>
  <si>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</si>
  <si>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</si>
  <si>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</si>
  <si>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</si>
  <si>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</si>
  <si>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</si>
  <si>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</si>
  <si>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</si>
  <si>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</si>
  <si>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</si>
  <si>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</si>
  <si>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</si>
  <si>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</si>
  <si>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</si>
  <si>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</si>
  <si>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</si>
  <si>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</si>
  <si>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</si>
  <si>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</si>
  <si>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</si>
  <si>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</si>
  <si>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</si>
  <si>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</si>
  <si>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</si>
  <si>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</si>
  <si>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</si>
  <si>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</si>
  <si>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</si>
  <si>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</si>
  <si>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</si>
  <si>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</si>
  <si>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</si>
  <si>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</si>
  <si>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</si>
  <si>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</si>
  <si>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</si>
  <si>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</si>
  <si>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</si>
  <si>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</si>
  <si>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</si>
  <si>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</si>
  <si>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</si>
  <si>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</si>
  <si>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</si>
  <si>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</si>
  <si>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</si>
  <si>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</si>
  <si>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</si>
  <si>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</si>
  <si>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</si>
  <si>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</si>
  <si>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</si>
  <si>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</si>
  <si>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</si>
  <si>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</si>
  <si>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</si>
  <si>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</si>
  <si>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</si>
  <si>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</si>
  <si>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</si>
  <si>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</si>
  <si>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</si>
  <si>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</si>
  <si>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</si>
  <si>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</si>
  <si>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</si>
  <si>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</si>
  <si>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</si>
  <si>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</si>
  <si>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</si>
  <si>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</si>
  <si>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</si>
  <si>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</si>
  <si>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</si>
  <si>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</si>
  <si>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</si>
  <si>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</si>
  <si>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</si>
  <si>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</si>
  <si>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</si>
  <si>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</si>
  <si>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</si>
  <si>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</si>
  <si>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</si>
  <si>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</si>
  <si>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</si>
  <si>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</si>
  <si>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</si>
  <si>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</si>
  <si>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</si>
  <si>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</si>
  <si>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</si>
  <si>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</si>
  <si>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</si>
  <si>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</si>
  <si>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</si>
  <si>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</si>
  <si>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</si>
  <si>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</si>
  <si>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</si>
  <si>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</si>
  <si>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</si>
  <si>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</si>
  <si>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</si>
  <si>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</si>
  <si>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</si>
  <si>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</si>
  <si>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</si>
  <si>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</si>
  <si>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</si>
  <si>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</si>
  <si>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</si>
  <si>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</si>
  <si>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</si>
  <si>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</si>
  <si>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</si>
  <si>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</si>
  <si>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</si>
  <si>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</si>
  <si>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</si>
  <si>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</si>
  <si>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</si>
  <si>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</si>
  <si>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</si>
  <si>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</si>
  <si>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</si>
  <si>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</si>
  <si>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</si>
  <si>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</si>
  <si>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</si>
  <si>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</si>
  <si>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</si>
  <si>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</si>
  <si>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</si>
  <si>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</si>
  <si>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</si>
  <si>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</si>
  <si>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</si>
  <si>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</si>
  <si>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</si>
  <si>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</si>
  <si>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</si>
  <si>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</si>
  <si>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</si>
  <si>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</si>
  <si>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</si>
  <si>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</si>
  <si>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</si>
  <si>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</si>
  <si>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</si>
  <si>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</si>
  <si>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</si>
  <si>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</si>
  <si>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</si>
  <si>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</si>
  <si>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</si>
  <si>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</si>
  <si>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</si>
  <si>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</si>
  <si>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</si>
  <si>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</si>
  <si>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</si>
  <si>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</si>
  <si>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</si>
  <si>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</si>
  <si>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</si>
  <si>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</si>
  <si>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</si>
  <si>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</si>
  <si>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</si>
  <si>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</si>
  <si>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</si>
  <si>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</si>
  <si>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</si>
  <si>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</si>
  <si>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</si>
  <si>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</si>
  <si>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</si>
  <si>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</si>
  <si>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</si>
  <si>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</si>
  <si>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</si>
  <si>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</si>
  <si>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</si>
  <si>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</si>
  <si>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</si>
  <si>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</si>
  <si>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</si>
  <si>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</si>
  <si>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</si>
  <si>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</si>
  <si>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</si>
  <si>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</si>
  <si>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</si>
  <si>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</si>
  <si>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</si>
  <si>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</si>
  <si>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</si>
  <si>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</si>
  <si>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</si>
  <si>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</si>
  <si>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</si>
  <si>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</si>
  <si>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</si>
  <si>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</si>
  <si>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</si>
  <si>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</si>
  <si>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</si>
  <si>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</si>
  <si>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</si>
  <si>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</si>
  <si>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</si>
  <si>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</si>
  <si>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</si>
  <si>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</si>
  <si>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</si>
  <si>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</si>
  <si>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</si>
  <si>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</si>
  <si>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</si>
  <si>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</si>
  <si>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</si>
  <si>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</si>
  <si>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</si>
  <si>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</si>
  <si>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</si>
  <si>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</si>
  <si>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</si>
  <si>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</si>
  <si>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</si>
  <si>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</si>
  <si>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</si>
  <si>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</si>
  <si>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</si>
  <si>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</si>
  <si>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</si>
  <si>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</si>
  <si>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</si>
  <si>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</si>
  <si>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</si>
  <si>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</si>
  <si>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</si>
  <si>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</si>
  <si>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</si>
  <si>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</si>
  <si>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</si>
  <si>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</si>
  <si>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</si>
  <si>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</si>
  <si>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</si>
  <si>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</si>
  <si>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</si>
  <si>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</si>
  <si>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</si>
  <si>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</si>
  <si>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</si>
  <si>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</si>
  <si>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</si>
  <si>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</si>
  <si>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</si>
  <si>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</si>
  <si>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</si>
  <si>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</si>
  <si>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</si>
  <si>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</si>
  <si>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</si>
  <si>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</si>
  <si>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</si>
  <si>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</si>
  <si>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</si>
  <si>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</si>
  <si>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</si>
  <si>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</si>
  <si>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</si>
  <si>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</si>
  <si>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</si>
  <si>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</si>
  <si>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</si>
  <si>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</si>
  <si>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</si>
  <si>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</si>
  <si>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</si>
  <si>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</si>
  <si>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</si>
  <si>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</si>
  <si>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</si>
  <si>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</si>
  <si>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</si>
  <si>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</si>
  <si>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</si>
  <si>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</si>
  <si>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</si>
  <si>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</si>
  <si>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</si>
  <si>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</si>
  <si>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</si>
  <si>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</si>
  <si>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</si>
  <si>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</si>
  <si>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</si>
  <si>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</si>
  <si>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</si>
  <si>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</si>
  <si>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</si>
  <si>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</si>
  <si>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</si>
  <si>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</si>
  <si>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 xml:space="preserve">Zesahn </t>
  </si>
  <si>
    <t>Fakhir Store</t>
  </si>
  <si>
    <t>Address:Bedian Road</t>
  </si>
  <si>
    <t xml:space="preserve">Mian Bakers </t>
  </si>
  <si>
    <t>Salem Store</t>
  </si>
  <si>
    <t>Malik Store</t>
  </si>
  <si>
    <t xml:space="preserve">Rice Cash &amp; Carry </t>
  </si>
  <si>
    <t xml:space="preserve">Khalil Bakers </t>
  </si>
  <si>
    <t xml:space="preserve">Address:Bedian </t>
  </si>
  <si>
    <t xml:space="preserve">Haji Sweets </t>
  </si>
  <si>
    <t>Mushtaq Store</t>
  </si>
  <si>
    <t>Toheed Store</t>
  </si>
  <si>
    <t>MM Store</t>
  </si>
  <si>
    <t>Rehman Store</t>
  </si>
  <si>
    <t>Iqbal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</si>
</sst>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5" workbookViewId="0">
      <selection activeCell="U10" sqref="U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512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511</v>
      </c>
      <c r="F3" s="387"/>
      <c r="G3" s="387"/>
      <c r="H3" s="384">
        <v>46237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Fakhir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Mian Bakers 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Salem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Malik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310">
        <f>M7+N7+O7</f>
        <v>4530.103165677966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Rice Cash &amp; Carry </v>
      </c>
      <c r="T7" s="301">
        <f>+'5'!P35</f>
        <v>20413.305333000004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73</v>
      </c>
      <c r="I8" s="236">
        <f t="shared" ref="I8:I14" si="0">(G8*D8)*F8+H8*F8</f>
        <v>3829.7624999999998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306.38099999999997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134.04168750000002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3389.3398124999999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723.8135593220336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20.56576685911017</v>
      </c>
      <c r="P8" s="311">
        <f t="shared" ref="P8:P15" si="2">M8+N8+O8</f>
        <v>4133.7191386811437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7</v>
      </c>
      <c r="R8" s="314">
        <v>6</v>
      </c>
      <c r="S8" s="300" t="str">
        <f>+'6'!A6:A6</f>
        <v xml:space="preserve">Khalil Bakers 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Haji Sweets 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110</v>
      </c>
      <c r="I10" s="236">
        <f t="shared" si="0"/>
        <v>7990.4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639.23200000000008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279.66400000000004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7071.503999999999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1510.1694915254238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42.908367457627122</v>
      </c>
      <c r="P10" s="311">
        <f t="shared" si="2"/>
        <v>8624.5818589830506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Mushtaq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110</v>
      </c>
      <c r="I11" s="236">
        <f t="shared" si="0"/>
        <v>7990.4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639.23199999999997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279.66400000000004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7071.5039999999999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1510.1694915254241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42.908367457627129</v>
      </c>
      <c r="P11" s="311">
        <f t="shared" si="2"/>
        <v>8624.5818589830506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Toheed Store</v>
      </c>
      <c r="T11" s="301">
        <f>+'9'!P35</f>
        <v>15211.531807426907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929.79200000000003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10285.824000000001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62.412170847457631</v>
      </c>
      <c r="P12" s="311">
        <f t="shared" si="2"/>
        <v>12544.846340338983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MM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Rehman Store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Iqbal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16.324999999999999</v>
      </c>
      <c r="H16" s="113">
        <f t="shared" ref="H16:M16" si="3">SUM(H7:H15)</f>
        <v>653</v>
      </c>
      <c r="I16" s="114">
        <f t="shared" si="3"/>
        <v>40337.5625</v>
      </c>
      <c r="J16" s="274">
        <f>SUM(J7:J15)</f>
        <v>3085.777</v>
      </c>
      <c r="K16" s="275">
        <f t="shared" si="3"/>
        <v>1411.8146875000002</v>
      </c>
      <c r="L16" s="276">
        <f t="shared" si="3"/>
        <v>240.08760000000001</v>
      </c>
      <c r="M16" s="232">
        <f t="shared" si="3"/>
        <v>35599.883212499997</v>
      </c>
      <c r="N16" s="233">
        <f>SUM(N7:N15)</f>
        <v>7649.2372881355923</v>
      </c>
      <c r="O16" s="101">
        <f>SUM(O7:O15)</f>
        <v>216.24560250317799</v>
      </c>
      <c r="P16" s="113">
        <f>SUM(P7:P15)</f>
        <v>43465.366103138767</v>
      </c>
      <c r="Q16" s="128">
        <f>SUM(Q7:Q15)</f>
        <v>7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40337.5625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3085.777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1651.9022875000003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35599.883212499997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7649.2372881355923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43249.120500635589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216.24560250317799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43465.366103138767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43465.366103138767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8.7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320</v>
      </c>
      <c r="I25" s="114">
        <f t="shared" si="7"/>
        <v>18957.800000000003</v>
      </c>
      <c r="J25" s="274">
        <f>SUM(J16:J24)</f>
        <v>1422.472</v>
      </c>
      <c r="K25" s="275">
        <f t="shared" si="7"/>
        <v>663.52300000000014</v>
      </c>
      <c r="L25" s="276">
        <f t="shared" si="7"/>
        <v>160.05840000000001</v>
      </c>
      <c r="M25" s="232">
        <f t="shared" si="7"/>
        <v>16711.746600000002</v>
      </c>
      <c r="N25" s="233">
        <f>SUM(N16:N24)</f>
        <v>3599.9999999999995</v>
      </c>
      <c r="O25" s="101">
        <f>SUM(O16:O24)</f>
        <v>101.55873299999999</v>
      </c>
      <c r="P25" s="113">
        <f>SUM(P16:P24)</f>
        <v>20413.305333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18957.800000000003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1422.472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823.58140000000014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16711.746600000002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3599.9999999999995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20311.746600000002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101.55873300000002</v>
      </c>
    </row>
    <row r="35" spans="2:16" ht="15.75" customHeight="1" thickBot="1" x14ac:dyDescent="0.4">
      <c r="N35" s="371" t="s">
        <v>88</v>
      </c>
      <c r="O35" s="372"/>
      <c r="P35" s="297">
        <f>+P33+P34</f>
        <v>20413.305333000004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9" workbookViewId="0">
      <selection activeCell="K19" sqref="K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33</v>
      </c>
      <c r="I17" s="236">
        <f t="shared" ref="I17:I23" si="0">(G17*D17)*F17+H17*F17</f>
        <v>1731.2625</v>
      </c>
      <c r="J17" s="272">
        <f t="shared" ref="J17:L24" si="1">$I17*S17</f>
        <v>138.501</v>
      </c>
      <c r="K17" s="128">
        <f>$I17*T17</f>
        <v>60.594187500000004</v>
      </c>
      <c r="L17" s="119">
        <f>$I17*U17</f>
        <v>0</v>
      </c>
      <c r="M17" s="230">
        <f t="shared" ref="M17:M24" si="2">I17-SUM(J17:L17)</f>
        <v>1532.1673125</v>
      </c>
      <c r="N17" s="277">
        <f t="shared" ref="N17:N24" si="3">+(G17*D17+H17)*V17</f>
        <v>327.20338983050834</v>
      </c>
      <c r="O17" s="239">
        <f t="shared" ref="O17:O24" si="4">(N17+M17)*$O$15</f>
        <v>9.2968535116525413</v>
      </c>
      <c r="P17" s="311">
        <f t="shared" ref="P17:P24" si="5">M17+N17+O17</f>
        <v>1868.6675558421607</v>
      </c>
      <c r="Q17" s="156">
        <v>7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233</v>
      </c>
      <c r="I25" s="114">
        <f t="shared" si="7"/>
        <v>14115.762500000001</v>
      </c>
      <c r="J25" s="274">
        <f>SUM(J16:J24)</f>
        <v>1082.1849999999999</v>
      </c>
      <c r="K25" s="275">
        <f t="shared" si="7"/>
        <v>494.05168750000013</v>
      </c>
      <c r="L25" s="276">
        <f t="shared" si="7"/>
        <v>80.029200000000003</v>
      </c>
      <c r="M25" s="232">
        <f t="shared" si="7"/>
        <v>12459.496612500001</v>
      </c>
      <c r="N25" s="233">
        <f>SUM(N16:N24)</f>
        <v>2676.3559322033889</v>
      </c>
      <c r="O25" s="101">
        <f>SUM(O16:O24)</f>
        <v>75.679262723516942</v>
      </c>
      <c r="P25" s="113">
        <f>SUM(P16:P24)</f>
        <v>15211.531807426905</v>
      </c>
      <c r="Q25" s="128">
        <f>SUM(Q16:Q24)</f>
        <v>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14115.762500000001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1082.1849999999999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574.08088750000013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12459.496612500001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2676.3559322033889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15135.85254470339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75.679262723516956</v>
      </c>
    </row>
    <row r="35" spans="2:16" ht="15.75" customHeight="1" thickBot="1" x14ac:dyDescent="0.4">
      <c r="N35" s="371" t="s">
        <v>88</v>
      </c>
      <c r="O35" s="372"/>
      <c r="P35" s="297">
        <f>+P33+P34</f>
        <v>15211.531807426907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46238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46237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2026-08-03T12:01:59Z</dcterms:modified>
</cp:coreProperties>
</file>