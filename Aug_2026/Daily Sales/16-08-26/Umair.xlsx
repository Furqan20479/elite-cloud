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A22B4DF-73F8-41AF-8083-AA644F3079A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<sst xmlns="http://schemas.openxmlformats.org/spreadsheetml/2006/main" count="3978" uniqueCount="525">
  <si>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</si>
  <si>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</si>
  <si>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</si>
  <si>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</si>
  <si>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</si>
  <si>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</si>
  <si>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</si>
  <si>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</si>
  <si>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</si>
  <si>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</si>
  <si>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</si>
  <si>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</si>
  <si>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</si>
  <si>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</si>
  <si>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</si>
  <si>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</si>
  <si>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</si>
  <si>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</si>
  <si>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</si>
  <si>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</si>
  <si>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</si>
  <si>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</si>
  <si>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</si>
  <si>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</si>
  <si>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</si>
  <si>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</si>
  <si>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</si>
  <si>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</si>
  <si>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</si>
  <si>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</si>
  <si>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</si>
  <si>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</si>
  <si>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</si>
  <si>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</si>
  <si>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</si>
  <si>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</si>
  <si>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</si>
  <si>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</si>
  <si>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</si>
  <si>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</si>
  <si>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</si>
  <si>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</si>
  <si>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</si>
  <si>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</si>
  <si>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</si>
  <si>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</si>
  <si>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</si>
  <si>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</si>
  <si>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</si>
  <si>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</si>
  <si>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</si>
  <si>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</si>
  <si>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</si>
  <si>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</si>
  <si>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</si>
  <si>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</si>
  <si>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</si>
  <si>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</si>
  <si>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</si>
  <si>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</si>
  <si>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</si>
  <si>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</si>
  <si>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</si>
  <si>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</si>
  <si>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</si>
  <si>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</si>
  <si>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</si>
  <si>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</si>
  <si>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</si>
  <si>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</si>
  <si>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</si>
  <si>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</si>
  <si>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</si>
  <si>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</si>
  <si>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</si>
  <si>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</si>
  <si>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</si>
  <si>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</si>
  <si>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</si>
  <si>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</si>
  <si>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</si>
  <si>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</si>
  <si>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</si>
  <si>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</si>
  <si>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</si>
  <si>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</si>
  <si>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</si>
  <si>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</si>
  <si>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</si>
  <si>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</si>
  <si>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</si>
  <si>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</si>
  <si>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</si>
  <si>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</si>
  <si>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</si>
  <si>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</si>
  <si>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</si>
  <si>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</si>
  <si>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</si>
  <si>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</si>
  <si>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</si>
  <si>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</si>
  <si>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</si>
  <si>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</si>
  <si>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</si>
  <si>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</si>
  <si>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</si>
  <si>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</si>
  <si>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</si>
  <si>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</si>
  <si>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</si>
  <si>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</si>
  <si>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</si>
  <si>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</si>
  <si>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</si>
  <si>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</si>
  <si>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</si>
  <si>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</si>
  <si>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</si>
  <si>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</si>
  <si>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</si>
  <si>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</si>
  <si>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</si>
  <si>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</si>
  <si>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</si>
  <si>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</si>
  <si>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</si>
  <si>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</si>
  <si>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</si>
  <si>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</si>
  <si>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</si>
  <si>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</si>
  <si>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</si>
  <si>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</si>
  <si>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</si>
  <si>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</si>
  <si>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</si>
  <si>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</si>
  <si>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</si>
  <si>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</si>
  <si>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</si>
  <si>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</si>
  <si>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</si>
  <si>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</si>
  <si>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</si>
  <si>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</si>
  <si>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</si>
  <si>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</si>
  <si>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</si>
  <si>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</si>
  <si>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</si>
  <si>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</si>
  <si>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</si>
  <si>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</si>
  <si>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</si>
  <si>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</si>
  <si>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</si>
  <si>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</si>
  <si>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</si>
  <si>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</si>
  <si>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</si>
  <si>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</si>
  <si>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</si>
  <si>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</si>
  <si>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</si>
  <si>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</si>
  <si>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</si>
  <si>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</si>
  <si>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</si>
  <si>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</si>
  <si>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</si>
  <si>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</si>
  <si>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</si>
  <si>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</si>
  <si>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</si>
  <si>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</si>
  <si>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</si>
  <si>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</si>
  <si>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</si>
  <si>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</si>
  <si>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</si>
  <si>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</si>
  <si>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</si>
  <si>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</si>
  <si>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</si>
  <si>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</si>
  <si>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</si>
  <si>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</si>
  <si>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</si>
  <si>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</si>
  <si>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</si>
  <si>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</si>
  <si>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</si>
  <si>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</si>
  <si>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</si>
  <si>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</si>
  <si>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</si>
  <si>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</si>
  <si>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</si>
  <si>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</si>
  <si>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</si>
  <si>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</si>
  <si>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</si>
  <si>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</si>
  <si>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</si>
  <si>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</si>
  <si>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</si>
  <si>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</si>
  <si>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</si>
  <si>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</si>
  <si>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</si>
  <si>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</si>
  <si>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</si>
  <si>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</si>
  <si>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</si>
  <si>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</si>
  <si>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</si>
  <si>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</si>
  <si>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</si>
  <si>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</si>
  <si>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</si>
  <si>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</si>
  <si>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</si>
  <si>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</si>
  <si>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</si>
  <si>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</si>
  <si>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</si>
  <si>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</si>
  <si>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</si>
  <si>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</si>
  <si>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</si>
  <si>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</si>
  <si>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</si>
  <si>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</si>
  <si>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</si>
  <si>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</si>
  <si>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</si>
  <si>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</si>
  <si>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</si>
  <si>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</si>
  <si>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</si>
  <si>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</si>
  <si>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</si>
  <si>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</si>
  <si>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</si>
  <si>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</si>
  <si>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</si>
  <si>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</si>
  <si>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</si>
  <si>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</si>
  <si>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</si>
  <si>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</si>
  <si>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</si>
  <si>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</si>
  <si>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</si>
  <si>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</si>
  <si>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</si>
  <si>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</si>
  <si>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</si>
  <si>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</si>
  <si>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</si>
  <si>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</si>
  <si>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</si>
  <si>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</si>
  <si>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</si>
  <si>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</si>
  <si>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</si>
  <si>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</si>
  <si>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</si>
  <si>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</si>
  <si>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</si>
  <si>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</si>
  <si>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</si>
  <si>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</si>
  <si>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</si>
  <si>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</si>
  <si>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</si>
  <si>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</si>
  <si>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</si>
  <si>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</si>
  <si>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</si>
  <si>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</si>
  <si>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</si>
  <si>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</si>
  <si>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</si>
  <si>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</si>
  <si>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</si>
  <si>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</si>
  <si>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</si>
  <si>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</si>
  <si>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</si>
  <si>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</si>
  <si>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</si>
  <si>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</si>
  <si>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</si>
  <si>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</si>
  <si>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</si>
  <si>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</si>
  <si>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</si>
  <si>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</si>
  <si>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</si>
  <si>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</si>
  <si>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</si>
  <si>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</si>
  <si>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</si>
  <si>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</si>
  <si>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</si>
  <si>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</si>
  <si>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</si>
  <si>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</si>
  <si>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</si>
  <si>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</si>
  <si>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</si>
  <si>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</si>
  <si>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</si>
  <si>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</si>
  <si>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</si>
  <si>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</si>
  <si>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</si>
  <si>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</si>
  <si>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</si>
  <si>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</si>
  <si>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</si>
  <si>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</si>
  <si>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</si>
  <si>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</si>
  <si>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</si>
  <si>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</si>
  <si>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</si>
  <si>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</si>
  <si>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</si>
  <si>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</si>
  <si>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</si>
  <si>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</si>
  <si>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</si>
  <si>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</si>
  <si>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</si>
  <si>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</si>
  <si>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</si>
  <si>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</si>
  <si>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</si>
  <si>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</si>
  <si>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</si>
  <si>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</si>
  <si>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</si>
  <si>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</si>
  <si>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</si>
  <si>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</si>
  <si>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</si>
  <si>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</si>
  <si>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</si>
  <si>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</si>
  <si>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</si>
  <si>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</si>
  <si>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</si>
  <si>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</si>
  <si>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</si>
  <si>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</si>
  <si>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</si>
  <si>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</si>
  <si>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</si>
  <si>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</si>
  <si>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</si>
  <si>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</si>
  <si>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</si>
  <si>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</si>
  <si>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</si>
  <si>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</si>
  <si>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</si>
  <si>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</si>
  <si>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</si>
  <si>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</si>
  <si>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</si>
  <si>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</si>
  <si>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</si>
  <si>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</si>
  <si>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</si>
  <si>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</si>
  <si>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</si>
  <si>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</si>
  <si>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</si>
  <si>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</si>
  <si>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</si>
  <si>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</si>
  <si>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</si>
  <si>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</si>
  <si>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</si>
  <si>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</si>
  <si>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</si>
  <si>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</si>
  <si>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</si>
  <si>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</si>
  <si>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</si>
  <si>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</si>
  <si>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</si>
  <si>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</si>
  <si>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</si>
  <si>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</si>
  <si>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</si>
  <si>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</si>
  <si>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</si>
  <si>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</si>
  <si>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</si>
  <si>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</si>
  <si>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</si>
  <si>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</si>
  <si>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</si>
  <si>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</si>
  <si>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</si>
  <si>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</si>
  <si>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</si>
  <si>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</si>
  <si>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</si>
  <si>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</si>
  <si>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</si>
  <si>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</si>
  <si>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</si>
  <si>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</si>
  <si>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</si>
  <si>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</si>
  <si>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</si>
  <si>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</si>
  <si>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</si>
  <si>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</si>
  <si>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</si>
  <si>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</si>
  <si>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</si>
  <si>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</si>
  <si>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</si>
  <si>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</si>
  <si>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</si>
  <si>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</si>
  <si>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</si>
  <si>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</si>
  <si>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</si>
  <si>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</si>
  <si>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</si>
  <si>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</si>
  <si>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</si>
  <si>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</si>
  <si>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</si>
  <si>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</si>
  <si>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</si>
  <si>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</si>
  <si>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</si>
  <si>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</si>
  <si>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</si>
  <si>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</si>
  <si>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</si>
  <si>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</si>
  <si>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</si>
  <si>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</si>
  <si>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</si>
  <si>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</si>
  <si>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</si>
  <si>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</si>
  <si>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</si>
  <si>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</si>
  <si>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</si>
  <si>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</si>
  <si>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</si>
  <si>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</si>
  <si>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</si>
  <si>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</si>
  <si>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</si>
  <si>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</si>
  <si>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</si>
  <si>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</si>
  <si>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</si>
  <si>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</si>
  <si>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</si>
  <si>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</si>
  <si>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</si>
  <si>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</si>
  <si>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</si>
  <si>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</si>
  <si>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</si>
  <si>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</si>
  <si>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</si>
  <si>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</si>
  <si>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</si>
  <si>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</si>
  <si>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</si>
  <si>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</si>
  <si>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</si>
  <si>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</si>
  <si>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</si>
  <si>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</si>
  <si>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</si>
  <si>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</si>
  <si>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</si>
  <si>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</si>
  <si>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</si>
  <si>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</si>
  <si>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</si>
  <si>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</si>
  <si>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</si>
  <si>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</si>
  <si>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</si>
  <si>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</si>
  <si>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</si>
  <si>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</si>
  <si>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</si>
  <si>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</si>
  <si>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</si>
  <si>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</si>
  <si>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</si>
  <si>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</si>
  <si>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</si>
  <si>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</si>
  <si>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</si>
  <si>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</si>
  <si>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</si>
  <si>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</si>
  <si>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</si>
  <si>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</si>
  <si>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</si>
  <si>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Ms Mart </t>
  </si>
  <si>
    <t>Address: Shadab Colony</t>
  </si>
  <si>
    <t>Bhati GS</t>
  </si>
  <si>
    <t>Address: Shahdab Store</t>
  </si>
  <si>
    <t>US Mart</t>
  </si>
  <si>
    <t>Address: Shahdab Colony</t>
  </si>
  <si>
    <t>Shahdab Store</t>
  </si>
  <si>
    <t xml:space="preserve">Fresh Way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</si>
</sst>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Q36" sqref="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Ms Mart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Bhati GS</v>
      </c>
      <c r="T4" s="301">
        <f>+'2'!P35</f>
        <v>9408.6347552542375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US Mart</v>
      </c>
      <c r="T5" s="301">
        <f>+'3'!P35</f>
        <v>4805.3894985762709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Shahdab Store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Fresh Way </v>
      </c>
      <c r="T7" s="301">
        <f>+'5'!P35</f>
        <v>5730.5686502669496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77</v>
      </c>
      <c r="I10" s="236">
        <f t="shared" si="0"/>
        <v>5593.28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447.4624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195.76480000000004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4950.0527999999995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1057.1186440677966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30.035857220338983</v>
      </c>
      <c r="P10" s="311">
        <f t="shared" si="2"/>
        <v>6037.2073012881347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125</v>
      </c>
      <c r="I11" s="236">
        <f t="shared" si="0"/>
        <v>9080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726.40000000000009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317.80000000000007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8035.7999999999993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1716.1016949152543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48.759508474576272</v>
      </c>
      <c r="P11" s="311">
        <f t="shared" si="2"/>
        <v>9800.6612033898309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126</v>
      </c>
      <c r="I12" s="236">
        <f t="shared" si="0"/>
        <v>9152.64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732.21119999999996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320.34240000000005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8100.0863999999992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1729.8305084745764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49.149584542372885</v>
      </c>
      <c r="P12" s="311">
        <f t="shared" si="2"/>
        <v>9879.0664930169478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100</v>
      </c>
      <c r="I13" s="236">
        <f t="shared" si="0"/>
        <v>3923.0000000000005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196.15000000000006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137.30500000000004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200.07300000000001</v>
      </c>
      <c r="M13" s="230">
        <f t="shared" si="1"/>
        <v>3389.4720000000002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762.71186440677923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20.760919322033899</v>
      </c>
      <c r="P13" s="311">
        <f t="shared" si="2"/>
        <v>4172.9447837288135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11.2</v>
      </c>
      <c r="H16" s="113">
        <f t="shared" ref="H16:M16" si="3">SUM(H7:H15)</f>
        <v>448</v>
      </c>
      <c r="I16" s="114">
        <f t="shared" si="3"/>
        <v>28798.17</v>
      </c>
      <c r="J16" s="274">
        <f>SUM(J7:J15)</f>
        <v>2186.1635999999999</v>
      </c>
      <c r="K16" s="275">
        <f t="shared" si="3"/>
        <v>1007.9359500000003</v>
      </c>
      <c r="L16" s="276">
        <f t="shared" si="3"/>
        <v>200.07300000000001</v>
      </c>
      <c r="M16" s="232">
        <f t="shared" si="3"/>
        <v>25403.997449999999</v>
      </c>
      <c r="N16" s="233">
        <f>SUM(N7:N15)</f>
        <v>5464.0677966101694</v>
      </c>
      <c r="O16" s="101">
        <f>SUM(O7:O15)</f>
        <v>154.34032623305086</v>
      </c>
      <c r="P16" s="113">
        <f>SUM(P7:P15)</f>
        <v>31022.405572843218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28798.17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2186.1635999999999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1208.0089500000004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25403.997449999999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5464.0677966101694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30868.065246610167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154.34032623305086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31022.405572843218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31022.405572843218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156.61800000000002</v>
      </c>
      <c r="L25" s="276">
        <f t="shared" si="10"/>
        <v>80.029200000000003</v>
      </c>
      <c r="M25" s="232">
        <f t="shared" si="10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8716.7999999999993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697.34400000000005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305.08800000000002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7714.3679999999995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9361.8256271186438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1" t="s">
        <v>88</v>
      </c>
      <c r="O35" s="372"/>
      <c r="P35" s="297">
        <f>+P33+P34</f>
        <v>9408.6347552542375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311">
        <f t="shared" si="5"/>
        <v>1254.4846340338984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88</v>
      </c>
      <c r="I25" s="114">
        <f t="shared" si="7"/>
        <v>5320.5700000000006</v>
      </c>
      <c r="J25" s="274">
        <f>SUM(J16:J24)</f>
        <v>402.10759999999999</v>
      </c>
      <c r="K25" s="275">
        <f t="shared" si="7"/>
        <v>186.21995000000004</v>
      </c>
      <c r="L25" s="276">
        <f t="shared" si="7"/>
        <v>40.014600000000002</v>
      </c>
      <c r="M25" s="232">
        <f t="shared" si="7"/>
        <v>4692.2278500000002</v>
      </c>
      <c r="N25" s="233">
        <f>SUM(N16:N24)</f>
        <v>1009.830508474576</v>
      </c>
      <c r="O25" s="101">
        <f>SUM(O16:O24)</f>
        <v>28.510291792372882</v>
      </c>
      <c r="P25" s="113">
        <f>SUM(P16:P24)</f>
        <v>5730.5686502669487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5320.5700000000006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402.10759999999999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226.23455000000004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4692.2278500000002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1009.830508474576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5702.0583584745764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28.510291792372882</v>
      </c>
    </row>
    <row r="35" spans="2:16" ht="15.75" customHeight="1" thickBot="1" x14ac:dyDescent="0.4">
      <c r="N35" s="371" t="s">
        <v>88</v>
      </c>
      <c r="O35" s="372"/>
      <c r="P35" s="297">
        <f>+P33+P34</f>
        <v>5730.5686502669496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2026-08-17T05:13:43Z</dcterms:modified>
</cp:coreProperties>
</file>