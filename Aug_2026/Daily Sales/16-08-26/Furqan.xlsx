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53D0480-079C-4A99-B3C6-D8880AD67BDB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<sst xmlns="http://schemas.openxmlformats.org/spreadsheetml/2006/main" count="3978" uniqueCount="522">
  <si>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</si>
  <si>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</si>
  <si>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</si>
  <si>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</si>
  <si>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</si>
  <si>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</si>
  <si>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</si>
  <si>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</si>
  <si>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</si>
  <si>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</si>
  <si>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</si>
  <si>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</si>
  <si>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</si>
  <si>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</si>
  <si>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</si>
  <si>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</si>
  <si>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</si>
  <si>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</si>
  <si>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</si>
  <si>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</si>
  <si>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</si>
  <si>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</si>
  <si>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</si>
  <si>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</si>
  <si>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</si>
  <si>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</si>
  <si>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</si>
  <si>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</si>
  <si>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</si>
  <si>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</si>
  <si>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</si>
  <si>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</si>
  <si>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</si>
  <si>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</si>
  <si>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</si>
  <si>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</si>
  <si>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</si>
  <si>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</si>
  <si>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</si>
  <si>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</si>
  <si>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</si>
  <si>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</si>
  <si>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</si>
  <si>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</si>
  <si>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</si>
  <si>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</si>
  <si>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</si>
  <si>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</si>
  <si>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</si>
  <si>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</si>
  <si>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</si>
  <si>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</si>
  <si>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</si>
  <si>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</si>
  <si>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</si>
  <si>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</si>
  <si>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</si>
  <si>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</si>
  <si>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</si>
  <si>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</si>
  <si>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</si>
  <si>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</si>
  <si>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</si>
  <si>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</si>
  <si>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</si>
  <si>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</si>
  <si>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</si>
  <si>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</si>
  <si>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</si>
  <si>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</si>
  <si>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</si>
  <si>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</si>
  <si>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</si>
  <si>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</si>
  <si>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</si>
  <si>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</si>
  <si>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</si>
  <si>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</si>
  <si>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</si>
  <si>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</si>
  <si>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</si>
  <si>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</si>
  <si>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</si>
  <si>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</si>
  <si>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</si>
  <si>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</si>
  <si>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</si>
  <si>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</si>
  <si>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</si>
  <si>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</si>
  <si>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</si>
  <si>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</si>
  <si>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</si>
  <si>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</si>
  <si>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</si>
  <si>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</si>
  <si>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</si>
  <si>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</si>
  <si>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</si>
  <si>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</si>
  <si>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</si>
  <si>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</si>
  <si>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</si>
  <si>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</si>
  <si>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</si>
  <si>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</si>
  <si>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</si>
  <si>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</si>
  <si>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</si>
  <si>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</si>
  <si>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</si>
  <si>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</si>
  <si>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</si>
  <si>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</si>
  <si>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</si>
  <si>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</si>
  <si>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</si>
  <si>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</si>
  <si>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</si>
  <si>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</si>
  <si>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</si>
  <si>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</si>
  <si>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</si>
  <si>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</si>
  <si>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</si>
  <si>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</si>
  <si>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</si>
  <si>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</si>
  <si>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</si>
  <si>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</si>
  <si>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</si>
  <si>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</si>
  <si>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</si>
  <si>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</si>
  <si>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</si>
  <si>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</si>
  <si>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</si>
  <si>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</si>
  <si>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</si>
  <si>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</si>
  <si>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</si>
  <si>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</si>
  <si>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</si>
  <si>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</si>
  <si>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</si>
  <si>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</si>
  <si>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</si>
  <si>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</si>
  <si>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</si>
  <si>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</si>
  <si>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</si>
  <si>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</si>
  <si>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</si>
  <si>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</si>
  <si>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</si>
  <si>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</si>
  <si>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</si>
  <si>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</si>
  <si>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</si>
  <si>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</si>
  <si>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</si>
  <si>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</si>
  <si>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</si>
  <si>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</si>
  <si>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</si>
  <si>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</si>
  <si>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</si>
  <si>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</si>
  <si>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</si>
  <si>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</si>
  <si>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</si>
  <si>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</si>
  <si>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</si>
  <si>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</si>
  <si>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</si>
  <si>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</si>
  <si>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</si>
  <si>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</si>
  <si>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</si>
  <si>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</si>
  <si>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</si>
  <si>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</si>
  <si>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</si>
  <si>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</si>
  <si>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</si>
  <si>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</si>
  <si>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</si>
  <si>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</si>
  <si>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</si>
  <si>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</si>
  <si>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</si>
  <si>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</si>
  <si>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</si>
  <si>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</si>
  <si>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</si>
  <si>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</si>
  <si>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</si>
  <si>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</si>
  <si>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</si>
  <si>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</si>
  <si>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</si>
  <si>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</si>
  <si>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</si>
  <si>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</si>
  <si>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</si>
  <si>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</si>
  <si>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</si>
  <si>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</si>
  <si>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</si>
  <si>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</si>
  <si>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</si>
  <si>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</si>
  <si>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</si>
  <si>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</si>
  <si>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</si>
  <si>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</si>
  <si>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</si>
  <si>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</si>
  <si>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</si>
  <si>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</si>
  <si>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</si>
  <si>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</si>
  <si>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</si>
  <si>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</si>
  <si>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</si>
  <si>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</si>
  <si>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</si>
  <si>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</si>
  <si>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</si>
  <si>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</si>
  <si>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</si>
  <si>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</si>
  <si>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</si>
  <si>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</si>
  <si>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</si>
  <si>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</si>
  <si>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</si>
  <si>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</si>
  <si>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</si>
  <si>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</si>
  <si>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</si>
  <si>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</si>
  <si>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</si>
  <si>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</si>
  <si>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</si>
  <si>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</si>
  <si>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</si>
  <si>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</si>
  <si>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</si>
  <si>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</si>
  <si>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</si>
  <si>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</si>
  <si>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</si>
  <si>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</si>
  <si>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</si>
  <si>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</si>
  <si>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</si>
  <si>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</si>
  <si>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</si>
  <si>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</si>
  <si>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</si>
  <si>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</si>
  <si>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</si>
  <si>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</si>
  <si>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</si>
  <si>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</si>
  <si>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</si>
  <si>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</si>
  <si>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</si>
  <si>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</si>
  <si>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</si>
  <si>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</si>
  <si>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</si>
  <si>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</si>
  <si>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</si>
  <si>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</si>
  <si>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</si>
  <si>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</si>
  <si>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</si>
  <si>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</si>
  <si>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</si>
  <si>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</si>
  <si>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</si>
  <si>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</si>
  <si>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</si>
  <si>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</si>
  <si>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</si>
  <si>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</si>
  <si>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</si>
  <si>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</si>
  <si>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</si>
  <si>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</si>
  <si>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</si>
  <si>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</si>
  <si>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</si>
  <si>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</si>
  <si>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</si>
  <si>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</si>
  <si>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</si>
  <si>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</si>
  <si>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</si>
  <si>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</si>
  <si>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</si>
  <si>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</si>
  <si>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</si>
  <si>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</si>
  <si>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</si>
  <si>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</si>
  <si>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</si>
  <si>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</si>
  <si>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</si>
  <si>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</si>
  <si>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</si>
  <si>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</si>
  <si>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</si>
  <si>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</si>
  <si>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</si>
  <si>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</si>
  <si>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</si>
  <si>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</si>
  <si>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</si>
  <si>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</si>
  <si>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</si>
  <si>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</si>
  <si>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</si>
  <si>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</si>
  <si>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</si>
  <si>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</si>
  <si>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</si>
  <si>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</si>
  <si>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</si>
  <si>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</si>
  <si>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</si>
  <si>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</si>
  <si>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</si>
  <si>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</si>
  <si>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</si>
  <si>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</si>
  <si>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</si>
  <si>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</si>
  <si>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</si>
  <si>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</si>
  <si>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</si>
  <si>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</si>
  <si>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</si>
  <si>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</si>
  <si>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</si>
  <si>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</si>
  <si>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</si>
  <si>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</si>
  <si>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</si>
  <si>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</si>
  <si>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</si>
  <si>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</si>
  <si>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</si>
  <si>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</si>
  <si>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</si>
  <si>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</si>
  <si>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</si>
  <si>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</si>
  <si>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</si>
  <si>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</si>
  <si>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</si>
  <si>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</si>
  <si>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</si>
  <si>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</si>
  <si>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</si>
  <si>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</si>
  <si>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</si>
  <si>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</si>
  <si>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</si>
  <si>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</si>
  <si>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</si>
  <si>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</si>
  <si>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</si>
  <si>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</si>
  <si>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</si>
  <si>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</si>
  <si>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</si>
  <si>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</si>
  <si>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</si>
  <si>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</si>
  <si>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</si>
  <si>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</si>
  <si>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</si>
  <si>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</si>
  <si>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</si>
  <si>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</si>
  <si>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</si>
  <si>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</si>
  <si>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</si>
  <si>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</si>
  <si>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</si>
  <si>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</si>
  <si>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</si>
  <si>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</si>
  <si>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</si>
  <si>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</si>
  <si>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</si>
  <si>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</si>
  <si>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</si>
  <si>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</si>
  <si>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</si>
  <si>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</si>
  <si>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</si>
  <si>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</si>
  <si>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</si>
  <si>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</si>
  <si>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</si>
  <si>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</si>
  <si>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</si>
  <si>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</si>
  <si>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</si>
  <si>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</si>
  <si>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</si>
  <si>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</si>
  <si>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</si>
  <si>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</si>
  <si>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</si>
  <si>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</si>
  <si>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</si>
  <si>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</si>
  <si>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</si>
  <si>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</si>
  <si>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</si>
  <si>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</si>
  <si>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</si>
  <si>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</si>
  <si>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</si>
  <si>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</si>
  <si>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</si>
  <si>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</si>
  <si>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</si>
  <si>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</si>
  <si>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</si>
  <si>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</si>
  <si>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</si>
  <si>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</si>
  <si>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</si>
  <si>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</si>
  <si>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</si>
  <si>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</si>
  <si>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</si>
  <si>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</si>
  <si>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</si>
  <si>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</si>
  <si>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</si>
  <si>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</si>
  <si>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</si>
  <si>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</si>
  <si>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</si>
  <si>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</si>
  <si>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</si>
  <si>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</si>
  <si>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</si>
  <si>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</si>
  <si>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</si>
  <si>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</si>
  <si>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</si>
  <si>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</si>
  <si>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</si>
  <si>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</si>
  <si>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</si>
  <si>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</si>
  <si>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</si>
  <si>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</si>
  <si>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</si>
  <si>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</si>
  <si>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</si>
  <si>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</si>
  <si>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</si>
  <si>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</si>
  <si>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</si>
  <si>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</si>
  <si>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</si>
  <si>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</si>
  <si>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</si>
  <si>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</si>
  <si>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</si>
  <si>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</si>
  <si>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</si>
  <si>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</si>
  <si>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</si>
  <si>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</si>
  <si>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</si>
  <si>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</si>
  <si>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</si>
  <si>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</si>
  <si>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</si>
  <si>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</si>
  <si>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</si>
  <si>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</si>
  <si>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</si>
  <si>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</si>
  <si>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</si>
  <si>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</si>
  <si>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</si>
  <si>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</si>
  <si>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</si>
  <si>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</si>
  <si>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</si>
  <si>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</si>
  <si>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</si>
  <si>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</si>
  <si>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</si>
  <si>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</si>
  <si>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</si>
  <si>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</si>
  <si>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</si>
  <si>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</si>
  <si>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</si>
  <si>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</si>
  <si>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</si>
  <si>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</si>
  <si>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 xml:space="preserve">Jibran Iqbal </t>
  </si>
  <si>
    <t>Furqan</t>
  </si>
  <si>
    <t>786 Store</t>
  </si>
  <si>
    <t>Address: Ghazi Road</t>
  </si>
  <si>
    <t xml:space="preserve">Haji Umer </t>
  </si>
  <si>
    <t>Khan Store</t>
  </si>
  <si>
    <t>Makeen Store</t>
  </si>
  <si>
    <t>Data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</si>
</sst>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7" workbookViewId="0">
      <selection activeCell="I38" sqref="I3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515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512</v>
      </c>
      <c r="F3" s="387"/>
      <c r="G3" s="387"/>
      <c r="H3" s="384">
        <f ca="1">TODAY()</f>
        <v>46251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786 Store</v>
      </c>
      <c r="T3" s="301">
        <f>+'1'!P35</f>
        <v>825.35029333093212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Haji Umer </v>
      </c>
      <c r="T4" s="301">
        <f>+'2'!P35</f>
        <v>590.13442444957616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Khan Store</v>
      </c>
      <c r="T5" s="301">
        <f>+'3'!P35</f>
        <v>500.75337404745761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Makeen Store</v>
      </c>
      <c r="T6" s="301">
        <f>+'4'!P35</f>
        <v>940.86347552542372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Data Store</v>
      </c>
      <c r="T7" s="301">
        <f>+'5'!P35</f>
        <v>500.75337404745761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</v>
      </c>
      <c r="I8" s="236">
        <f t="shared" ref="I8:I14" si="0">(G8*D8)*F8+H8*F8</f>
        <v>629.54999999999995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50.363999999999997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22.03425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557.15174999999999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118.98305084745758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3.3806740042372878</v>
      </c>
      <c r="P8" s="311">
        <f t="shared" ref="P8:P15" si="2">M8+N8+O8</f>
        <v>679.51547485169488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15</v>
      </c>
      <c r="I10" s="236">
        <f t="shared" si="0"/>
        <v>1089.5999999999999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87.168000000000006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38.136000000000003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964.29599999999994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205.93220338983053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5.8511410169491533</v>
      </c>
      <c r="P10" s="311">
        <f t="shared" si="2"/>
        <v>1176.0793444067797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36</v>
      </c>
      <c r="I13" s="236">
        <f t="shared" si="0"/>
        <v>1412.2800000000002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70.614000000000004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49.429800000000014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72.026280000000014</v>
      </c>
      <c r="M13" s="230">
        <f t="shared" si="1"/>
        <v>1220.2099200000002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274.57627118644052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7.473930955932202</v>
      </c>
      <c r="P13" s="311">
        <f t="shared" si="2"/>
        <v>1502.2601221423729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1.575</v>
      </c>
      <c r="H16" s="113">
        <f t="shared" ref="H16:M16" si="3">SUM(H7:H15)</f>
        <v>63</v>
      </c>
      <c r="I16" s="114">
        <f t="shared" si="3"/>
        <v>3131.4300000000003</v>
      </c>
      <c r="J16" s="274">
        <f>SUM(J7:J15)</f>
        <v>208.14600000000002</v>
      </c>
      <c r="K16" s="275">
        <f t="shared" si="3"/>
        <v>109.60005000000001</v>
      </c>
      <c r="L16" s="276">
        <f t="shared" si="3"/>
        <v>72.026280000000014</v>
      </c>
      <c r="M16" s="232">
        <f t="shared" si="3"/>
        <v>2741.6576700000001</v>
      </c>
      <c r="N16" s="233">
        <f>SUM(N7:N15)</f>
        <v>599.4915254237286</v>
      </c>
      <c r="O16" s="101">
        <f>SUM(O7:O15)</f>
        <v>16.705745977118646</v>
      </c>
      <c r="P16" s="113">
        <f>SUM(P7:P15)</f>
        <v>3357.8549414008476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3131.4300000000003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208.14600000000002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181.62633000000002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2741.6576700000001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599.4915254237286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3341.1491954237285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16.705745977118646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3357.8549414008471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3357.8549414008471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514</v>
      </c>
    </row>
    <row r="51" spans="2:2" x14ac:dyDescent="0.35">
      <c r="B51" t="s">
        <v>515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2" workbookViewId="0">
      <selection activeCell="R29" sqref="R2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7.25" customHeight="1" x14ac:dyDescent="0.4">
      <c r="A6" s="397" t="s">
        <v>516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311">
        <f t="shared" ref="P17:P24" si="5">M17+N17+O17</f>
        <v>339.75773742584744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7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15</v>
      </c>
      <c r="I25" s="114">
        <f t="shared" ref="I25:M25" si="10">SUM(I16:I24)</f>
        <v>768.07499999999993</v>
      </c>
      <c r="J25" s="274">
        <f>SUM(J16:J24)</f>
        <v>54.384600000000006</v>
      </c>
      <c r="K25" s="275">
        <f t="shared" si="10"/>
        <v>26.882625000000004</v>
      </c>
      <c r="L25" s="276">
        <f t="shared" si="10"/>
        <v>12.004380000000001</v>
      </c>
      <c r="M25" s="232">
        <f t="shared" si="10"/>
        <v>674.80339500000002</v>
      </c>
      <c r="N25" s="233">
        <f>SUM(N16:N24)</f>
        <v>146.44067796610165</v>
      </c>
      <c r="O25" s="101">
        <f>SUM(O16:O24)</f>
        <v>4.1062203648305085</v>
      </c>
      <c r="P25" s="113">
        <f>SUM(P16:P24)</f>
        <v>825.35029333093212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768.07499999999993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54.384600000000006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38.887005000000002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674.80339499999991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146.44067796610165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821.24407296610161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4.1062203648305085</v>
      </c>
    </row>
    <row r="35" spans="2:16" ht="15.75" customHeight="1" thickBot="1" x14ac:dyDescent="0.4">
      <c r="N35" s="371" t="s">
        <v>88</v>
      </c>
      <c r="O35" s="372"/>
      <c r="P35" s="297">
        <f>+P33+P34</f>
        <v>825.35029333093212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activeCell="R29" sqref="R2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518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311">
        <f t="shared" ref="P17:P24" si="5">M17+N17+O17</f>
        <v>339.75773742584744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12</v>
      </c>
      <c r="I25" s="114">
        <f t="shared" si="7"/>
        <v>550.15499999999997</v>
      </c>
      <c r="J25" s="274">
        <f>SUM(J16:J24)</f>
        <v>36.951000000000001</v>
      </c>
      <c r="K25" s="275">
        <f t="shared" si="7"/>
        <v>19.255425000000002</v>
      </c>
      <c r="L25" s="276">
        <f t="shared" si="7"/>
        <v>12.004380000000001</v>
      </c>
      <c r="M25" s="232">
        <f t="shared" si="7"/>
        <v>481.94419500000004</v>
      </c>
      <c r="N25" s="233">
        <f>SUM(N16:N24)</f>
        <v>105.25423728813554</v>
      </c>
      <c r="O25" s="101">
        <f>SUM(O16:O24)</f>
        <v>2.9359921614406774</v>
      </c>
      <c r="P25" s="113">
        <f>SUM(P16:P24)</f>
        <v>590.13442444957627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550.15499999999997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36.951000000000001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31.259805000000004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481.94419499999992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105.25423728813554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587.19843228813545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2.9359921614406774</v>
      </c>
    </row>
    <row r="35" spans="2:16" ht="15.75" customHeight="1" thickBot="1" x14ac:dyDescent="0.4">
      <c r="N35" s="371" t="s">
        <v>88</v>
      </c>
      <c r="O35" s="372"/>
      <c r="P35" s="297">
        <f>+P33+P34</f>
        <v>590.13442444957616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activeCell="R29" sqref="R2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8.75" customHeight="1" x14ac:dyDescent="0.4">
      <c r="A6" s="397" t="s">
        <v>519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470.76000000000005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23.538000000000004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40.485360000000007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406.73664000000002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498.26206372881353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1" t="s">
        <v>88</v>
      </c>
      <c r="O35" s="372"/>
      <c r="P35" s="297">
        <f>+P33+P34</f>
        <v>500.75337404745761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activeCell="R29" sqref="R2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520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113">
        <f>SUM(P16:P24)</f>
        <v>940.86347552542372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871.68000000000006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69.734400000000008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30.508800000000004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771.43680000000006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936.18256271186442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71" t="s">
        <v>88</v>
      </c>
      <c r="O35" s="372"/>
      <c r="P35" s="297">
        <f>+P33+P34</f>
        <v>940.86347552542372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activeCell="R29" sqref="R2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521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470.76000000000005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23.538000000000004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40.485360000000007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406.73664000000002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498.26206372881353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1" t="s">
        <v>88</v>
      </c>
      <c r="O35" s="372"/>
      <c r="P35" s="297">
        <f>+P33+P34</f>
        <v>500.75337404745761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D18" sqref="D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8.7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46252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46251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2026-08-17T04:57:35Z</dcterms:modified>
</cp:coreProperties>
</file>