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4AF04D0-C854-4300-9301-9A8FE528916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<sst xmlns="http://schemas.openxmlformats.org/spreadsheetml/2006/main" count="3978" uniqueCount="524">
  <si>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</si>
  <si>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</si>
  <si>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</si>
  <si>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</si>
  <si>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</si>
  <si>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</si>
  <si>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</si>
  <si>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</si>
  <si>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</si>
  <si>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</si>
  <si>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</si>
  <si>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</si>
  <si>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</si>
  <si>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</si>
  <si>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</si>
  <si>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</si>
  <si>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</si>
  <si>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</si>
  <si>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</si>
  <si>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</si>
  <si>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</si>
  <si>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</si>
  <si>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</si>
  <si>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</si>
  <si>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</si>
  <si>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</si>
  <si>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</si>
  <si>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</si>
  <si>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</si>
  <si>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</si>
  <si>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</si>
  <si>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</si>
  <si>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</si>
  <si>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</si>
  <si>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</si>
  <si>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</si>
  <si>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</si>
  <si>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</si>
  <si>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</si>
  <si>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</si>
  <si>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</si>
  <si>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</si>
  <si>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</si>
  <si>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</si>
  <si>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</si>
  <si>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</si>
  <si>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</si>
  <si>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</si>
  <si>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</si>
  <si>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</si>
  <si>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</si>
  <si>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</si>
  <si>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</si>
  <si>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</si>
  <si>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</si>
  <si>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</si>
  <si>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</si>
  <si>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</si>
  <si>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</si>
  <si>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</si>
  <si>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</si>
  <si>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</si>
  <si>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</si>
  <si>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</si>
  <si>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</si>
  <si>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</si>
  <si>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</si>
  <si>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</si>
  <si>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</si>
  <si>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</si>
  <si>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</si>
  <si>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</si>
  <si>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</si>
  <si>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</si>
  <si>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</si>
  <si>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</si>
  <si>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</si>
  <si>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</si>
  <si>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</si>
  <si>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</si>
  <si>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</si>
  <si>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</si>
  <si>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</si>
  <si>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</si>
  <si>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</si>
  <si>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</si>
  <si>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</si>
  <si>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</si>
  <si>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</si>
  <si>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</si>
  <si>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</si>
  <si>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</si>
  <si>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</si>
  <si>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</si>
  <si>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</si>
  <si>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</si>
  <si>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</si>
  <si>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</si>
  <si>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</si>
  <si>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</si>
  <si>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</si>
  <si>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</si>
  <si>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</si>
  <si>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</si>
  <si>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</si>
  <si>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</si>
  <si>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</si>
  <si>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</si>
  <si>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</si>
  <si>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</si>
  <si>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</si>
  <si>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</si>
  <si>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</si>
  <si>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</si>
  <si>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</si>
  <si>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</si>
  <si>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</si>
  <si>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</si>
  <si>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</si>
  <si>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</si>
  <si>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</si>
  <si>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</si>
  <si>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</si>
  <si>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</si>
  <si>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</si>
  <si>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</si>
  <si>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</si>
  <si>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</si>
  <si>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</si>
  <si>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</si>
  <si>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</si>
  <si>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</si>
  <si>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</si>
  <si>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</si>
  <si>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</si>
  <si>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</si>
  <si>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</si>
  <si>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</si>
  <si>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</si>
  <si>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</si>
  <si>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</si>
  <si>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</si>
  <si>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</si>
  <si>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</si>
  <si>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</si>
  <si>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</si>
  <si>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</si>
  <si>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</si>
  <si>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</si>
  <si>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</si>
  <si>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</si>
  <si>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</si>
  <si>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</si>
  <si>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</si>
  <si>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</si>
  <si>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</si>
  <si>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</si>
  <si>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</si>
  <si>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</si>
  <si>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</si>
  <si>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</si>
  <si>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</si>
  <si>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</si>
  <si>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</si>
  <si>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</si>
  <si>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</si>
  <si>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</si>
  <si>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</si>
  <si>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</si>
  <si>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</si>
  <si>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</si>
  <si>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</si>
  <si>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</si>
  <si>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</si>
  <si>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</si>
  <si>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</si>
  <si>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</si>
  <si>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</si>
  <si>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</si>
  <si>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</si>
  <si>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</si>
  <si>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</si>
  <si>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</si>
  <si>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</si>
  <si>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</si>
  <si>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</si>
  <si>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</si>
  <si>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</si>
  <si>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</si>
  <si>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</si>
  <si>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</si>
  <si>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</si>
  <si>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</si>
  <si>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</si>
  <si>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</si>
  <si>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</si>
  <si>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</si>
  <si>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</si>
  <si>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</si>
  <si>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</si>
  <si>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</si>
  <si>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</si>
  <si>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</si>
  <si>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</si>
  <si>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</si>
  <si>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</si>
  <si>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</si>
  <si>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</si>
  <si>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</si>
  <si>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</si>
  <si>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</si>
  <si>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</si>
  <si>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</si>
  <si>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</si>
  <si>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</si>
  <si>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</si>
  <si>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</si>
  <si>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</si>
  <si>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</si>
  <si>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</si>
  <si>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</si>
  <si>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</si>
  <si>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</si>
  <si>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</si>
  <si>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</si>
  <si>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</si>
  <si>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</si>
  <si>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</si>
  <si>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</si>
  <si>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</si>
  <si>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</si>
  <si>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</si>
  <si>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</si>
  <si>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</si>
  <si>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</si>
  <si>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</si>
  <si>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</si>
  <si>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</si>
  <si>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</si>
  <si>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</si>
  <si>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</si>
  <si>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</si>
  <si>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</si>
  <si>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</si>
  <si>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</si>
  <si>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</si>
  <si>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</si>
  <si>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</si>
  <si>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</si>
  <si>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</si>
  <si>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</si>
  <si>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</si>
  <si>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</si>
  <si>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</si>
  <si>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</si>
  <si>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</si>
  <si>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</si>
  <si>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</si>
  <si>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</si>
  <si>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</si>
  <si>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</si>
  <si>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</si>
  <si>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</si>
  <si>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</si>
  <si>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</si>
  <si>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</si>
  <si>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</si>
  <si>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</si>
  <si>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</si>
  <si>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</si>
  <si>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</si>
  <si>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</si>
  <si>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</si>
  <si>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</si>
  <si>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</si>
  <si>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</si>
  <si>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</si>
  <si>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</si>
  <si>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</si>
  <si>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</si>
  <si>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</si>
  <si>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</si>
  <si>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</si>
  <si>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</si>
  <si>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</si>
  <si>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</si>
  <si>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</si>
  <si>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</si>
  <si>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</si>
  <si>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</si>
  <si>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</si>
  <si>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</si>
  <si>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</si>
  <si>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</si>
  <si>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</si>
  <si>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</si>
  <si>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</si>
  <si>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</si>
  <si>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</si>
  <si>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</si>
  <si>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</si>
  <si>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</si>
  <si>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</si>
  <si>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</si>
  <si>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</si>
  <si>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</si>
  <si>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</si>
  <si>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</si>
  <si>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</si>
  <si>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</si>
  <si>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</si>
  <si>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</si>
  <si>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</si>
  <si>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</si>
  <si>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</si>
  <si>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</si>
  <si>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</si>
  <si>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</si>
  <si>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</si>
  <si>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</si>
  <si>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</si>
  <si>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</si>
  <si>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</si>
  <si>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</si>
  <si>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</si>
  <si>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</si>
  <si>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</si>
  <si>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</si>
  <si>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</si>
  <si>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</si>
  <si>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</si>
  <si>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</si>
  <si>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</si>
  <si>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</si>
  <si>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</si>
  <si>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</si>
  <si>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</si>
  <si>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</si>
  <si>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</si>
  <si>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</si>
  <si>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</si>
  <si>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</si>
  <si>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</si>
  <si>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</si>
  <si>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</si>
  <si>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</si>
  <si>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</si>
  <si>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</si>
  <si>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</si>
  <si>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</si>
  <si>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</si>
  <si>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</si>
  <si>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</si>
  <si>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</si>
  <si>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</si>
  <si>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</si>
  <si>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</si>
  <si>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</si>
  <si>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</si>
  <si>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</si>
  <si>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</si>
  <si>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</si>
  <si>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</si>
  <si>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</si>
  <si>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</si>
  <si>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</si>
  <si>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</si>
  <si>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</si>
  <si>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</si>
  <si>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</si>
  <si>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</si>
  <si>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</si>
  <si>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</si>
  <si>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</si>
  <si>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</si>
  <si>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</si>
  <si>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</si>
  <si>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</si>
  <si>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</si>
  <si>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</si>
  <si>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</si>
  <si>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</si>
  <si>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</si>
  <si>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</si>
  <si>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</si>
  <si>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</si>
  <si>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</si>
  <si>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</si>
  <si>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</si>
  <si>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</si>
  <si>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</si>
  <si>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</si>
  <si>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</si>
  <si>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</si>
  <si>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</si>
  <si>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</si>
  <si>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</si>
  <si>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</si>
  <si>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</si>
  <si>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</si>
  <si>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</si>
  <si>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</si>
  <si>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</si>
  <si>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</si>
  <si>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</si>
  <si>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</si>
  <si>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</si>
  <si>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</si>
  <si>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</si>
  <si>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</si>
  <si>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</si>
  <si>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</si>
  <si>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</si>
  <si>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</si>
  <si>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</si>
  <si>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</si>
  <si>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</si>
  <si>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</si>
  <si>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</si>
  <si>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</si>
  <si>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</si>
  <si>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</si>
  <si>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</si>
  <si>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</si>
  <si>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</si>
  <si>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</si>
  <si>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</si>
  <si>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</si>
  <si>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</si>
  <si>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</si>
  <si>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</si>
  <si>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</si>
  <si>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</si>
  <si>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</si>
  <si>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</si>
  <si>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</si>
  <si>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</si>
  <si>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</si>
  <si>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</si>
  <si>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</si>
  <si>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</si>
  <si>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</si>
  <si>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</si>
  <si>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</si>
  <si>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</si>
  <si>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</si>
  <si>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</si>
  <si>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</si>
  <si>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</si>
  <si>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</si>
  <si>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</si>
  <si>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</si>
  <si>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</si>
  <si>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</si>
  <si>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</si>
  <si>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</si>
  <si>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</si>
  <si>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</si>
  <si>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</si>
  <si>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</si>
  <si>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</si>
  <si>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</si>
  <si>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</si>
  <si>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</si>
  <si>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</si>
  <si>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</si>
  <si>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</si>
  <si>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</si>
  <si>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</si>
  <si>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</si>
  <si>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</si>
  <si>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</si>
  <si>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</si>
  <si>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</si>
  <si>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</si>
  <si>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</si>
  <si>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</si>
  <si>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</si>
  <si>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</si>
  <si>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</si>
  <si>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</si>
  <si>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</si>
  <si>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</si>
  <si>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</si>
  <si>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</si>
  <si>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</si>
  <si>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</si>
  <si>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</si>
  <si>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</si>
  <si>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</si>
  <si>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</si>
  <si>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</si>
  <si>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</si>
  <si>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</si>
  <si>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</si>
  <si>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</si>
  <si>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</si>
  <si>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</si>
  <si>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</si>
  <si>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</si>
  <si>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</si>
  <si>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</si>
  <si>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</si>
  <si>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</si>
  <si>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</si>
  <si>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</si>
  <si>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</si>
  <si>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</si>
  <si>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</si>
  <si>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</si>
  <si>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</si>
  <si>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</si>
  <si>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</si>
  <si>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</si>
  <si>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</si>
  <si>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</si>
  <si>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</si>
  <si>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</si>
  <si>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Al Zeshan Store</t>
  </si>
  <si>
    <t>Address: DHA phase 8</t>
  </si>
  <si>
    <t xml:space="preserve">Progresive Mart </t>
  </si>
  <si>
    <t>Address: Phase 8</t>
  </si>
  <si>
    <t>Al Noor Store</t>
  </si>
  <si>
    <t xml:space="preserve">Bin Asgher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</si>
</sst>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G37" sqref="G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517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513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Al Zeshan Store</v>
      </c>
      <c r="T3" s="301">
        <f>+'1'!P35</f>
        <v>3934.229496330508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Progresive Mart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Al Noor Store</v>
      </c>
      <c r="T5" s="301">
        <f>+'3'!P35</f>
        <v>11077.812668745764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 xml:space="preserve">Bin Asgher </v>
      </c>
      <c r="T6" s="301">
        <f>+'4'!P35</f>
        <v>7070.4410814152552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73.447500000000019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73.447500000000019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21.454183728813561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10</v>
      </c>
      <c r="H16" s="113">
        <f t="shared" ref="H16:M16" si="3">SUM(H7:H15)</f>
        <v>400</v>
      </c>
      <c r="I16" s="114">
        <f t="shared" si="3"/>
        <v>22625.5</v>
      </c>
      <c r="J16" s="274">
        <f>SUM(J7:J15)</f>
        <v>1668.8120000000001</v>
      </c>
      <c r="K16" s="275">
        <f t="shared" si="3"/>
        <v>791.89250000000015</v>
      </c>
      <c r="L16" s="276">
        <f t="shared" si="3"/>
        <v>240.08760000000001</v>
      </c>
      <c r="M16" s="232">
        <f t="shared" si="3"/>
        <v>19924.707900000001</v>
      </c>
      <c r="N16" s="233">
        <f>SUM(N7:N15)</f>
        <v>4301.6949152542365</v>
      </c>
      <c r="O16" s="101">
        <f>SUM(O7:O15)</f>
        <v>121.13201407627119</v>
      </c>
      <c r="P16" s="113">
        <f>SUM(P7:P15)</f>
        <v>24347.534829330507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22625.5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1668.8120000000001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1031.9801000000002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19924.707899999998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4301.6949152542365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24226.402815254234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121.13201407627119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24347.534829330507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24347.534829330511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516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519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3667.7000000000003</v>
      </c>
      <c r="J25" s="274">
        <f>SUM(J16:J24)</f>
        <v>246.34000000000003</v>
      </c>
      <c r="K25" s="275">
        <f t="shared" si="10"/>
        <v>128.36950000000002</v>
      </c>
      <c r="L25" s="276">
        <f t="shared" si="10"/>
        <v>80.029200000000003</v>
      </c>
      <c r="M25" s="232">
        <f t="shared" si="10"/>
        <v>3212.9612999999999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3667.7000000000003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246.34000000000003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208.39870000000002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3212.9612999999999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3914.6562152542369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71" t="s">
        <v>88</v>
      </c>
      <c r="O35" s="372"/>
      <c r="P35" s="297">
        <f>+P33+P34</f>
        <v>3934.229496330508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160</v>
      </c>
      <c r="I25" s="114">
        <f t="shared" si="7"/>
        <v>10286</v>
      </c>
      <c r="J25" s="274">
        <f>SUM(J16:J24)</f>
        <v>775.80400000000009</v>
      </c>
      <c r="K25" s="275">
        <f t="shared" si="7"/>
        <v>360.01000000000005</v>
      </c>
      <c r="L25" s="276">
        <f t="shared" si="7"/>
        <v>80.029200000000003</v>
      </c>
      <c r="M25" s="232">
        <f t="shared" si="7"/>
        <v>9070.1568000000007</v>
      </c>
      <c r="N25" s="233">
        <f>SUM(N16:N24)</f>
        <v>1952.542372881356</v>
      </c>
      <c r="O25" s="101">
        <f>SUM(O16:O24)</f>
        <v>55.113495864406786</v>
      </c>
      <c r="P25" s="113">
        <f>SUM(P16:P24)</f>
        <v>11077.812668745762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10286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775.80400000000009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440.03920000000005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9070.1568000000007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1952.542372881356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11022.699172881357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55.113495864406786</v>
      </c>
    </row>
    <row r="35" spans="2:16" ht="15.75" customHeight="1" thickBot="1" x14ac:dyDescent="0.4">
      <c r="N35" s="371" t="s">
        <v>88</v>
      </c>
      <c r="O35" s="372"/>
      <c r="P35" s="297">
        <f>+P33+P34</f>
        <v>11077.812668745764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6573.3000000000011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478.78800000000007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310.09470000000005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5784.417300000001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7035.2647576271193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1" t="s">
        <v>88</v>
      </c>
      <c r="O35" s="372"/>
      <c r="P35" s="297">
        <f>+P33+P34</f>
        <v>7070.4410814152552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2026-08-17T04:52:12Z</dcterms:modified>
</cp:coreProperties>
</file>