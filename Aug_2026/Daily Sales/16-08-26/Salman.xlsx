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E38BDBA-011A-4EAF-B3BD-7F98C49CDC7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<sst xmlns="http://schemas.openxmlformats.org/spreadsheetml/2006/main" count="3978" uniqueCount="527">
  <si>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</si>
  <si>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</si>
  <si>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</si>
  <si>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</si>
  <si>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</si>
  <si>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</si>
  <si>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</si>
  <si>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</si>
  <si>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</si>
  <si>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</si>
  <si>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</si>
  <si>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</si>
  <si>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</si>
  <si>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</si>
  <si>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</si>
  <si>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</si>
  <si>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</si>
  <si>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</si>
  <si>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</si>
  <si>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</si>
  <si>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</si>
  <si>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</si>
  <si>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</si>
  <si>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</si>
  <si>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</si>
  <si>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</si>
  <si>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</si>
  <si>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</si>
  <si>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</si>
  <si>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</si>
  <si>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</si>
  <si>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</si>
  <si>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</si>
  <si>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</si>
  <si>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</si>
  <si>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</si>
  <si>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</si>
  <si>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</si>
  <si>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</si>
  <si>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</si>
  <si>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</si>
  <si>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</si>
  <si>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</si>
  <si>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</si>
  <si>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</si>
  <si>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</si>
  <si>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</si>
  <si>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</si>
  <si>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</si>
  <si>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</si>
  <si>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</si>
  <si>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</si>
  <si>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</si>
  <si>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</si>
  <si>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</si>
  <si>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</si>
  <si>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</si>
  <si>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</si>
  <si>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</si>
  <si>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</si>
  <si>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</si>
  <si>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</si>
  <si>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</si>
  <si>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</si>
  <si>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</si>
  <si>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</si>
  <si>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</si>
  <si>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</si>
  <si>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</si>
  <si>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</si>
  <si>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</si>
  <si>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</si>
  <si>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</si>
  <si>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</si>
  <si>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</si>
  <si>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</si>
  <si>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</si>
  <si>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</si>
  <si>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</si>
  <si>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</si>
  <si>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</si>
  <si>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</si>
  <si>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</si>
  <si>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</si>
  <si>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</si>
  <si>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</si>
  <si>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</si>
  <si>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</si>
  <si>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</si>
  <si>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</si>
  <si>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</si>
  <si>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</si>
  <si>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</si>
  <si>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</si>
  <si>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</si>
  <si>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</si>
  <si>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</si>
  <si>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</si>
  <si>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</si>
  <si>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</si>
  <si>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</si>
  <si>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</si>
  <si>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</si>
  <si>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</si>
  <si>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</si>
  <si>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</si>
  <si>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</si>
  <si>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</si>
  <si>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</si>
  <si>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</si>
  <si>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</si>
  <si>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</si>
  <si>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</si>
  <si>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</si>
  <si>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</si>
  <si>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</si>
  <si>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</si>
  <si>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</si>
  <si>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</si>
  <si>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</si>
  <si>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</si>
  <si>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</si>
  <si>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</si>
  <si>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</si>
  <si>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</si>
  <si>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</si>
  <si>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</si>
  <si>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</si>
  <si>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</si>
  <si>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</si>
  <si>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</si>
  <si>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</si>
  <si>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</si>
  <si>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</si>
  <si>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</si>
  <si>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</si>
  <si>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</si>
  <si>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</si>
  <si>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</si>
  <si>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</si>
  <si>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</si>
  <si>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</si>
  <si>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</si>
  <si>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</si>
  <si>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</si>
  <si>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</si>
  <si>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</si>
  <si>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</si>
  <si>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</si>
  <si>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</si>
  <si>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</si>
  <si>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</si>
  <si>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</si>
  <si>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</si>
  <si>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</si>
  <si>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</si>
  <si>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</si>
  <si>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</si>
  <si>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</si>
  <si>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</si>
  <si>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</si>
  <si>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</si>
  <si>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</si>
  <si>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</si>
  <si>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</si>
  <si>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</si>
  <si>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</si>
  <si>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</si>
  <si>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</si>
  <si>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</si>
  <si>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</si>
  <si>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</si>
  <si>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</si>
  <si>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</si>
  <si>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</si>
  <si>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</si>
  <si>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</si>
  <si>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</si>
  <si>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</si>
  <si>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</si>
  <si>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</si>
  <si>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</si>
  <si>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</si>
  <si>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</si>
  <si>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</si>
  <si>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</si>
  <si>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</si>
  <si>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</si>
  <si>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</si>
  <si>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</si>
  <si>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</si>
  <si>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</si>
  <si>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</si>
  <si>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</si>
  <si>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</si>
  <si>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</si>
  <si>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</si>
  <si>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</si>
  <si>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</si>
  <si>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</si>
  <si>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</si>
  <si>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</si>
  <si>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</si>
  <si>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</si>
  <si>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</si>
  <si>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</si>
  <si>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</si>
  <si>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</si>
  <si>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</si>
  <si>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</si>
  <si>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</si>
  <si>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</si>
  <si>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</si>
  <si>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</si>
  <si>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</si>
  <si>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</si>
  <si>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</si>
  <si>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</si>
  <si>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</si>
  <si>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</si>
  <si>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</si>
  <si>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</si>
  <si>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</si>
  <si>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</si>
  <si>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</si>
  <si>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</si>
  <si>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</si>
  <si>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</si>
  <si>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</si>
  <si>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</si>
  <si>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</si>
  <si>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</si>
  <si>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</si>
  <si>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</si>
  <si>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</si>
  <si>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</si>
  <si>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</si>
  <si>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</si>
  <si>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</si>
  <si>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</si>
  <si>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</si>
  <si>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</si>
  <si>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</si>
  <si>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</si>
  <si>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</si>
  <si>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</si>
  <si>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</si>
  <si>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</si>
  <si>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</si>
  <si>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</si>
  <si>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</si>
  <si>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</si>
  <si>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</si>
  <si>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</si>
  <si>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</si>
  <si>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</si>
  <si>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</si>
  <si>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</si>
  <si>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</si>
  <si>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</si>
  <si>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</si>
  <si>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</si>
  <si>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</si>
  <si>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</si>
  <si>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</si>
  <si>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</si>
  <si>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</si>
  <si>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</si>
  <si>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</si>
  <si>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</si>
  <si>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</si>
  <si>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</si>
  <si>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</si>
  <si>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</si>
  <si>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</si>
  <si>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</si>
  <si>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</si>
  <si>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</si>
  <si>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</si>
  <si>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</si>
  <si>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</si>
  <si>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</si>
  <si>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</si>
  <si>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</si>
  <si>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</si>
  <si>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</si>
  <si>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</si>
  <si>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</si>
  <si>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</si>
  <si>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</si>
  <si>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</si>
  <si>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</si>
  <si>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</si>
  <si>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</si>
  <si>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</si>
  <si>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</si>
  <si>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</si>
  <si>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</si>
  <si>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</si>
  <si>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</si>
  <si>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</si>
  <si>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</si>
  <si>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</si>
  <si>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</si>
  <si>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</si>
  <si>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</si>
  <si>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</si>
  <si>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</si>
  <si>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</si>
  <si>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</si>
  <si>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</si>
  <si>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</si>
  <si>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</si>
  <si>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</si>
  <si>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</si>
  <si>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</si>
  <si>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</si>
  <si>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</si>
  <si>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</si>
  <si>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</si>
  <si>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</si>
  <si>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</si>
  <si>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</si>
  <si>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</si>
  <si>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</si>
  <si>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</si>
  <si>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</si>
  <si>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</si>
  <si>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</si>
  <si>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</si>
  <si>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</si>
  <si>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</si>
  <si>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</si>
  <si>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</si>
  <si>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</si>
  <si>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</si>
  <si>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</si>
  <si>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</si>
  <si>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</si>
  <si>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</si>
  <si>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</si>
  <si>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</si>
  <si>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</si>
  <si>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</si>
  <si>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</si>
  <si>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</si>
  <si>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</si>
  <si>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</si>
  <si>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</si>
  <si>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</si>
  <si>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</si>
  <si>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</si>
  <si>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</si>
  <si>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</si>
  <si>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</si>
  <si>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</si>
  <si>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</si>
  <si>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</si>
  <si>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</si>
  <si>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</si>
  <si>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</si>
  <si>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</si>
  <si>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</si>
  <si>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</si>
  <si>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</si>
  <si>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</si>
  <si>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</si>
  <si>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</si>
  <si>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</si>
  <si>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</si>
  <si>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</si>
  <si>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</si>
  <si>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</si>
  <si>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</si>
  <si>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</si>
  <si>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</si>
  <si>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</si>
  <si>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</si>
  <si>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</si>
  <si>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</si>
  <si>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</si>
  <si>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</si>
  <si>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</si>
  <si>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</si>
  <si>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</si>
  <si>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</si>
  <si>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</si>
  <si>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</si>
  <si>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</si>
  <si>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</si>
  <si>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</si>
  <si>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</si>
  <si>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</si>
  <si>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</si>
  <si>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</si>
  <si>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</si>
  <si>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</si>
  <si>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</si>
  <si>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</si>
  <si>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</si>
  <si>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</si>
  <si>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</si>
  <si>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</si>
  <si>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</si>
  <si>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</si>
  <si>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</si>
  <si>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</si>
  <si>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</si>
  <si>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</si>
  <si>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</si>
  <si>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</si>
  <si>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</si>
  <si>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</si>
  <si>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</si>
  <si>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</si>
  <si>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</si>
  <si>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</si>
  <si>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</si>
  <si>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</si>
  <si>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</si>
  <si>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</si>
  <si>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</si>
  <si>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</si>
  <si>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</si>
  <si>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</si>
  <si>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</si>
  <si>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</si>
  <si>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</si>
  <si>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</si>
  <si>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</si>
  <si>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</si>
  <si>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</si>
  <si>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</si>
  <si>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</si>
  <si>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</si>
  <si>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</si>
  <si>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</si>
  <si>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</si>
  <si>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</si>
  <si>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</si>
  <si>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</si>
  <si>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</si>
  <si>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</si>
  <si>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</si>
  <si>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</si>
  <si>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</si>
  <si>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</si>
  <si>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</si>
  <si>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</si>
  <si>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</si>
  <si>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</si>
  <si>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</si>
  <si>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</si>
  <si>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</si>
  <si>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</si>
  <si>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</si>
  <si>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</si>
  <si>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</si>
  <si>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</si>
  <si>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</si>
  <si>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</si>
  <si>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</si>
  <si>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</si>
  <si>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</si>
  <si>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</si>
  <si>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</si>
  <si>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</si>
  <si>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</si>
  <si>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</si>
  <si>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</si>
  <si>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</si>
  <si>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</si>
  <si>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</si>
  <si>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</si>
  <si>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</si>
  <si>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</si>
  <si>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</si>
  <si>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</si>
  <si>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</si>
  <si>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</si>
  <si>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</si>
  <si>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</si>
  <si>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</si>
  <si>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</si>
  <si>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</si>
  <si>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</si>
  <si>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</si>
  <si>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</si>
  <si>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</si>
  <si>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</si>
  <si>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</si>
  <si>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</si>
  <si>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</si>
  <si>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</si>
  <si>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</si>
  <si>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</si>
  <si>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</si>
  <si>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</si>
  <si>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</si>
  <si>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</si>
  <si>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</si>
  <si>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</si>
  <si>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</si>
  <si>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</si>
  <si>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</si>
  <si>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</si>
  <si>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</si>
  <si>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</si>
  <si>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</si>
  <si>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</si>
  <si>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</si>
  <si>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</si>
  <si>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</si>
  <si>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</si>
  <si>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</si>
  <si>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</si>
  <si>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Tajpura</t>
  </si>
  <si>
    <t>Salman</t>
  </si>
  <si>
    <t xml:space="preserve">AA Mart </t>
  </si>
  <si>
    <t xml:space="preserve">Ayyan Kareyana </t>
  </si>
  <si>
    <t xml:space="preserve">Mg Mart </t>
  </si>
  <si>
    <t xml:space="preserve">Data Ali Hajweri </t>
  </si>
  <si>
    <t xml:space="preserve">AH Mart </t>
  </si>
  <si>
    <t xml:space="preserve">Swera Bakers </t>
  </si>
  <si>
    <t>Faisal GS</t>
  </si>
  <si>
    <t>Gulam Rasool  Store 2</t>
  </si>
  <si>
    <t>Adil Bakers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</si>
</sst>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AA Mart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Ayyan Kareyana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Mg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Data Ali Hajweri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AH Mart 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36</v>
      </c>
      <c r="I8" s="236">
        <f t="shared" ref="I8:I14" si="0">(G8*D8)*F8+H8*F8</f>
        <v>1888.6499999999999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151.09199999999998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66.10275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1671.45525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356.94915254237276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10.142022012711863</v>
      </c>
      <c r="P8" s="311">
        <f t="shared" ref="P8:P15" si="2">M8+N8+O8</f>
        <v>2038.5464245550845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Swera Bakers </v>
      </c>
      <c r="T8" s="301">
        <f>+'6'!P35</f>
        <v>679.51547485169476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</v>
      </c>
      <c r="I9" s="236">
        <f t="shared" si="0"/>
        <v>2150.9625000000001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172.07699999999997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75.283687500000013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1903.6018125000001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406.52542372881334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11.550636181144068</v>
      </c>
      <c r="P9" s="311">
        <f t="shared" si="2"/>
        <v>2321.6778724099572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Faisal GS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139.83199999999999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Gulam Rasool  Store 2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45</v>
      </c>
      <c r="I11" s="236">
        <f t="shared" si="0"/>
        <v>3268.8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114.40800000000002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2892.8879999999999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617.79661016949149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17.553423050847456</v>
      </c>
      <c r="P11" s="311">
        <f t="shared" si="2"/>
        <v>3528.2380332203388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Adil Bakers</v>
      </c>
      <c r="T11" s="301">
        <f>+'9'!P35</f>
        <v>3099.640539584746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</v>
      </c>
      <c r="I13" s="236">
        <f t="shared" si="0"/>
        <v>1255.3600000000001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62.768000000000015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43.93760000000001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64.023359999999997</v>
      </c>
      <c r="M13" s="230">
        <f t="shared" si="1"/>
        <v>1084.6310400000002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244.06779661016935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6.6434941830508478</v>
      </c>
      <c r="P13" s="311">
        <f t="shared" si="2"/>
        <v>1335.3423307932203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8.1</v>
      </c>
      <c r="H16" s="113">
        <f t="shared" ref="H16:M16" si="3">SUM(H7:H15)</f>
        <v>324</v>
      </c>
      <c r="I16" s="114">
        <f t="shared" si="3"/>
        <v>19802.809999999998</v>
      </c>
      <c r="J16" s="274">
        <f>SUM(J7:J15)</f>
        <v>1546.5640000000001</v>
      </c>
      <c r="K16" s="275">
        <f t="shared" si="3"/>
        <v>693.09834999999998</v>
      </c>
      <c r="L16" s="276">
        <f t="shared" si="3"/>
        <v>64.023359999999997</v>
      </c>
      <c r="M16" s="232">
        <f t="shared" si="3"/>
        <v>17499.12429</v>
      </c>
      <c r="N16" s="233">
        <f>SUM(N7:N15)</f>
        <v>3749.4915254237285</v>
      </c>
      <c r="O16" s="101">
        <f>SUM(O7:O15)</f>
        <v>106.24307907711865</v>
      </c>
      <c r="P16" s="113">
        <f>SUM(P7:P15)</f>
        <v>21354.858894500845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19802.809999999998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1546.5640000000001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757.12171000000001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17499.12429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3749.4915254237285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21248.615815423727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106.24307907711865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21354.858894500845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21354.858894500849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311">
        <f t="shared" ref="P17:P24" si="5">M17+N17+O17</f>
        <v>736.14176442266944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113">
        <f>SUM(P16:P24)</f>
        <v>679.51547485169488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629.54999999999995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50.363999999999997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22.03425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557.15174999999988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676.13480084745743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2" t="s">
        <v>88</v>
      </c>
      <c r="O35" s="343"/>
      <c r="P35" s="297">
        <f>+P33+P34</f>
        <v>679.51547485169476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113">
        <f>SUM(P16:P24)</f>
        <v>3099.640539584746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2883.1000000000004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207.11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140.92310000000001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2535.0669000000003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3084.2194423728815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42" t="s">
        <v>88</v>
      </c>
      <c r="O35" s="343"/>
      <c r="P35" s="297">
        <f>+P33+P34</f>
        <v>3099.640539584746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2026-08-17T05:17:45Z</dcterms:modified>
</cp:coreProperties>
</file>