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F0C2830-73A2-4A27-AB75-B7EBDBCF423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1" i="51"/>
  <c r="M23" i="44"/>
  <c r="O23" i="44" s="1"/>
  <c r="P23" i="44" s="1"/>
  <c r="M16" i="44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<sst xmlns="http://schemas.openxmlformats.org/spreadsheetml/2006/main" count="3978" uniqueCount="529">
  <si>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</si>
  <si>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</si>
  <si>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</si>
  <si>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</si>
  <si>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</si>
  <si>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</si>
  <si>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</si>
  <si>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</si>
  <si>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</si>
  <si>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</si>
  <si>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</si>
  <si>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</si>
  <si>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</si>
  <si>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</si>
  <si>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</si>
  <si>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</si>
  <si>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</si>
  <si>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</si>
  <si>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</si>
  <si>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</si>
  <si>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</si>
  <si>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</si>
  <si>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</si>
  <si>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</si>
  <si>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</si>
  <si>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</si>
  <si>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</si>
  <si>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</si>
  <si>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</si>
  <si>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</si>
  <si>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</si>
  <si>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</si>
  <si>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</si>
  <si>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</si>
  <si>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</si>
  <si>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</si>
  <si>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</si>
  <si>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</si>
  <si>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</si>
  <si>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</si>
  <si>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</si>
  <si>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</si>
  <si>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</si>
  <si>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</si>
  <si>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</si>
  <si>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</si>
  <si>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</si>
  <si>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</si>
  <si>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</si>
  <si>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</si>
  <si>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</si>
  <si>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</si>
  <si>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</si>
  <si>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</si>
  <si>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</si>
  <si>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</si>
  <si>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</si>
  <si>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</si>
  <si>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</si>
  <si>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</si>
  <si>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</si>
  <si>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</si>
  <si>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</si>
  <si>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</si>
  <si>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</si>
  <si>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</si>
  <si>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</si>
  <si>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</si>
  <si>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</si>
  <si>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</si>
  <si>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</si>
  <si>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</si>
  <si>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</si>
  <si>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</si>
  <si>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</si>
  <si>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</si>
  <si>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</si>
  <si>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</si>
  <si>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</si>
  <si>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</si>
  <si>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</si>
  <si>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</si>
  <si>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</si>
  <si>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</si>
  <si>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</si>
  <si>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</si>
  <si>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</si>
  <si>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</si>
  <si>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</si>
  <si>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</si>
  <si>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</si>
  <si>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</si>
  <si>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</si>
  <si>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</si>
  <si>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</si>
  <si>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</si>
  <si>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</si>
  <si>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</si>
  <si>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</si>
  <si>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</si>
  <si>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</si>
  <si>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</si>
  <si>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</si>
  <si>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</si>
  <si>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</si>
  <si>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</si>
  <si>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</si>
  <si>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</si>
  <si>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</si>
  <si>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</si>
  <si>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</si>
  <si>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</si>
  <si>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</si>
  <si>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</si>
  <si>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</si>
  <si>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</si>
  <si>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</si>
  <si>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</si>
  <si>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</si>
  <si>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</si>
  <si>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</si>
  <si>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</si>
  <si>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</si>
  <si>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</si>
  <si>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</si>
  <si>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</si>
  <si>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</si>
  <si>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</si>
  <si>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</si>
  <si>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</si>
  <si>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</si>
  <si>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</si>
  <si>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</si>
  <si>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</si>
  <si>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</si>
  <si>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</si>
  <si>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</si>
  <si>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</si>
  <si>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</si>
  <si>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</si>
  <si>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</si>
  <si>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</si>
  <si>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</si>
  <si>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</si>
  <si>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</si>
  <si>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</si>
  <si>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</si>
  <si>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</si>
  <si>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</si>
  <si>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</si>
  <si>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</si>
  <si>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</si>
  <si>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</si>
  <si>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</si>
  <si>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</si>
  <si>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</si>
  <si>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</si>
  <si>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</si>
  <si>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</si>
  <si>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</si>
  <si>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</si>
  <si>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</si>
  <si>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</si>
  <si>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</si>
  <si>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</si>
  <si>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</si>
  <si>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</si>
  <si>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</si>
  <si>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</si>
  <si>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</si>
  <si>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</si>
  <si>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</si>
  <si>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</si>
  <si>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</si>
  <si>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</si>
  <si>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</si>
  <si>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</si>
  <si>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</si>
  <si>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</si>
  <si>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</si>
  <si>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</si>
  <si>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</si>
  <si>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</si>
  <si>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</si>
  <si>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</si>
  <si>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</si>
  <si>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</si>
  <si>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</si>
  <si>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</si>
  <si>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</si>
  <si>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</si>
  <si>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</si>
  <si>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</si>
  <si>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</si>
  <si>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</si>
  <si>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</si>
  <si>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</si>
  <si>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</si>
  <si>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</si>
  <si>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</si>
  <si>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</si>
  <si>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</si>
  <si>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</si>
  <si>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</si>
  <si>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</si>
  <si>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</si>
  <si>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</si>
  <si>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</si>
  <si>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</si>
  <si>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</si>
  <si>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</si>
  <si>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</si>
  <si>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</si>
  <si>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</si>
  <si>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</si>
  <si>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</si>
  <si>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</si>
  <si>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</si>
  <si>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</si>
  <si>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</si>
  <si>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</si>
  <si>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</si>
  <si>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</si>
  <si>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</si>
  <si>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</si>
  <si>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</si>
  <si>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</si>
  <si>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</si>
  <si>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</si>
  <si>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</si>
  <si>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</si>
  <si>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</si>
  <si>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</si>
  <si>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</si>
  <si>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</si>
  <si>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</si>
  <si>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</si>
  <si>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</si>
  <si>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</si>
  <si>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</si>
  <si>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</si>
  <si>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</si>
  <si>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</si>
  <si>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</si>
  <si>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</si>
  <si>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</si>
  <si>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</si>
  <si>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</si>
  <si>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</si>
  <si>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</si>
  <si>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</si>
  <si>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</si>
  <si>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</si>
  <si>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</si>
  <si>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</si>
  <si>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</si>
  <si>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</si>
  <si>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</si>
  <si>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</si>
  <si>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</si>
  <si>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</si>
  <si>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</si>
  <si>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</si>
  <si>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</si>
  <si>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</si>
  <si>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</si>
  <si>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</si>
  <si>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</si>
  <si>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</si>
  <si>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</si>
  <si>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</si>
  <si>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</si>
  <si>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</si>
  <si>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</si>
  <si>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</si>
  <si>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</si>
  <si>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</si>
  <si>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</si>
  <si>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</si>
  <si>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</si>
  <si>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</si>
  <si>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</si>
  <si>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</si>
  <si>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</si>
  <si>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</si>
  <si>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</si>
  <si>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</si>
  <si>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</si>
  <si>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</si>
  <si>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</si>
  <si>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</si>
  <si>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</si>
  <si>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</si>
  <si>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</si>
  <si>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</si>
  <si>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</si>
  <si>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</si>
  <si>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</si>
  <si>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</si>
  <si>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</si>
  <si>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</si>
  <si>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</si>
  <si>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</si>
  <si>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</si>
  <si>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</si>
  <si>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</si>
  <si>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</si>
  <si>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</si>
  <si>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</si>
  <si>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</si>
  <si>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</si>
  <si>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</si>
  <si>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</si>
  <si>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</si>
  <si>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</si>
  <si>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</si>
  <si>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</si>
  <si>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</si>
  <si>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</si>
  <si>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</si>
  <si>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</si>
  <si>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</si>
  <si>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</si>
  <si>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</si>
  <si>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</si>
  <si>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</si>
  <si>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</si>
  <si>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</si>
  <si>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</si>
  <si>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</si>
  <si>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</si>
  <si>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</si>
  <si>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</si>
  <si>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</si>
  <si>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</si>
  <si>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</si>
  <si>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</si>
  <si>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</si>
  <si>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</si>
  <si>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</si>
  <si>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</si>
  <si>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</si>
  <si>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</si>
  <si>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</si>
  <si>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</si>
  <si>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</si>
  <si>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</si>
  <si>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</si>
  <si>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</si>
  <si>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</si>
  <si>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</si>
  <si>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</si>
  <si>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</si>
  <si>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</si>
  <si>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</si>
  <si>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</si>
  <si>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</si>
  <si>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</si>
  <si>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</si>
  <si>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</si>
  <si>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</si>
  <si>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</si>
  <si>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</si>
  <si>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</si>
  <si>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</si>
  <si>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</si>
  <si>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</si>
  <si>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</si>
  <si>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</si>
  <si>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</si>
  <si>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</si>
  <si>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</si>
  <si>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</si>
  <si>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</si>
  <si>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</si>
  <si>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</si>
  <si>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</si>
  <si>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</si>
  <si>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</si>
  <si>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</si>
  <si>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</si>
  <si>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</si>
  <si>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</si>
  <si>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</si>
  <si>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</si>
  <si>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</si>
  <si>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</si>
  <si>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</si>
  <si>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</si>
  <si>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</si>
  <si>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</si>
  <si>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</si>
  <si>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</si>
  <si>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</si>
  <si>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</si>
  <si>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</si>
  <si>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</si>
  <si>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</si>
  <si>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</si>
  <si>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</si>
  <si>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</si>
  <si>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</si>
  <si>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</si>
  <si>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</si>
  <si>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</si>
  <si>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</si>
  <si>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</si>
  <si>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</si>
  <si>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</si>
  <si>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</si>
  <si>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</si>
  <si>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</si>
  <si>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</si>
  <si>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</si>
  <si>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</si>
  <si>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</si>
  <si>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</si>
  <si>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</si>
  <si>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</si>
  <si>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</si>
  <si>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</si>
  <si>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</si>
  <si>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</si>
  <si>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</si>
  <si>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</si>
  <si>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</si>
  <si>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</si>
  <si>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</si>
  <si>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</si>
  <si>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</si>
  <si>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</si>
  <si>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</si>
  <si>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</si>
  <si>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</si>
  <si>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</si>
  <si>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</si>
  <si>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</si>
  <si>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</si>
  <si>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</si>
  <si>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</si>
  <si>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</si>
  <si>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</si>
  <si>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</si>
  <si>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</si>
  <si>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</si>
  <si>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</si>
  <si>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</si>
  <si>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</si>
  <si>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</si>
  <si>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</si>
  <si>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</si>
  <si>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</si>
  <si>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</si>
  <si>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</si>
  <si>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</si>
  <si>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</si>
  <si>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</si>
  <si>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</si>
  <si>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</si>
  <si>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</si>
  <si>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</si>
  <si>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</si>
  <si>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</si>
  <si>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</si>
  <si>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</si>
  <si>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</si>
  <si>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</si>
  <si>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</si>
  <si>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</si>
  <si>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</si>
  <si>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</si>
  <si>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</si>
  <si>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</si>
  <si>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</si>
  <si>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</si>
  <si>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</si>
  <si>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</si>
  <si>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</si>
  <si>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</si>
  <si>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</si>
  <si>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</si>
  <si>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</si>
  <si>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</si>
  <si>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</si>
  <si>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</si>
  <si>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</si>
  <si>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</si>
  <si>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</si>
  <si>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</si>
  <si>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</si>
  <si>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</si>
  <si>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</si>
  <si>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</si>
  <si>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</si>
  <si>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</si>
  <si>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</si>
  <si>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</si>
  <si>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</si>
  <si>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</si>
  <si>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</si>
  <si>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</si>
  <si>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</si>
  <si>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</si>
  <si>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</si>
  <si>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</si>
  <si>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</si>
  <si>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</si>
  <si>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</si>
  <si>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</si>
  <si>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</si>
  <si>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</si>
  <si>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</si>
  <si>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</si>
  <si>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</si>
  <si>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</si>
  <si>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</si>
  <si>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 xml:space="preserve">Besta Mart </t>
  </si>
  <si>
    <t>Address: Bedian Road</t>
  </si>
  <si>
    <t>Fakhir Store</t>
  </si>
  <si>
    <t>Malik Store</t>
  </si>
  <si>
    <t>Saleem Store</t>
  </si>
  <si>
    <t>Hafiz Store</t>
  </si>
  <si>
    <t>MHT Store</t>
  </si>
  <si>
    <t xml:space="preserve">Al Mazz Cash N Carry </t>
  </si>
  <si>
    <t xml:space="preserve">Iqbal Mart </t>
  </si>
  <si>
    <t xml:space="preserve">Luqman Bakers </t>
  </si>
  <si>
    <t>Hikma Store</t>
  </si>
  <si>
    <t xml:space="preserve">Mian Bakers </t>
  </si>
  <si>
    <t>Yaseen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</si>
</sst>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38" sqref="J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Besta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Fakhir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Malik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Saleem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5571.5174999999999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33.80674004237288</v>
      </c>
      <c r="P8" s="311">
        <f t="shared" ref="P8:P15" si="2">M8+N8+O8</f>
        <v>6795.1547485169476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MHT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Yaseen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170</v>
      </c>
      <c r="I10" s="236">
        <f t="shared" si="0"/>
        <v>12348.8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987.904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432.20800000000003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10928.687999999998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2333.898305084746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66.312931525423735</v>
      </c>
      <c r="P10" s="311">
        <f t="shared" si="2"/>
        <v>13328.899236610168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Saleem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46.809128135593227</v>
      </c>
      <c r="P11" s="311">
        <f t="shared" si="2"/>
        <v>9408.6347552542375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Malik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311">
        <f t="shared" si="2"/>
        <v>12544.846340338983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Fakhir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41.521838644067799</v>
      </c>
      <c r="P13" s="311">
        <f t="shared" si="2"/>
        <v>8345.889567457627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Mian Bakers 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Al Mazz Cash N Carry </v>
      </c>
      <c r="T14" s="301">
        <f>+'12'!P35</f>
        <v>31215.831668847459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Iqbal Mart </v>
      </c>
      <c r="T15" s="301">
        <f>+'13'!P35</f>
        <v>392.02644813559323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22.25</v>
      </c>
      <c r="H16" s="113">
        <f t="shared" ref="H16:M16" si="3">SUM(H7:H15)</f>
        <v>890</v>
      </c>
      <c r="I16" s="114">
        <f t="shared" si="3"/>
        <v>53125</v>
      </c>
      <c r="J16" s="274">
        <f>SUM(J7:J15)</f>
        <v>4014.6200000000003</v>
      </c>
      <c r="K16" s="275">
        <f t="shared" si="3"/>
        <v>1859.3750000000002</v>
      </c>
      <c r="L16" s="276">
        <f t="shared" si="3"/>
        <v>400.14600000000002</v>
      </c>
      <c r="M16" s="232">
        <f t="shared" si="3"/>
        <v>46850.858999999997</v>
      </c>
      <c r="N16" s="233">
        <f>SUM(N7:N15)</f>
        <v>10083.050847457627</v>
      </c>
      <c r="O16" s="101">
        <f>SUM(O7:O15)</f>
        <v>284.66954923728815</v>
      </c>
      <c r="P16" s="113">
        <f>SUM(P7:P15)</f>
        <v>57218.579396694913</v>
      </c>
      <c r="Q16" s="128">
        <f>SUM(Q7:Q15)</f>
        <v>0</v>
      </c>
      <c r="R16" s="314">
        <v>14</v>
      </c>
      <c r="S16" s="300" t="str">
        <f>+'14'!A6:A6</f>
        <v xml:space="preserve">Luqman Bakers </v>
      </c>
      <c r="T16" s="301">
        <f>+'14'!P35</f>
        <v>7941.6010836610158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Hikma Store</v>
      </c>
      <c r="T17" s="301">
        <f>+'15'!P35</f>
        <v>15607.915834423729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53125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4014.6200000000003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2259.5210000000002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46850.858999999997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10083.050847457627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56933.909847457624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284.66954923728815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57218.579396694913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57218.579396694913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363.2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29.056000000000001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12.712000000000002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321.43200000000002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390.07606779661018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1" t="s">
        <v>88</v>
      </c>
      <c r="O35" s="372"/>
      <c r="P35" s="297">
        <f>+P33+P34</f>
        <v>392.02644813559323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310">
        <f>M16+N16+O16</f>
        <v>4530.103165677966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480</v>
      </c>
      <c r="I25" s="114">
        <f t="shared" si="7"/>
        <v>28966.000000000004</v>
      </c>
      <c r="J25" s="274">
        <f>SUM(J16:J24)</f>
        <v>2223.1280000000002</v>
      </c>
      <c r="K25" s="275">
        <f t="shared" si="7"/>
        <v>1013.8100000000002</v>
      </c>
      <c r="L25" s="276">
        <f t="shared" si="7"/>
        <v>160.05840000000001</v>
      </c>
      <c r="M25" s="232">
        <f t="shared" si="7"/>
        <v>25569.003600000004</v>
      </c>
      <c r="N25" s="233">
        <f>SUM(N16:N24)</f>
        <v>5491.5254237288118</v>
      </c>
      <c r="O25" s="101">
        <f>SUM(O16:O24)</f>
        <v>155.30264511864405</v>
      </c>
      <c r="P25" s="113">
        <f>SUM(P16:P24)</f>
        <v>31215.831668847459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28966.000000000004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2223.1280000000002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1173.8684000000003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25569.003600000004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5491.5254237288118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31060.529023728814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155.30264511864408</v>
      </c>
    </row>
    <row r="35" spans="2:16" ht="15.75" customHeight="1" thickBot="1" x14ac:dyDescent="0.4">
      <c r="N35" s="371" t="s">
        <v>88</v>
      </c>
      <c r="O35" s="372"/>
      <c r="P35" s="297">
        <f>+P33+P34</f>
        <v>31215.831668847459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363.2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29.056000000000001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12.712000000000002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321.43200000000002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390.07606779661018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1" t="s">
        <v>88</v>
      </c>
      <c r="O35" s="372"/>
      <c r="P35" s="297">
        <f>+P33+P34</f>
        <v>392.02644813559323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7380.4</v>
      </c>
      <c r="J25" s="274">
        <f>SUM(J16:J24)</f>
        <v>543.35599999999999</v>
      </c>
      <c r="K25" s="275">
        <f t="shared" si="7"/>
        <v>258.31400000000002</v>
      </c>
      <c r="L25" s="276">
        <f t="shared" si="7"/>
        <v>80.029200000000003</v>
      </c>
      <c r="M25" s="232">
        <f t="shared" si="7"/>
        <v>6498.7008000000005</v>
      </c>
      <c r="N25" s="233">
        <f>SUM(N16:N24)</f>
        <v>1403.3898305084745</v>
      </c>
      <c r="O25" s="101">
        <f>SUM(O16:O24)</f>
        <v>39.510453152542375</v>
      </c>
      <c r="P25" s="113">
        <f>SUM(P16:P24)</f>
        <v>7941.6010836610167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7380.4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543.35599999999999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338.34320000000002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6498.7007999999996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1403.3898305084745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7902.0906305084736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39.510453152542368</v>
      </c>
    </row>
    <row r="35" spans="2:16" ht="15.75" customHeight="1" thickBot="1" x14ac:dyDescent="0.4">
      <c r="N35" s="371" t="s">
        <v>88</v>
      </c>
      <c r="O35" s="372"/>
      <c r="P35" s="297">
        <f>+P33+P34</f>
        <v>7941.6010836610158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14483.000000000002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1111.5640000000001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586.93420000000015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12784.501800000002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15530.264511864407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71" t="s">
        <v>88</v>
      </c>
      <c r="O35" s="372"/>
      <c r="P35" s="297">
        <f>+P33+P34</f>
        <v>15607.915834423729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2026-08-17T05:33:02Z</dcterms:modified>
</cp:coreProperties>
</file>