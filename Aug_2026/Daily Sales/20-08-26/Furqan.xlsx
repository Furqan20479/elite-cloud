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87A90DA-2EE6-4B40-B1CC-0E6CAAB70B52}" xr6:coauthVersionLast="47" xr6:coauthVersionMax="47" xr10:uidLastSave="{00000000-0000-0000-0000-000000000000}"/>
  <bookViews>
    <workbookView xWindow="-110" yWindow="-110" windowWidth="19420" windowHeight="10420" tabRatio="594" firstSheet="3" activeTab="1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1" l="1"/>
  <c r="M17" i="44"/>
  <c r="O17" i="44" s="1"/>
  <c r="P17" i="44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<sst xmlns="http://schemas.openxmlformats.org/spreadsheetml/2006/main" count="3978" uniqueCount="534">
  <si>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</si>
  <si>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</si>
  <si>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</si>
  <si>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</si>
  <si>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</si>
  <si>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</si>
  <si>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</si>
  <si>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</si>
  <si>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</si>
  <si>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</si>
  <si>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</si>
  <si>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</si>
  <si>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</si>
  <si>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</si>
  <si>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</si>
  <si>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</si>
  <si>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</si>
  <si>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</si>
  <si>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</si>
  <si>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</si>
  <si>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</si>
  <si>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</si>
  <si>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</si>
  <si>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</si>
  <si>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</si>
  <si>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</si>
  <si>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</si>
  <si>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</si>
  <si>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</si>
  <si>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</si>
  <si>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</si>
  <si>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</si>
  <si>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</si>
  <si>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</si>
  <si>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</si>
  <si>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</si>
  <si>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</si>
  <si>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</si>
  <si>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</si>
  <si>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</si>
  <si>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</si>
  <si>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</si>
  <si>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</si>
  <si>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</si>
  <si>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</si>
  <si>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</si>
  <si>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</si>
  <si>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</si>
  <si>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</si>
  <si>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</si>
  <si>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</si>
  <si>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</si>
  <si>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</si>
  <si>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</si>
  <si>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</si>
  <si>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</si>
  <si>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</si>
  <si>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</si>
  <si>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</si>
  <si>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</si>
  <si>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</si>
  <si>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</si>
  <si>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</si>
  <si>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</si>
  <si>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</si>
  <si>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</si>
  <si>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</si>
  <si>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</si>
  <si>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</si>
  <si>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</si>
  <si>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</si>
  <si>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</si>
  <si>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</si>
  <si>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</si>
  <si>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</si>
  <si>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</si>
  <si>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</si>
  <si>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</si>
  <si>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</si>
  <si>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</si>
  <si>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</si>
  <si>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</si>
  <si>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</si>
  <si>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</si>
  <si>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</si>
  <si>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</si>
  <si>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</si>
  <si>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</si>
  <si>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</si>
  <si>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</si>
  <si>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</si>
  <si>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</si>
  <si>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</si>
  <si>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</si>
  <si>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</si>
  <si>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</si>
  <si>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</si>
  <si>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</si>
  <si>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</si>
  <si>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</si>
  <si>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</si>
  <si>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</si>
  <si>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</si>
  <si>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</si>
  <si>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</si>
  <si>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</si>
  <si>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</si>
  <si>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</si>
  <si>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</si>
  <si>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</si>
  <si>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</si>
  <si>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</si>
  <si>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</si>
  <si>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</si>
  <si>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</si>
  <si>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</si>
  <si>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</si>
  <si>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</si>
  <si>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</si>
  <si>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</si>
  <si>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</si>
  <si>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</si>
  <si>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</si>
  <si>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</si>
  <si>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</si>
  <si>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</si>
  <si>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</si>
  <si>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</si>
  <si>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</si>
  <si>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</si>
  <si>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</si>
  <si>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</si>
  <si>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</si>
  <si>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</si>
  <si>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</si>
  <si>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</si>
  <si>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</si>
  <si>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</si>
  <si>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</si>
  <si>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</si>
  <si>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</si>
  <si>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</si>
  <si>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</si>
  <si>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</si>
  <si>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</si>
  <si>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</si>
  <si>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</si>
  <si>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</si>
  <si>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</si>
  <si>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</si>
  <si>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</si>
  <si>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</si>
  <si>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</si>
  <si>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</si>
  <si>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</si>
  <si>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</si>
  <si>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</si>
  <si>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</si>
  <si>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</si>
  <si>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</si>
  <si>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</si>
  <si>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</si>
  <si>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</si>
  <si>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</si>
  <si>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</si>
  <si>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</si>
  <si>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</si>
  <si>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</si>
  <si>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</si>
  <si>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</si>
  <si>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</si>
  <si>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</si>
  <si>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</si>
  <si>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</si>
  <si>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</si>
  <si>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</si>
  <si>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</si>
  <si>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</si>
  <si>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</si>
  <si>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</si>
  <si>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</si>
  <si>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</si>
  <si>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</si>
  <si>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</si>
  <si>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</si>
  <si>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</si>
  <si>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</si>
  <si>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</si>
  <si>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</si>
  <si>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</si>
  <si>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</si>
  <si>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</si>
  <si>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</si>
  <si>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</si>
  <si>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</si>
  <si>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</si>
  <si>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</si>
  <si>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</si>
  <si>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</si>
  <si>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</si>
  <si>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</si>
  <si>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</si>
  <si>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</si>
  <si>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</si>
  <si>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</si>
  <si>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</si>
  <si>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</si>
  <si>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</si>
  <si>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</si>
  <si>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</si>
  <si>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</si>
  <si>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</si>
  <si>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</si>
  <si>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</si>
  <si>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</si>
  <si>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</si>
  <si>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</si>
  <si>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</si>
  <si>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</si>
  <si>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</si>
  <si>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</si>
  <si>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</si>
  <si>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</si>
  <si>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</si>
  <si>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</si>
  <si>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</si>
  <si>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</si>
  <si>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</si>
  <si>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</si>
  <si>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</si>
  <si>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</si>
  <si>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</si>
  <si>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</si>
  <si>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</si>
  <si>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</si>
  <si>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</si>
  <si>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</si>
  <si>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</si>
  <si>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</si>
  <si>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</si>
  <si>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</si>
  <si>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</si>
  <si>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</si>
  <si>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</si>
  <si>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</si>
  <si>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</si>
  <si>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</si>
  <si>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</si>
  <si>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</si>
  <si>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</si>
  <si>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</si>
  <si>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</si>
  <si>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</si>
  <si>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</si>
  <si>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</si>
  <si>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</si>
  <si>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</si>
  <si>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</si>
  <si>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</si>
  <si>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</si>
  <si>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</si>
  <si>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</si>
  <si>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</si>
  <si>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</si>
  <si>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</si>
  <si>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</si>
  <si>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</si>
  <si>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</si>
  <si>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</si>
  <si>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</si>
  <si>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</si>
  <si>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</si>
  <si>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</si>
  <si>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</si>
  <si>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</si>
  <si>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</si>
  <si>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</si>
  <si>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</si>
  <si>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</si>
  <si>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</si>
  <si>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</si>
  <si>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</si>
  <si>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</si>
  <si>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</si>
  <si>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</si>
  <si>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</si>
  <si>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</si>
  <si>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</si>
  <si>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</si>
  <si>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</si>
  <si>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</si>
  <si>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</si>
  <si>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</si>
  <si>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</si>
  <si>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</si>
  <si>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</si>
  <si>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</si>
  <si>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</si>
  <si>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</si>
  <si>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</si>
  <si>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</si>
  <si>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</si>
  <si>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</si>
  <si>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</si>
  <si>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</si>
  <si>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</si>
  <si>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</si>
  <si>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</si>
  <si>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</si>
  <si>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</si>
  <si>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</si>
  <si>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</si>
  <si>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</si>
  <si>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</si>
  <si>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</si>
  <si>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</si>
  <si>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</si>
  <si>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</si>
  <si>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</si>
  <si>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</si>
  <si>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</si>
  <si>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</si>
  <si>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</si>
  <si>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</si>
  <si>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</si>
  <si>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</si>
  <si>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</si>
  <si>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</si>
  <si>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</si>
  <si>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</si>
  <si>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</si>
  <si>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</si>
  <si>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</si>
  <si>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</si>
  <si>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</si>
  <si>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</si>
  <si>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</si>
  <si>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</si>
  <si>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</si>
  <si>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</si>
  <si>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</si>
  <si>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</si>
  <si>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</si>
  <si>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</si>
  <si>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</si>
  <si>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</si>
  <si>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</si>
  <si>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</si>
  <si>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</si>
  <si>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</si>
  <si>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</si>
  <si>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</si>
  <si>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</si>
  <si>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</si>
  <si>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</si>
  <si>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</si>
  <si>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</si>
  <si>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</si>
  <si>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</si>
  <si>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</si>
  <si>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</si>
  <si>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</si>
  <si>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</si>
  <si>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</si>
  <si>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</si>
  <si>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</si>
  <si>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</si>
  <si>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</si>
  <si>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</si>
  <si>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</si>
  <si>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</si>
  <si>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</si>
  <si>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</si>
  <si>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</si>
  <si>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</si>
  <si>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</si>
  <si>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</si>
  <si>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</si>
  <si>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</si>
  <si>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</si>
  <si>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</si>
  <si>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</si>
  <si>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</si>
  <si>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</si>
  <si>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</si>
  <si>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</si>
  <si>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</si>
  <si>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</si>
  <si>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</si>
  <si>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</si>
  <si>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</si>
  <si>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</si>
  <si>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</si>
  <si>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</si>
  <si>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</si>
  <si>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</si>
  <si>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</si>
  <si>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</si>
  <si>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</si>
  <si>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</si>
  <si>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</si>
  <si>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</si>
  <si>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</si>
  <si>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</si>
  <si>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</si>
  <si>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</si>
  <si>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</si>
  <si>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</si>
  <si>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</si>
  <si>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</si>
  <si>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</si>
  <si>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</si>
  <si>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</si>
  <si>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</si>
  <si>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</si>
  <si>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</si>
  <si>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</si>
  <si>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</si>
  <si>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</si>
  <si>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</si>
  <si>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</si>
  <si>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</si>
  <si>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</si>
  <si>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</si>
  <si>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</si>
  <si>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</si>
  <si>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</si>
  <si>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</si>
  <si>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</si>
  <si>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</si>
  <si>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</si>
  <si>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</si>
  <si>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</si>
  <si>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</si>
  <si>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</si>
  <si>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</si>
  <si>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</si>
  <si>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</si>
  <si>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</si>
  <si>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</si>
  <si>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</si>
  <si>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</si>
  <si>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</si>
  <si>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</si>
  <si>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</si>
  <si>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</si>
  <si>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</si>
  <si>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</si>
  <si>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</si>
  <si>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</si>
  <si>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</si>
  <si>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</si>
  <si>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</si>
  <si>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</si>
  <si>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</si>
  <si>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</si>
  <si>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</si>
  <si>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</si>
  <si>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</si>
  <si>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</si>
  <si>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</si>
  <si>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</si>
  <si>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</si>
  <si>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</si>
  <si>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</si>
  <si>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</si>
  <si>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</si>
  <si>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</si>
  <si>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</si>
  <si>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</si>
  <si>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</si>
  <si>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</si>
  <si>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</si>
  <si>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</si>
  <si>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</si>
  <si>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</si>
  <si>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</si>
  <si>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</si>
  <si>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</si>
  <si>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</si>
  <si>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</si>
  <si>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</si>
  <si>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</si>
  <si>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</si>
  <si>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</si>
  <si>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</si>
  <si>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</si>
  <si>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</si>
  <si>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</si>
  <si>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</si>
  <si>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</si>
  <si>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</si>
  <si>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</si>
  <si>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</si>
  <si>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</si>
  <si>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</si>
  <si>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</si>
  <si>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</si>
  <si>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</si>
  <si>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</si>
  <si>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</si>
  <si>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</si>
  <si>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</si>
  <si>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</si>
  <si>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</si>
  <si>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</si>
  <si>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</si>
  <si>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</si>
  <si>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</si>
  <si>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</si>
  <si>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</si>
  <si>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</si>
  <si>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</si>
  <si>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</si>
  <si>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 xml:space="preserve">Jibran Iqbal </t>
  </si>
  <si>
    <t>Furqan</t>
  </si>
  <si>
    <t>SM Store</t>
  </si>
  <si>
    <t>Address: Ghalib Market</t>
  </si>
  <si>
    <t>Baber Sadique Store</t>
  </si>
  <si>
    <t xml:space="preserve">Address: Ghalib Market Rani Park </t>
  </si>
  <si>
    <t>Ileyas Store</t>
  </si>
  <si>
    <t>Address: Guru Mangat Road</t>
  </si>
  <si>
    <t>Chiragh Ali Store</t>
  </si>
  <si>
    <t>Address: Guru Mangat</t>
  </si>
  <si>
    <t xml:space="preserve">Address: Guru Mangat </t>
  </si>
  <si>
    <t>Madina Store</t>
  </si>
  <si>
    <t>Al Rehman Store</t>
  </si>
  <si>
    <t>Ali GS</t>
  </si>
  <si>
    <t xml:space="preserve">Ayan Pan Shop </t>
  </si>
  <si>
    <t xml:space="preserve">Address: Guru mangat </t>
  </si>
  <si>
    <t>MA Store</t>
  </si>
  <si>
    <t>6/11 Super Store</t>
  </si>
  <si>
    <t>Address: Guru mangat</t>
  </si>
  <si>
    <t>NTN  #: 6110128821443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</si>
</sst>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7" workbookViewId="0">
      <selection sqref="A1:T3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515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512</v>
      </c>
      <c r="F3" s="387"/>
      <c r="G3" s="387"/>
      <c r="H3" s="384">
        <f ca="1">TODAY()</f>
        <v>46254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SM Store</v>
      </c>
      <c r="T3" s="301">
        <f>+'1'!P35</f>
        <v>3934.229496330508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Baber Sadique Store</v>
      </c>
      <c r="T4" s="301">
        <f>+'2'!P35</f>
        <v>1976.2575095402542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Ileyas Store</v>
      </c>
      <c r="T5" s="301">
        <f>+'3'!P35</f>
        <v>2121.1323244245764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Chiragh Ali Store</v>
      </c>
      <c r="T6" s="301">
        <f>+'4'!P35</f>
        <v>500.75337404745761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Madina Store</v>
      </c>
      <c r="T7" s="301">
        <f>+'5'!P35</f>
        <v>500.75337404745761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44</v>
      </c>
      <c r="I8" s="236">
        <f t="shared" ref="I8:I14" si="0">(G8*D8)*F8+H8*F8</f>
        <v>2308.35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184.66800000000001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80.792249999999996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2042.8897499999998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436.27118644067775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12.395804682203391</v>
      </c>
      <c r="P8" s="311">
        <f t="shared" ref="P8:P15" si="2">M8+N8+O8</f>
        <v>2491.5567411228812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Al Rehman Store</v>
      </c>
      <c r="T8" s="301">
        <f>+'6'!P35</f>
        <v>1180.2688488991523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15</v>
      </c>
      <c r="I9" s="236">
        <f t="shared" si="0"/>
        <v>786.9375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62.954999999999998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27.542812500000004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696.43968749999999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148.72881355932196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4.22584250529661</v>
      </c>
      <c r="P9" s="311">
        <f t="shared" si="2"/>
        <v>849.39434356461845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Ali GS</v>
      </c>
      <c r="T9" s="301">
        <f>+'7'!P35</f>
        <v>500.75337404745761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41</v>
      </c>
      <c r="I10" s="236">
        <f t="shared" si="0"/>
        <v>2978.2400000000002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238.25920000000002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104.23840000000001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2635.7424000000001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562.88135593220341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15.993118779661017</v>
      </c>
      <c r="P10" s="311">
        <f t="shared" si="2"/>
        <v>3214.6168747118645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Ayan Pan Shop </v>
      </c>
      <c r="T10" s="301">
        <f>+'8'!P35</f>
        <v>485.59255590508474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MA Store</v>
      </c>
      <c r="T11" s="301">
        <f>+'9'!P35</f>
        <v>720.8084247864407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</v>
      </c>
      <c r="I12" s="236">
        <f t="shared" si="0"/>
        <v>1452.8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116.224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50.848000000000006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1285.7280000000001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274.57627118644069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7.8015213559322039</v>
      </c>
      <c r="P12" s="311">
        <f t="shared" si="2"/>
        <v>1568.1057925423729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6/11 Super Store</v>
      </c>
      <c r="T12" s="301">
        <f>+'10'!P35</f>
        <v>3136.2115850847458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127</v>
      </c>
      <c r="I13" s="236">
        <f t="shared" si="0"/>
        <v>4982.2100000000009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249.11050000000009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174.37735000000004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254.09270999999998</v>
      </c>
      <c r="M13" s="230">
        <f t="shared" si="1"/>
        <v>4304.6294400000006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968.64406779660976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26.366367538983052</v>
      </c>
      <c r="P13" s="311">
        <f t="shared" si="2"/>
        <v>5299.6398753355934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6.8</v>
      </c>
      <c r="H16" s="113">
        <f t="shared" ref="H16:M16" si="3">SUM(H7:H15)</f>
        <v>272</v>
      </c>
      <c r="I16" s="114">
        <f t="shared" si="3"/>
        <v>14021.875</v>
      </c>
      <c r="J16" s="274">
        <f>SUM(J7:J15)</f>
        <v>972.28370000000007</v>
      </c>
      <c r="K16" s="275">
        <f t="shared" si="3"/>
        <v>490.76562500000006</v>
      </c>
      <c r="L16" s="276">
        <f t="shared" si="3"/>
        <v>254.09270999999998</v>
      </c>
      <c r="M16" s="232">
        <f t="shared" si="3"/>
        <v>12304.732964999999</v>
      </c>
      <c r="N16" s="233">
        <f>SUM(N7:N15)</f>
        <v>2677.1186440677957</v>
      </c>
      <c r="O16" s="101">
        <f>SUM(O7:O15)</f>
        <v>74.909258045338987</v>
      </c>
      <c r="P16" s="113">
        <f>SUM(P7:P15)</f>
        <v>15056.760867113135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14021.875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972.28370000000007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744.85833500000001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12304.732964999999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2677.1186440677957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14981.851609067795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74.909258045338987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15056.760867113135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15056.760867113133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514</v>
      </c>
    </row>
    <row r="51" spans="2:2" x14ac:dyDescent="0.35">
      <c r="B51" t="s">
        <v>515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7.2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310">
        <f>M16+N16+O16</f>
        <v>849.39434356461845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ref="I18:I21" si="7">(G18*D18)*F18+H18*F18</f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311">
        <f t="shared" si="5"/>
        <v>849.39434356461845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3667.7000000000003</v>
      </c>
      <c r="J25" s="274">
        <f>SUM(J16:J24)</f>
        <v>246.34000000000003</v>
      </c>
      <c r="K25" s="275">
        <f t="shared" si="10"/>
        <v>128.36950000000002</v>
      </c>
      <c r="L25" s="276">
        <f t="shared" si="10"/>
        <v>80.029200000000003</v>
      </c>
      <c r="M25" s="232">
        <f t="shared" si="10"/>
        <v>3212.9612999999999</v>
      </c>
      <c r="N25" s="233">
        <f>SUM(N16:N24)</f>
        <v>701.694915254237</v>
      </c>
      <c r="O25" s="101">
        <f>SUM(O16:O24)</f>
        <v>19.573281076271186</v>
      </c>
      <c r="P25" s="113">
        <f>SUM(P16:P24)</f>
        <v>3934.229496330508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3667.7000000000003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246.34000000000003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208.39870000000002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3212.9612999999999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701.694915254237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3914.6562152542369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19.573281076271186</v>
      </c>
    </row>
    <row r="35" spans="2:16" ht="15.75" customHeight="1" thickBot="1" x14ac:dyDescent="0.4">
      <c r="N35" s="371" t="s">
        <v>88</v>
      </c>
      <c r="O35" s="372"/>
      <c r="P35" s="297">
        <f>+P33+P34</f>
        <v>3934.229496330508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518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519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15</v>
      </c>
      <c r="I22" s="236">
        <f t="shared" si="0"/>
        <v>588.45000000000005</v>
      </c>
      <c r="J22" s="272">
        <f t="shared" si="1"/>
        <v>29.422500000000003</v>
      </c>
      <c r="K22" s="128">
        <f t="shared" si="1"/>
        <v>20.595750000000002</v>
      </c>
      <c r="L22" s="119">
        <f t="shared" si="1"/>
        <v>30.010950000000001</v>
      </c>
      <c r="M22" s="230">
        <f t="shared" si="2"/>
        <v>508.42080000000004</v>
      </c>
      <c r="N22" s="277">
        <f t="shared" si="3"/>
        <v>114.40677966101688</v>
      </c>
      <c r="O22" s="239">
        <f t="shared" si="4"/>
        <v>3.1141378983050845</v>
      </c>
      <c r="P22" s="311">
        <f t="shared" si="5"/>
        <v>625.941717559322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35</v>
      </c>
      <c r="I25" s="114">
        <f t="shared" si="7"/>
        <v>1839.4750000000001</v>
      </c>
      <c r="J25" s="274">
        <f>SUM(J16:J24)</f>
        <v>129.50450000000001</v>
      </c>
      <c r="K25" s="275">
        <f t="shared" si="7"/>
        <v>64.381625000000014</v>
      </c>
      <c r="L25" s="276">
        <f t="shared" si="7"/>
        <v>30.010950000000001</v>
      </c>
      <c r="M25" s="232">
        <f t="shared" si="7"/>
        <v>1615.5779250000003</v>
      </c>
      <c r="N25" s="233">
        <f>SUM(N16:N24)</f>
        <v>350.8474576271185</v>
      </c>
      <c r="O25" s="101">
        <f>SUM(O16:O24)</f>
        <v>9.8321269131355926</v>
      </c>
      <c r="P25" s="113">
        <f>SUM(P16:P24)</f>
        <v>1976.2575095402544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1839.4750000000001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129.50450000000001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94.392575000000022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1615.5779250000001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350.8474576271185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1966.4253826271186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9.8321269131355926</v>
      </c>
    </row>
    <row r="35" spans="2:16" ht="15.75" customHeight="1" thickBot="1" x14ac:dyDescent="0.4">
      <c r="N35" s="371" t="s">
        <v>88</v>
      </c>
      <c r="O35" s="372"/>
      <c r="P35" s="297">
        <f>+P33+P34</f>
        <v>1976.2575095402542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8.75" customHeight="1" x14ac:dyDescent="0.4">
      <c r="A6" s="397" t="s">
        <v>520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521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36</v>
      </c>
      <c r="I25" s="114">
        <f t="shared" si="7"/>
        <v>1971.99</v>
      </c>
      <c r="J25" s="274">
        <f>SUM(J16:J24)</f>
        <v>143.63640000000001</v>
      </c>
      <c r="K25" s="275">
        <f t="shared" si="7"/>
        <v>69.019650000000013</v>
      </c>
      <c r="L25" s="276">
        <f t="shared" si="7"/>
        <v>24.008760000000002</v>
      </c>
      <c r="M25" s="232">
        <f t="shared" si="7"/>
        <v>1735.32519</v>
      </c>
      <c r="N25" s="233">
        <f>SUM(N16:N24)</f>
        <v>375.25423728813553</v>
      </c>
      <c r="O25" s="101">
        <f>SUM(O16:O24)</f>
        <v>10.552897136440677</v>
      </c>
      <c r="P25" s="113">
        <f>SUM(P16:P24)</f>
        <v>2121.1323244245764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1971.99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143.63640000000001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93.028410000000008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1735.32519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375.25423728813553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2110.5794272881358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10.552897136440679</v>
      </c>
    </row>
    <row r="35" spans="2:16" ht="15.75" customHeight="1" thickBot="1" x14ac:dyDescent="0.4">
      <c r="N35" s="371" t="s">
        <v>88</v>
      </c>
      <c r="O35" s="372"/>
      <c r="P35" s="297">
        <f>+P33+P34</f>
        <v>2121.1323244245764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525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24</v>
      </c>
      <c r="I25" s="114">
        <f t="shared" si="7"/>
        <v>1100.31</v>
      </c>
      <c r="J25" s="274">
        <f>SUM(J16:J24)</f>
        <v>73.902000000000001</v>
      </c>
      <c r="K25" s="275">
        <f t="shared" si="7"/>
        <v>38.510850000000005</v>
      </c>
      <c r="L25" s="276">
        <f t="shared" si="7"/>
        <v>24.008760000000002</v>
      </c>
      <c r="M25" s="232">
        <f t="shared" si="7"/>
        <v>963.88839000000007</v>
      </c>
      <c r="N25" s="233">
        <f>SUM(N16:N24)</f>
        <v>210.50847457627108</v>
      </c>
      <c r="O25" s="101">
        <f>SUM(O16:O24)</f>
        <v>5.8719843228813549</v>
      </c>
      <c r="P25" s="113">
        <f>SUM(P16:P24)</f>
        <v>1180.2688488991525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1100.31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73.902000000000001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62.519610000000007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963.88838999999984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210.50847457627108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1174.3968645762709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5.8719843228813549</v>
      </c>
    </row>
    <row r="35" spans="2:16" ht="15.75" customHeight="1" thickBot="1" x14ac:dyDescent="0.4">
      <c r="N35" s="371" t="s">
        <v>88</v>
      </c>
      <c r="O35" s="372"/>
      <c r="P35" s="297">
        <f>+P33+P34</f>
        <v>1180.2688488991523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528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529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311">
        <f t="shared" si="5"/>
        <v>235.21586888135593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9</v>
      </c>
      <c r="I25" s="114">
        <f t="shared" si="7"/>
        <v>453.30000000000007</v>
      </c>
      <c r="J25" s="274">
        <f>SUM(J16:J24)</f>
        <v>29.202600000000004</v>
      </c>
      <c r="K25" s="275">
        <f t="shared" si="7"/>
        <v>15.865500000000004</v>
      </c>
      <c r="L25" s="276">
        <f t="shared" si="7"/>
        <v>12.004380000000001</v>
      </c>
      <c r="M25" s="232">
        <f t="shared" si="7"/>
        <v>396.22752000000003</v>
      </c>
      <c r="N25" s="233">
        <f>SUM(N16:N24)</f>
        <v>86.949152542372858</v>
      </c>
      <c r="O25" s="101">
        <f>SUM(O16:O24)</f>
        <v>2.4158833627118641</v>
      </c>
      <c r="P25" s="113">
        <f>SUM(P16:P24)</f>
        <v>485.59255590508474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453.30000000000007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29.202600000000004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27.869880000000006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396.22752000000003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86.949152542372858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483.1766725423729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2.4158833627118645</v>
      </c>
    </row>
    <row r="35" spans="2:16" ht="15.75" customHeight="1" thickBot="1" x14ac:dyDescent="0.4">
      <c r="N35" s="371" t="s">
        <v>88</v>
      </c>
      <c r="O35" s="372"/>
      <c r="P35" s="297">
        <f>+P33+P34</f>
        <v>485.59255590508474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529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671.22</v>
      </c>
      <c r="J25" s="274">
        <f>SUM(J16:J24)</f>
        <v>46.636200000000002</v>
      </c>
      <c r="K25" s="275">
        <f t="shared" si="7"/>
        <v>23.492700000000006</v>
      </c>
      <c r="L25" s="276">
        <f t="shared" si="7"/>
        <v>12.004380000000001</v>
      </c>
      <c r="M25" s="232">
        <f t="shared" si="7"/>
        <v>589.08672000000001</v>
      </c>
      <c r="N25" s="233">
        <f>SUM(N16:N24)</f>
        <v>128.13559322033896</v>
      </c>
      <c r="O25" s="101">
        <f>SUM(O16:O24)</f>
        <v>3.5861115661016951</v>
      </c>
      <c r="P25" s="113">
        <f>SUM(P16:P24)</f>
        <v>720.8084247864407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671.22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46.636200000000002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35.497080000000011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589.08672000000001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128.13559322033896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717.22231322033895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3.5861115661016947</v>
      </c>
    </row>
    <row r="35" spans="2:16" ht="15.75" customHeight="1" thickBot="1" x14ac:dyDescent="0.4">
      <c r="N35" s="371" t="s">
        <v>88</v>
      </c>
      <c r="O35" s="372"/>
      <c r="P35" s="297">
        <f>+P33+P34</f>
        <v>720.8084247864407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abSelected="1"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533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532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2905.6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232.44800000000001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101.69600000000001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2571.4560000000001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3120.6085423728814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1" t="s">
        <v>88</v>
      </c>
      <c r="O35" s="372"/>
      <c r="P35" s="297">
        <f>+P33+P34</f>
        <v>3136.2115850847458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8.7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46255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46254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2026-08-20T06:30:11Z</dcterms:modified>
</cp:coreProperties>
</file>