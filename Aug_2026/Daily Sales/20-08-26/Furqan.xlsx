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CE8362-19C1-49E3-9D49-62757DC48BFA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<sst xmlns="http://schemas.openxmlformats.org/spreadsheetml/2006/main" count="3978" uniqueCount="533">
  <si>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</si>
  <si>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</si>
  <si>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</si>
  <si>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</si>
  <si>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</si>
  <si>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</si>
  <si>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</si>
  <si>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</si>
  <si>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</si>
  <si>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</si>
  <si>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</si>
  <si>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</si>
  <si>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</si>
  <si>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</si>
  <si>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</si>
  <si>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</si>
  <si>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</si>
  <si>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</si>
  <si>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</si>
  <si>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</si>
  <si>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</si>
  <si>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</si>
  <si>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</si>
  <si>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</si>
  <si>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</si>
  <si>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</si>
  <si>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</si>
  <si>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</si>
  <si>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</si>
  <si>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</si>
  <si>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</si>
  <si>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</si>
  <si>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</si>
  <si>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</si>
  <si>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</si>
  <si>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</si>
  <si>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</si>
  <si>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</si>
  <si>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</si>
  <si>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</si>
  <si>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</si>
  <si>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</si>
  <si>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</si>
  <si>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</si>
  <si>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</si>
  <si>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</si>
  <si>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</si>
  <si>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</si>
  <si>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</si>
  <si>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</si>
  <si>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</si>
  <si>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</si>
  <si>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</si>
  <si>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</si>
  <si>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</si>
  <si>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</si>
  <si>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</si>
  <si>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</si>
  <si>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</si>
  <si>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</si>
  <si>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</si>
  <si>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</si>
  <si>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</si>
  <si>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</si>
  <si>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</si>
  <si>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</si>
  <si>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</si>
  <si>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</si>
  <si>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</si>
  <si>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</si>
  <si>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</si>
  <si>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</si>
  <si>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</si>
  <si>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</si>
  <si>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</si>
  <si>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</si>
  <si>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</si>
  <si>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</si>
  <si>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</si>
  <si>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</si>
  <si>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</si>
  <si>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</si>
  <si>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</si>
  <si>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</si>
  <si>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</si>
  <si>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</si>
  <si>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</si>
  <si>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</si>
  <si>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</si>
  <si>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</si>
  <si>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</si>
  <si>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</si>
  <si>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</si>
  <si>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</si>
  <si>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</si>
  <si>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</si>
  <si>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</si>
  <si>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</si>
  <si>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</si>
  <si>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</si>
  <si>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</si>
  <si>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</si>
  <si>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</si>
  <si>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</si>
  <si>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</si>
  <si>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</si>
  <si>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</si>
  <si>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</si>
  <si>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</si>
  <si>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</si>
  <si>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</si>
  <si>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</si>
  <si>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</si>
  <si>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</si>
  <si>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</si>
  <si>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</si>
  <si>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</si>
  <si>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</si>
  <si>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</si>
  <si>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</si>
  <si>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</si>
  <si>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</si>
  <si>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</si>
  <si>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</si>
  <si>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</si>
  <si>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</si>
  <si>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</si>
  <si>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</si>
  <si>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</si>
  <si>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</si>
  <si>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</si>
  <si>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</si>
  <si>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</si>
  <si>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</si>
  <si>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</si>
  <si>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</si>
  <si>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</si>
  <si>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</si>
  <si>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</si>
  <si>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</si>
  <si>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</si>
  <si>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</si>
  <si>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</si>
  <si>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</si>
  <si>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</si>
  <si>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</si>
  <si>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</si>
  <si>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</si>
  <si>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</si>
  <si>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</si>
  <si>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</si>
  <si>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</si>
  <si>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</si>
  <si>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</si>
  <si>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</si>
  <si>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</si>
  <si>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</si>
  <si>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</si>
  <si>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</si>
  <si>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</si>
  <si>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</si>
  <si>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</si>
  <si>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</si>
  <si>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</si>
  <si>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</si>
  <si>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</si>
  <si>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</si>
  <si>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</si>
  <si>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</si>
  <si>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</si>
  <si>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</si>
  <si>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</si>
  <si>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</si>
  <si>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</si>
  <si>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</si>
  <si>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</si>
  <si>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</si>
  <si>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</si>
  <si>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</si>
  <si>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</si>
  <si>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</si>
  <si>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</si>
  <si>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</si>
  <si>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</si>
  <si>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</si>
  <si>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</si>
  <si>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</si>
  <si>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</si>
  <si>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</si>
  <si>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</si>
  <si>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</si>
  <si>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</si>
  <si>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</si>
  <si>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</si>
  <si>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</si>
  <si>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</si>
  <si>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</si>
  <si>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</si>
  <si>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</si>
  <si>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</si>
  <si>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</si>
  <si>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</si>
  <si>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</si>
  <si>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</si>
  <si>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</si>
  <si>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</si>
  <si>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</si>
  <si>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</si>
  <si>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</si>
  <si>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</si>
  <si>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</si>
  <si>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</si>
  <si>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</si>
  <si>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</si>
  <si>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</si>
  <si>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</si>
  <si>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</si>
  <si>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</si>
  <si>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</si>
  <si>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</si>
  <si>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</si>
  <si>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</si>
  <si>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</si>
  <si>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</si>
  <si>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</si>
  <si>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</si>
  <si>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</si>
  <si>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</si>
  <si>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</si>
  <si>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</si>
  <si>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</si>
  <si>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</si>
  <si>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</si>
  <si>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</si>
  <si>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</si>
  <si>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</si>
  <si>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</si>
  <si>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</si>
  <si>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</si>
  <si>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</si>
  <si>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</si>
  <si>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</si>
  <si>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</si>
  <si>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</si>
  <si>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</si>
  <si>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</si>
  <si>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</si>
  <si>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</si>
  <si>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</si>
  <si>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</si>
  <si>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</si>
  <si>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</si>
  <si>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</si>
  <si>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</si>
  <si>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</si>
  <si>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</si>
  <si>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</si>
  <si>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</si>
  <si>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</si>
  <si>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</si>
  <si>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</si>
  <si>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</si>
  <si>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</si>
  <si>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</si>
  <si>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</si>
  <si>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</si>
  <si>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</si>
  <si>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</si>
  <si>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</si>
  <si>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</si>
  <si>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</si>
  <si>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</si>
  <si>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</si>
  <si>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</si>
  <si>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</si>
  <si>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</si>
  <si>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</si>
  <si>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</si>
  <si>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</si>
  <si>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</si>
  <si>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</si>
  <si>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</si>
  <si>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</si>
  <si>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</si>
  <si>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</si>
  <si>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</si>
  <si>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</si>
  <si>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</si>
  <si>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</si>
  <si>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</si>
  <si>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</si>
  <si>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</si>
  <si>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</si>
  <si>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</si>
  <si>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</si>
  <si>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</si>
  <si>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</si>
  <si>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</si>
  <si>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</si>
  <si>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</si>
  <si>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</si>
  <si>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</si>
  <si>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</si>
  <si>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</si>
  <si>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</si>
  <si>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</si>
  <si>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</si>
  <si>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</si>
  <si>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</si>
  <si>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</si>
  <si>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</si>
  <si>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</si>
  <si>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</si>
  <si>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</si>
  <si>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</si>
  <si>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</si>
  <si>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</si>
  <si>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</si>
  <si>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</si>
  <si>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</si>
  <si>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</si>
  <si>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</si>
  <si>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</si>
  <si>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</si>
  <si>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</si>
  <si>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</si>
  <si>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</si>
  <si>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</si>
  <si>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</si>
  <si>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</si>
  <si>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</si>
  <si>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</si>
  <si>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</si>
  <si>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</si>
  <si>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</si>
  <si>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</si>
  <si>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</si>
  <si>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</si>
  <si>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</si>
  <si>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</si>
  <si>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</si>
  <si>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</si>
  <si>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</si>
  <si>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</si>
  <si>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</si>
  <si>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</si>
  <si>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</si>
  <si>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</si>
  <si>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</si>
  <si>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</si>
  <si>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</si>
  <si>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</si>
  <si>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</si>
  <si>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</si>
  <si>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</si>
  <si>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</si>
  <si>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</si>
  <si>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</si>
  <si>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</si>
  <si>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</si>
  <si>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</si>
  <si>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</si>
  <si>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</si>
  <si>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</si>
  <si>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</si>
  <si>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</si>
  <si>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</si>
  <si>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</si>
  <si>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</si>
  <si>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</si>
  <si>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</si>
  <si>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</si>
  <si>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</si>
  <si>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</si>
  <si>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</si>
  <si>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</si>
  <si>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</si>
  <si>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</si>
  <si>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</si>
  <si>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</si>
  <si>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</si>
  <si>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</si>
  <si>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</si>
  <si>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</si>
  <si>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</si>
  <si>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</si>
  <si>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</si>
  <si>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</si>
  <si>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</si>
  <si>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</si>
  <si>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</si>
  <si>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</si>
  <si>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</si>
  <si>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</si>
  <si>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</si>
  <si>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</si>
  <si>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</si>
  <si>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</si>
  <si>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</si>
  <si>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</si>
  <si>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</si>
  <si>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</si>
  <si>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</si>
  <si>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</si>
  <si>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</si>
  <si>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</si>
  <si>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</si>
  <si>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</si>
  <si>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</si>
  <si>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</si>
  <si>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</si>
  <si>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</si>
  <si>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</si>
  <si>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</si>
  <si>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</si>
  <si>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</si>
  <si>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</si>
  <si>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</si>
  <si>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</si>
  <si>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</si>
  <si>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</si>
  <si>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</si>
  <si>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</si>
  <si>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</si>
  <si>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</si>
  <si>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</si>
  <si>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</si>
  <si>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</si>
  <si>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</si>
  <si>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</si>
  <si>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</si>
  <si>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</si>
  <si>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</si>
  <si>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</si>
  <si>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</si>
  <si>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</si>
  <si>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</si>
  <si>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</si>
  <si>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</si>
  <si>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</si>
  <si>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</si>
  <si>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</si>
  <si>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</si>
  <si>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</si>
  <si>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</si>
  <si>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</si>
  <si>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</si>
  <si>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</si>
  <si>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</si>
  <si>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</si>
  <si>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</si>
  <si>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</si>
  <si>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</si>
  <si>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</si>
  <si>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</si>
  <si>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</si>
  <si>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</si>
  <si>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</si>
  <si>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</si>
  <si>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</si>
  <si>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</si>
  <si>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</si>
  <si>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</si>
  <si>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</si>
  <si>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</si>
  <si>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</si>
  <si>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</si>
  <si>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</si>
  <si>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</si>
  <si>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</si>
  <si>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</si>
  <si>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</si>
  <si>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</si>
  <si>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</si>
  <si>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</si>
  <si>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</si>
  <si>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</si>
  <si>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</si>
  <si>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</si>
  <si>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</si>
  <si>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</si>
  <si>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</si>
  <si>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</si>
  <si>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</si>
  <si>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</si>
  <si>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</si>
  <si>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</si>
  <si>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</si>
  <si>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</si>
  <si>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</si>
  <si>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</si>
  <si>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</si>
  <si>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</si>
  <si>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</si>
  <si>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</si>
  <si>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</si>
  <si>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</si>
  <si>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</si>
  <si>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</si>
  <si>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</si>
  <si>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</si>
  <si>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</si>
  <si>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</si>
  <si>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</si>
  <si>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</si>
  <si>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</si>
  <si>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</si>
  <si>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</si>
  <si>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</si>
  <si>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</si>
  <si>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</si>
  <si>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</si>
  <si>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</si>
  <si>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</si>
  <si>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 xml:space="preserve">Jibran Iqbal </t>
  </si>
  <si>
    <t>Furqan</t>
  </si>
  <si>
    <t>SM Store</t>
  </si>
  <si>
    <t>Address: Ghalib Market</t>
  </si>
  <si>
    <t>Baber Sadique Store</t>
  </si>
  <si>
    <t xml:space="preserve">Address: Ghalib Market Rani Park </t>
  </si>
  <si>
    <t>Ileyas Store</t>
  </si>
  <si>
    <t>Address: Guru Mangat Road</t>
  </si>
  <si>
    <t>Chiragh Ali Store</t>
  </si>
  <si>
    <t>Address: Guru Mangat</t>
  </si>
  <si>
    <t xml:space="preserve">Address: Guru Mangat </t>
  </si>
  <si>
    <t>Madina Store</t>
  </si>
  <si>
    <t>Al Rehman Store</t>
  </si>
  <si>
    <t>Ali GS</t>
  </si>
  <si>
    <t xml:space="preserve">Ayan Pan Shop </t>
  </si>
  <si>
    <t xml:space="preserve">Address: Guru mangat </t>
  </si>
  <si>
    <t>MA Store</t>
  </si>
  <si>
    <t>6/11 Super Store</t>
  </si>
  <si>
    <t>Address: Guru mangat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</si>
</sst>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SM Store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Baber Sadique Store</v>
      </c>
      <c r="T4" s="301">
        <f>+'2'!P35</f>
        <v>1976.2575095402542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Ileyas Store</v>
      </c>
      <c r="T5" s="301">
        <f>+'3'!P35</f>
        <v>2121.1323244245764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Chiragh Ali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Madina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54</v>
      </c>
      <c r="I8" s="236">
        <f t="shared" ref="I8:I14" si="0">(G8*D8)*F8+H8*F8</f>
        <v>2832.9749999999999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226.63800000000001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99.154124999999993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2507.182875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535.42372881355902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15.213033019067797</v>
      </c>
      <c r="P8" s="311">
        <f t="shared" ref="P8:P15" si="2">M8+N8+O8</f>
        <v>3057.8196368326271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Al Rehman Store</v>
      </c>
      <c r="T8" s="301">
        <f>+'6'!P35</f>
        <v>1180.2688488991523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GS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31</v>
      </c>
      <c r="I10" s="236">
        <f t="shared" si="0"/>
        <v>2251.84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180.14720000000003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78.814400000000006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1992.8784000000001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425.59322033898309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12.092358101694916</v>
      </c>
      <c r="P10" s="311">
        <f t="shared" si="2"/>
        <v>2430.5639784406781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Ayan Pan Shop </v>
      </c>
      <c r="T10" s="301">
        <f>+'8'!P35</f>
        <v>485.59255590508474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MA Store</v>
      </c>
      <c r="T11" s="301">
        <f>+'9'!P35</f>
        <v>720.8084247864407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6/11 Super Store</v>
      </c>
      <c r="T12" s="301">
        <f>+'10'!P35</f>
        <v>2184.9047487266948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147</v>
      </c>
      <c r="I13" s="236">
        <f t="shared" si="0"/>
        <v>5766.81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288.34050000000008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201.83835000000005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294.10730999999998</v>
      </c>
      <c r="M13" s="230">
        <f t="shared" si="1"/>
        <v>4982.5238399999998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1121.1864406779655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30.518551403389832</v>
      </c>
      <c r="P13" s="311">
        <f t="shared" si="2"/>
        <v>6134.2288320813559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6.8</v>
      </c>
      <c r="H16" s="113">
        <f t="shared" ref="H16:M16" si="3">SUM(H7:H15)</f>
        <v>272</v>
      </c>
      <c r="I16" s="114">
        <f t="shared" si="3"/>
        <v>13151.900000000001</v>
      </c>
      <c r="J16" s="274">
        <f>SUM(J7:J15)</f>
        <v>879.14769999999999</v>
      </c>
      <c r="K16" s="275">
        <f t="shared" si="3"/>
        <v>460.31650000000002</v>
      </c>
      <c r="L16" s="276">
        <f t="shared" si="3"/>
        <v>294.10730999999998</v>
      </c>
      <c r="M16" s="232">
        <f t="shared" si="3"/>
        <v>11518.32849</v>
      </c>
      <c r="N16" s="233">
        <f>SUM(N7:N15)</f>
        <v>2516.9491525423718</v>
      </c>
      <c r="O16" s="101">
        <f>SUM(O7:O15)</f>
        <v>70.176388212711871</v>
      </c>
      <c r="P16" s="113">
        <f>SUM(P7:P15)</f>
        <v>14105.454030755085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13151.900000000001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879.14769999999999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754.42381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11518.328490000002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2516.9491525423718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14035.277642542373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70.176388212711871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14105.454030755085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14105.454030755081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3212.9612999999999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3667.7000000000003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246.34000000000003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208.39870000000002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3212.9612999999999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3914.6562152542369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1" t="s">
        <v>88</v>
      </c>
      <c r="O35" s="372"/>
      <c r="P35" s="297">
        <f>+P33+P34</f>
        <v>3934.229496330508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35</v>
      </c>
      <c r="I25" s="114">
        <f t="shared" si="7"/>
        <v>1839.4750000000001</v>
      </c>
      <c r="J25" s="274">
        <f>SUM(J16:J24)</f>
        <v>129.50450000000001</v>
      </c>
      <c r="K25" s="275">
        <f t="shared" si="7"/>
        <v>64.381625000000014</v>
      </c>
      <c r="L25" s="276">
        <f t="shared" si="7"/>
        <v>30.010950000000001</v>
      </c>
      <c r="M25" s="232">
        <f t="shared" si="7"/>
        <v>1615.5779250000003</v>
      </c>
      <c r="N25" s="233">
        <f>SUM(N16:N24)</f>
        <v>350.8474576271185</v>
      </c>
      <c r="O25" s="101">
        <f>SUM(O16:O24)</f>
        <v>9.8321269131355926</v>
      </c>
      <c r="P25" s="113">
        <f>SUM(P16:P24)</f>
        <v>1976.2575095402544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1839.4750000000001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129.50450000000001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94.392575000000022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1615.5779250000001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1966.4253826271186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9.8321269131355926</v>
      </c>
    </row>
    <row r="35" spans="2:16" ht="15.75" customHeight="1" thickBot="1" x14ac:dyDescent="0.4">
      <c r="N35" s="371" t="s">
        <v>88</v>
      </c>
      <c r="O35" s="372"/>
      <c r="P35" s="297">
        <f>+P33+P34</f>
        <v>1976.2575095402542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1971.99</v>
      </c>
      <c r="J25" s="274">
        <f>SUM(J16:J24)</f>
        <v>143.63640000000001</v>
      </c>
      <c r="K25" s="275">
        <f t="shared" si="7"/>
        <v>69.019650000000013</v>
      </c>
      <c r="L25" s="276">
        <f t="shared" si="7"/>
        <v>24.008760000000002</v>
      </c>
      <c r="M25" s="232">
        <f t="shared" si="7"/>
        <v>1735.32519</v>
      </c>
      <c r="N25" s="233">
        <f>SUM(N16:N24)</f>
        <v>375.25423728813553</v>
      </c>
      <c r="O25" s="101">
        <f>SUM(O16:O24)</f>
        <v>10.552897136440677</v>
      </c>
      <c r="P25" s="113">
        <f>SUM(P16:P24)</f>
        <v>2121.1323244245764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1971.99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143.63640000000001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93.028410000000008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1735.32519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375.25423728813553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2110.5794272881358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10.552897136440679</v>
      </c>
    </row>
    <row r="35" spans="2:16" ht="15.75" customHeight="1" thickBot="1" x14ac:dyDescent="0.4">
      <c r="N35" s="371" t="s">
        <v>88</v>
      </c>
      <c r="O35" s="372"/>
      <c r="P35" s="297">
        <f>+P33+P34</f>
        <v>2121.1323244245764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524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1100.31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73.902000000000001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62.519610000000007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963.88838999999984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1174.3968645762709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1" t="s">
        <v>88</v>
      </c>
      <c r="O35" s="372"/>
      <c r="P35" s="297">
        <f>+P33+P34</f>
        <v>1180.2688488991523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524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529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9</v>
      </c>
      <c r="I25" s="114">
        <f t="shared" si="7"/>
        <v>453.30000000000007</v>
      </c>
      <c r="J25" s="274">
        <f>SUM(J16:J24)</f>
        <v>29.202600000000004</v>
      </c>
      <c r="K25" s="275">
        <f t="shared" si="7"/>
        <v>15.865500000000004</v>
      </c>
      <c r="L25" s="276">
        <f t="shared" si="7"/>
        <v>12.004380000000001</v>
      </c>
      <c r="M25" s="232">
        <f t="shared" si="7"/>
        <v>396.22752000000003</v>
      </c>
      <c r="N25" s="233">
        <f>SUM(N16:N24)</f>
        <v>86.949152542372858</v>
      </c>
      <c r="O25" s="101">
        <f>SUM(O16:O24)</f>
        <v>2.4158833627118641</v>
      </c>
      <c r="P25" s="113">
        <f>SUM(P16:P24)</f>
        <v>485.59255590508474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453.30000000000007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29.202600000000004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27.869880000000006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396.22752000000003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86.949152542372858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483.1766725423729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2.4158833627118645</v>
      </c>
    </row>
    <row r="35" spans="2:16" ht="15.75" customHeight="1" thickBot="1" x14ac:dyDescent="0.4">
      <c r="N35" s="371" t="s">
        <v>88</v>
      </c>
      <c r="O35" s="372"/>
      <c r="P35" s="297">
        <f>+P33+P34</f>
        <v>485.59255590508474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529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671.22</v>
      </c>
      <c r="J25" s="274">
        <f>SUM(J16:J24)</f>
        <v>46.636200000000002</v>
      </c>
      <c r="K25" s="275">
        <f t="shared" si="7"/>
        <v>23.492700000000006</v>
      </c>
      <c r="L25" s="276">
        <f t="shared" si="7"/>
        <v>12.004380000000001</v>
      </c>
      <c r="M25" s="232">
        <f t="shared" si="7"/>
        <v>589.08672000000001</v>
      </c>
      <c r="N25" s="233">
        <f>SUM(N16:N24)</f>
        <v>128.13559322033896</v>
      </c>
      <c r="O25" s="101">
        <f>SUM(O16:O24)</f>
        <v>3.5861115661016951</v>
      </c>
      <c r="P25" s="113">
        <f>SUM(P16:P24)</f>
        <v>720.8084247864407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671.22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46.636200000000002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35.497080000000011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589.08672000000001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128.13559322033896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717.22231322033895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3.5861115661016947</v>
      </c>
    </row>
    <row r="35" spans="2:16" ht="15.75" customHeight="1" thickBot="1" x14ac:dyDescent="0.4">
      <c r="N35" s="371" t="s">
        <v>88</v>
      </c>
      <c r="O35" s="372"/>
      <c r="P35" s="297">
        <f>+P33+P34</f>
        <v>720.8084247864407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2035.6250000000002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139.31200000000001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111.26147500000002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1785.0515250000001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2174.0345758474577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1" t="s">
        <v>88</v>
      </c>
      <c r="O35" s="372"/>
      <c r="P35" s="297">
        <f>+P33+P34</f>
        <v>2184.9047487266948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2026-08-19T10:30:28Z</dcterms:modified>
</cp:coreProperties>
</file>