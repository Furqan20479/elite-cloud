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02DB46D-1B1D-42F3-888D-09EA85FA00F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<sst xmlns="http://schemas.openxmlformats.org/spreadsheetml/2006/main" count="3948" uniqueCount="517">
  <si>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</si>
  <si>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</si>
  <si>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</si>
  <si>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</si>
  <si>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</si>
  <si>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</si>
  <si>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</si>
  <si>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</si>
  <si>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</si>
  <si>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</si>
  <si>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</si>
  <si>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</si>
  <si>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</si>
  <si>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</si>
  <si>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</si>
  <si>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</si>
  <si>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</si>
  <si>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</si>
  <si>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</si>
  <si>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</si>
  <si>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</si>
  <si>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</si>
  <si>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</si>
  <si>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</si>
  <si>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</si>
  <si>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</si>
  <si>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</si>
  <si>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</si>
  <si>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</si>
  <si>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</si>
  <si>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</si>
  <si>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</si>
  <si>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</si>
  <si>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</si>
  <si>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</si>
  <si>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</si>
  <si>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</si>
  <si>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</si>
  <si>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</si>
  <si>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</si>
  <si>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</si>
  <si>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</si>
  <si>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</si>
  <si>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</si>
  <si>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</si>
  <si>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</si>
  <si>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</si>
  <si>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</si>
  <si>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</si>
  <si>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</si>
  <si>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</si>
  <si>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</si>
  <si>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</si>
  <si>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</si>
  <si>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</si>
  <si>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</si>
  <si>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</si>
  <si>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</si>
  <si>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</si>
  <si>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</si>
  <si>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</si>
  <si>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</si>
  <si>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</si>
  <si>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</si>
  <si>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</si>
  <si>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</si>
  <si>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</si>
  <si>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</si>
  <si>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</si>
  <si>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</si>
  <si>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</si>
  <si>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</si>
  <si>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</si>
  <si>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</si>
  <si>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</si>
  <si>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</si>
  <si>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</si>
  <si>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</si>
  <si>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</si>
  <si>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</si>
  <si>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</si>
  <si>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</si>
  <si>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</si>
  <si>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</si>
  <si>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</si>
  <si>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</si>
  <si>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</si>
  <si>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</si>
  <si>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</si>
  <si>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</si>
  <si>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</si>
  <si>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</si>
  <si>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</si>
  <si>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</si>
  <si>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</si>
  <si>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</si>
  <si>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</si>
  <si>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</si>
  <si>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</si>
  <si>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</si>
  <si>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</si>
  <si>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</si>
  <si>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</si>
  <si>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</si>
  <si>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</si>
  <si>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</si>
  <si>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</si>
  <si>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</si>
  <si>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</si>
  <si>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</si>
  <si>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</si>
  <si>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</si>
  <si>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</si>
  <si>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</si>
  <si>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</si>
  <si>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</si>
  <si>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</si>
  <si>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</si>
  <si>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</si>
  <si>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</si>
  <si>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</si>
  <si>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</si>
  <si>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</si>
  <si>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</si>
  <si>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</si>
  <si>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</si>
  <si>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</si>
  <si>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</si>
  <si>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</si>
  <si>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</si>
  <si>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</si>
  <si>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</si>
  <si>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</si>
  <si>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</si>
  <si>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</si>
  <si>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</si>
  <si>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</si>
  <si>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</si>
  <si>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</si>
  <si>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</si>
  <si>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</si>
  <si>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</si>
  <si>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</si>
  <si>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</si>
  <si>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</si>
  <si>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</si>
  <si>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</si>
  <si>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</si>
  <si>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</si>
  <si>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</si>
  <si>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</si>
  <si>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</si>
  <si>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</si>
  <si>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</si>
  <si>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</si>
  <si>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</si>
  <si>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</si>
  <si>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</si>
  <si>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</si>
  <si>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</si>
  <si>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</si>
  <si>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</si>
  <si>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</si>
  <si>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</si>
  <si>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</si>
  <si>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</si>
  <si>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</si>
  <si>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</si>
  <si>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</si>
  <si>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</si>
  <si>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</si>
  <si>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</si>
  <si>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</si>
  <si>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</si>
  <si>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</si>
  <si>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</si>
  <si>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</si>
  <si>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</si>
  <si>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</si>
  <si>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</si>
  <si>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</si>
  <si>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</si>
  <si>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</si>
  <si>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</si>
  <si>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</si>
  <si>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</si>
  <si>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</si>
  <si>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</si>
  <si>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</si>
  <si>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</si>
  <si>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</si>
  <si>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</si>
  <si>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</si>
  <si>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</si>
  <si>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</si>
  <si>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</si>
  <si>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</si>
  <si>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</si>
  <si>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</si>
  <si>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</si>
  <si>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</si>
  <si>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</si>
  <si>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</si>
  <si>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</si>
  <si>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</si>
  <si>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</si>
  <si>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</si>
  <si>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</si>
  <si>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</si>
  <si>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</si>
  <si>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</si>
  <si>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</si>
  <si>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</si>
  <si>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</si>
  <si>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</si>
  <si>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</si>
  <si>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</si>
  <si>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</si>
  <si>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</si>
  <si>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</si>
  <si>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</si>
  <si>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</si>
  <si>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</si>
  <si>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</si>
  <si>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</si>
  <si>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</si>
  <si>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</si>
  <si>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</si>
  <si>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</si>
  <si>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</si>
  <si>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</si>
  <si>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</si>
  <si>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</si>
  <si>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</si>
  <si>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</si>
  <si>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</si>
  <si>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</si>
  <si>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</si>
  <si>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</si>
  <si>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</si>
  <si>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</si>
  <si>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</si>
  <si>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</si>
  <si>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</si>
  <si>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</si>
  <si>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</si>
  <si>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</si>
  <si>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</si>
  <si>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</si>
  <si>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</si>
  <si>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</si>
  <si>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</si>
  <si>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</si>
  <si>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</si>
  <si>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</si>
  <si>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</si>
  <si>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</si>
  <si>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</si>
  <si>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</si>
  <si>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</si>
  <si>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</si>
  <si>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</si>
  <si>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</si>
  <si>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</si>
  <si>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</si>
  <si>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</si>
  <si>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</si>
  <si>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</si>
  <si>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</si>
  <si>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</si>
  <si>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</si>
  <si>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</si>
  <si>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</si>
  <si>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</si>
  <si>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</si>
  <si>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</si>
  <si>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</si>
  <si>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</si>
  <si>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</si>
  <si>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</si>
  <si>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</si>
  <si>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</si>
  <si>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</si>
  <si>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</si>
  <si>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</si>
  <si>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</si>
  <si>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</si>
  <si>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</si>
  <si>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</si>
  <si>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</si>
  <si>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</si>
  <si>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</si>
  <si>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</si>
  <si>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</si>
  <si>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</si>
  <si>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</si>
  <si>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</si>
  <si>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</si>
  <si>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</si>
  <si>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</si>
  <si>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</si>
  <si>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</si>
  <si>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</si>
  <si>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</si>
  <si>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</si>
  <si>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</si>
  <si>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</si>
  <si>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</si>
  <si>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</si>
  <si>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</si>
  <si>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</si>
  <si>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</si>
  <si>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</si>
  <si>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</si>
  <si>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</si>
  <si>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</si>
  <si>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</si>
  <si>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</si>
  <si>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</si>
  <si>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</si>
  <si>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</si>
  <si>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</si>
  <si>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</si>
  <si>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</si>
  <si>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</si>
  <si>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</si>
  <si>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</si>
  <si>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</si>
  <si>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</si>
  <si>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</si>
  <si>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</si>
  <si>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</si>
  <si>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</si>
  <si>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</si>
  <si>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</si>
  <si>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</si>
  <si>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</si>
  <si>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</si>
  <si>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</si>
  <si>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</si>
  <si>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</si>
  <si>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</si>
  <si>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</si>
  <si>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</si>
  <si>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</si>
  <si>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</si>
  <si>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</si>
  <si>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</si>
  <si>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</si>
  <si>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</si>
  <si>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</si>
  <si>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</si>
  <si>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</si>
  <si>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</si>
  <si>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</si>
  <si>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</si>
  <si>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</si>
  <si>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</si>
  <si>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</si>
  <si>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</si>
  <si>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</si>
  <si>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</si>
  <si>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</si>
  <si>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</si>
  <si>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</si>
  <si>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</si>
  <si>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</si>
  <si>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</si>
  <si>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</si>
  <si>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</si>
  <si>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</si>
  <si>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</si>
  <si>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</si>
  <si>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</si>
  <si>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</si>
  <si>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</si>
  <si>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</si>
  <si>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</si>
  <si>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</si>
  <si>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</si>
  <si>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</si>
  <si>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</si>
  <si>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</si>
  <si>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</si>
  <si>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</si>
  <si>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</si>
  <si>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</si>
  <si>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</si>
  <si>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</si>
  <si>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</si>
  <si>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</si>
  <si>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</si>
  <si>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</si>
  <si>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</si>
  <si>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</si>
  <si>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</si>
  <si>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</si>
  <si>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</si>
  <si>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</si>
  <si>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</si>
  <si>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</si>
  <si>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</si>
  <si>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</si>
  <si>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</si>
  <si>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</si>
  <si>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</si>
  <si>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</si>
  <si>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</si>
  <si>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</si>
  <si>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</si>
  <si>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</si>
  <si>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</si>
  <si>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</si>
  <si>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</si>
  <si>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</si>
  <si>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</si>
  <si>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</si>
  <si>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</si>
  <si>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</si>
  <si>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</si>
  <si>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</si>
  <si>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</si>
  <si>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</si>
  <si>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</si>
  <si>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</si>
  <si>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</si>
  <si>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</si>
  <si>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</si>
  <si>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</si>
  <si>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</si>
  <si>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</si>
  <si>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</si>
  <si>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</si>
  <si>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</si>
  <si>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</si>
  <si>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</si>
  <si>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</si>
  <si>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</si>
  <si>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</si>
  <si>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</si>
  <si>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</si>
  <si>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</si>
  <si>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</si>
  <si>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</si>
  <si>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</si>
  <si>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</si>
  <si>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</si>
  <si>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</si>
  <si>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</si>
  <si>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</si>
  <si>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</si>
  <si>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</si>
  <si>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</si>
  <si>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</si>
  <si>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</si>
  <si>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</si>
  <si>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</si>
  <si>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</si>
  <si>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</si>
  <si>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</si>
  <si>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</si>
  <si>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</si>
  <si>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</si>
  <si>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</si>
  <si>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</si>
  <si>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</si>
  <si>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</si>
  <si>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</si>
  <si>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</si>
  <si>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</si>
  <si>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</si>
  <si>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</si>
  <si>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</si>
  <si>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</si>
  <si>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</si>
  <si>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</si>
  <si>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</si>
  <si>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</si>
  <si>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</si>
  <si>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</si>
  <si>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</si>
  <si>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</si>
  <si>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</si>
  <si>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</si>
  <si>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</si>
  <si>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</si>
  <si>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</si>
  <si>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</si>
  <si>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</si>
  <si>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</si>
  <si>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</si>
  <si>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</si>
  <si>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</si>
  <si>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</si>
  <si>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</si>
  <si>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</si>
  <si>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</si>
  <si>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</si>
  <si>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</si>
  <si>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</si>
  <si>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</si>
  <si>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</si>
  <si>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</si>
  <si>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</si>
  <si>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</si>
  <si>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</si>
  <si>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</si>
  <si>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</si>
  <si>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</si>
  <si>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</si>
  <si>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</si>
  <si>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</si>
  <si>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</si>
  <si>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</si>
  <si>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</si>
  <si>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</si>
  <si>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Invoice No # : 72622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</si>
</sst>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46253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Raheem Store</v>
      </c>
      <c r="T3" s="301">
        <f>+'1'!P35</f>
        <v>39480.107342796604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1762.7400000000002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440.68500000000006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10387.575000000001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2379.6610169491514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63.836180084745756</v>
      </c>
      <c r="P9" s="311">
        <f t="shared" si="2"/>
        <v>12831.072197033896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360</v>
      </c>
      <c r="I12" s="236">
        <f t="shared" si="0"/>
        <v>26150.400000000001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3661.0560000000005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915.26400000000012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21574.080000000002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4942.3728813559328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132.58226440677967</v>
      </c>
      <c r="P12" s="311">
        <f t="shared" si="2"/>
        <v>26649.035145762715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15</v>
      </c>
      <c r="H16" s="113">
        <f t="shared" ref="H16:M16" si="3">SUM(H7:H15)</f>
        <v>600</v>
      </c>
      <c r="I16" s="114">
        <f t="shared" si="3"/>
        <v>38741.4</v>
      </c>
      <c r="J16" s="274">
        <f>SUM(J7:J15)</f>
        <v>5423.7960000000003</v>
      </c>
      <c r="K16" s="275">
        <f t="shared" si="3"/>
        <v>1355.9490000000001</v>
      </c>
      <c r="L16" s="276">
        <f t="shared" si="3"/>
        <v>0</v>
      </c>
      <c r="M16" s="232">
        <f t="shared" si="3"/>
        <v>31961.655000000002</v>
      </c>
      <c r="N16" s="233">
        <f>SUM(N7:N15)</f>
        <v>7322.0338983050842</v>
      </c>
      <c r="O16" s="101">
        <f>SUM(O7:O15)</f>
        <v>196.41844449152543</v>
      </c>
      <c r="P16" s="113">
        <f>SUM(P7:P15)</f>
        <v>39480.107342796611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38741.4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5423.7960000000003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1355.9490000000001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31961.654999999999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7322.0338983050842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39283.688898305081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196.41844449152543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39480.107342796604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39480.107342796604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4" sqref="F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46254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46253</v>
      </c>
      <c r="O5" s="392"/>
      <c r="P5" s="392"/>
      <c r="R5" s="85"/>
      <c r="S5" s="266"/>
    </row>
    <row r="6" spans="1:22 16383:16384" ht="17.2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240</v>
      </c>
      <c r="I18" s="236">
        <f t="shared" ref="I18:I21" si="7">(G18*D18)*F18+H18*F18</f>
        <v>12591</v>
      </c>
      <c r="J18" s="272">
        <f t="shared" si="1"/>
        <v>1762.7400000000002</v>
      </c>
      <c r="K18" s="128">
        <f t="shared" si="1"/>
        <v>440.68500000000006</v>
      </c>
      <c r="L18" s="119">
        <f t="shared" si="1"/>
        <v>0</v>
      </c>
      <c r="M18" s="230">
        <f t="shared" si="2"/>
        <v>10387.575000000001</v>
      </c>
      <c r="N18" s="277">
        <f t="shared" si="3"/>
        <v>2379.6610169491514</v>
      </c>
      <c r="O18" s="239">
        <f t="shared" si="4"/>
        <v>63.836180084745756</v>
      </c>
      <c r="P18" s="311">
        <f t="shared" si="5"/>
        <v>12831.072197033896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360</v>
      </c>
      <c r="I21" s="236">
        <f t="shared" si="7"/>
        <v>26150.400000000001</v>
      </c>
      <c r="J21" s="272">
        <f t="shared" si="1"/>
        <v>3661.0560000000005</v>
      </c>
      <c r="K21" s="128">
        <f t="shared" si="1"/>
        <v>915.26400000000012</v>
      </c>
      <c r="L21" s="119">
        <f t="shared" si="1"/>
        <v>0</v>
      </c>
      <c r="M21" s="230">
        <f t="shared" si="2"/>
        <v>21574.080000000002</v>
      </c>
      <c r="N21" s="277">
        <f t="shared" si="3"/>
        <v>4942.3728813559328</v>
      </c>
      <c r="O21" s="239">
        <f t="shared" si="4"/>
        <v>132.58226440677967</v>
      </c>
      <c r="P21" s="311">
        <f t="shared" si="5"/>
        <v>26649.035145762715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38741.4</v>
      </c>
      <c r="J25" s="274">
        <f>SUM(J16:J24)</f>
        <v>5423.7960000000003</v>
      </c>
      <c r="K25" s="275">
        <f t="shared" si="10"/>
        <v>1355.9490000000001</v>
      </c>
      <c r="L25" s="276">
        <f t="shared" si="10"/>
        <v>0</v>
      </c>
      <c r="M25" s="232">
        <f t="shared" si="10"/>
        <v>31961.655000000002</v>
      </c>
      <c r="N25" s="233">
        <f>SUM(N16:N24)</f>
        <v>7322.0338983050842</v>
      </c>
      <c r="O25" s="101">
        <f>SUM(O16:O24)</f>
        <v>196.41844449152543</v>
      </c>
      <c r="P25" s="113">
        <f>SUM(P16:P24)</f>
        <v>39480.107342796611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38741.4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5423.7960000000003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1355.9490000000001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31961.654999999999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7322.0338983050842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39283.688898305081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196.41844449152541</v>
      </c>
    </row>
    <row r="35" spans="2:16" ht="15.75" customHeight="1" thickBot="1" x14ac:dyDescent="0.4">
      <c r="N35" s="372" t="s">
        <v>88</v>
      </c>
      <c r="O35" s="373"/>
      <c r="P35" s="297">
        <f>+P33+P34</f>
        <v>39480.107342796604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46238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46237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515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2026-08-19T12:27:02Z</dcterms:modified>
</cp:coreProperties>
</file>