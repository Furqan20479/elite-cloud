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1B99119-D075-41BD-A95A-830D03575B9A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47" l="1"/>
  <c r="O24" i="47" s="1"/>
  <c r="P24" i="47" s="1"/>
  <c r="J15" i="62"/>
  <c r="M20" i="46"/>
  <c r="O20" i="46" s="1"/>
  <c r="P20" i="46" s="1"/>
  <c r="R20" i="46" s="1"/>
  <c r="M16" i="44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<sst xmlns="http://schemas.openxmlformats.org/spreadsheetml/2006/main" count="3978" uniqueCount="526">
  <si>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</si>
  <si>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</si>
  <si>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</si>
  <si>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</si>
  <si>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</si>
  <si>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</si>
  <si>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</si>
  <si>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</si>
  <si>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</si>
  <si>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</si>
  <si>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</si>
  <si>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</si>
  <si>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</si>
  <si>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</si>
  <si>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</si>
  <si>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</si>
  <si>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</si>
  <si>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</si>
  <si>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</si>
  <si>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</si>
  <si>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</si>
  <si>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</si>
  <si>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</si>
  <si>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</si>
  <si>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</si>
  <si>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</si>
  <si>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</si>
  <si>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</si>
  <si>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</si>
  <si>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</si>
  <si>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</si>
  <si>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</si>
  <si>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</si>
  <si>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</si>
  <si>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</si>
  <si>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</si>
  <si>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</si>
  <si>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</si>
  <si>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</si>
  <si>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</si>
  <si>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</si>
  <si>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</si>
  <si>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</si>
  <si>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</si>
  <si>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</si>
  <si>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</si>
  <si>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</si>
  <si>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</si>
  <si>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</si>
  <si>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</si>
  <si>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</si>
  <si>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</si>
  <si>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</si>
  <si>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</si>
  <si>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</si>
  <si>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</si>
  <si>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</si>
  <si>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</si>
  <si>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</si>
  <si>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</si>
  <si>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</si>
  <si>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</si>
  <si>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</si>
  <si>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</si>
  <si>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</si>
  <si>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</si>
  <si>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</si>
  <si>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</si>
  <si>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</si>
  <si>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</si>
  <si>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</si>
  <si>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</si>
  <si>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</si>
  <si>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</si>
  <si>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</si>
  <si>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</si>
  <si>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</si>
  <si>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</si>
  <si>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</si>
  <si>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</si>
  <si>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</si>
  <si>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</si>
  <si>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</si>
  <si>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</si>
  <si>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</si>
  <si>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</si>
  <si>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</si>
  <si>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</si>
  <si>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</si>
  <si>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</si>
  <si>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</si>
  <si>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</si>
  <si>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</si>
  <si>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</si>
  <si>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</si>
  <si>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</si>
  <si>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</si>
  <si>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</si>
  <si>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</si>
  <si>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</si>
  <si>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</si>
  <si>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</si>
  <si>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</si>
  <si>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</si>
  <si>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</si>
  <si>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</si>
  <si>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</si>
  <si>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</si>
  <si>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</si>
  <si>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</si>
  <si>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</si>
  <si>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</si>
  <si>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</si>
  <si>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</si>
  <si>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</si>
  <si>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</si>
  <si>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</si>
  <si>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</si>
  <si>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</si>
  <si>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</si>
  <si>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</si>
  <si>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</si>
  <si>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</si>
  <si>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</si>
  <si>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</si>
  <si>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</si>
  <si>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</si>
  <si>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</si>
  <si>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</si>
  <si>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</si>
  <si>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</si>
  <si>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</si>
  <si>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</si>
  <si>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</si>
  <si>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</si>
  <si>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</si>
  <si>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</si>
  <si>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</si>
  <si>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</si>
  <si>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</si>
  <si>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</si>
  <si>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</si>
  <si>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</si>
  <si>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</si>
  <si>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</si>
  <si>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</si>
  <si>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</si>
  <si>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</si>
  <si>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</si>
  <si>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</si>
  <si>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</si>
  <si>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</si>
  <si>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</si>
  <si>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</si>
  <si>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</si>
  <si>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</si>
  <si>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</si>
  <si>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</si>
  <si>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</si>
  <si>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</si>
  <si>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</si>
  <si>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</si>
  <si>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</si>
  <si>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</si>
  <si>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</si>
  <si>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</si>
  <si>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</si>
  <si>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</si>
  <si>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</si>
  <si>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</si>
  <si>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</si>
  <si>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</si>
  <si>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</si>
  <si>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</si>
  <si>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</si>
  <si>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</si>
  <si>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</si>
  <si>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</si>
  <si>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</si>
  <si>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</si>
  <si>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</si>
  <si>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</si>
  <si>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</si>
  <si>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</si>
  <si>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</si>
  <si>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</si>
  <si>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</si>
  <si>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</si>
  <si>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</si>
  <si>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</si>
  <si>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</si>
  <si>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</si>
  <si>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</si>
  <si>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</si>
  <si>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</si>
  <si>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</si>
  <si>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</si>
  <si>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</si>
  <si>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</si>
  <si>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</si>
  <si>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</si>
  <si>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</si>
  <si>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</si>
  <si>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</si>
  <si>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</si>
  <si>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</si>
  <si>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</si>
  <si>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</si>
  <si>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</si>
  <si>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</si>
  <si>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</si>
  <si>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</si>
  <si>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</si>
  <si>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</si>
  <si>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</si>
  <si>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</si>
  <si>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</si>
  <si>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</si>
  <si>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</si>
  <si>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</si>
  <si>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</si>
  <si>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</si>
  <si>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</si>
  <si>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</si>
  <si>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</si>
  <si>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</si>
  <si>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</si>
  <si>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</si>
  <si>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</si>
  <si>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</si>
  <si>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</si>
  <si>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</si>
  <si>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</si>
  <si>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</si>
  <si>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</si>
  <si>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</si>
  <si>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</si>
  <si>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</si>
  <si>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</si>
  <si>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</si>
  <si>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</si>
  <si>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</si>
  <si>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</si>
  <si>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</si>
  <si>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</si>
  <si>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</si>
  <si>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</si>
  <si>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</si>
  <si>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</si>
  <si>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</si>
  <si>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</si>
  <si>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</si>
  <si>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</si>
  <si>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</si>
  <si>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</si>
  <si>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</si>
  <si>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</si>
  <si>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</si>
  <si>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</si>
  <si>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</si>
  <si>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</si>
  <si>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</si>
  <si>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</si>
  <si>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</si>
  <si>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</si>
  <si>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</si>
  <si>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</si>
  <si>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</si>
  <si>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</si>
  <si>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</si>
  <si>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</si>
  <si>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</si>
  <si>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</si>
  <si>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</si>
  <si>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</si>
  <si>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</si>
  <si>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</si>
  <si>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</si>
  <si>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</si>
  <si>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</si>
  <si>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</si>
  <si>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</si>
  <si>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</si>
  <si>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</si>
  <si>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</si>
  <si>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</si>
  <si>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</si>
  <si>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</si>
  <si>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</si>
  <si>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</si>
  <si>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</si>
  <si>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</si>
  <si>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</si>
  <si>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</si>
  <si>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</si>
  <si>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</si>
  <si>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</si>
  <si>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</si>
  <si>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</si>
  <si>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</si>
  <si>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</si>
  <si>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</si>
  <si>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</si>
  <si>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</si>
  <si>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</si>
  <si>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</si>
  <si>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</si>
  <si>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</si>
  <si>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</si>
  <si>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</si>
  <si>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</si>
  <si>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</si>
  <si>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</si>
  <si>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</si>
  <si>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</si>
  <si>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</si>
  <si>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</si>
  <si>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</si>
  <si>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</si>
  <si>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</si>
  <si>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</si>
  <si>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</si>
  <si>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</si>
  <si>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</si>
  <si>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</si>
  <si>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</si>
  <si>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</si>
  <si>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</si>
  <si>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</si>
  <si>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</si>
  <si>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</si>
  <si>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</si>
  <si>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</si>
  <si>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</si>
  <si>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</si>
  <si>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</si>
  <si>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</si>
  <si>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</si>
  <si>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</si>
  <si>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</si>
  <si>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</si>
  <si>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</si>
  <si>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</si>
  <si>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</si>
  <si>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</si>
  <si>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</si>
  <si>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</si>
  <si>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</si>
  <si>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</si>
  <si>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</si>
  <si>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</si>
  <si>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</si>
  <si>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</si>
  <si>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</si>
  <si>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</si>
  <si>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</si>
  <si>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</si>
  <si>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</si>
  <si>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</si>
  <si>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</si>
  <si>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</si>
  <si>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</si>
  <si>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</si>
  <si>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</si>
  <si>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</si>
  <si>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</si>
  <si>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</si>
  <si>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</si>
  <si>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</si>
  <si>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</si>
  <si>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</si>
  <si>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</si>
  <si>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</si>
  <si>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</si>
  <si>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</si>
  <si>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</si>
  <si>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</si>
  <si>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</si>
  <si>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</si>
  <si>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</si>
  <si>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</si>
  <si>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</si>
  <si>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</si>
  <si>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</si>
  <si>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</si>
  <si>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</si>
  <si>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</si>
  <si>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</si>
  <si>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</si>
  <si>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</si>
  <si>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</si>
  <si>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</si>
  <si>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</si>
  <si>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</si>
  <si>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</si>
  <si>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</si>
  <si>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</si>
  <si>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</si>
  <si>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</si>
  <si>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</si>
  <si>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</si>
  <si>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</si>
  <si>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</si>
  <si>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</si>
  <si>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</si>
  <si>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</si>
  <si>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</si>
  <si>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</si>
  <si>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</si>
  <si>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</si>
  <si>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</si>
  <si>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</si>
  <si>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</si>
  <si>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</si>
  <si>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</si>
  <si>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</si>
  <si>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</si>
  <si>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</si>
  <si>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</si>
  <si>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</si>
  <si>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</si>
  <si>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</si>
  <si>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</si>
  <si>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</si>
  <si>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</si>
  <si>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</si>
  <si>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</si>
  <si>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</si>
  <si>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</si>
  <si>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</si>
  <si>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</si>
  <si>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</si>
  <si>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</si>
  <si>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</si>
  <si>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</si>
  <si>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</si>
  <si>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</si>
  <si>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</si>
  <si>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</si>
  <si>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</si>
  <si>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</si>
  <si>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</si>
  <si>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</si>
  <si>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</si>
  <si>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</si>
  <si>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</si>
  <si>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</si>
  <si>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</si>
  <si>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</si>
  <si>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</si>
  <si>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</si>
  <si>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</si>
  <si>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</si>
  <si>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</si>
  <si>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</si>
  <si>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</si>
  <si>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</si>
  <si>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</si>
  <si>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</si>
  <si>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</si>
  <si>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</si>
  <si>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</si>
  <si>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</si>
  <si>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</si>
  <si>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</si>
  <si>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</si>
  <si>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</si>
  <si>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</si>
  <si>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</si>
  <si>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</si>
  <si>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</si>
  <si>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</si>
  <si>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</si>
  <si>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</si>
  <si>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</si>
  <si>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</si>
  <si>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</si>
  <si>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</si>
  <si>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</si>
  <si>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</si>
  <si>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</si>
  <si>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</si>
  <si>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</si>
  <si>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</si>
  <si>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</si>
  <si>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</si>
  <si>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</si>
  <si>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</si>
  <si>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</si>
  <si>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</si>
  <si>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</si>
  <si>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</si>
  <si>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</si>
  <si>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</si>
  <si>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</si>
  <si>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</si>
  <si>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</si>
  <si>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</si>
  <si>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</si>
  <si>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</si>
  <si>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</si>
  <si>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</si>
  <si>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</si>
  <si>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</si>
  <si>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</si>
  <si>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</si>
  <si>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</si>
  <si>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</si>
  <si>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</si>
  <si>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</si>
  <si>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</si>
  <si>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</si>
  <si>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</si>
  <si>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</si>
  <si>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</si>
  <si>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</si>
  <si>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Zesahn </t>
  </si>
  <si>
    <t>Allys Store</t>
  </si>
  <si>
    <t>Address: DHA</t>
  </si>
  <si>
    <t>Bravo Store</t>
  </si>
  <si>
    <t>Maharaja Store</t>
  </si>
  <si>
    <t>Bismillah Store</t>
  </si>
  <si>
    <t>Bilal Store</t>
  </si>
  <si>
    <t>Besta Store</t>
  </si>
  <si>
    <t>Al Ghani Store</t>
  </si>
  <si>
    <t>Paradise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</si>
</sst>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U6" sqref="U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516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512</v>
      </c>
      <c r="F3" s="358"/>
      <c r="G3" s="358"/>
      <c r="H3" s="355">
        <f ca="1">TODAY()</f>
        <v>46254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Allys Store</v>
      </c>
      <c r="T3" s="301">
        <f>+'1'!P35</f>
        <v>3323.3438006237293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Bravo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Maharaja Store</v>
      </c>
      <c r="T5" s="301">
        <f>+'3'!P35</f>
        <v>2515.4282698627117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Bismillah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</v>
      </c>
      <c r="I7" s="235">
        <f>(G7*D7)*F7+H7*F7</f>
        <v>1049.25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83.94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36.723750000000003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928.58625000000006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198.30508474576263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5.6344566737288133</v>
      </c>
      <c r="P7" s="310">
        <f>M7+N7+O7</f>
        <v>1132.5257914194915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Bilal Store</v>
      </c>
      <c r="T7" s="301">
        <f>+'5'!P35</f>
        <v>4805.3894985762709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83.94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928.58625000000006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5.6344566737288133</v>
      </c>
      <c r="P8" s="311">
        <f t="shared" ref="P8:P15" si="2">M8+N8+O8</f>
        <v>1132.5257914194915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Besta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Bilal Store</v>
      </c>
      <c r="T9" s="301">
        <f>+'7'!P35</f>
        <v>1881.7269510508474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89</v>
      </c>
      <c r="I10" s="236">
        <f t="shared" si="0"/>
        <v>6464.96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517.19680000000005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226.27360000000004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5721.4895999999999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1221.8644067796611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34.716770033898307</v>
      </c>
      <c r="P10" s="311">
        <f t="shared" si="2"/>
        <v>6978.0707768135599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25</v>
      </c>
      <c r="R10" s="314">
        <v>8</v>
      </c>
      <c r="S10" s="300" t="str">
        <f>+'8'!A6:A6</f>
        <v>Al Ghani Store</v>
      </c>
      <c r="T10" s="301">
        <f>+'8'!P35</f>
        <v>3136.2115850847458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</v>
      </c>
      <c r="I11" s="236">
        <f t="shared" si="0"/>
        <v>2324.48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185.95840000000001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81.356800000000007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2057.1648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439.32203389830511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12.482434169491526</v>
      </c>
      <c r="P11" s="311">
        <f t="shared" si="2"/>
        <v>2508.9692680677967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4">
        <v>9</v>
      </c>
      <c r="S11" s="300" t="str">
        <f>+'9'!A6:A6</f>
        <v>Paradise Store</v>
      </c>
      <c r="T11" s="301">
        <f>+'9'!P35</f>
        <v>4805.3894985762709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59</v>
      </c>
      <c r="I12" s="236">
        <f t="shared" si="0"/>
        <v>4285.76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342.86079999999998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150.00160000000002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3792.8976000000002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810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23.014488</v>
      </c>
      <c r="P12" s="311">
        <f t="shared" si="2"/>
        <v>4625.912088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25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98</v>
      </c>
      <c r="I13" s="236">
        <f t="shared" si="0"/>
        <v>3844.5400000000004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192.22700000000003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134.55890000000005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196.07154000000003</v>
      </c>
      <c r="M13" s="230">
        <f t="shared" si="1"/>
        <v>3321.6825600000002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747.45762711864359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20.345700935593221</v>
      </c>
      <c r="P13" s="311">
        <f t="shared" si="2"/>
        <v>4089.485888054237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124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7.95</v>
      </c>
      <c r="H16" s="113">
        <f t="shared" ref="H16:M16" si="3">SUM(H7:H15)</f>
        <v>318</v>
      </c>
      <c r="I16" s="114">
        <f t="shared" si="3"/>
        <v>19018.239999999998</v>
      </c>
      <c r="J16" s="274">
        <f>SUM(J7:J15)</f>
        <v>1406.123</v>
      </c>
      <c r="K16" s="275">
        <f t="shared" si="3"/>
        <v>665.63840000000005</v>
      </c>
      <c r="L16" s="276">
        <f t="shared" si="3"/>
        <v>196.07154000000003</v>
      </c>
      <c r="M16" s="232">
        <f t="shared" si="3"/>
        <v>16750.407060000001</v>
      </c>
      <c r="N16" s="233">
        <f>SUM(N7:N15)</f>
        <v>3615.2542372881353</v>
      </c>
      <c r="O16" s="101">
        <f>SUM(O7:O15)</f>
        <v>101.82830648644068</v>
      </c>
      <c r="P16" s="113">
        <f>SUM(P7:P15)</f>
        <v>20467.489603774578</v>
      </c>
      <c r="Q16" s="128">
        <f>SUM(Q7:Q15)</f>
        <v>194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19018.239999999998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1406.123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861.70994000000007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16750.407059999998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3615.2542372881353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20365.661297288134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101.82830648644068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20467.489603774575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20467.489603774575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7.25" customHeight="1" x14ac:dyDescent="0.4">
      <c r="A6" s="396" t="s">
        <v>517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7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311">
        <f t="shared" si="5"/>
        <v>940.86347552542372</v>
      </c>
      <c r="Q20" s="156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7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48</v>
      </c>
      <c r="I25" s="114">
        <f t="shared" ref="I25:M25" si="10">SUM(I16:I24)</f>
        <v>3085.8</v>
      </c>
      <c r="J25" s="274">
        <f>SUM(J16:J24)</f>
        <v>232.74120000000005</v>
      </c>
      <c r="K25" s="275">
        <f t="shared" si="10"/>
        <v>108.00300000000001</v>
      </c>
      <c r="L25" s="276">
        <f t="shared" si="10"/>
        <v>24.008760000000002</v>
      </c>
      <c r="M25" s="232">
        <f t="shared" si="10"/>
        <v>2721.0470400000004</v>
      </c>
      <c r="N25" s="233">
        <f>SUM(N16:N24)</f>
        <v>585.76271186440681</v>
      </c>
      <c r="O25" s="101">
        <f>SUM(O16:O24)</f>
        <v>16.534048759322033</v>
      </c>
      <c r="P25" s="113">
        <f>SUM(P16:P24)</f>
        <v>3323.3438006237288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3085.8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232.74120000000005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132.01176000000001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2721.0470400000004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585.76271186440681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3306.8097518644072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16.534048759322037</v>
      </c>
    </row>
    <row r="35" spans="2:16" ht="15.75" customHeight="1" thickBot="1" x14ac:dyDescent="0.4">
      <c r="N35" s="342" t="s">
        <v>88</v>
      </c>
      <c r="O35" s="343"/>
      <c r="P35" s="297">
        <f>+P33+P34</f>
        <v>3323.3438006237293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8.75" customHeight="1" x14ac:dyDescent="0.4">
      <c r="A6" s="396" t="s">
        <v>520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>
        <v>4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46</v>
      </c>
      <c r="I25" s="114">
        <f t="shared" si="7"/>
        <v>2333.88</v>
      </c>
      <c r="J25" s="274">
        <f>SUM(J16:J24)</f>
        <v>179.649</v>
      </c>
      <c r="K25" s="275">
        <f t="shared" si="7"/>
        <v>81.6858</v>
      </c>
      <c r="L25" s="276">
        <f t="shared" si="7"/>
        <v>12.004380000000001</v>
      </c>
      <c r="M25" s="232">
        <f t="shared" si="7"/>
        <v>2060.5408200000002</v>
      </c>
      <c r="N25" s="233">
        <f>SUM(N16:N24)</f>
        <v>442.37288135593201</v>
      </c>
      <c r="O25" s="101">
        <f>SUM(O16:O24)</f>
        <v>12.514568506779661</v>
      </c>
      <c r="P25" s="113">
        <f>SUM(P16:P24)</f>
        <v>2515.4282698627117</v>
      </c>
      <c r="Q25" s="128">
        <f>SUM(Q16:Q24)</f>
        <v>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2333.88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179.649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93.690179999999998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2060.5408200000002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442.37288135593201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2502.9137013559321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12.514568506779661</v>
      </c>
    </row>
    <row r="35" spans="2:16" ht="15.75" customHeight="1" thickBot="1" x14ac:dyDescent="0.4">
      <c r="N35" s="342" t="s">
        <v>88</v>
      </c>
      <c r="O35" s="343"/>
      <c r="P35" s="297">
        <f>+P33+P34</f>
        <v>2515.4282698627117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156.61799999999999</v>
      </c>
      <c r="L25" s="276">
        <f t="shared" si="7"/>
        <v>80.029200000000003</v>
      </c>
      <c r="M25" s="232">
        <f t="shared" si="7"/>
        <v>3927.2447999999999</v>
      </c>
      <c r="N25" s="233">
        <f>SUM(N16:N24)</f>
        <v>854.23728813559308</v>
      </c>
      <c r="O25" s="101">
        <f>SUM(O16:O24)</f>
        <v>23.907410440677968</v>
      </c>
      <c r="P25" s="113">
        <f>SUM(P16:P24)</f>
        <v>4805.3894985762709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4474.8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310.90800000000002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236.6472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3927.2447999999999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4781.4820881355927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42" t="s">
        <v>88</v>
      </c>
      <c r="O35" s="343"/>
      <c r="P35" s="297">
        <f>+P33+P34</f>
        <v>4805.3894985762709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523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113">
        <f>SUM(P16:P24)</f>
        <v>1881.7269510508474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1743.3600000000001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139.46880000000002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61.017600000000009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1542.8736000000001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1872.3651254237288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2" t="s">
        <v>88</v>
      </c>
      <c r="O35" s="343"/>
      <c r="P35" s="297">
        <f>+P33+P34</f>
        <v>1881.7269510508474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524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232.44800000000001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2571.4560000000001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3120.6085423728814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3136.2115850847458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525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113">
        <f>SUM(P16:P24)</f>
        <v>4805.3894985762709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4474.8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310.90800000000002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236.64720000000003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3927.2447999999999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4781.4820881355927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42" t="s">
        <v>88</v>
      </c>
      <c r="O35" s="343"/>
      <c r="P35" s="297">
        <f>+P33+P34</f>
        <v>4805.3894985762709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8.7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46255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46254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2026-08-20T11:46:38Z</dcterms:modified>
</cp:coreProperties>
</file>