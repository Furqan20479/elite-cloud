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CC396EA-E4C5-46CF-898E-CA7E89A693A2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7" l="1"/>
  <c r="O24" i="47" s="1"/>
  <c r="P24" i="47" s="1"/>
  <c r="J15" i="62"/>
  <c r="M20" i="46"/>
  <c r="O20" i="46" s="1"/>
  <c r="P20" i="46" s="1"/>
  <c r="R20" i="46" s="1"/>
  <c r="M16" i="44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<sst xmlns="http://schemas.openxmlformats.org/spreadsheetml/2006/main" count="3978" uniqueCount="526">
  <si>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</si>
  <si>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</si>
  <si>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</si>
  <si>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</si>
  <si>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</si>
  <si>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</si>
  <si>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</si>
  <si>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</si>
  <si>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</si>
  <si>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</si>
  <si>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</si>
  <si>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</si>
  <si>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</si>
  <si>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</si>
  <si>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</si>
  <si>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</si>
  <si>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</si>
  <si>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</si>
  <si>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</si>
  <si>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</si>
  <si>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</si>
  <si>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</si>
  <si>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</si>
  <si>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</si>
  <si>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</si>
  <si>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</si>
  <si>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</si>
  <si>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</si>
  <si>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</si>
  <si>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</si>
  <si>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</si>
  <si>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</si>
  <si>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</si>
  <si>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</si>
  <si>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</si>
  <si>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</si>
  <si>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</si>
  <si>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</si>
  <si>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</si>
  <si>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</si>
  <si>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</si>
  <si>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</si>
  <si>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</si>
  <si>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</si>
  <si>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</si>
  <si>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</si>
  <si>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</si>
  <si>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</si>
  <si>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</si>
  <si>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</si>
  <si>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</si>
  <si>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</si>
  <si>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</si>
  <si>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</si>
  <si>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</si>
  <si>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</si>
  <si>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</si>
  <si>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</si>
  <si>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</si>
  <si>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</si>
  <si>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</si>
  <si>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</si>
  <si>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</si>
  <si>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</si>
  <si>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</si>
  <si>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</si>
  <si>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</si>
  <si>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</si>
  <si>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</si>
  <si>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</si>
  <si>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</si>
  <si>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</si>
  <si>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</si>
  <si>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</si>
  <si>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</si>
  <si>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</si>
  <si>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</si>
  <si>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</si>
  <si>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</si>
  <si>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</si>
  <si>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</si>
  <si>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</si>
  <si>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</si>
  <si>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</si>
  <si>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</si>
  <si>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</si>
  <si>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</si>
  <si>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</si>
  <si>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</si>
  <si>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</si>
  <si>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</si>
  <si>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</si>
  <si>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</si>
  <si>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</si>
  <si>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</si>
  <si>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</si>
  <si>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</si>
  <si>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</si>
  <si>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</si>
  <si>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</si>
  <si>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</si>
  <si>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</si>
  <si>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</si>
  <si>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</si>
  <si>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</si>
  <si>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</si>
  <si>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</si>
  <si>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</si>
  <si>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</si>
  <si>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</si>
  <si>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</si>
  <si>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</si>
  <si>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</si>
  <si>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</si>
  <si>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</si>
  <si>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</si>
  <si>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</si>
  <si>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</si>
  <si>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</si>
  <si>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</si>
  <si>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</si>
  <si>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</si>
  <si>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</si>
  <si>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</si>
  <si>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</si>
  <si>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</si>
  <si>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</si>
  <si>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</si>
  <si>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</si>
  <si>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</si>
  <si>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</si>
  <si>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</si>
  <si>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</si>
  <si>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</si>
  <si>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</si>
  <si>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</si>
  <si>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</si>
  <si>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</si>
  <si>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</si>
  <si>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</si>
  <si>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</si>
  <si>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</si>
  <si>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</si>
  <si>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</si>
  <si>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</si>
  <si>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</si>
  <si>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</si>
  <si>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</si>
  <si>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</si>
  <si>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</si>
  <si>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</si>
  <si>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</si>
  <si>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</si>
  <si>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</si>
  <si>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</si>
  <si>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</si>
  <si>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</si>
  <si>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</si>
  <si>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</si>
  <si>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</si>
  <si>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</si>
  <si>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</si>
  <si>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</si>
  <si>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</si>
  <si>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</si>
  <si>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</si>
  <si>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</si>
  <si>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</si>
  <si>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</si>
  <si>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</si>
  <si>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</si>
  <si>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</si>
  <si>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</si>
  <si>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</si>
  <si>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</si>
  <si>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</si>
  <si>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</si>
  <si>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</si>
  <si>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</si>
  <si>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</si>
  <si>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</si>
  <si>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</si>
  <si>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</si>
  <si>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</si>
  <si>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</si>
  <si>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</si>
  <si>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</si>
  <si>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</si>
  <si>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</si>
  <si>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</si>
  <si>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</si>
  <si>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</si>
  <si>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</si>
  <si>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</si>
  <si>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</si>
  <si>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</si>
  <si>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</si>
  <si>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</si>
  <si>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</si>
  <si>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</si>
  <si>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</si>
  <si>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</si>
  <si>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</si>
  <si>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</si>
  <si>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</si>
  <si>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</si>
  <si>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</si>
  <si>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</si>
  <si>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</si>
  <si>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</si>
  <si>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</si>
  <si>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</si>
  <si>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</si>
  <si>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</si>
  <si>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</si>
  <si>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</si>
  <si>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</si>
  <si>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</si>
  <si>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</si>
  <si>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</si>
  <si>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</si>
  <si>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</si>
  <si>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</si>
  <si>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</si>
  <si>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</si>
  <si>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</si>
  <si>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</si>
  <si>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</si>
  <si>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</si>
  <si>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</si>
  <si>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</si>
  <si>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</si>
  <si>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</si>
  <si>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</si>
  <si>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</si>
  <si>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</si>
  <si>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</si>
  <si>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</si>
  <si>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</si>
  <si>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</si>
  <si>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</si>
  <si>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</si>
  <si>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</si>
  <si>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</si>
  <si>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</si>
  <si>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</si>
  <si>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</si>
  <si>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</si>
  <si>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</si>
  <si>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</si>
  <si>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</si>
  <si>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</si>
  <si>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</si>
  <si>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</si>
  <si>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</si>
  <si>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</si>
  <si>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</si>
  <si>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</si>
  <si>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</si>
  <si>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</si>
  <si>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</si>
  <si>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</si>
  <si>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</si>
  <si>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</si>
  <si>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</si>
  <si>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</si>
  <si>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</si>
  <si>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</si>
  <si>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</si>
  <si>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</si>
  <si>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</si>
  <si>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</si>
  <si>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</si>
  <si>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</si>
  <si>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</si>
  <si>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</si>
  <si>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</si>
  <si>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</si>
  <si>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</si>
  <si>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</si>
  <si>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</si>
  <si>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</si>
  <si>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</si>
  <si>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</si>
  <si>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</si>
  <si>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</si>
  <si>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</si>
  <si>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</si>
  <si>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</si>
  <si>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</si>
  <si>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</si>
  <si>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</si>
  <si>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</si>
  <si>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</si>
  <si>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</si>
  <si>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</si>
  <si>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</si>
  <si>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</si>
  <si>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</si>
  <si>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</si>
  <si>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</si>
  <si>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</si>
  <si>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</si>
  <si>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</si>
  <si>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</si>
  <si>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</si>
  <si>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</si>
  <si>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</si>
  <si>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</si>
  <si>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</si>
  <si>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</si>
  <si>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</si>
  <si>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</si>
  <si>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</si>
  <si>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</si>
  <si>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</si>
  <si>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</si>
  <si>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</si>
  <si>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</si>
  <si>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</si>
  <si>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</si>
  <si>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</si>
  <si>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</si>
  <si>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</si>
  <si>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</si>
  <si>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</si>
  <si>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</si>
  <si>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</si>
  <si>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</si>
  <si>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</si>
  <si>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</si>
  <si>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</si>
  <si>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</si>
  <si>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</si>
  <si>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</si>
  <si>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</si>
  <si>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</si>
  <si>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</si>
  <si>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</si>
  <si>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</si>
  <si>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</si>
  <si>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</si>
  <si>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</si>
  <si>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</si>
  <si>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</si>
  <si>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</si>
  <si>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</si>
  <si>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</si>
  <si>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</si>
  <si>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</si>
  <si>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</si>
  <si>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</si>
  <si>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</si>
  <si>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</si>
  <si>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</si>
  <si>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</si>
  <si>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</si>
  <si>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</si>
  <si>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</si>
  <si>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</si>
  <si>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</si>
  <si>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</si>
  <si>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</si>
  <si>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</si>
  <si>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</si>
  <si>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</si>
  <si>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</si>
  <si>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</si>
  <si>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</si>
  <si>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</si>
  <si>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</si>
  <si>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</si>
  <si>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</si>
  <si>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</si>
  <si>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</si>
  <si>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</si>
  <si>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</si>
  <si>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</si>
  <si>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</si>
  <si>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</si>
  <si>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</si>
  <si>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</si>
  <si>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</si>
  <si>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</si>
  <si>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</si>
  <si>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</si>
  <si>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</si>
  <si>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</si>
  <si>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</si>
  <si>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</si>
  <si>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</si>
  <si>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</si>
  <si>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</si>
  <si>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</si>
  <si>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</si>
  <si>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</si>
  <si>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</si>
  <si>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</si>
  <si>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</si>
  <si>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</si>
  <si>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</si>
  <si>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</si>
  <si>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</si>
  <si>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</si>
  <si>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</si>
  <si>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</si>
  <si>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</si>
  <si>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</si>
  <si>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</si>
  <si>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</si>
  <si>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</si>
  <si>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</si>
  <si>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</si>
  <si>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</si>
  <si>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</si>
  <si>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</si>
  <si>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</si>
  <si>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</si>
  <si>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</si>
  <si>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</si>
  <si>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</si>
  <si>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</si>
  <si>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</si>
  <si>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</si>
  <si>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</si>
  <si>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</si>
  <si>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</si>
  <si>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</si>
  <si>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</si>
  <si>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</si>
  <si>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</si>
  <si>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</si>
  <si>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</si>
  <si>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</si>
  <si>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</si>
  <si>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</si>
  <si>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</si>
  <si>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</si>
  <si>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</si>
  <si>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</si>
  <si>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</si>
  <si>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</si>
  <si>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</si>
  <si>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</si>
  <si>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</si>
  <si>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</si>
  <si>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</si>
  <si>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</si>
  <si>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</si>
  <si>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</si>
  <si>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</si>
  <si>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</si>
  <si>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</si>
  <si>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</si>
  <si>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</si>
  <si>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</si>
  <si>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</si>
  <si>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</si>
  <si>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</si>
  <si>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</si>
  <si>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</si>
  <si>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</si>
  <si>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</si>
  <si>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</si>
  <si>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</si>
  <si>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</si>
  <si>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</si>
  <si>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</si>
  <si>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</si>
  <si>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</si>
  <si>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</si>
  <si>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</si>
  <si>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</si>
  <si>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</si>
  <si>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</si>
  <si>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</si>
  <si>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</si>
  <si>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</si>
  <si>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</si>
  <si>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</si>
  <si>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</si>
  <si>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</si>
  <si>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</si>
  <si>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</si>
  <si>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</si>
  <si>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</si>
  <si>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</si>
  <si>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</si>
  <si>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</si>
  <si>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</si>
  <si>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</si>
  <si>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</si>
  <si>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</si>
  <si>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</si>
  <si>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</si>
  <si>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</si>
  <si>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</si>
  <si>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</si>
  <si>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</si>
  <si>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</si>
  <si>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</si>
  <si>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</si>
  <si>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</si>
  <si>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</si>
  <si>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</si>
  <si>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</si>
  <si>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</si>
  <si>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</si>
  <si>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</si>
  <si>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</si>
  <si>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</si>
  <si>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</si>
  <si>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</si>
  <si>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</si>
  <si>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</si>
  <si>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</si>
  <si>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 xml:space="preserve">Zesahn </t>
  </si>
  <si>
    <t>Allys Store</t>
  </si>
  <si>
    <t>Address: DHA</t>
  </si>
  <si>
    <t>Bravo Store</t>
  </si>
  <si>
    <t>Maharaja Store</t>
  </si>
  <si>
    <t>Bismillah Store</t>
  </si>
  <si>
    <t>Bilal Store</t>
  </si>
  <si>
    <t>Besta Store</t>
  </si>
  <si>
    <t>Al Ghani Store</t>
  </si>
  <si>
    <t>Paradise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</si>
</sst>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11" sqref="S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0" t="s">
        <v>91</v>
      </c>
      <c r="B2" s="390"/>
      <c r="C2" s="390"/>
      <c r="E2" s="382" t="s">
        <v>499</v>
      </c>
      <c r="F2" s="383"/>
      <c r="G2" s="383"/>
      <c r="H2" s="380" t="s">
        <v>516</v>
      </c>
      <c r="I2" s="380"/>
      <c r="J2" s="381"/>
      <c r="R2" s="377" t="s">
        <v>498</v>
      </c>
      <c r="S2" s="378"/>
      <c r="T2" s="379"/>
    </row>
    <row r="3" spans="1:20 16377:16378" ht="21.75" customHeight="1" thickBot="1" x14ac:dyDescent="0.4">
      <c r="A3" s="391" t="s">
        <v>92</v>
      </c>
      <c r="B3" s="391"/>
      <c r="C3" s="391"/>
      <c r="E3" s="386" t="s">
        <v>512</v>
      </c>
      <c r="F3" s="387"/>
      <c r="G3" s="387"/>
      <c r="H3" s="384">
        <f ca="1">TODAY()</f>
        <v>46262</v>
      </c>
      <c r="I3" s="384"/>
      <c r="J3" s="385"/>
      <c r="K3" s="392" t="s">
        <v>43</v>
      </c>
      <c r="L3" s="392"/>
      <c r="M3" s="392"/>
      <c r="N3" s="391"/>
      <c r="O3" s="391"/>
      <c r="P3" s="391"/>
      <c r="R3" s="299">
        <v>1</v>
      </c>
      <c r="S3" s="300" t="str">
        <f>+'1'!A6:A6</f>
        <v>Allys Store</v>
      </c>
      <c r="T3" s="301">
        <f>+'1'!P35</f>
        <v>3323.3438006237293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Bravo Store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2" t="s">
        <v>51</v>
      </c>
      <c r="B5" s="343"/>
      <c r="C5" s="346" t="s">
        <v>90</v>
      </c>
      <c r="D5" s="115" t="s">
        <v>52</v>
      </c>
      <c r="E5" s="348" t="s">
        <v>58</v>
      </c>
      <c r="F5" s="349"/>
      <c r="G5" s="350" t="s">
        <v>54</v>
      </c>
      <c r="H5" s="351"/>
      <c r="I5" s="352" t="s">
        <v>77</v>
      </c>
      <c r="J5" s="389" t="s">
        <v>55</v>
      </c>
      <c r="K5" s="350"/>
      <c r="L5" s="351"/>
      <c r="M5" s="343" t="s">
        <v>84</v>
      </c>
      <c r="N5" s="388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>Maharaja Store</v>
      </c>
      <c r="T5" s="301">
        <f>+'3'!P35</f>
        <v>2515.4282698627117</v>
      </c>
      <c r="XEX5" t="s">
        <v>106</v>
      </c>
    </row>
    <row r="6" spans="1:20 16377:16378" ht="21.75" customHeight="1" thickBot="1" x14ac:dyDescent="0.4">
      <c r="A6" s="344"/>
      <c r="B6" s="345"/>
      <c r="C6" s="347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3"/>
      <c r="J6" s="143" t="s">
        <v>59</v>
      </c>
      <c r="K6" s="144" t="s">
        <v>39</v>
      </c>
      <c r="L6" s="145" t="s">
        <v>493</v>
      </c>
      <c r="M6" s="345"/>
      <c r="N6" s="353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Bismillah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20</v>
      </c>
      <c r="I7" s="235">
        <f>(G7*D7)*F7+H7*F7</f>
        <v>1049.25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83.94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36.723750000000003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928.58625000000006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198.30508474576263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5.6344566737288133</v>
      </c>
      <c r="P7" s="310">
        <f>M7+N7+O7</f>
        <v>1132.5257914194915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Bilal Store</v>
      </c>
      <c r="T7" s="301">
        <f>+'5'!P35</f>
        <v>4805.3894985762709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Besta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Bilal Store</v>
      </c>
      <c r="T9" s="301">
        <f>+'7'!P35</f>
        <v>1881.7269510508474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89</v>
      </c>
      <c r="I10" s="236">
        <f t="shared" si="0"/>
        <v>6464.96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517.19680000000005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226.27360000000004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5721.4895999999999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1221.8644067796611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34.716770033898307</v>
      </c>
      <c r="P10" s="311">
        <f t="shared" si="2"/>
        <v>6978.0707768135599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25</v>
      </c>
      <c r="R10" s="314">
        <v>8</v>
      </c>
      <c r="S10" s="300" t="str">
        <f>+'8'!A6:A6</f>
        <v>Al Ghani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32</v>
      </c>
      <c r="I11" s="236">
        <f t="shared" si="0"/>
        <v>2324.48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185.95840000000001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81.356800000000007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2057.1648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439.32203389830511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12.482434169491526</v>
      </c>
      <c r="P11" s="311">
        <f t="shared" si="2"/>
        <v>2508.9692680677967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20</v>
      </c>
      <c r="R11" s="314">
        <v>9</v>
      </c>
      <c r="S11" s="300" t="str">
        <f>+'9'!A6:A6</f>
        <v>Paradise Store</v>
      </c>
      <c r="T11" s="301">
        <f>+'9'!P35</f>
        <v>4805.3894985762709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59</v>
      </c>
      <c r="I12" s="236">
        <f t="shared" si="0"/>
        <v>4285.76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342.86079999999998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150.00160000000002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3792.8976000000002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810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23.014488</v>
      </c>
      <c r="P12" s="311">
        <f t="shared" si="2"/>
        <v>4625.912088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25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98</v>
      </c>
      <c r="I13" s="236">
        <f t="shared" si="0"/>
        <v>3844.5400000000004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192.22700000000003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134.55890000000005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196.07154000000003</v>
      </c>
      <c r="M13" s="230">
        <f t="shared" si="1"/>
        <v>3321.6825600000002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747.45762711864359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20.345700935593221</v>
      </c>
      <c r="P13" s="311">
        <f t="shared" si="2"/>
        <v>4089.485888054237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124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93">
        <f>COUNT(A7:A15)</f>
        <v>0</v>
      </c>
      <c r="B16" s="354"/>
      <c r="C16" s="354" t="s">
        <v>40</v>
      </c>
      <c r="D16" s="354"/>
      <c r="E16" s="354"/>
      <c r="F16" s="355"/>
      <c r="G16" s="117">
        <f>H16/40</f>
        <v>7.95</v>
      </c>
      <c r="H16" s="113">
        <f t="shared" ref="H16:M16" si="3">SUM(H7:H15)</f>
        <v>318</v>
      </c>
      <c r="I16" s="114">
        <f t="shared" si="3"/>
        <v>19018.239999999998</v>
      </c>
      <c r="J16" s="274">
        <f>SUM(J7:J15)</f>
        <v>1406.123</v>
      </c>
      <c r="K16" s="275">
        <f t="shared" si="3"/>
        <v>665.63840000000005</v>
      </c>
      <c r="L16" s="276">
        <f t="shared" si="3"/>
        <v>196.07154000000003</v>
      </c>
      <c r="M16" s="232">
        <f t="shared" si="3"/>
        <v>16750.407060000001</v>
      </c>
      <c r="N16" s="233">
        <f>SUM(N7:N15)</f>
        <v>3615.2542372881353</v>
      </c>
      <c r="O16" s="101">
        <f>SUM(O7:O15)</f>
        <v>101.82830648644068</v>
      </c>
      <c r="P16" s="113">
        <f>SUM(P7:P15)</f>
        <v>20467.489603774578</v>
      </c>
      <c r="Q16" s="128">
        <f>SUM(Q7:Q15)</f>
        <v>194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56" t="s">
        <v>64</v>
      </c>
      <c r="C19" s="357"/>
      <c r="D19" s="357"/>
      <c r="E19" s="357"/>
      <c r="F19" s="357"/>
      <c r="G19" s="357"/>
      <c r="H19" s="357"/>
      <c r="I19" s="357"/>
      <c r="J19" s="357"/>
      <c r="K19" s="357"/>
      <c r="L19" s="358"/>
      <c r="N19" s="365" t="s">
        <v>60</v>
      </c>
      <c r="O19" s="366"/>
      <c r="P19" s="139">
        <f>I16</f>
        <v>19018.239999999998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9"/>
      <c r="C20" s="360"/>
      <c r="D20" s="360"/>
      <c r="E20" s="360"/>
      <c r="F20" s="360"/>
      <c r="G20" s="360"/>
      <c r="H20" s="360"/>
      <c r="I20" s="360"/>
      <c r="J20" s="360"/>
      <c r="K20" s="360"/>
      <c r="L20" s="361"/>
      <c r="N20" s="367" t="s">
        <v>85</v>
      </c>
      <c r="O20" s="368"/>
      <c r="P20" s="140">
        <f>+J16</f>
        <v>1406.123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9"/>
      <c r="C21" s="360"/>
      <c r="D21" s="360"/>
      <c r="E21" s="360"/>
      <c r="F21" s="360"/>
      <c r="G21" s="360"/>
      <c r="H21" s="360"/>
      <c r="I21" s="360"/>
      <c r="J21" s="360"/>
      <c r="K21" s="360"/>
      <c r="L21" s="361"/>
      <c r="N21" s="367" t="s">
        <v>86</v>
      </c>
      <c r="O21" s="368"/>
      <c r="P21" s="140">
        <f>+K16+L16</f>
        <v>861.70994000000007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9"/>
      <c r="C22" s="360"/>
      <c r="D22" s="360"/>
      <c r="E22" s="360"/>
      <c r="F22" s="360"/>
      <c r="G22" s="360"/>
      <c r="H22" s="360"/>
      <c r="I22" s="360"/>
      <c r="J22" s="360"/>
      <c r="K22" s="360"/>
      <c r="L22" s="361"/>
      <c r="M22" s="131"/>
      <c r="N22" s="367" t="s">
        <v>87</v>
      </c>
      <c r="O22" s="368"/>
      <c r="P22" s="140">
        <f>P19-P20-P21</f>
        <v>16750.407059999998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9"/>
      <c r="C23" s="360"/>
      <c r="D23" s="360"/>
      <c r="E23" s="360"/>
      <c r="F23" s="360"/>
      <c r="G23" s="360"/>
      <c r="H23" s="360"/>
      <c r="I23" s="360"/>
      <c r="J23" s="360"/>
      <c r="K23" s="360"/>
      <c r="L23" s="361"/>
      <c r="M23" s="131"/>
      <c r="N23" s="136" t="s">
        <v>61</v>
      </c>
      <c r="O23" s="133">
        <v>0.18</v>
      </c>
      <c r="P23" s="140">
        <f>+N16</f>
        <v>3615.2542372881353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9"/>
      <c r="C24" s="360"/>
      <c r="D24" s="360"/>
      <c r="E24" s="360"/>
      <c r="F24" s="360"/>
      <c r="G24" s="360"/>
      <c r="H24" s="360"/>
      <c r="I24" s="360"/>
      <c r="J24" s="360"/>
      <c r="K24" s="360"/>
      <c r="L24" s="361"/>
      <c r="M24" s="131"/>
      <c r="N24" s="369" t="s">
        <v>76</v>
      </c>
      <c r="O24" s="370"/>
      <c r="P24" s="140">
        <f>P22+P23</f>
        <v>20365.661297288134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62"/>
      <c r="C25" s="363"/>
      <c r="D25" s="363"/>
      <c r="E25" s="363"/>
      <c r="F25" s="363"/>
      <c r="G25" s="363"/>
      <c r="H25" s="363"/>
      <c r="I25" s="363"/>
      <c r="J25" s="363"/>
      <c r="K25" s="363"/>
      <c r="L25" s="364"/>
      <c r="M25" s="99"/>
      <c r="N25" s="138" t="s">
        <v>83</v>
      </c>
      <c r="O25" s="137" t="e">
        <f>IF(#REF!="Filer",0.5%,2.5%)</f>
        <v>#REF!</v>
      </c>
      <c r="P25" s="140">
        <f>+O16</f>
        <v>101.82830648644068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71" t="s">
        <v>88</v>
      </c>
      <c r="O26" s="372"/>
      <c r="P26" s="297">
        <f>+P24+P25</f>
        <v>20467.489603774575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3"/>
      <c r="D27" s="373"/>
      <c r="E27" s="373"/>
      <c r="F27" s="373"/>
      <c r="G27" s="373"/>
      <c r="H27" s="373"/>
      <c r="I27" s="374"/>
      <c r="J27" s="375"/>
      <c r="K27" s="376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20467.489603774575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E6" sqref="E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7.25" customHeight="1" x14ac:dyDescent="0.4">
      <c r="A6" s="397" t="s">
        <v>517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7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7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311">
        <f t="shared" si="5"/>
        <v>940.86347552542372</v>
      </c>
      <c r="Q20" s="156"/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" si="8">SUM(G16:G24)</f>
        <v>0</v>
      </c>
      <c r="H25" s="113">
        <f t="shared" ref="H25" si="9">SUM(H16:H24)</f>
        <v>48</v>
      </c>
      <c r="I25" s="114">
        <f t="shared" ref="I25:M25" si="10">SUM(I16:I24)</f>
        <v>3085.8</v>
      </c>
      <c r="J25" s="274">
        <f>SUM(J16:J24)</f>
        <v>232.74120000000005</v>
      </c>
      <c r="K25" s="275">
        <f t="shared" si="10"/>
        <v>108.00300000000001</v>
      </c>
      <c r="L25" s="276">
        <f t="shared" si="10"/>
        <v>24.008760000000002</v>
      </c>
      <c r="M25" s="232">
        <f t="shared" si="10"/>
        <v>2721.0470400000004</v>
      </c>
      <c r="N25" s="233">
        <f>SUM(N16:N24)</f>
        <v>585.76271186440681</v>
      </c>
      <c r="O25" s="101">
        <f>SUM(O16:O24)</f>
        <v>16.534048759322033</v>
      </c>
      <c r="P25" s="113">
        <f>SUM(P16:P24)</f>
        <v>3323.3438006237288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3085.8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232.74120000000005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132.01176000000001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2721.0470400000004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585.76271186440681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3306.8097518644072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16.534048759322037</v>
      </c>
    </row>
    <row r="35" spans="2:16" ht="15.75" customHeight="1" thickBot="1" x14ac:dyDescent="0.4">
      <c r="N35" s="371" t="s">
        <v>88</v>
      </c>
      <c r="O35" s="372"/>
      <c r="P35" s="297">
        <f>+P33+P34</f>
        <v>3323.3438006237293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11" workbookViewId="0">
      <selection activeCell="H18" sqref="H1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519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15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6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520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310">
        <f>M16+N16+O16</f>
        <v>1132.5257914194915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311">
        <f t="shared" ref="P17:P24" si="5">M17+N17+O17</f>
        <v>1132.5257914194915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6</v>
      </c>
      <c r="I22" s="236">
        <f t="shared" si="0"/>
        <v>235.38000000000002</v>
      </c>
      <c r="J22" s="272">
        <f t="shared" si="1"/>
        <v>11.769000000000002</v>
      </c>
      <c r="K22" s="128">
        <f t="shared" si="1"/>
        <v>8.2383000000000024</v>
      </c>
      <c r="L22" s="119">
        <f t="shared" si="1"/>
        <v>12.004380000000001</v>
      </c>
      <c r="M22" s="230">
        <f t="shared" si="2"/>
        <v>203.36832000000001</v>
      </c>
      <c r="N22" s="277">
        <f t="shared" si="3"/>
        <v>45.762711864406754</v>
      </c>
      <c r="O22" s="239">
        <f t="shared" si="4"/>
        <v>1.2456551593220337</v>
      </c>
      <c r="P22" s="311">
        <f t="shared" si="5"/>
        <v>250.37668702372881</v>
      </c>
      <c r="Q22" s="156">
        <v>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46</v>
      </c>
      <c r="I25" s="114">
        <f t="shared" si="7"/>
        <v>2333.88</v>
      </c>
      <c r="J25" s="274">
        <f>SUM(J16:J24)</f>
        <v>179.649</v>
      </c>
      <c r="K25" s="275">
        <f t="shared" si="7"/>
        <v>81.6858</v>
      </c>
      <c r="L25" s="276">
        <f t="shared" si="7"/>
        <v>12.004380000000001</v>
      </c>
      <c r="M25" s="232">
        <f t="shared" si="7"/>
        <v>2060.5408200000002</v>
      </c>
      <c r="N25" s="233">
        <f>SUM(N16:N24)</f>
        <v>442.37288135593201</v>
      </c>
      <c r="O25" s="101">
        <f>SUM(O16:O24)</f>
        <v>12.514568506779661</v>
      </c>
      <c r="P25" s="113">
        <f>SUM(P16:P24)</f>
        <v>2515.4282698627117</v>
      </c>
      <c r="Q25" s="128">
        <f>SUM(Q16:Q24)</f>
        <v>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2333.88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179.649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93.690179999999998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2060.5408200000002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442.37288135593201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2502.9137013559321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12.514568506779661</v>
      </c>
    </row>
    <row r="35" spans="2:16" ht="15.75" customHeight="1" thickBot="1" x14ac:dyDescent="0.4">
      <c r="N35" s="371" t="s">
        <v>88</v>
      </c>
      <c r="O35" s="372"/>
      <c r="P35" s="297">
        <f>+P33+P34</f>
        <v>2515.4282698627117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521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120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120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311">
        <f t="shared" si="5"/>
        <v>1176.0793444067797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311">
        <f t="shared" si="5"/>
        <v>1176.0793444067797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156.61799999999999</v>
      </c>
      <c r="L25" s="276">
        <f t="shared" si="7"/>
        <v>80.029200000000003</v>
      </c>
      <c r="M25" s="232">
        <f t="shared" si="7"/>
        <v>3927.2447999999999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523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10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10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30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522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311">
        <f t="shared" si="5"/>
        <v>940.86347552542372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24</v>
      </c>
      <c r="I25" s="114">
        <f t="shared" si="7"/>
        <v>1743.3600000000001</v>
      </c>
      <c r="J25" s="274">
        <f>SUM(J16:J24)</f>
        <v>139.46880000000002</v>
      </c>
      <c r="K25" s="275">
        <f t="shared" si="7"/>
        <v>61.017600000000009</v>
      </c>
      <c r="L25" s="276">
        <f t="shared" si="7"/>
        <v>0</v>
      </c>
      <c r="M25" s="232">
        <f t="shared" si="7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1743.3600000000001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139.46880000000002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61.017600000000009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1542.8736000000001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1872.3651254237288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71" t="s">
        <v>88</v>
      </c>
      <c r="O35" s="372"/>
      <c r="P35" s="297">
        <f>+P33+P34</f>
        <v>1881.7269510508474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524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113">
        <f>SUM(P16:P24)</f>
        <v>3136.2115850847458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2905.6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232.44800000000001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101.69600000000001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2571.4560000000001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3120.6085423728814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1" t="s">
        <v>88</v>
      </c>
      <c r="O35" s="372"/>
      <c r="P35" s="297">
        <f>+P33+P34</f>
        <v>3136.2115850847458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525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80</v>
      </c>
      <c r="I25" s="114">
        <f t="shared" si="7"/>
        <v>4474.8</v>
      </c>
      <c r="J25" s="274">
        <f>SUM(J16:J24)</f>
        <v>310.90800000000002</v>
      </c>
      <c r="K25" s="275">
        <f t="shared" si="7"/>
        <v>156.61800000000002</v>
      </c>
      <c r="L25" s="276">
        <f t="shared" si="7"/>
        <v>80.029200000000003</v>
      </c>
      <c r="M25" s="232">
        <f t="shared" si="7"/>
        <v>3927.2448000000004</v>
      </c>
      <c r="N25" s="233">
        <f>SUM(N16:N24)</f>
        <v>854.23728813559308</v>
      </c>
      <c r="O25" s="101">
        <f>SUM(O16:O24)</f>
        <v>23.907410440677968</v>
      </c>
      <c r="P25" s="113">
        <f>SUM(P16:P24)</f>
        <v>4805.3894985762709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4474.8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310.90800000000002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236.64720000000003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3927.2447999999999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854.23728813559308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4781.4820881355927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23.907410440677964</v>
      </c>
    </row>
    <row r="35" spans="2:16" ht="15.75" customHeight="1" thickBot="1" x14ac:dyDescent="0.4">
      <c r="N35" s="371" t="s">
        <v>88</v>
      </c>
      <c r="O35" s="372"/>
      <c r="P35" s="297">
        <f>+P33+P34</f>
        <v>4805.3894985762709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505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500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501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8.75" customHeight="1" x14ac:dyDescent="0.4">
      <c r="A6" s="397" t="s">
        <v>502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0" t="s">
        <v>91</v>
      </c>
      <c r="B2" s="390"/>
      <c r="C2" s="390"/>
    </row>
    <row r="3" spans="1:22 16383:16384" ht="15" customHeight="1" x14ac:dyDescent="0.35">
      <c r="A3" s="391" t="s">
        <v>92</v>
      </c>
      <c r="B3" s="391"/>
      <c r="C3" s="391"/>
      <c r="F3" s="85"/>
      <c r="G3" s="1"/>
      <c r="K3" s="392" t="s">
        <v>43</v>
      </c>
      <c r="L3" s="392"/>
      <c r="M3" s="392"/>
      <c r="N3" s="391"/>
      <c r="O3" s="391"/>
      <c r="P3" s="391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1" t="s">
        <v>503</v>
      </c>
      <c r="B4" s="391"/>
      <c r="C4" s="391"/>
      <c r="F4" s="85"/>
      <c r="G4" s="1"/>
      <c r="K4" s="392" t="s">
        <v>44</v>
      </c>
      <c r="L4" s="392"/>
      <c r="M4" s="392"/>
      <c r="N4" s="395">
        <v>46254</v>
      </c>
      <c r="O4" s="395"/>
      <c r="P4" s="395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6" t="s">
        <v>492</v>
      </c>
      <c r="B5" s="396"/>
      <c r="C5" s="396"/>
      <c r="F5" s="85"/>
      <c r="G5" s="1"/>
      <c r="K5" s="392" t="s">
        <v>45</v>
      </c>
      <c r="L5" s="392"/>
      <c r="M5" s="392"/>
      <c r="N5" s="395">
        <f>N4-1</f>
        <v>46253</v>
      </c>
      <c r="O5" s="391"/>
      <c r="P5" s="391"/>
      <c r="R5" s="85"/>
      <c r="S5" s="266"/>
    </row>
    <row r="6" spans="1:22 16383:16384" ht="15" customHeight="1" x14ac:dyDescent="0.4">
      <c r="A6" s="397" t="s">
        <v>496</v>
      </c>
      <c r="B6" s="397"/>
      <c r="C6" s="397"/>
      <c r="F6" s="85"/>
      <c r="G6" s="86"/>
      <c r="K6" s="392" t="s">
        <v>69</v>
      </c>
      <c r="L6" s="392"/>
      <c r="M6" s="392"/>
      <c r="N6" s="394" t="s">
        <v>62</v>
      </c>
      <c r="O6" s="394"/>
      <c r="P6" s="394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2" t="s">
        <v>73</v>
      </c>
      <c r="B7" s="392"/>
      <c r="C7" s="392"/>
      <c r="F7" s="85"/>
      <c r="G7" s="86"/>
      <c r="K7" s="392" t="s">
        <v>66</v>
      </c>
      <c r="L7" s="392"/>
      <c r="M7" s="392"/>
      <c r="N7" s="394" t="s">
        <v>509</v>
      </c>
      <c r="O7" s="394"/>
      <c r="P7" s="394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8" t="s">
        <v>518</v>
      </c>
      <c r="B8" s="398"/>
      <c r="C8" s="398"/>
      <c r="F8" s="85"/>
      <c r="G8" s="86"/>
      <c r="K8" s="392" t="s">
        <v>67</v>
      </c>
      <c r="L8" s="392"/>
      <c r="M8" s="392"/>
      <c r="N8" s="394" t="s">
        <v>509</v>
      </c>
      <c r="O8" s="394"/>
      <c r="P8" s="394"/>
      <c r="R8" s="85"/>
      <c r="S8" s="267"/>
    </row>
    <row r="9" spans="1:22 16383:16384" x14ac:dyDescent="0.35">
      <c r="A9" s="398" t="s">
        <v>96</v>
      </c>
      <c r="B9" s="398"/>
      <c r="C9" s="398"/>
      <c r="F9" s="85"/>
      <c r="G9" s="86"/>
      <c r="K9" s="392" t="s">
        <v>68</v>
      </c>
      <c r="L9" s="392"/>
      <c r="M9" s="392"/>
      <c r="N9" s="394" t="s">
        <v>104</v>
      </c>
      <c r="O9" s="394"/>
      <c r="P9" s="394"/>
      <c r="R9" s="85"/>
      <c r="S9" s="267"/>
      <c r="XFD9" t="s">
        <v>49</v>
      </c>
    </row>
    <row r="10" spans="1:22 16383:16384" x14ac:dyDescent="0.35">
      <c r="A10" s="398" t="s">
        <v>97</v>
      </c>
      <c r="B10" s="398"/>
      <c r="C10" s="398"/>
      <c r="F10" s="85"/>
      <c r="G10" s="1"/>
      <c r="K10" s="392" t="s">
        <v>46</v>
      </c>
      <c r="L10" s="392"/>
      <c r="M10" s="392"/>
      <c r="N10" s="391" t="s">
        <v>47</v>
      </c>
      <c r="O10" s="391"/>
      <c r="P10" s="391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2" t="s">
        <v>48</v>
      </c>
      <c r="L11" s="392"/>
      <c r="M11" s="392"/>
      <c r="N11" s="394" t="s">
        <v>49</v>
      </c>
      <c r="O11" s="394"/>
      <c r="P11" s="394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2" t="s">
        <v>50</v>
      </c>
      <c r="L12" s="392"/>
      <c r="M12" s="392"/>
      <c r="N12" s="391"/>
      <c r="O12" s="391"/>
      <c r="P12" s="391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2" t="s">
        <v>51</v>
      </c>
      <c r="B14" s="343"/>
      <c r="C14" s="346" t="s">
        <v>90</v>
      </c>
      <c r="D14" s="115" t="s">
        <v>52</v>
      </c>
      <c r="E14" s="348" t="s">
        <v>58</v>
      </c>
      <c r="F14" s="349"/>
      <c r="G14" s="350" t="s">
        <v>54</v>
      </c>
      <c r="H14" s="351"/>
      <c r="I14" s="352" t="s">
        <v>77</v>
      </c>
      <c r="J14" s="389" t="s">
        <v>55</v>
      </c>
      <c r="K14" s="350"/>
      <c r="L14" s="351"/>
      <c r="M14" s="343" t="s">
        <v>84</v>
      </c>
      <c r="N14" s="388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44"/>
      <c r="B15" s="345"/>
      <c r="C15" s="347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3"/>
      <c r="J15" s="143" t="s">
        <v>59</v>
      </c>
      <c r="K15" s="144" t="s">
        <v>39</v>
      </c>
      <c r="L15" s="145" t="s">
        <v>493</v>
      </c>
      <c r="M15" s="345"/>
      <c r="N15" s="353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7"/>
      <c r="L28" s="358"/>
      <c r="N28" s="365" t="s">
        <v>60</v>
      </c>
      <c r="O28" s="366"/>
      <c r="P28" s="139">
        <f>I25</f>
        <v>0</v>
      </c>
    </row>
    <row r="29" spans="1:22 16384:16384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0"/>
      <c r="L29" s="361"/>
      <c r="N29" s="367" t="s">
        <v>85</v>
      </c>
      <c r="O29" s="368"/>
      <c r="P29" s="140">
        <f>+J25</f>
        <v>0</v>
      </c>
    </row>
    <row r="30" spans="1:22 16384:16384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0"/>
      <c r="L30" s="361"/>
      <c r="N30" s="367" t="s">
        <v>86</v>
      </c>
      <c r="O30" s="368"/>
      <c r="P30" s="140">
        <f>+K25+L25</f>
        <v>0</v>
      </c>
    </row>
    <row r="31" spans="1:22 16384:16384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0"/>
      <c r="L31" s="361"/>
      <c r="M31" s="131"/>
      <c r="N31" s="367" t="s">
        <v>87</v>
      </c>
      <c r="O31" s="368"/>
      <c r="P31" s="140">
        <f>P28-P29-P30</f>
        <v>0</v>
      </c>
    </row>
    <row r="32" spans="1:22 16384:16384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0"/>
      <c r="L32" s="361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0"/>
      <c r="L33" s="361"/>
      <c r="M33" s="131"/>
      <c r="N33" s="369" t="s">
        <v>76</v>
      </c>
      <c r="O33" s="370"/>
      <c r="P33" s="140">
        <f>P31+P32</f>
        <v>0</v>
      </c>
    </row>
    <row r="34" spans="2:16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3"/>
      <c r="L34" s="364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1" t="s">
        <v>88</v>
      </c>
      <c r="O35" s="372"/>
      <c r="P35" s="297">
        <f>+P33+P34</f>
        <v>0</v>
      </c>
    </row>
    <row r="36" spans="2:16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375"/>
      <c r="K36" s="376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0" t="s">
        <v>91</v>
      </c>
      <c r="B2" s="390"/>
      <c r="C2" s="390"/>
    </row>
    <row r="3" spans="1:18 16382:16383" ht="15" customHeight="1" x14ac:dyDescent="0.35">
      <c r="A3" s="391" t="s">
        <v>92</v>
      </c>
      <c r="B3" s="391"/>
      <c r="C3" s="391"/>
      <c r="F3" s="85"/>
      <c r="G3" s="1"/>
      <c r="J3" s="392" t="s">
        <v>43</v>
      </c>
      <c r="K3" s="392"/>
      <c r="L3" s="392"/>
      <c r="M3" s="391"/>
      <c r="N3" s="391"/>
      <c r="O3" s="391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1" t="s">
        <v>65</v>
      </c>
      <c r="B4" s="391"/>
      <c r="C4" s="391"/>
      <c r="F4" s="85"/>
      <c r="G4" s="1"/>
      <c r="J4" s="392" t="s">
        <v>44</v>
      </c>
      <c r="K4" s="392"/>
      <c r="L4" s="392"/>
      <c r="M4" s="395">
        <f ca="1">TODAY()+1</f>
        <v>46263</v>
      </c>
      <c r="N4" s="395"/>
      <c r="O4" s="395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6" t="s">
        <v>93</v>
      </c>
      <c r="B5" s="396"/>
      <c r="C5" s="396"/>
      <c r="F5" s="85"/>
      <c r="G5" s="1"/>
      <c r="J5" s="392" t="s">
        <v>45</v>
      </c>
      <c r="K5" s="392"/>
      <c r="L5" s="392"/>
      <c r="M5" s="395">
        <f ca="1">M4-1</f>
        <v>46262</v>
      </c>
      <c r="N5" s="391"/>
      <c r="O5" s="391"/>
      <c r="Q5" s="85"/>
      <c r="R5" s="1"/>
    </row>
    <row r="6" spans="1:18 16382:16383" ht="15" customHeight="1" x14ac:dyDescent="0.35">
      <c r="A6" s="392" t="s">
        <v>94</v>
      </c>
      <c r="B6" s="392"/>
      <c r="C6" s="392"/>
      <c r="F6" s="85"/>
      <c r="G6" s="86"/>
      <c r="J6" s="392" t="s">
        <v>69</v>
      </c>
      <c r="K6" s="392"/>
      <c r="L6" s="392"/>
      <c r="M6" s="394" t="s">
        <v>62</v>
      </c>
      <c r="N6" s="394"/>
      <c r="O6" s="394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2" t="s">
        <v>73</v>
      </c>
      <c r="B7" s="392"/>
      <c r="C7" s="392"/>
      <c r="F7" s="85"/>
      <c r="G7" s="86"/>
      <c r="J7" s="392" t="s">
        <v>66</v>
      </c>
      <c r="K7" s="392"/>
      <c r="L7" s="392"/>
      <c r="M7" s="394" t="s">
        <v>70</v>
      </c>
      <c r="N7" s="394"/>
      <c r="O7" s="394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8" t="s">
        <v>95</v>
      </c>
      <c r="B8" s="398"/>
      <c r="C8" s="398"/>
      <c r="F8" s="85"/>
      <c r="G8" s="86"/>
      <c r="J8" s="392" t="s">
        <v>67</v>
      </c>
      <c r="K8" s="392"/>
      <c r="L8" s="392"/>
      <c r="M8" s="394" t="s">
        <v>71</v>
      </c>
      <c r="N8" s="394"/>
      <c r="O8" s="394"/>
      <c r="Q8" s="85"/>
      <c r="R8" s="86"/>
    </row>
    <row r="9" spans="1:18 16382:16383" x14ac:dyDescent="0.35">
      <c r="A9" s="398" t="s">
        <v>96</v>
      </c>
      <c r="B9" s="398"/>
      <c r="C9" s="398"/>
      <c r="F9" s="85"/>
      <c r="G9" s="86"/>
      <c r="J9" s="392" t="s">
        <v>68</v>
      </c>
      <c r="K9" s="392"/>
      <c r="L9" s="392"/>
      <c r="M9" s="394" t="s">
        <v>104</v>
      </c>
      <c r="N9" s="394"/>
      <c r="O9" s="394"/>
      <c r="Q9" s="85"/>
      <c r="R9" s="86"/>
      <c r="XFC9" t="s">
        <v>49</v>
      </c>
    </row>
    <row r="10" spans="1:18 16382:16383" x14ac:dyDescent="0.35">
      <c r="A10" s="398" t="s">
        <v>97</v>
      </c>
      <c r="B10" s="398"/>
      <c r="C10" s="398"/>
      <c r="F10" s="85"/>
      <c r="G10" s="1"/>
      <c r="J10" s="392" t="s">
        <v>46</v>
      </c>
      <c r="K10" s="392"/>
      <c r="L10" s="392"/>
      <c r="M10" s="391" t="s">
        <v>47</v>
      </c>
      <c r="N10" s="391"/>
      <c r="O10" s="391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2" t="s">
        <v>48</v>
      </c>
      <c r="K11" s="392"/>
      <c r="L11" s="392"/>
      <c r="M11" s="391" t="s">
        <v>49</v>
      </c>
      <c r="N11" s="391"/>
      <c r="O11" s="391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2" t="s">
        <v>50</v>
      </c>
      <c r="K12" s="392"/>
      <c r="L12" s="392"/>
      <c r="M12" s="391"/>
      <c r="N12" s="391"/>
      <c r="O12" s="391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2" t="s">
        <v>51</v>
      </c>
      <c r="B14" s="343"/>
      <c r="C14" s="346" t="s">
        <v>90</v>
      </c>
      <c r="D14" s="88" t="s">
        <v>52</v>
      </c>
      <c r="E14" s="95" t="s">
        <v>74</v>
      </c>
      <c r="F14" s="115" t="s">
        <v>53</v>
      </c>
      <c r="G14" s="389" t="s">
        <v>54</v>
      </c>
      <c r="H14" s="351"/>
      <c r="I14" s="352" t="s">
        <v>77</v>
      </c>
      <c r="J14" s="350" t="s">
        <v>55</v>
      </c>
      <c r="K14" s="351"/>
      <c r="L14" s="352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4"/>
      <c r="B15" s="345"/>
      <c r="C15" s="347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3"/>
      <c r="J15" s="144" t="s">
        <v>39</v>
      </c>
      <c r="K15" s="145" t="s">
        <v>59</v>
      </c>
      <c r="L15" s="353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3">
        <f>COUNT(A16:A24)</f>
        <v>0</v>
      </c>
      <c r="B25" s="354"/>
      <c r="C25" s="354" t="s">
        <v>40</v>
      </c>
      <c r="D25" s="354"/>
      <c r="E25" s="354"/>
      <c r="F25" s="355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6" t="s">
        <v>64</v>
      </c>
      <c r="C28" s="357"/>
      <c r="D28" s="357"/>
      <c r="E28" s="357"/>
      <c r="F28" s="357"/>
      <c r="G28" s="357"/>
      <c r="H28" s="357"/>
      <c r="I28" s="357"/>
      <c r="J28" s="357"/>
      <c r="K28" s="358"/>
      <c r="M28" s="365" t="s">
        <v>60</v>
      </c>
      <c r="N28" s="366"/>
      <c r="O28" s="139">
        <f>I25</f>
        <v>1452.8</v>
      </c>
    </row>
    <row r="29" spans="1:18 16383:16383" ht="15" customHeight="1" x14ac:dyDescent="0.35">
      <c r="B29" s="359"/>
      <c r="C29" s="360"/>
      <c r="D29" s="360"/>
      <c r="E29" s="360"/>
      <c r="F29" s="360"/>
      <c r="G29" s="360"/>
      <c r="H29" s="360"/>
      <c r="I29" s="360"/>
      <c r="J29" s="360"/>
      <c r="K29" s="361"/>
      <c r="M29" s="367" t="s">
        <v>85</v>
      </c>
      <c r="N29" s="368"/>
      <c r="O29" s="140">
        <f>K25</f>
        <v>0</v>
      </c>
    </row>
    <row r="30" spans="1:18 16383:16383" ht="15" customHeight="1" x14ac:dyDescent="0.35">
      <c r="B30" s="359"/>
      <c r="C30" s="360"/>
      <c r="D30" s="360"/>
      <c r="E30" s="360"/>
      <c r="F30" s="360"/>
      <c r="G30" s="360"/>
      <c r="H30" s="360"/>
      <c r="I30" s="360"/>
      <c r="J30" s="360"/>
      <c r="K30" s="361"/>
      <c r="M30" s="367" t="s">
        <v>86</v>
      </c>
      <c r="N30" s="368"/>
      <c r="O30" s="140">
        <f>J25</f>
        <v>50.848000000000006</v>
      </c>
    </row>
    <row r="31" spans="1:18 16383:16383" ht="15" customHeight="1" x14ac:dyDescent="0.35">
      <c r="B31" s="359"/>
      <c r="C31" s="360"/>
      <c r="D31" s="360"/>
      <c r="E31" s="360"/>
      <c r="F31" s="360"/>
      <c r="G31" s="360"/>
      <c r="H31" s="360"/>
      <c r="I31" s="360"/>
      <c r="J31" s="360"/>
      <c r="K31" s="361"/>
      <c r="L31" s="131"/>
      <c r="M31" s="367" t="s">
        <v>87</v>
      </c>
      <c r="N31" s="368"/>
      <c r="O31" s="140">
        <f>O28-O29-O30</f>
        <v>1401.952</v>
      </c>
    </row>
    <row r="32" spans="1:18 16383:16383" ht="15" customHeight="1" x14ac:dyDescent="0.35">
      <c r="B32" s="359"/>
      <c r="C32" s="360"/>
      <c r="D32" s="360"/>
      <c r="E32" s="360"/>
      <c r="F32" s="360"/>
      <c r="G32" s="360"/>
      <c r="H32" s="360"/>
      <c r="I32" s="360"/>
      <c r="J32" s="360"/>
      <c r="K32" s="361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9"/>
      <c r="C33" s="360"/>
      <c r="D33" s="360"/>
      <c r="E33" s="360"/>
      <c r="F33" s="360"/>
      <c r="G33" s="360"/>
      <c r="H33" s="360"/>
      <c r="I33" s="360"/>
      <c r="J33" s="360"/>
      <c r="K33" s="361"/>
      <c r="L33" s="131"/>
      <c r="M33" s="369" t="s">
        <v>76</v>
      </c>
      <c r="N33" s="370"/>
      <c r="O33" s="140">
        <f>O31+O32</f>
        <v>1710.3814400000001</v>
      </c>
    </row>
    <row r="34" spans="2:15" ht="15" customHeight="1" thickBot="1" x14ac:dyDescent="0.4">
      <c r="B34" s="362"/>
      <c r="C34" s="363"/>
      <c r="D34" s="363"/>
      <c r="E34" s="363"/>
      <c r="F34" s="363"/>
      <c r="G34" s="363"/>
      <c r="H34" s="363"/>
      <c r="I34" s="363"/>
      <c r="J34" s="363"/>
      <c r="K34" s="364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1" t="s">
        <v>88</v>
      </c>
      <c r="N35" s="372"/>
      <c r="O35" s="141">
        <f>O28-O29+O31+O34</f>
        <v>2897.511536</v>
      </c>
    </row>
    <row r="36" spans="2:15" ht="15" thickBot="1" x14ac:dyDescent="0.4">
      <c r="B36" s="121" t="s">
        <v>63</v>
      </c>
      <c r="C36" s="373"/>
      <c r="D36" s="373"/>
      <c r="E36" s="373"/>
      <c r="F36" s="373"/>
      <c r="G36" s="373"/>
      <c r="H36" s="373"/>
      <c r="I36" s="374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2" t="s">
        <v>439</v>
      </c>
      <c r="E1" s="334" t="s">
        <v>58</v>
      </c>
      <c r="F1" s="334"/>
      <c r="G1" s="335" t="s">
        <v>440</v>
      </c>
      <c r="H1" s="335"/>
      <c r="I1" s="403" t="s">
        <v>441</v>
      </c>
      <c r="J1" s="403"/>
      <c r="K1" s="403" t="s">
        <v>442</v>
      </c>
      <c r="L1" s="403"/>
      <c r="M1" s="399" t="s">
        <v>484</v>
      </c>
      <c r="N1" s="400"/>
      <c r="O1" s="401"/>
    </row>
    <row r="2" spans="3:24" ht="29" x14ac:dyDescent="0.35">
      <c r="C2" s="334"/>
      <c r="D2" s="402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4" t="s">
        <v>476</v>
      </c>
      <c r="D6" s="404"/>
      <c r="E6" s="404"/>
      <c r="F6" s="404"/>
      <c r="G6" s="404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6" t="s">
        <v>58</v>
      </c>
      <c r="F7" s="406"/>
      <c r="G7" s="407" t="s">
        <v>440</v>
      </c>
      <c r="H7" s="335"/>
      <c r="I7" s="336" t="s">
        <v>441</v>
      </c>
      <c r="J7" s="337"/>
      <c r="K7" s="336" t="s">
        <v>442</v>
      </c>
      <c r="L7" s="337"/>
      <c r="M7" s="399" t="s">
        <v>484</v>
      </c>
      <c r="N7" s="400"/>
      <c r="O7" s="401"/>
      <c r="P7" s="256" t="s">
        <v>475</v>
      </c>
      <c r="Q7" s="242" t="s">
        <v>473</v>
      </c>
      <c r="R7" s="402" t="s">
        <v>475</v>
      </c>
      <c r="S7" s="402" t="s">
        <v>485</v>
      </c>
      <c r="T7" s="408" t="s">
        <v>486</v>
      </c>
      <c r="U7" s="408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2"/>
      <c r="S8" s="402"/>
      <c r="T8" s="407"/>
      <c r="U8" s="407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5" t="s">
        <v>477</v>
      </c>
      <c r="D12" s="405"/>
      <c r="E12" s="405"/>
      <c r="F12" s="405"/>
      <c r="G12" s="405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399" t="s">
        <v>484</v>
      </c>
      <c r="N13" s="400"/>
      <c r="O13" s="401"/>
      <c r="P13" s="256" t="s">
        <v>475</v>
      </c>
      <c r="Q13" s="242" t="s">
        <v>473</v>
      </c>
      <c r="R13" s="402" t="s">
        <v>475</v>
      </c>
      <c r="S13" s="402" t="s">
        <v>485</v>
      </c>
      <c r="T13" s="408" t="s">
        <v>486</v>
      </c>
      <c r="U13" s="408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2"/>
      <c r="S14" s="402"/>
      <c r="T14" s="407"/>
      <c r="U14" s="407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4" t="s">
        <v>478</v>
      </c>
      <c r="D19" s="404"/>
      <c r="E19" s="404"/>
      <c r="F19" s="404"/>
      <c r="G19" s="404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399" t="s">
        <v>484</v>
      </c>
      <c r="N20" s="400"/>
      <c r="O20" s="401"/>
      <c r="P20" s="256" t="s">
        <v>475</v>
      </c>
      <c r="Q20" s="242" t="s">
        <v>473</v>
      </c>
      <c r="R20" s="402" t="s">
        <v>475</v>
      </c>
      <c r="S20" s="402" t="s">
        <v>485</v>
      </c>
      <c r="T20" s="408" t="s">
        <v>486</v>
      </c>
      <c r="U20" s="408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2"/>
      <c r="S21" s="402"/>
      <c r="T21" s="407"/>
      <c r="U21" s="407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4" t="s">
        <v>479</v>
      </c>
      <c r="D26" s="404"/>
      <c r="E26" s="404"/>
      <c r="F26" s="404"/>
      <c r="G26" s="404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399" t="s">
        <v>484</v>
      </c>
      <c r="N27" s="400"/>
      <c r="O27" s="401"/>
      <c r="P27" s="256" t="s">
        <v>475</v>
      </c>
      <c r="Q27" s="242" t="s">
        <v>473</v>
      </c>
      <c r="R27" s="402" t="s">
        <v>475</v>
      </c>
      <c r="S27" s="402" t="s">
        <v>485</v>
      </c>
      <c r="T27" s="408" t="s">
        <v>486</v>
      </c>
      <c r="U27" s="408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2"/>
      <c r="S28" s="402"/>
      <c r="T28" s="407"/>
      <c r="U28" s="407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2" t="s">
        <v>439</v>
      </c>
      <c r="D1" s="334" t="s">
        <v>58</v>
      </c>
      <c r="E1" s="334"/>
      <c r="F1" s="335" t="s">
        <v>440</v>
      </c>
      <c r="G1" s="335"/>
      <c r="H1" s="403" t="s">
        <v>441</v>
      </c>
      <c r="I1" s="403"/>
      <c r="J1" s="403" t="s">
        <v>442</v>
      </c>
      <c r="K1" s="403"/>
      <c r="L1" s="399" t="s">
        <v>484</v>
      </c>
      <c r="M1" s="400"/>
      <c r="N1" s="401"/>
    </row>
    <row r="2" spans="2:17" ht="29" x14ac:dyDescent="0.35">
      <c r="B2" s="334"/>
      <c r="C2" s="402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0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1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1"/>
      <c r="G60" s="160" t="s">
        <v>195</v>
      </c>
      <c r="H60" s="161" t="s">
        <v>100</v>
      </c>
    </row>
    <row r="61" spans="5:8" x14ac:dyDescent="0.35">
      <c r="E61" s="159" t="s">
        <v>192</v>
      </c>
      <c r="F61" s="411"/>
      <c r="G61" s="160" t="s">
        <v>196</v>
      </c>
      <c r="H61" s="161" t="s">
        <v>98</v>
      </c>
    </row>
    <row r="62" spans="5:8" x14ac:dyDescent="0.35">
      <c r="E62" s="159" t="s">
        <v>192</v>
      </c>
      <c r="F62" s="411"/>
      <c r="G62" s="160" t="s">
        <v>197</v>
      </c>
      <c r="H62" s="161" t="s">
        <v>101</v>
      </c>
    </row>
    <row r="63" spans="5:8" x14ac:dyDescent="0.35">
      <c r="E63" s="159" t="s">
        <v>192</v>
      </c>
      <c r="F63" s="411"/>
      <c r="G63" s="160" t="s">
        <v>198</v>
      </c>
      <c r="H63" s="161" t="s">
        <v>102</v>
      </c>
    </row>
    <row r="64" spans="5:8" x14ac:dyDescent="0.35">
      <c r="E64" s="159" t="s">
        <v>192</v>
      </c>
      <c r="F64" s="411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1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1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1"/>
      <c r="G121" s="160" t="s">
        <v>273</v>
      </c>
      <c r="H121" s="161" t="s">
        <v>98</v>
      </c>
    </row>
    <row r="122" spans="5:8" x14ac:dyDescent="0.35">
      <c r="E122" s="159" t="s">
        <v>269</v>
      </c>
      <c r="F122" s="411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1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1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1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1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1"/>
      <c r="G241" s="160" t="s">
        <v>432</v>
      </c>
      <c r="H241" s="161" t="s">
        <v>98</v>
      </c>
    </row>
    <row r="242" spans="5:8" x14ac:dyDescent="0.35">
      <c r="E242" s="159" t="s">
        <v>428</v>
      </c>
      <c r="F242" s="411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1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1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2026-08-28T07:12:58Z</dcterms:modified>
</cp:coreProperties>
</file>