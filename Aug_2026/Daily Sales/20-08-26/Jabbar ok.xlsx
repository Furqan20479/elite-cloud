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15137A37-5AC9-499D-A832-3371BB1E375E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<sst xmlns="http://schemas.openxmlformats.org/spreadsheetml/2006/main" count="3978" uniqueCount="522">
  <si>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</si>
  <si>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</si>
  <si>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</si>
  <si>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</si>
  <si>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</si>
  <si>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</si>
  <si>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</si>
  <si>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</si>
  <si>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</si>
  <si>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</si>
  <si>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</si>
  <si>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</si>
  <si>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</si>
  <si>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</si>
  <si>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</si>
  <si>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</si>
  <si>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</si>
  <si>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</si>
  <si>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</si>
  <si>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</si>
  <si>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</si>
  <si>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</si>
  <si>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</si>
  <si>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</si>
  <si>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</si>
  <si>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</si>
  <si>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</si>
  <si>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</si>
  <si>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</si>
  <si>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</si>
  <si>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</si>
  <si>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</si>
  <si>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</si>
  <si>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</si>
  <si>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</si>
  <si>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</si>
  <si>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</si>
  <si>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</si>
  <si>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</si>
  <si>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</si>
  <si>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</si>
  <si>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</si>
  <si>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</si>
  <si>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</si>
  <si>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</si>
  <si>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</si>
  <si>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</si>
  <si>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</si>
  <si>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</si>
  <si>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</si>
  <si>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</si>
  <si>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</si>
  <si>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</si>
  <si>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</si>
  <si>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</si>
  <si>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</si>
  <si>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</si>
  <si>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</si>
  <si>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</si>
  <si>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</si>
  <si>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</si>
  <si>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</si>
  <si>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</si>
  <si>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</si>
  <si>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</si>
  <si>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</si>
  <si>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</si>
  <si>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</si>
  <si>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</si>
  <si>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</si>
  <si>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</si>
  <si>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</si>
  <si>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</si>
  <si>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</si>
  <si>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</si>
  <si>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</si>
  <si>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</si>
  <si>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</si>
  <si>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</si>
  <si>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</si>
  <si>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</si>
  <si>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</si>
  <si>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</si>
  <si>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</si>
  <si>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</si>
  <si>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</si>
  <si>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</si>
  <si>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</si>
  <si>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</si>
  <si>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</si>
  <si>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</si>
  <si>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</si>
  <si>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</si>
  <si>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</si>
  <si>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</si>
  <si>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</si>
  <si>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</si>
  <si>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</si>
  <si>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</si>
  <si>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</si>
  <si>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</si>
  <si>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</si>
  <si>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</si>
  <si>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</si>
  <si>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</si>
  <si>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</si>
  <si>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</si>
  <si>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</si>
  <si>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</si>
  <si>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</si>
  <si>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</si>
  <si>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</si>
  <si>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</si>
  <si>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</si>
  <si>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</si>
  <si>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</si>
  <si>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</si>
  <si>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</si>
  <si>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</si>
  <si>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</si>
  <si>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</si>
  <si>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</si>
  <si>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</si>
  <si>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</si>
  <si>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</si>
  <si>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</si>
  <si>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</si>
  <si>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</si>
  <si>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</si>
  <si>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</si>
  <si>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</si>
  <si>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</si>
  <si>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</si>
  <si>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</si>
  <si>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</si>
  <si>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</si>
  <si>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</si>
  <si>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</si>
  <si>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</si>
  <si>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</si>
  <si>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</si>
  <si>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</si>
  <si>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</si>
  <si>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</si>
  <si>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</si>
  <si>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</si>
  <si>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</si>
  <si>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</si>
  <si>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</si>
  <si>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</si>
  <si>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</si>
  <si>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</si>
  <si>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</si>
  <si>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</si>
  <si>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</si>
  <si>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</si>
  <si>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</si>
  <si>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</si>
  <si>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</si>
  <si>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</si>
  <si>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</si>
  <si>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</si>
  <si>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</si>
  <si>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</si>
  <si>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</si>
  <si>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</si>
  <si>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</si>
  <si>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</si>
  <si>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</si>
  <si>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</si>
  <si>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</si>
  <si>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</si>
  <si>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</si>
  <si>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</si>
  <si>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</si>
  <si>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</si>
  <si>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</si>
  <si>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</si>
  <si>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</si>
  <si>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</si>
  <si>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</si>
  <si>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</si>
  <si>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</si>
  <si>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</si>
  <si>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</si>
  <si>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</si>
  <si>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</si>
  <si>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</si>
  <si>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</si>
  <si>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</si>
  <si>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</si>
  <si>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</si>
  <si>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</si>
  <si>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</si>
  <si>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</si>
  <si>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</si>
  <si>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</si>
  <si>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</si>
  <si>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</si>
  <si>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</si>
  <si>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</si>
  <si>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</si>
  <si>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</si>
  <si>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</si>
  <si>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</si>
  <si>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</si>
  <si>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</si>
  <si>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</si>
  <si>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</si>
  <si>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</si>
  <si>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</si>
  <si>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</si>
  <si>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</si>
  <si>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</si>
  <si>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</si>
  <si>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</si>
  <si>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</si>
  <si>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</si>
  <si>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</si>
  <si>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</si>
  <si>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</si>
  <si>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</si>
  <si>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</si>
  <si>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</si>
  <si>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</si>
  <si>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</si>
  <si>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</si>
  <si>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</si>
  <si>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</si>
  <si>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</si>
  <si>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</si>
  <si>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</si>
  <si>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</si>
  <si>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</si>
  <si>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</si>
  <si>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</si>
  <si>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</si>
  <si>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</si>
  <si>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</si>
  <si>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</si>
  <si>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</si>
  <si>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</si>
  <si>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</si>
  <si>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</si>
  <si>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</si>
  <si>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</si>
  <si>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</si>
  <si>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</si>
  <si>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</si>
  <si>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</si>
  <si>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</si>
  <si>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</si>
  <si>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</si>
  <si>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</si>
  <si>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</si>
  <si>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</si>
  <si>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</si>
  <si>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</si>
  <si>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</si>
  <si>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</si>
  <si>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</si>
  <si>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</si>
  <si>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</si>
  <si>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</si>
  <si>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</si>
  <si>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</si>
  <si>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</si>
  <si>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</si>
  <si>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</si>
  <si>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</si>
  <si>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</si>
  <si>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</si>
  <si>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</si>
  <si>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</si>
  <si>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</si>
  <si>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</si>
  <si>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</si>
  <si>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</si>
  <si>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</si>
  <si>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</si>
  <si>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</si>
  <si>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</si>
  <si>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</si>
  <si>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</si>
  <si>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</si>
  <si>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</si>
  <si>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</si>
  <si>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</si>
  <si>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</si>
  <si>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</si>
  <si>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</si>
  <si>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</si>
  <si>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</si>
  <si>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</si>
  <si>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</si>
  <si>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</si>
  <si>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</si>
  <si>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</si>
  <si>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</si>
  <si>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</si>
  <si>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</si>
  <si>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</si>
  <si>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</si>
  <si>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</si>
  <si>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</si>
  <si>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</si>
  <si>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</si>
  <si>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</si>
  <si>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</si>
  <si>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</si>
  <si>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</si>
  <si>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</si>
  <si>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</si>
  <si>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</si>
  <si>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</si>
  <si>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</si>
  <si>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</si>
  <si>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</si>
  <si>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</si>
  <si>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</si>
  <si>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</si>
  <si>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</si>
  <si>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</si>
  <si>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</si>
  <si>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</si>
  <si>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</si>
  <si>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</si>
  <si>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</si>
  <si>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</si>
  <si>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</si>
  <si>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</si>
  <si>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</si>
  <si>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</si>
  <si>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</si>
  <si>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</si>
  <si>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</si>
  <si>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</si>
  <si>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</si>
  <si>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</si>
  <si>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</si>
  <si>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</si>
  <si>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</si>
  <si>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</si>
  <si>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</si>
  <si>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</si>
  <si>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</si>
  <si>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</si>
  <si>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</si>
  <si>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</si>
  <si>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</si>
  <si>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</si>
  <si>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</si>
  <si>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</si>
  <si>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</si>
  <si>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</si>
  <si>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</si>
  <si>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</si>
  <si>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</si>
  <si>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</si>
  <si>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</si>
  <si>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</si>
  <si>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</si>
  <si>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</si>
  <si>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</si>
  <si>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</si>
  <si>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</si>
  <si>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</si>
  <si>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</si>
  <si>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</si>
  <si>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</si>
  <si>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</si>
  <si>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</si>
  <si>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</si>
  <si>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</si>
  <si>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</si>
  <si>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</si>
  <si>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</si>
  <si>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</si>
  <si>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</si>
  <si>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</si>
  <si>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</si>
  <si>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</si>
  <si>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</si>
  <si>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</si>
  <si>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</si>
  <si>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</si>
  <si>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</si>
  <si>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</si>
  <si>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</si>
  <si>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</si>
  <si>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</si>
  <si>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</si>
  <si>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</si>
  <si>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</si>
  <si>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</si>
  <si>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</si>
  <si>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</si>
  <si>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</si>
  <si>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</si>
  <si>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</si>
  <si>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</si>
  <si>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</si>
  <si>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</si>
  <si>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</si>
  <si>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</si>
  <si>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</si>
  <si>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</si>
  <si>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</si>
  <si>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</si>
  <si>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</si>
  <si>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</si>
  <si>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</si>
  <si>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</si>
  <si>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</si>
  <si>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</si>
  <si>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</si>
  <si>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</si>
  <si>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</si>
  <si>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</si>
  <si>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</si>
  <si>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</si>
  <si>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</si>
  <si>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</si>
  <si>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</si>
  <si>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</si>
  <si>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</si>
  <si>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</si>
  <si>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</si>
  <si>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</si>
  <si>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</si>
  <si>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</si>
  <si>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</si>
  <si>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</si>
  <si>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</si>
  <si>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</si>
  <si>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</si>
  <si>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</si>
  <si>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</si>
  <si>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</si>
  <si>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</si>
  <si>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</si>
  <si>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</si>
  <si>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</si>
  <si>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</si>
  <si>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</si>
  <si>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</si>
  <si>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</si>
  <si>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</si>
  <si>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</si>
  <si>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</si>
  <si>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</si>
  <si>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</si>
  <si>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</si>
  <si>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</si>
  <si>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</si>
  <si>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</si>
  <si>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</si>
  <si>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</si>
  <si>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</si>
  <si>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</si>
  <si>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</si>
  <si>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</si>
  <si>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</si>
  <si>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</si>
  <si>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</si>
  <si>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</si>
  <si>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</si>
  <si>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</si>
  <si>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</si>
  <si>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</si>
  <si>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</si>
  <si>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</si>
  <si>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</si>
  <si>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</si>
  <si>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</si>
  <si>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</si>
  <si>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</si>
  <si>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</si>
  <si>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</si>
  <si>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</si>
  <si>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</si>
  <si>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</si>
  <si>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</si>
  <si>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</si>
  <si>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</si>
  <si>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</si>
  <si>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</si>
  <si>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</si>
  <si>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</si>
  <si>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</si>
  <si>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</si>
  <si>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</si>
  <si>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</si>
  <si>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</si>
  <si>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</si>
  <si>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</si>
  <si>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</si>
  <si>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</si>
  <si>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</si>
  <si>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</si>
  <si>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</si>
  <si>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</si>
  <si>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</si>
  <si>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</si>
  <si>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</si>
  <si>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</si>
  <si>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</si>
  <si>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</si>
  <si>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</si>
  <si>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</si>
  <si>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</si>
  <si>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</si>
  <si>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</si>
  <si>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</si>
  <si>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</si>
  <si>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</si>
  <si>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</si>
  <si>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</si>
  <si>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Jabbar</t>
  </si>
  <si>
    <t>Mian GS</t>
  </si>
  <si>
    <t>Address:Peer Naseer</t>
  </si>
  <si>
    <t>Doger 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</si>
</sst>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30" workbookViewId="0">
      <selection activeCell="F38" sqref="F3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499</v>
      </c>
      <c r="F2" s="383"/>
      <c r="G2" s="383"/>
      <c r="H2" s="380" t="s">
        <v>518</v>
      </c>
      <c r="I2" s="380"/>
      <c r="J2" s="381"/>
      <c r="R2" s="377" t="s">
        <v>498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514</v>
      </c>
      <c r="F3" s="387"/>
      <c r="G3" s="387"/>
      <c r="H3" s="384">
        <f ca="1">TODAY()</f>
        <v>46253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Mian GS</v>
      </c>
      <c r="T3" s="301">
        <f>+'1'!P35</f>
        <v>500.75337404745761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Doger WS</v>
      </c>
      <c r="T4" s="301">
        <f>+'2'!P35</f>
        <v>500.75337404745761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24</v>
      </c>
      <c r="I13" s="236">
        <f t="shared" si="0"/>
        <v>941.5200000000001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47.076000000000008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32.95320000000001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48.017520000000005</v>
      </c>
      <c r="M13" s="230">
        <f t="shared" si="1"/>
        <v>813.47328000000005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183.05084745762701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4.982620637288135</v>
      </c>
      <c r="P13" s="311">
        <f t="shared" si="2"/>
        <v>1001.5067480949152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0.6</v>
      </c>
      <c r="H16" s="113">
        <f t="shared" ref="H16:M16" si="3">SUM(H7:H15)</f>
        <v>24</v>
      </c>
      <c r="I16" s="114">
        <f t="shared" si="3"/>
        <v>941.5200000000001</v>
      </c>
      <c r="J16" s="274">
        <f>SUM(J7:J15)</f>
        <v>47.076000000000008</v>
      </c>
      <c r="K16" s="275">
        <f t="shared" si="3"/>
        <v>32.95320000000001</v>
      </c>
      <c r="L16" s="276">
        <f t="shared" si="3"/>
        <v>48.017520000000005</v>
      </c>
      <c r="M16" s="232">
        <f t="shared" si="3"/>
        <v>813.47328000000005</v>
      </c>
      <c r="N16" s="233">
        <f>SUM(N7:N15)</f>
        <v>183.05084745762701</v>
      </c>
      <c r="O16" s="101">
        <f>SUM(O7:O15)</f>
        <v>4.982620637288135</v>
      </c>
      <c r="P16" s="113">
        <f>SUM(P7:P15)</f>
        <v>1001.5067480949152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941.5200000000001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47.076000000000008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80.970720000000014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813.47328000000005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183.05084745762701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996.52412745762706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4.982620637288135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1001.5067480949152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1001.5067480949152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7.25" customHeight="1" x14ac:dyDescent="0.4">
      <c r="A6" s="397" t="s">
        <v>519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12</v>
      </c>
      <c r="I25" s="114">
        <f t="shared" ref="I25:M25" si="10">SUM(I16:I24)</f>
        <v>470.76000000000005</v>
      </c>
      <c r="J25" s="274">
        <f>SUM(J16:J24)</f>
        <v>23.538000000000004</v>
      </c>
      <c r="K25" s="275">
        <f t="shared" si="10"/>
        <v>16.476600000000005</v>
      </c>
      <c r="L25" s="276">
        <f t="shared" si="10"/>
        <v>24.008760000000002</v>
      </c>
      <c r="M25" s="232">
        <f t="shared" si="10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7"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521</v>
      </c>
      <c r="B6" s="397"/>
      <c r="C6" s="397"/>
      <c r="F6" s="85"/>
      <c r="G6" s="86"/>
      <c r="K6" s="392" t="s">
        <v>69</v>
      </c>
      <c r="L6" s="392"/>
      <c r="M6" s="392"/>
      <c r="N6" s="394" t="s">
        <v>515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520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311">
        <f t="shared" si="5"/>
        <v>500.75337404745761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113">
        <f>SUM(P16:P24)</f>
        <v>500.75337404745761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470.76000000000005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23.538000000000004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40.485360000000007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406.73664000000002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498.26206372881353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71" t="s">
        <v>88</v>
      </c>
      <c r="O35" s="372"/>
      <c r="P35" s="297">
        <f>+P33+P34</f>
        <v>500.75337404745761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8.75" customHeight="1" x14ac:dyDescent="0.4">
      <c r="A6" s="397" t="s">
        <v>500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501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502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503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8.75" customHeight="1" x14ac:dyDescent="0.4">
      <c r="A6" s="397" t="s">
        <v>504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505</v>
      </c>
      <c r="B4" s="391"/>
      <c r="C4" s="391"/>
      <c r="F4" s="85"/>
      <c r="G4" s="1"/>
      <c r="K4" s="392" t="s">
        <v>44</v>
      </c>
      <c r="L4" s="392"/>
      <c r="M4" s="392"/>
      <c r="N4" s="395">
        <v>46254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46253</v>
      </c>
      <c r="O5" s="391"/>
      <c r="P5" s="391"/>
      <c r="R5" s="85"/>
      <c r="S5" s="266"/>
    </row>
    <row r="6" spans="1:22 16383:16384" ht="15" customHeight="1" x14ac:dyDescent="0.4">
      <c r="A6" s="397" t="s">
        <v>496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73</v>
      </c>
      <c r="B7" s="392"/>
      <c r="C7" s="392"/>
      <c r="F7" s="85"/>
      <c r="G7" s="86"/>
      <c r="K7" s="392" t="s">
        <v>66</v>
      </c>
      <c r="L7" s="392"/>
      <c r="M7" s="392"/>
      <c r="N7" s="394" t="s">
        <v>511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95</v>
      </c>
      <c r="B8" s="398"/>
      <c r="C8" s="398"/>
      <c r="F8" s="85"/>
      <c r="G8" s="86"/>
      <c r="K8" s="392" t="s">
        <v>67</v>
      </c>
      <c r="L8" s="392"/>
      <c r="M8" s="392"/>
      <c r="N8" s="394" t="s">
        <v>511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46254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46253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2026-08-19T12:00:53Z</dcterms:modified>
</cp:coreProperties>
</file>