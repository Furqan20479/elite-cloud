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8C9C40-DBE2-46B5-8D47-4C5BC6514FB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9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<sst xmlns="http://schemas.openxmlformats.org/spreadsheetml/2006/main" count="3977" uniqueCount="516">
  <si>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</si>
  <si>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</si>
  <si>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</si>
  <si>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</si>
  <si>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</si>
  <si>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</si>
  <si>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</si>
  <si>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</si>
  <si>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</si>
  <si>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</si>
  <si>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</si>
  <si>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</si>
  <si>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</si>
  <si>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</si>
  <si>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</si>
  <si>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</si>
  <si>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</si>
  <si>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</si>
  <si>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</si>
  <si>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</si>
  <si>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</si>
  <si>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</si>
  <si>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</si>
  <si>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</si>
  <si>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</si>
  <si>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</si>
  <si>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</si>
  <si>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</si>
  <si>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</si>
  <si>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</si>
  <si>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</si>
  <si>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</si>
  <si>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</si>
  <si>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</si>
  <si>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</si>
  <si>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</si>
  <si>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</si>
  <si>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</si>
  <si>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</si>
  <si>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</si>
  <si>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</si>
  <si>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</si>
  <si>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</si>
  <si>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</si>
  <si>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</si>
  <si>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</si>
  <si>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</si>
  <si>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</si>
  <si>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</si>
  <si>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</si>
  <si>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</si>
  <si>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</si>
  <si>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</si>
  <si>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</si>
  <si>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</si>
  <si>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</si>
  <si>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</si>
  <si>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</si>
  <si>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</si>
  <si>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</si>
  <si>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</si>
  <si>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</si>
  <si>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</si>
  <si>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</si>
  <si>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</si>
  <si>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</si>
  <si>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</si>
  <si>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</si>
  <si>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</si>
  <si>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</si>
  <si>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</si>
  <si>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</si>
  <si>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</si>
  <si>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</si>
  <si>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</si>
  <si>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</si>
  <si>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</si>
  <si>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</si>
  <si>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</si>
  <si>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</si>
  <si>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</si>
  <si>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</si>
  <si>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</si>
  <si>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</si>
  <si>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</si>
  <si>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</si>
  <si>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</si>
  <si>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</si>
  <si>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</si>
  <si>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</si>
  <si>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</si>
  <si>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</si>
  <si>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</si>
  <si>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</si>
  <si>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</si>
  <si>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</si>
  <si>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</si>
  <si>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</si>
  <si>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</si>
  <si>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</si>
  <si>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</si>
  <si>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</si>
  <si>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</si>
  <si>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</si>
  <si>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</si>
  <si>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</si>
  <si>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</si>
  <si>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</si>
  <si>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</si>
  <si>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</si>
  <si>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</si>
  <si>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</si>
  <si>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</si>
  <si>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</si>
  <si>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</si>
  <si>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</si>
  <si>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</si>
  <si>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</si>
  <si>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</si>
  <si>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</si>
  <si>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</si>
  <si>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</si>
  <si>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</si>
  <si>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</si>
  <si>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</si>
  <si>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</si>
  <si>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</si>
  <si>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</si>
  <si>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</si>
  <si>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</si>
  <si>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</si>
  <si>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</si>
  <si>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</si>
  <si>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</si>
  <si>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</si>
  <si>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</si>
  <si>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</si>
  <si>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</si>
  <si>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</si>
  <si>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</si>
  <si>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</si>
  <si>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</si>
  <si>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</si>
  <si>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</si>
  <si>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</si>
  <si>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</si>
  <si>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</si>
  <si>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</si>
  <si>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</si>
  <si>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</si>
  <si>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</si>
  <si>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</si>
  <si>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</si>
  <si>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</si>
  <si>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</si>
  <si>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</si>
  <si>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</si>
  <si>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</si>
  <si>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</si>
  <si>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</si>
  <si>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</si>
  <si>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</si>
  <si>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</si>
  <si>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</si>
  <si>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</si>
  <si>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</si>
  <si>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</si>
  <si>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</si>
  <si>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</si>
  <si>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</si>
  <si>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</si>
  <si>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</si>
  <si>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</si>
  <si>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</si>
  <si>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</si>
  <si>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</si>
  <si>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</si>
  <si>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</si>
  <si>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</si>
  <si>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</si>
  <si>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</si>
  <si>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</si>
  <si>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</si>
  <si>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</si>
  <si>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</si>
  <si>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</si>
  <si>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</si>
  <si>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</si>
  <si>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</si>
  <si>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</si>
  <si>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</si>
  <si>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</si>
  <si>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</si>
  <si>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</si>
  <si>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</si>
  <si>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</si>
  <si>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</si>
  <si>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</si>
  <si>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</si>
  <si>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</si>
  <si>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</si>
  <si>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</si>
  <si>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</si>
  <si>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</si>
  <si>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</si>
  <si>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</si>
  <si>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</si>
  <si>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</si>
  <si>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</si>
  <si>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</si>
  <si>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</si>
  <si>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</si>
  <si>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</si>
  <si>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</si>
  <si>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</si>
  <si>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</si>
  <si>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</si>
  <si>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</si>
  <si>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</si>
  <si>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</si>
  <si>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</si>
  <si>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</si>
  <si>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</si>
  <si>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</si>
  <si>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</si>
  <si>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</si>
  <si>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</si>
  <si>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</si>
  <si>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</si>
  <si>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</si>
  <si>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</si>
  <si>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</si>
  <si>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</si>
  <si>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</si>
  <si>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</si>
  <si>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</si>
  <si>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</si>
  <si>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</si>
  <si>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</si>
  <si>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</si>
  <si>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</si>
  <si>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</si>
  <si>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</si>
  <si>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</si>
  <si>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</si>
  <si>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</si>
  <si>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</si>
  <si>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</si>
  <si>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</si>
  <si>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</si>
  <si>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</si>
  <si>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</si>
  <si>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</si>
  <si>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</si>
  <si>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</si>
  <si>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</si>
  <si>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</si>
  <si>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</si>
  <si>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</si>
  <si>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</si>
  <si>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</si>
  <si>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</si>
  <si>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</si>
  <si>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</si>
  <si>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</si>
  <si>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</si>
  <si>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</si>
  <si>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</si>
  <si>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</si>
  <si>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</si>
  <si>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</si>
  <si>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</si>
  <si>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</si>
  <si>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</si>
  <si>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</si>
  <si>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</si>
  <si>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</si>
  <si>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</si>
  <si>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</si>
  <si>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</si>
  <si>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</si>
  <si>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</si>
  <si>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</si>
  <si>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</si>
  <si>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</si>
  <si>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</si>
  <si>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</si>
  <si>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</si>
  <si>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</si>
  <si>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</si>
  <si>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</si>
  <si>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</si>
  <si>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</si>
  <si>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</si>
  <si>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</si>
  <si>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</si>
  <si>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</si>
  <si>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</si>
  <si>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</si>
  <si>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</si>
  <si>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</si>
  <si>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</si>
  <si>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</si>
  <si>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</si>
  <si>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</si>
  <si>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</si>
  <si>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</si>
  <si>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</si>
  <si>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</si>
  <si>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</si>
  <si>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</si>
  <si>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</si>
  <si>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</si>
  <si>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</si>
  <si>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</si>
  <si>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</si>
  <si>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</si>
  <si>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</si>
  <si>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</si>
  <si>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</si>
  <si>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</si>
  <si>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</si>
  <si>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</si>
  <si>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</si>
  <si>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</si>
  <si>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</si>
  <si>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</si>
  <si>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</si>
  <si>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</si>
  <si>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</si>
  <si>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</si>
  <si>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</si>
  <si>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</si>
  <si>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</si>
  <si>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</si>
  <si>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</si>
  <si>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</si>
  <si>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</si>
  <si>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</si>
  <si>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</si>
  <si>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</si>
  <si>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</si>
  <si>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</si>
  <si>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</si>
  <si>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</si>
  <si>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</si>
  <si>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</si>
  <si>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</si>
  <si>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</si>
  <si>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</si>
  <si>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</si>
  <si>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</si>
  <si>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</si>
  <si>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</si>
  <si>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</si>
  <si>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</si>
  <si>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</si>
  <si>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</si>
  <si>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</si>
  <si>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</si>
  <si>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</si>
  <si>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</si>
  <si>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</si>
  <si>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</si>
  <si>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</si>
  <si>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</si>
  <si>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</si>
  <si>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</si>
  <si>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</si>
  <si>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</si>
  <si>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</si>
  <si>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</si>
  <si>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</si>
  <si>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</si>
  <si>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</si>
  <si>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</si>
  <si>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</si>
  <si>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</si>
  <si>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</si>
  <si>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</si>
  <si>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</si>
  <si>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</si>
  <si>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</si>
  <si>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</si>
  <si>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</si>
  <si>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</si>
  <si>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</si>
  <si>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</si>
  <si>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</si>
  <si>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</si>
  <si>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</si>
  <si>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</si>
  <si>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</si>
  <si>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</si>
  <si>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</si>
  <si>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</si>
  <si>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</si>
  <si>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</si>
  <si>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</si>
  <si>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</si>
  <si>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</si>
  <si>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</si>
  <si>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</si>
  <si>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</si>
  <si>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</si>
  <si>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</si>
  <si>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</si>
  <si>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</si>
  <si>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</si>
  <si>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</si>
  <si>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</si>
  <si>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</si>
  <si>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</si>
  <si>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</si>
  <si>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</si>
  <si>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</si>
  <si>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</si>
  <si>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</si>
  <si>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</si>
  <si>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</si>
  <si>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</si>
  <si>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</si>
  <si>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</si>
  <si>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</si>
  <si>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</si>
  <si>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</si>
  <si>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</si>
  <si>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</si>
  <si>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</si>
  <si>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</si>
  <si>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</si>
  <si>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</si>
  <si>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</si>
  <si>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</si>
  <si>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</si>
  <si>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</si>
  <si>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</si>
  <si>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</si>
  <si>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</si>
  <si>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</si>
  <si>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</si>
  <si>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</si>
  <si>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</si>
  <si>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</si>
  <si>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</si>
  <si>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</si>
  <si>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</si>
  <si>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</si>
  <si>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</si>
  <si>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</si>
  <si>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</si>
  <si>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</si>
  <si>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</si>
  <si>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</si>
  <si>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</si>
  <si>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</si>
  <si>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</si>
  <si>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</si>
  <si>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</si>
  <si>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</si>
  <si>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</si>
  <si>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</si>
  <si>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</si>
  <si>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</si>
  <si>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</si>
  <si>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</si>
  <si>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</si>
  <si>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</si>
  <si>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</si>
  <si>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</si>
  <si>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</si>
  <si>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</si>
  <si>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</si>
  <si>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</si>
  <si>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</si>
  <si>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</si>
  <si>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</si>
  <si>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</si>
  <si>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</si>
  <si>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</si>
  <si>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</si>
  <si>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</si>
  <si>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</si>
  <si>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</si>
  <si>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</si>
  <si>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</si>
  <si>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</si>
  <si>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</si>
  <si>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</si>
  <si>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</si>
  <si>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</si>
  <si>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</si>
  <si>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</si>
  <si>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</si>
  <si>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</si>
  <si>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</si>
  <si>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</si>
  <si>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</si>
  <si>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</si>
  <si>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</si>
  <si>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</si>
  <si>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</si>
  <si>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</si>
  <si>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</si>
  <si>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</si>
  <si>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</si>
  <si>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</si>
  <si>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</si>
  <si>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</si>
  <si>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</si>
  <si>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</si>
  <si>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</si>
  <si>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Imperia Departmental Store</t>
  </si>
  <si>
    <t>Address: Rehmanpura Wahdat Road</t>
  </si>
  <si>
    <t>NTN #: 1533359-7</t>
  </si>
  <si>
    <t>Invoice No # :23213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</si>
</sst>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3" fontId="31" fillId="0" borderId="46" xfId="0" applyNumberFormat="1" applyFont="1" applyBorder="1" applyAlignment="1">
      <alignment horizontal="center" vertical="top" shrinkToFit="1"/>
    </xf>
    <xf numFmtId="3" fontId="31" fillId="0" borderId="2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F49" sqref="F4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/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46253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Imperia Departmental Store</v>
      </c>
      <c r="T3" s="301">
        <f>+'1'!P35</f>
        <v>23425.5947645339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Imperia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Imperia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Imperia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Imperia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Imperia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Imperia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Imperia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Imperia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Imperia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Imperia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Imperia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Imperia Departmental Store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9</v>
      </c>
      <c r="H16" s="113">
        <f t="shared" ref="H16:M16" si="3">SUM(H7:H15)</f>
        <v>360</v>
      </c>
      <c r="I16" s="114">
        <f t="shared" si="3"/>
        <v>22114.9</v>
      </c>
      <c r="J16" s="274">
        <f>SUM(J7:J15)</f>
        <v>2211.4899999999998</v>
      </c>
      <c r="K16" s="275">
        <f t="shared" si="3"/>
        <v>774.02150000000017</v>
      </c>
      <c r="L16" s="276">
        <f t="shared" si="3"/>
        <v>0</v>
      </c>
      <c r="M16" s="232">
        <f t="shared" si="3"/>
        <v>19129.388500000001</v>
      </c>
      <c r="N16" s="233">
        <f>SUM(N7:N15)</f>
        <v>4179.6610169491514</v>
      </c>
      <c r="O16" s="101">
        <f>SUM(O7:O15)</f>
        <v>116.54524758474575</v>
      </c>
      <c r="P16" s="113">
        <f>SUM(P7:P15)</f>
        <v>23425.594764533893</v>
      </c>
      <c r="Q16" s="128">
        <f>SUM(Q7:Q15)</f>
        <v>0</v>
      </c>
      <c r="R16" s="314">
        <v>14</v>
      </c>
      <c r="S16" s="300" t="str">
        <f>+'14'!A6:A6</f>
        <v>Imperia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Imperia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Imperia Departmental Store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22114.9</v>
      </c>
      <c r="R19" s="299">
        <v>17</v>
      </c>
      <c r="S19" s="300" t="str">
        <f>+'17'!A6:A6</f>
        <v>Imperia Departmental Store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2211.4899999999998</v>
      </c>
      <c r="R20" s="299">
        <v>18</v>
      </c>
      <c r="S20" s="300" t="str">
        <f>+'18'!A6:A6</f>
        <v>Imperia Departmental Store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774.02150000000017</v>
      </c>
      <c r="R21" s="299">
        <v>19</v>
      </c>
      <c r="S21" s="300" t="str">
        <f>+'19'!A6:A6</f>
        <v>Imperia Departmental Store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19129.388500000005</v>
      </c>
      <c r="R22" s="299">
        <v>20</v>
      </c>
      <c r="S22" s="300" t="str">
        <f>+'20'!A6:A6</f>
        <v>Imperia Departmental Store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4179.6610169491514</v>
      </c>
      <c r="R23" s="299">
        <v>21</v>
      </c>
      <c r="S23" s="300" t="str">
        <f>+'21'!A6:A6</f>
        <v>Imperia Departmental Store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23309.049516949155</v>
      </c>
      <c r="R24" s="299">
        <v>22</v>
      </c>
      <c r="S24" s="300" t="str">
        <f>+'22'!A6:A6</f>
        <v>Imperia Departmental Store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116.54524758474575</v>
      </c>
      <c r="R25" s="299">
        <v>23</v>
      </c>
      <c r="S25" s="300" t="str">
        <f>+'23'!A6:A6</f>
        <v>Imperia Departmental Store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23425.5947645339</v>
      </c>
      <c r="R26" s="299">
        <v>24</v>
      </c>
      <c r="S26" s="300" t="str">
        <f>+'24'!A6:A6</f>
        <v>Imperia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Imperia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Imperia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Imperia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Imperia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Imperia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Imperia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23425.5947645339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Q30" sqref="Q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46254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46253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318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319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319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319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19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22114.9</v>
      </c>
      <c r="J25" s="274">
        <f>SUM(J16:J24)</f>
        <v>2211.4899999999998</v>
      </c>
      <c r="K25" s="275">
        <f t="shared" si="10"/>
        <v>774.02150000000017</v>
      </c>
      <c r="L25" s="276">
        <f t="shared" si="10"/>
        <v>0</v>
      </c>
      <c r="M25" s="232">
        <f t="shared" si="10"/>
        <v>19129.388500000001</v>
      </c>
      <c r="N25" s="233">
        <f>SUM(N16:N24)</f>
        <v>4179.6610169491514</v>
      </c>
      <c r="O25" s="101">
        <f>SUM(O16:O24)</f>
        <v>116.54524758474575</v>
      </c>
      <c r="P25" s="113">
        <f>SUM(P16:P24)</f>
        <v>23425.594764533893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22114.9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2211.4899999999998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774.02150000000017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19129.388500000005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4179.6610169491514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23309.049516949155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116.54524758474578</v>
      </c>
    </row>
    <row r="35" spans="2:16" ht="15.75" customHeight="1" thickBot="1" x14ac:dyDescent="0.4">
      <c r="N35" s="344" t="s">
        <v>88</v>
      </c>
      <c r="O35" s="345"/>
      <c r="P35" s="297">
        <f>+P33+P34</f>
        <v>23425.5947645339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>
      <c r="P37" s="223"/>
    </row>
    <row r="38" spans="2:16" x14ac:dyDescent="0.35">
      <c r="L38">
        <v>0</v>
      </c>
      <c r="P38" s="223"/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46254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2026-08-19T12:36:26Z</dcterms:modified>
</cp:coreProperties>
</file>