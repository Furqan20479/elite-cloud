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22D0FE-6E7F-4255-A85C-1921027684E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<sst xmlns="http://schemas.openxmlformats.org/spreadsheetml/2006/main" count="3947" uniqueCount="515">
  <si>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</si>
  <si>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</si>
  <si>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</si>
  <si>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</si>
  <si>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</si>
  <si>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</si>
  <si>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</si>
  <si>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</si>
  <si>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</si>
  <si>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</si>
  <si>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</si>
  <si>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</si>
  <si>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</si>
  <si>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</si>
  <si>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</si>
  <si>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</si>
  <si>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</si>
  <si>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</si>
  <si>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</si>
  <si>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</si>
  <si>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</si>
  <si>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</si>
  <si>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</si>
  <si>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</si>
  <si>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</si>
  <si>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</si>
  <si>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</si>
  <si>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</si>
  <si>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</si>
  <si>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</si>
  <si>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</si>
  <si>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</si>
  <si>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</si>
  <si>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</si>
  <si>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</si>
  <si>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</si>
  <si>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</si>
  <si>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</si>
  <si>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</si>
  <si>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</si>
  <si>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</si>
  <si>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</si>
  <si>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</si>
  <si>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</si>
  <si>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</si>
  <si>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</si>
  <si>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</si>
  <si>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</si>
  <si>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</si>
  <si>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</si>
  <si>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</si>
  <si>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</si>
  <si>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</si>
  <si>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</si>
  <si>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</si>
  <si>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</si>
  <si>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</si>
  <si>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</si>
  <si>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</si>
  <si>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</si>
  <si>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</si>
  <si>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</si>
  <si>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</si>
  <si>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</si>
  <si>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</si>
  <si>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</si>
  <si>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</si>
  <si>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</si>
  <si>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</si>
  <si>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</si>
  <si>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</si>
  <si>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</si>
  <si>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</si>
  <si>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</si>
  <si>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</si>
  <si>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</si>
  <si>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</si>
  <si>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</si>
  <si>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</si>
  <si>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</si>
  <si>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</si>
  <si>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</si>
  <si>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</si>
  <si>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</si>
  <si>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</si>
  <si>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</si>
  <si>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</si>
  <si>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</si>
  <si>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</si>
  <si>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</si>
  <si>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</si>
  <si>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</si>
  <si>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</si>
  <si>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</si>
  <si>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</si>
  <si>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</si>
  <si>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</si>
  <si>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</si>
  <si>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</si>
  <si>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</si>
  <si>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</si>
  <si>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</si>
  <si>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</si>
  <si>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</si>
  <si>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</si>
  <si>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</si>
  <si>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</si>
  <si>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</si>
  <si>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</si>
  <si>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</si>
  <si>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</si>
  <si>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</si>
  <si>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</si>
  <si>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</si>
  <si>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</si>
  <si>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</si>
  <si>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</si>
  <si>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</si>
  <si>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</si>
  <si>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</si>
  <si>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</si>
  <si>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</si>
  <si>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</si>
  <si>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</si>
  <si>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</si>
  <si>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</si>
  <si>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</si>
  <si>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</si>
  <si>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</si>
  <si>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</si>
  <si>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</si>
  <si>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</si>
  <si>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</si>
  <si>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</si>
  <si>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</si>
  <si>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</si>
  <si>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</si>
  <si>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</si>
  <si>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</si>
  <si>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</si>
  <si>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</si>
  <si>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</si>
  <si>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</si>
  <si>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</si>
  <si>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</si>
  <si>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</si>
  <si>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</si>
  <si>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</si>
  <si>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</si>
  <si>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</si>
  <si>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</si>
  <si>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</si>
  <si>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</si>
  <si>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</si>
  <si>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</si>
  <si>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</si>
  <si>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</si>
  <si>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</si>
  <si>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</si>
  <si>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</si>
  <si>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</si>
  <si>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</si>
  <si>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</si>
  <si>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</si>
  <si>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</si>
  <si>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</si>
  <si>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</si>
  <si>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</si>
  <si>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</si>
  <si>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</si>
  <si>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</si>
  <si>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</si>
  <si>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</si>
  <si>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</si>
  <si>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</si>
  <si>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</si>
  <si>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</si>
  <si>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</si>
  <si>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</si>
  <si>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</si>
  <si>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</si>
  <si>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</si>
  <si>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</si>
  <si>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</si>
  <si>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</si>
  <si>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</si>
  <si>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</si>
  <si>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</si>
  <si>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</si>
  <si>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</si>
  <si>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</si>
  <si>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</si>
  <si>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</si>
  <si>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</si>
  <si>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</si>
  <si>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</si>
  <si>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</si>
  <si>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</si>
  <si>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</si>
  <si>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</si>
  <si>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</si>
  <si>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</si>
  <si>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</si>
  <si>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</si>
  <si>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</si>
  <si>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</si>
  <si>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</si>
  <si>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</si>
  <si>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</si>
  <si>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</si>
  <si>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</si>
  <si>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</si>
  <si>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</si>
  <si>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</si>
  <si>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</si>
  <si>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</si>
  <si>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</si>
  <si>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</si>
  <si>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</si>
  <si>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</si>
  <si>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</si>
  <si>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</si>
  <si>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</si>
  <si>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</si>
  <si>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</si>
  <si>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</si>
  <si>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</si>
  <si>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</si>
  <si>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</si>
  <si>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</si>
  <si>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</si>
  <si>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</si>
  <si>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</si>
  <si>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</si>
  <si>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</si>
  <si>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</si>
  <si>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</si>
  <si>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</si>
  <si>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</si>
  <si>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</si>
  <si>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</si>
  <si>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</si>
  <si>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</si>
  <si>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</si>
  <si>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</si>
  <si>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</si>
  <si>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</si>
  <si>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</si>
  <si>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</si>
  <si>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</si>
  <si>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</si>
  <si>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</si>
  <si>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</si>
  <si>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</si>
  <si>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</si>
  <si>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</si>
  <si>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</si>
  <si>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</si>
  <si>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</si>
  <si>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</si>
  <si>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</si>
  <si>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</si>
  <si>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</si>
  <si>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</si>
  <si>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</si>
  <si>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</si>
  <si>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</si>
  <si>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</si>
  <si>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</si>
  <si>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</si>
  <si>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</si>
  <si>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</si>
  <si>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</si>
  <si>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</si>
  <si>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</si>
  <si>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</si>
  <si>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</si>
  <si>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</si>
  <si>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</si>
  <si>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</si>
  <si>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</si>
  <si>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</si>
  <si>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</si>
  <si>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</si>
  <si>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</si>
  <si>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</si>
  <si>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</si>
  <si>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</si>
  <si>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</si>
  <si>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</si>
  <si>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</si>
  <si>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</si>
  <si>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</si>
  <si>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</si>
  <si>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</si>
  <si>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</si>
  <si>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</si>
  <si>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</si>
  <si>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</si>
  <si>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</si>
  <si>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</si>
  <si>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</si>
  <si>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</si>
  <si>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</si>
  <si>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</si>
  <si>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</si>
  <si>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</si>
  <si>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</si>
  <si>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</si>
  <si>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</si>
  <si>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</si>
  <si>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</si>
  <si>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</si>
  <si>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</si>
  <si>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</si>
  <si>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</si>
  <si>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</si>
  <si>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</si>
  <si>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</si>
  <si>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</si>
  <si>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</si>
  <si>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</si>
  <si>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</si>
  <si>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</si>
  <si>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</si>
  <si>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</si>
  <si>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</si>
  <si>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</si>
  <si>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</si>
  <si>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</si>
  <si>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</si>
  <si>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</si>
  <si>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</si>
  <si>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</si>
  <si>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</si>
  <si>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</si>
  <si>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</si>
  <si>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</si>
  <si>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</si>
  <si>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</si>
  <si>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</si>
  <si>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</si>
  <si>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</si>
  <si>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</si>
  <si>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</si>
  <si>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</si>
  <si>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</si>
  <si>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</si>
  <si>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</si>
  <si>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</si>
  <si>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</si>
  <si>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</si>
  <si>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</si>
  <si>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</si>
  <si>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</si>
  <si>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</si>
  <si>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</si>
  <si>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</si>
  <si>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</si>
  <si>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</si>
  <si>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</si>
  <si>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</si>
  <si>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</si>
  <si>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</si>
  <si>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</si>
  <si>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</si>
  <si>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</si>
  <si>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</si>
  <si>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</si>
  <si>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</si>
  <si>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</si>
  <si>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</si>
  <si>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</si>
  <si>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</si>
  <si>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</si>
  <si>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</si>
  <si>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</si>
  <si>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</si>
  <si>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</si>
  <si>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</si>
  <si>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</si>
  <si>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</si>
  <si>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</si>
  <si>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</si>
  <si>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</si>
  <si>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</si>
  <si>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</si>
  <si>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</si>
  <si>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</si>
  <si>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</si>
  <si>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</si>
  <si>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</si>
  <si>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</si>
  <si>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</si>
  <si>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</si>
  <si>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</si>
  <si>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</si>
  <si>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</si>
  <si>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</si>
  <si>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</si>
  <si>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</si>
  <si>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</si>
  <si>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</si>
  <si>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</si>
  <si>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</si>
  <si>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</si>
  <si>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</si>
  <si>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</si>
  <si>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</si>
  <si>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</si>
  <si>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</si>
  <si>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</si>
  <si>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</si>
  <si>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</si>
  <si>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</si>
  <si>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</si>
  <si>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</si>
  <si>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</si>
  <si>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</si>
  <si>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</si>
  <si>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</si>
  <si>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</si>
  <si>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</si>
  <si>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</si>
  <si>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</si>
  <si>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</si>
  <si>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</si>
  <si>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</si>
  <si>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</si>
  <si>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</si>
  <si>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</si>
  <si>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</si>
  <si>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</si>
  <si>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</si>
  <si>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</si>
  <si>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</si>
  <si>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</si>
  <si>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</si>
  <si>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</si>
  <si>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</si>
  <si>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</si>
  <si>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</si>
  <si>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</si>
  <si>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</si>
  <si>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</si>
  <si>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</si>
  <si>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</si>
  <si>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</si>
  <si>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</si>
  <si>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</si>
  <si>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</si>
  <si>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</si>
  <si>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</si>
  <si>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</si>
  <si>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</si>
  <si>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</si>
  <si>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</si>
  <si>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</si>
  <si>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</si>
  <si>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</si>
  <si>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</si>
  <si>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</si>
  <si>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</si>
  <si>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</si>
  <si>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</si>
  <si>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</si>
  <si>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</si>
  <si>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</si>
  <si>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</si>
  <si>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</si>
  <si>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</si>
  <si>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</si>
  <si>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</si>
  <si>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</si>
  <si>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</si>
  <si>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</si>
  <si>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</si>
  <si>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</si>
  <si>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</si>
  <si>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</si>
  <si>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</si>
  <si>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</si>
  <si>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</si>
  <si>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</si>
  <si>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</si>
  <si>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</si>
  <si>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</si>
  <si>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</si>
  <si>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</si>
  <si>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</si>
  <si>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</si>
  <si>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</si>
  <si>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</si>
  <si>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</si>
  <si>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</si>
  <si>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</si>
  <si>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</si>
  <si>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</si>
  <si>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</si>
  <si>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</si>
  <si>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</si>
  <si>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</si>
  <si>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</si>
  <si>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</si>
  <si>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</si>
  <si>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</si>
  <si>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</si>
  <si>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</si>
  <si>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</si>
  <si>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</si>
  <si>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</si>
  <si>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</si>
  <si>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LUTF Mart </t>
  </si>
  <si>
    <t>Address: Ranger Head Quarter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</si>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</sst>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46255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LUTF Mart </v>
      </c>
      <c r="T3" s="301">
        <f>+'1'!P35</f>
        <v>51134.472306769065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1049.25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9076.0125000000007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55.29531673728814</v>
      </c>
      <c r="P7" s="310">
        <f>M7+N7+O7</f>
        <v>11114.358664194917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 xml:space="preserve">LUTF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194</v>
      </c>
      <c r="I9" s="236">
        <f t="shared" si="0"/>
        <v>10177.725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1017.7725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356.22037500000005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8803.7321250000005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1923.5593220338974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53.636457235169495</v>
      </c>
      <c r="P9" s="311">
        <f t="shared" si="2"/>
        <v>10780.927904269069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</v>
      </c>
      <c r="R9" s="314">
        <v>7</v>
      </c>
      <c r="S9" s="300" t="str">
        <f>+'7'!A6:A6</f>
        <v xml:space="preserve">LUTF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1452.8000000000002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12566.72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76.562413559322039</v>
      </c>
      <c r="P10" s="311">
        <f t="shared" si="2"/>
        <v>15389.045125423729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180</v>
      </c>
      <c r="I12" s="236">
        <f t="shared" si="0"/>
        <v>13075.2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1307.5200000000002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457.63200000000006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11310.048000000001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2471.1864406779664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68.906172203389829</v>
      </c>
      <c r="P12" s="311">
        <f t="shared" si="2"/>
        <v>13850.140612881356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4">
        <v>10</v>
      </c>
      <c r="S12" s="300" t="str">
        <f>+'10'!A6:A6</f>
        <v xml:space="preserve">LUTF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19.350000000000001</v>
      </c>
      <c r="H16" s="113">
        <f t="shared" ref="H16:M16" si="3">SUM(H7:H15)</f>
        <v>774</v>
      </c>
      <c r="I16" s="114">
        <f t="shared" si="3"/>
        <v>48273.425000000003</v>
      </c>
      <c r="J16" s="274">
        <f>SUM(J7:J15)</f>
        <v>4827.3425000000007</v>
      </c>
      <c r="K16" s="275">
        <f t="shared" si="3"/>
        <v>1689.5698750000001</v>
      </c>
      <c r="L16" s="276">
        <f t="shared" si="3"/>
        <v>0</v>
      </c>
      <c r="M16" s="232">
        <f t="shared" si="3"/>
        <v>41756.512625000003</v>
      </c>
      <c r="N16" s="233">
        <f>SUM(N7:N15)</f>
        <v>9123.559322033896</v>
      </c>
      <c r="O16" s="101">
        <f>SUM(O7:O15)</f>
        <v>254.4003597351695</v>
      </c>
      <c r="P16" s="113">
        <f>SUM(P7:P15)</f>
        <v>51134.472306769065</v>
      </c>
      <c r="Q16" s="128">
        <f>SUM(Q7:Q15)</f>
        <v>26</v>
      </c>
      <c r="R16" s="314">
        <v>14</v>
      </c>
      <c r="S16" s="300" t="str">
        <f>+'14'!A6:A6</f>
        <v xml:space="preserve">LUTF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48273.425000000003</v>
      </c>
      <c r="R19" s="299">
        <v>17</v>
      </c>
      <c r="S19" s="300" t="str">
        <f>+'17'!A6:A6</f>
        <v xml:space="preserve">LUTF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4827.3425000000007</v>
      </c>
      <c r="R20" s="299">
        <v>18</v>
      </c>
      <c r="S20" s="300" t="str">
        <f>+'18'!A6:A6</f>
        <v xml:space="preserve">LUTF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1689.5698750000001</v>
      </c>
      <c r="R21" s="299">
        <v>19</v>
      </c>
      <c r="S21" s="300" t="str">
        <f>+'19'!A6:A6</f>
        <v xml:space="preserve">LUTF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41756.512625000003</v>
      </c>
      <c r="R22" s="299">
        <v>20</v>
      </c>
      <c r="S22" s="300" t="str">
        <f>+'20'!A6:A6</f>
        <v xml:space="preserve">LUTF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9123.559322033896</v>
      </c>
      <c r="R23" s="299">
        <v>21</v>
      </c>
      <c r="S23" s="300" t="str">
        <f>+'21'!A6:A6</f>
        <v xml:space="preserve">LUTF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50880.071947033895</v>
      </c>
      <c r="R24" s="299">
        <v>22</v>
      </c>
      <c r="S24" s="300" t="str">
        <f>+'22'!A6:A6</f>
        <v xml:space="preserve">LUTF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254.4003597351695</v>
      </c>
      <c r="R25" s="299">
        <v>23</v>
      </c>
      <c r="S25" s="300" t="str">
        <f>+'23'!A6:A6</f>
        <v xml:space="preserve">LUTF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51134.472306769065</v>
      </c>
      <c r="R26" s="299">
        <v>24</v>
      </c>
      <c r="S26" s="300" t="str">
        <f>+'24'!A6:A6</f>
        <v xml:space="preserve">LUTF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LUTF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51134.472306769065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46253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1049.25</v>
      </c>
      <c r="K16" s="127">
        <f>$I16*T16</f>
        <v>367.23750000000001</v>
      </c>
      <c r="L16" s="118">
        <f>$I16*U16</f>
        <v>0</v>
      </c>
      <c r="M16" s="229">
        <f>I16-SUM(J16:L16)</f>
        <v>9076.0125000000007</v>
      </c>
      <c r="N16" s="248">
        <f>+(G16*D16+H16)*V16</f>
        <v>1983.0508474576263</v>
      </c>
      <c r="O16" s="238">
        <f>(N16+M16)*$O$15</f>
        <v>55.29531673728814</v>
      </c>
      <c r="P16" s="310">
        <f>M16+N16+O16</f>
        <v>11114.358664194917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194</v>
      </c>
      <c r="I18" s="236">
        <f t="shared" ref="I18:I21" si="7">(G18*D18)*F18+H18*F18</f>
        <v>10177.725</v>
      </c>
      <c r="J18" s="272">
        <f t="shared" si="1"/>
        <v>1017.7725</v>
      </c>
      <c r="K18" s="128">
        <f t="shared" si="1"/>
        <v>356.22037500000005</v>
      </c>
      <c r="L18" s="119">
        <f t="shared" si="1"/>
        <v>0</v>
      </c>
      <c r="M18" s="230">
        <f t="shared" si="2"/>
        <v>8803.7321250000005</v>
      </c>
      <c r="N18" s="277">
        <f t="shared" si="3"/>
        <v>1923.5593220338974</v>
      </c>
      <c r="O18" s="239">
        <f t="shared" si="4"/>
        <v>53.636457235169495</v>
      </c>
      <c r="P18" s="311">
        <f t="shared" si="5"/>
        <v>10780.927904269069</v>
      </c>
      <c r="Q18" s="156">
        <v>5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180</v>
      </c>
      <c r="I21" s="236">
        <f t="shared" si="7"/>
        <v>13075.2</v>
      </c>
      <c r="J21" s="272">
        <f t="shared" si="1"/>
        <v>1307.5200000000002</v>
      </c>
      <c r="K21" s="128">
        <f t="shared" si="1"/>
        <v>457.63200000000006</v>
      </c>
      <c r="L21" s="119">
        <f t="shared" si="1"/>
        <v>0</v>
      </c>
      <c r="M21" s="230">
        <f t="shared" si="2"/>
        <v>11310.048000000001</v>
      </c>
      <c r="N21" s="277">
        <f t="shared" si="3"/>
        <v>2471.1864406779664</v>
      </c>
      <c r="O21" s="239">
        <f t="shared" si="4"/>
        <v>68.906172203389829</v>
      </c>
      <c r="P21" s="311">
        <f t="shared" si="5"/>
        <v>13850.140612881356</v>
      </c>
      <c r="Q21" s="156">
        <v>20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774</v>
      </c>
      <c r="I25" s="114">
        <f t="shared" ref="I25:M25" si="10">SUM(I16:I24)</f>
        <v>48273.425000000003</v>
      </c>
      <c r="J25" s="274">
        <f>SUM(J16:J24)</f>
        <v>4827.3425000000007</v>
      </c>
      <c r="K25" s="275">
        <f t="shared" si="10"/>
        <v>1689.5698750000001</v>
      </c>
      <c r="L25" s="276">
        <f t="shared" si="10"/>
        <v>0</v>
      </c>
      <c r="M25" s="232">
        <f t="shared" si="10"/>
        <v>41756.512625000003</v>
      </c>
      <c r="N25" s="233">
        <f>SUM(N16:N24)</f>
        <v>9123.559322033896</v>
      </c>
      <c r="O25" s="101">
        <f>SUM(O16:O24)</f>
        <v>254.4003597351695</v>
      </c>
      <c r="P25" s="113">
        <f>SUM(P16:P24)</f>
        <v>51134.472306769065</v>
      </c>
      <c r="Q25" s="128">
        <f>SUM(Q16:Q24)</f>
        <v>26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48273.425000000003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4827.3425000000007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1689.5698750000001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41756.512625000003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9123.559322033896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50880.071947033895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254.40035973516947</v>
      </c>
    </row>
    <row r="35" spans="2:16" ht="15.75" customHeight="1" thickBot="1" x14ac:dyDescent="0.4">
      <c r="N35" s="343" t="s">
        <v>88</v>
      </c>
      <c r="O35" s="344"/>
      <c r="P35" s="297">
        <f>+P33+P34</f>
        <v>51134.472306769065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46256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46255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2026-08-21T04:40:06Z</dcterms:modified>
</cp:coreProperties>
</file>