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09A8816-2288-48DE-B59A-611A7073C588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<sst xmlns="http://schemas.openxmlformats.org/spreadsheetml/2006/main" count="3978" uniqueCount="527">
  <si>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</si>
  <si>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</si>
  <si>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</si>
  <si>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</si>
  <si>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</si>
  <si>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</si>
  <si>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</si>
  <si>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</si>
  <si>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</si>
  <si>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</si>
  <si>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</si>
  <si>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</si>
  <si>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</si>
  <si>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</si>
  <si>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</si>
  <si>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</si>
  <si>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</si>
  <si>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</si>
  <si>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</si>
  <si>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</si>
  <si>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</si>
  <si>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</si>
  <si>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</si>
  <si>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</si>
  <si>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</si>
  <si>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</si>
  <si>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</si>
  <si>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</si>
  <si>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</si>
  <si>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</si>
  <si>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</si>
  <si>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</si>
  <si>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</si>
  <si>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</si>
  <si>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</si>
  <si>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</si>
  <si>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</si>
  <si>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</si>
  <si>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</si>
  <si>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</si>
  <si>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</si>
  <si>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</si>
  <si>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</si>
  <si>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</si>
  <si>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</si>
  <si>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</si>
  <si>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</si>
  <si>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</si>
  <si>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</si>
  <si>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</si>
  <si>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</si>
  <si>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</si>
  <si>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</si>
  <si>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</si>
  <si>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</si>
  <si>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</si>
  <si>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</si>
  <si>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</si>
  <si>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</si>
  <si>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</si>
  <si>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</si>
  <si>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</si>
  <si>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</si>
  <si>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</si>
  <si>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</si>
  <si>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</si>
  <si>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</si>
  <si>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</si>
  <si>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</si>
  <si>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</si>
  <si>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</si>
  <si>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</si>
  <si>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</si>
  <si>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</si>
  <si>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</si>
  <si>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</si>
  <si>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</si>
  <si>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</si>
  <si>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</si>
  <si>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</si>
  <si>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</si>
  <si>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</si>
  <si>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</si>
  <si>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</si>
  <si>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</si>
  <si>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</si>
  <si>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</si>
  <si>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</si>
  <si>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</si>
  <si>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</si>
  <si>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</si>
  <si>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</si>
  <si>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</si>
  <si>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</si>
  <si>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</si>
  <si>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</si>
  <si>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</si>
  <si>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</si>
  <si>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</si>
  <si>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</si>
  <si>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</si>
  <si>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</si>
  <si>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</si>
  <si>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</si>
  <si>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</si>
  <si>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</si>
  <si>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</si>
  <si>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</si>
  <si>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</si>
  <si>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</si>
  <si>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</si>
  <si>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</si>
  <si>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</si>
  <si>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</si>
  <si>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</si>
  <si>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</si>
  <si>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</si>
  <si>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</si>
  <si>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</si>
  <si>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</si>
  <si>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</si>
  <si>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</si>
  <si>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</si>
  <si>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</si>
  <si>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</si>
  <si>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</si>
  <si>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</si>
  <si>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</si>
  <si>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</si>
  <si>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</si>
  <si>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</si>
  <si>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</si>
  <si>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</si>
  <si>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</si>
  <si>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</si>
  <si>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</si>
  <si>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</si>
  <si>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</si>
  <si>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</si>
  <si>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</si>
  <si>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</si>
  <si>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</si>
  <si>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</si>
  <si>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</si>
  <si>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</si>
  <si>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</si>
  <si>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</si>
  <si>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</si>
  <si>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</si>
  <si>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</si>
  <si>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</si>
  <si>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</si>
  <si>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</si>
  <si>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</si>
  <si>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</si>
  <si>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</si>
  <si>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</si>
  <si>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</si>
  <si>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</si>
  <si>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</si>
  <si>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</si>
  <si>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</si>
  <si>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</si>
  <si>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</si>
  <si>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</si>
  <si>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</si>
  <si>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</si>
  <si>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</si>
  <si>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</si>
  <si>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</si>
  <si>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</si>
  <si>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</si>
  <si>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</si>
  <si>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</si>
  <si>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</si>
  <si>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</si>
  <si>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</si>
  <si>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</si>
  <si>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</si>
  <si>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</si>
  <si>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</si>
  <si>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</si>
  <si>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</si>
  <si>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</si>
  <si>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</si>
  <si>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</si>
  <si>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</si>
  <si>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</si>
  <si>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</si>
  <si>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</si>
  <si>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</si>
  <si>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</si>
  <si>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</si>
  <si>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</si>
  <si>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</si>
  <si>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</si>
  <si>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</si>
  <si>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</si>
  <si>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</si>
  <si>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</si>
  <si>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</si>
  <si>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</si>
  <si>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</si>
  <si>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</si>
  <si>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</si>
  <si>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</si>
  <si>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</si>
  <si>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</si>
  <si>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</si>
  <si>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</si>
  <si>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</si>
  <si>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</si>
  <si>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</si>
  <si>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</si>
  <si>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</si>
  <si>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</si>
  <si>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</si>
  <si>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</si>
  <si>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</si>
  <si>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</si>
  <si>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</si>
  <si>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</si>
  <si>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</si>
  <si>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</si>
  <si>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</si>
  <si>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</si>
  <si>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</si>
  <si>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</si>
  <si>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</si>
  <si>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</si>
  <si>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</si>
  <si>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</si>
  <si>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</si>
  <si>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</si>
  <si>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</si>
  <si>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</si>
  <si>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</si>
  <si>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</si>
  <si>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</si>
  <si>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</si>
  <si>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</si>
  <si>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</si>
  <si>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</si>
  <si>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</si>
  <si>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</si>
  <si>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</si>
  <si>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</si>
  <si>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</si>
  <si>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</si>
  <si>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</si>
  <si>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</si>
  <si>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</si>
  <si>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</si>
  <si>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</si>
  <si>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</si>
  <si>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</si>
  <si>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</si>
  <si>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</si>
  <si>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</si>
  <si>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</si>
  <si>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</si>
  <si>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</si>
  <si>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</si>
  <si>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</si>
  <si>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</si>
  <si>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</si>
  <si>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</si>
  <si>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</si>
  <si>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</si>
  <si>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</si>
  <si>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</si>
  <si>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</si>
  <si>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</si>
  <si>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</si>
  <si>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</si>
  <si>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</si>
  <si>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</si>
  <si>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</si>
  <si>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</si>
  <si>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</si>
  <si>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</si>
  <si>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</si>
  <si>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</si>
  <si>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</si>
  <si>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</si>
  <si>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</si>
  <si>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</si>
  <si>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</si>
  <si>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</si>
  <si>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</si>
  <si>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</si>
  <si>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</si>
  <si>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</si>
  <si>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</si>
  <si>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</si>
  <si>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</si>
  <si>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</si>
  <si>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</si>
  <si>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</si>
  <si>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</si>
  <si>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</si>
  <si>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</si>
  <si>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</si>
  <si>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</si>
  <si>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</si>
  <si>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</si>
  <si>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</si>
  <si>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</si>
  <si>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</si>
  <si>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</si>
  <si>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</si>
  <si>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</si>
  <si>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</si>
  <si>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</si>
  <si>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</si>
  <si>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</si>
  <si>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</si>
  <si>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</si>
  <si>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</si>
  <si>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</si>
  <si>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</si>
  <si>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</si>
  <si>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</si>
  <si>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</si>
  <si>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</si>
  <si>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</si>
  <si>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</si>
  <si>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</si>
  <si>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</si>
  <si>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</si>
  <si>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</si>
  <si>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</si>
  <si>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</si>
  <si>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</si>
  <si>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</si>
  <si>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</si>
  <si>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</si>
  <si>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</si>
  <si>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</si>
  <si>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</si>
  <si>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</si>
  <si>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</si>
  <si>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</si>
  <si>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</si>
  <si>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</si>
  <si>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</si>
  <si>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</si>
  <si>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</si>
  <si>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</si>
  <si>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</si>
  <si>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</si>
  <si>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</si>
  <si>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</si>
  <si>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</si>
  <si>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</si>
  <si>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</si>
  <si>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</si>
  <si>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</si>
  <si>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</si>
  <si>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</si>
  <si>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</si>
  <si>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</si>
  <si>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</si>
  <si>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</si>
  <si>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</si>
  <si>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</si>
  <si>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</si>
  <si>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</si>
  <si>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</si>
  <si>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</si>
  <si>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</si>
  <si>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</si>
  <si>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</si>
  <si>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</si>
  <si>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</si>
  <si>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</si>
  <si>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</si>
  <si>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</si>
  <si>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</si>
  <si>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</si>
  <si>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</si>
  <si>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</si>
  <si>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</si>
  <si>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</si>
  <si>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</si>
  <si>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</si>
  <si>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</si>
  <si>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</si>
  <si>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</si>
  <si>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</si>
  <si>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</si>
  <si>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</si>
  <si>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</si>
  <si>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</si>
  <si>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</si>
  <si>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</si>
  <si>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</si>
  <si>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</si>
  <si>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</si>
  <si>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</si>
  <si>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</si>
  <si>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</si>
  <si>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</si>
  <si>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</si>
  <si>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</si>
  <si>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</si>
  <si>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</si>
  <si>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</si>
  <si>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</si>
  <si>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</si>
  <si>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</si>
  <si>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</si>
  <si>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</si>
  <si>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</si>
  <si>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</si>
  <si>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</si>
  <si>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</si>
  <si>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</si>
  <si>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</si>
  <si>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</si>
  <si>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</si>
  <si>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</si>
  <si>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</si>
  <si>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</si>
  <si>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</si>
  <si>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</si>
  <si>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</si>
  <si>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</si>
  <si>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</si>
  <si>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</si>
  <si>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</si>
  <si>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</si>
  <si>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</si>
  <si>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</si>
  <si>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</si>
  <si>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</si>
  <si>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</si>
  <si>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</si>
  <si>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</si>
  <si>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</si>
  <si>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</si>
  <si>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</si>
  <si>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</si>
  <si>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</si>
  <si>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</si>
  <si>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</si>
  <si>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</si>
  <si>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</si>
  <si>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</si>
  <si>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</si>
  <si>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</si>
  <si>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</si>
  <si>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</si>
  <si>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</si>
  <si>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</si>
  <si>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</si>
  <si>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</si>
  <si>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</si>
  <si>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</si>
  <si>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</si>
  <si>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</si>
  <si>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</si>
  <si>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</si>
  <si>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</si>
  <si>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</si>
  <si>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</si>
  <si>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</si>
  <si>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</si>
  <si>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</si>
  <si>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</si>
  <si>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</si>
  <si>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</si>
  <si>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</si>
  <si>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</si>
  <si>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</si>
  <si>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</si>
  <si>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</si>
  <si>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</si>
  <si>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</si>
  <si>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</si>
  <si>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</si>
  <si>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</si>
  <si>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</si>
  <si>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</si>
  <si>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</si>
  <si>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</si>
  <si>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</si>
  <si>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</si>
  <si>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</si>
  <si>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</si>
  <si>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</si>
  <si>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</si>
  <si>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</si>
  <si>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</si>
  <si>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</si>
  <si>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</si>
  <si>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</si>
  <si>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</si>
  <si>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</si>
  <si>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</si>
  <si>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</si>
  <si>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</si>
  <si>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</si>
  <si>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</si>
  <si>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</si>
  <si>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</si>
  <si>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</si>
  <si>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</si>
  <si>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</si>
  <si>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</si>
  <si>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</si>
  <si>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</si>
  <si>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</si>
  <si>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</si>
  <si>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</si>
  <si>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</si>
  <si>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 xml:space="preserve">Umair Rehman </t>
  </si>
  <si>
    <t xml:space="preserve">Address: Youna Abad </t>
  </si>
  <si>
    <t>Umair</t>
  </si>
  <si>
    <t>Abu Hashim  Store</t>
  </si>
  <si>
    <t xml:space="preserve">Grace Land </t>
  </si>
  <si>
    <t>Haroon Dipers Store</t>
  </si>
  <si>
    <t>Khatija Kareyana Store</t>
  </si>
  <si>
    <t xml:space="preserve">Kekis Bakery </t>
  </si>
  <si>
    <t>Malik Ijaz Kareyana Store</t>
  </si>
  <si>
    <t xml:space="preserve">Tahir Mart </t>
  </si>
  <si>
    <t>Address:  Qanchi Bazar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</si>
</sst>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U2" sqref="U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 t="s">
        <v>518</v>
      </c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512</v>
      </c>
      <c r="F3" s="358"/>
      <c r="G3" s="358"/>
      <c r="H3" s="355">
        <f ca="1">TODAY()</f>
        <v>46254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>Abu Hashim  Store</v>
      </c>
      <c r="T3" s="301">
        <f>+'1'!P35</f>
        <v>3136.2115850847458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Grace Land </v>
      </c>
      <c r="T4" s="301">
        <f>+'2'!P35</f>
        <v>6272.4231701694916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511</v>
      </c>
      <c r="R5" s="314">
        <v>3</v>
      </c>
      <c r="S5" s="300" t="str">
        <f>+'3'!A6:A6</f>
        <v>Haroon Dipers Store</v>
      </c>
      <c r="T5" s="301">
        <f>+'3'!P35</f>
        <v>834.58895674576274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510</v>
      </c>
      <c r="R6" s="314">
        <v>4</v>
      </c>
      <c r="S6" s="300" t="str">
        <f>+'4'!A6:A6</f>
        <v>Khatija Kareyana Store</v>
      </c>
      <c r="T6" s="301">
        <f>+'4'!P35</f>
        <v>500.75337404745761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Kekis Bakery </v>
      </c>
      <c r="T7" s="301">
        <f>+'5'!P35</f>
        <v>3136.2115850847458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Malik Ijaz Kareyana Store</v>
      </c>
      <c r="T8" s="301">
        <f>+'6'!P35</f>
        <v>1669.1779134915255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Tahir Mart </v>
      </c>
      <c r="T9" s="301">
        <f>+'7'!P35</f>
        <v>5007.533740474576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100</v>
      </c>
      <c r="I10" s="236">
        <f t="shared" si="0"/>
        <v>7264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581.12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254.24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6428.64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1372.8813559322034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39.007606779661018</v>
      </c>
      <c r="P10" s="311">
        <f t="shared" si="2"/>
        <v>7840.5289627118646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60</v>
      </c>
      <c r="I12" s="236">
        <f t="shared" si="0"/>
        <v>4358.3999999999996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348.67200000000003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152.54400000000001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3857.1839999999997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823.72881355932213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23.404564067796613</v>
      </c>
      <c r="P12" s="311">
        <f t="shared" si="2"/>
        <v>4704.3173776271187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192</v>
      </c>
      <c r="I13" s="236">
        <f t="shared" si="0"/>
        <v>7532.1600000000008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376.60800000000006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263.62560000000008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384.14016000000004</v>
      </c>
      <c r="M13" s="230">
        <f t="shared" si="1"/>
        <v>6507.7862400000004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1464.4067796610161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39.860965098305087</v>
      </c>
      <c r="P13" s="311">
        <f t="shared" si="2"/>
        <v>8012.0539847593218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8.8000000000000007</v>
      </c>
      <c r="H16" s="113">
        <f t="shared" ref="H16:M16" si="3">SUM(H7:H15)</f>
        <v>352</v>
      </c>
      <c r="I16" s="114">
        <f t="shared" si="3"/>
        <v>19154.560000000001</v>
      </c>
      <c r="J16" s="274">
        <f>SUM(J7:J15)</f>
        <v>1306.4000000000001</v>
      </c>
      <c r="K16" s="275">
        <f t="shared" si="3"/>
        <v>670.40960000000007</v>
      </c>
      <c r="L16" s="276">
        <f t="shared" si="3"/>
        <v>384.14016000000004</v>
      </c>
      <c r="M16" s="232">
        <f t="shared" si="3"/>
        <v>16793.610240000002</v>
      </c>
      <c r="N16" s="233">
        <f>SUM(N7:N15)</f>
        <v>3661.0169491525417</v>
      </c>
      <c r="O16" s="101">
        <f>SUM(O7:O15)</f>
        <v>102.27313594576272</v>
      </c>
      <c r="P16" s="113">
        <f>SUM(P7:P15)</f>
        <v>20556.900325098304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19154.560000000001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1306.4000000000001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1054.5497600000001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16793.610239999998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3661.0169491525417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20454.627189152539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102.27313594576272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20556.900325098301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20556.900325098304</v>
      </c>
    </row>
    <row r="44" spans="2:20" x14ac:dyDescent="0.35">
      <c r="B44" t="s">
        <v>504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  <row r="49" spans="2:2" x14ac:dyDescent="0.35">
      <c r="B49" t="s">
        <v>513</v>
      </c>
    </row>
    <row r="50" spans="2:2" x14ac:dyDescent="0.35">
      <c r="B50" t="s">
        <v>515</v>
      </c>
    </row>
    <row r="51" spans="2:2" x14ac:dyDescent="0.35">
      <c r="B51" t="s">
        <v>514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G7" sqref="G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7.25" customHeight="1" x14ac:dyDescent="0.4">
      <c r="A6" s="396" t="s">
        <v>519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7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311">
        <f t="shared" si="5"/>
        <v>1568.1057925423729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7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311">
        <f t="shared" si="5"/>
        <v>1568.1057925423729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2905.6</v>
      </c>
      <c r="J25" s="274">
        <f>SUM(J16:J24)</f>
        <v>232.44800000000001</v>
      </c>
      <c r="K25" s="275">
        <f t="shared" si="10"/>
        <v>101.69600000000001</v>
      </c>
      <c r="L25" s="276">
        <f t="shared" si="10"/>
        <v>0</v>
      </c>
      <c r="M25" s="232">
        <f t="shared" si="10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2905.6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232.44800000000001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101.69600000000001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2571.4560000000001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3120.6085423728814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2" t="s">
        <v>88</v>
      </c>
      <c r="O35" s="343"/>
      <c r="P35" s="297">
        <f>+P33+P34</f>
        <v>3136.2115850847458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activeCell="G7" sqref="G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520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464.89600000000002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113">
        <f>SUM(P16:P24)</f>
        <v>6272.4231701694916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5811.2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464.89600000000002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203.39200000000002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5142.9120000000003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6241.2170847457628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42" t="s">
        <v>88</v>
      </c>
      <c r="O35" s="343"/>
      <c r="P35" s="297">
        <f>+P33+P34</f>
        <v>6272.4231701694916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6" workbookViewId="0">
      <selection activeCell="G7" sqref="G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8.75" customHeight="1" x14ac:dyDescent="0.4">
      <c r="A6" s="396" t="s">
        <v>521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311">
        <f t="shared" si="5"/>
        <v>834.58895674576274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20</v>
      </c>
      <c r="I25" s="114">
        <f t="shared" si="7"/>
        <v>784.60000000000014</v>
      </c>
      <c r="J25" s="274">
        <f>SUM(J16:J24)</f>
        <v>39.230000000000011</v>
      </c>
      <c r="K25" s="275">
        <f t="shared" si="7"/>
        <v>27.461000000000006</v>
      </c>
      <c r="L25" s="276">
        <f t="shared" si="7"/>
        <v>40.014600000000002</v>
      </c>
      <c r="M25" s="232">
        <f t="shared" si="7"/>
        <v>677.89440000000013</v>
      </c>
      <c r="N25" s="233">
        <f>SUM(N16:N24)</f>
        <v>152.54237288135585</v>
      </c>
      <c r="O25" s="101">
        <f>SUM(O16:O24)</f>
        <v>4.1521838644067799</v>
      </c>
      <c r="P25" s="113">
        <f>SUM(P16:P24)</f>
        <v>834.58895674576274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784.60000000000014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39.230000000000011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67.475600000000014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677.89440000000013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152.54237288135585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830.43677288135598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4.1521838644067799</v>
      </c>
    </row>
    <row r="35" spans="2:16" ht="15.75" customHeight="1" thickBot="1" x14ac:dyDescent="0.4">
      <c r="N35" s="342" t="s">
        <v>88</v>
      </c>
      <c r="O35" s="343"/>
      <c r="P35" s="297">
        <f>+P33+P34</f>
        <v>834.58895674576274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6" workbookViewId="0">
      <selection activeCell="G7" sqref="G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522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113">
        <f>SUM(P16:P24)</f>
        <v>500.75337404745761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470.76000000000005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23.538000000000004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40.485360000000007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406.73664000000002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498.26206372881353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42" t="s">
        <v>88</v>
      </c>
      <c r="O35" s="343"/>
      <c r="P35" s="297">
        <f>+P33+P34</f>
        <v>500.75337404745761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activeCell="G7" sqref="G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523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2905.6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232.44800000000001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101.69600000000001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2571.4560000000001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3120.6085423728814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2" t="s">
        <v>88</v>
      </c>
      <c r="O35" s="343"/>
      <c r="P35" s="297">
        <f>+P33+P34</f>
        <v>3136.2115850847458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6" workbookViewId="0">
      <selection activeCell="G7" sqref="G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524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1569.2000000000003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78.460000000000022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134.95120000000003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1355.7888000000003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1660.873545762712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42" t="s">
        <v>88</v>
      </c>
      <c r="O35" s="343"/>
      <c r="P35" s="297">
        <f>+P33+P34</f>
        <v>1669.1779134915255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6" workbookViewId="0">
      <selection activeCell="G7" sqref="G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525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526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120</v>
      </c>
      <c r="I22" s="236">
        <f t="shared" si="0"/>
        <v>4707.6000000000004</v>
      </c>
      <c r="J22" s="272">
        <f t="shared" si="1"/>
        <v>235.38000000000002</v>
      </c>
      <c r="K22" s="128">
        <f t="shared" si="1"/>
        <v>164.76600000000002</v>
      </c>
      <c r="L22" s="119">
        <f t="shared" si="1"/>
        <v>240.08760000000001</v>
      </c>
      <c r="M22" s="230">
        <f t="shared" si="2"/>
        <v>4067.3664000000003</v>
      </c>
      <c r="N22" s="277">
        <f t="shared" si="3"/>
        <v>915.25423728813507</v>
      </c>
      <c r="O22" s="239">
        <f t="shared" si="4"/>
        <v>24.913103186440676</v>
      </c>
      <c r="P22" s="311">
        <f t="shared" si="5"/>
        <v>5007.533740474576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120</v>
      </c>
      <c r="I25" s="114">
        <f t="shared" si="7"/>
        <v>4707.6000000000004</v>
      </c>
      <c r="J25" s="274">
        <f>SUM(J16:J24)</f>
        <v>235.38000000000002</v>
      </c>
      <c r="K25" s="275">
        <f t="shared" si="7"/>
        <v>164.76600000000002</v>
      </c>
      <c r="L25" s="276">
        <f t="shared" si="7"/>
        <v>240.08760000000001</v>
      </c>
      <c r="M25" s="232">
        <f t="shared" si="7"/>
        <v>4067.3664000000003</v>
      </c>
      <c r="N25" s="233">
        <f>SUM(N16:N24)</f>
        <v>915.25423728813507</v>
      </c>
      <c r="O25" s="101">
        <f>SUM(O16:O24)</f>
        <v>24.913103186440676</v>
      </c>
      <c r="P25" s="113">
        <f>SUM(P16:P24)</f>
        <v>5007.533740474576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4707.6000000000004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235.38000000000002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404.85360000000003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4067.3664000000003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915.25423728813507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4982.6206372881352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24.913103186440676</v>
      </c>
    </row>
    <row r="35" spans="2:16" ht="15.75" customHeight="1" thickBot="1" x14ac:dyDescent="0.4">
      <c r="N35" s="342" t="s">
        <v>88</v>
      </c>
      <c r="O35" s="343"/>
      <c r="P35" s="297">
        <f>+P33+P34</f>
        <v>5007.533740474576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500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501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8.75" customHeight="1" x14ac:dyDescent="0.4">
      <c r="A6" s="396" t="s">
        <v>502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46255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46254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2026-08-20T04:37:05Z</dcterms:modified>
</cp:coreProperties>
</file>