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562ABF7-FF16-42AB-90E0-1E00C07FB25C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M23" i="56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M16" i="58"/>
  <c r="M16" i="59"/>
  <c r="M23" i="72"/>
  <c r="O23" i="72" s="1"/>
  <c r="P23" i="72" s="1"/>
  <c r="M23" i="64"/>
  <c r="M23" i="59"/>
  <c r="M23" i="44"/>
  <c r="O23" i="44" s="1"/>
  <c r="P23" i="44" s="1"/>
  <c r="M16" i="66"/>
  <c r="M16" i="44"/>
  <c r="M20" i="70"/>
  <c r="O20" i="70" s="1"/>
  <c r="P20" i="70" s="1"/>
  <c r="R20" i="70" s="1"/>
  <c r="M23" i="65"/>
  <c r="M21" i="5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21" i="44"/>
  <c r="O21" i="44" s="1"/>
  <c r="P21" i="44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 s="1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O25" i="52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<sst xmlns="http://schemas.openxmlformats.org/spreadsheetml/2006/main" count="3948" uniqueCount="550">
  <si>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</si>
  <si>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</si>
  <si>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</si>
  <si>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</si>
  <si>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</si>
  <si>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</si>
  <si>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</si>
  <si>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</si>
  <si>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</si>
  <si>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</si>
  <si>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</si>
  <si>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</si>
  <si>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</si>
  <si>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</si>
  <si>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</si>
  <si>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</si>
  <si>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</si>
  <si>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</si>
  <si>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</si>
  <si>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</si>
  <si>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</si>
  <si>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</si>
  <si>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</si>
  <si>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</si>
  <si>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</si>
  <si>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</si>
  <si>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</si>
  <si>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</si>
  <si>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</si>
  <si>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</si>
  <si>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</si>
  <si>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</si>
  <si>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</si>
  <si>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</si>
  <si>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</si>
  <si>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</si>
  <si>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</si>
  <si>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</si>
  <si>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</si>
  <si>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</si>
  <si>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</si>
  <si>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</si>
  <si>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</si>
  <si>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</si>
  <si>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</si>
  <si>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</si>
  <si>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</si>
  <si>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</si>
  <si>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</si>
  <si>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</si>
  <si>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</si>
  <si>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</si>
  <si>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</si>
  <si>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</si>
  <si>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</si>
  <si>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</si>
  <si>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</si>
  <si>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</si>
  <si>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</si>
  <si>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</si>
  <si>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</si>
  <si>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</si>
  <si>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</si>
  <si>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</si>
  <si>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</si>
  <si>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</si>
  <si>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</si>
  <si>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</si>
  <si>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</si>
  <si>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</si>
  <si>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</si>
  <si>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</si>
  <si>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</si>
  <si>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</si>
  <si>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</si>
  <si>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</si>
  <si>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</si>
  <si>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</si>
  <si>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</si>
  <si>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</si>
  <si>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</si>
  <si>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</si>
  <si>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</si>
  <si>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</si>
  <si>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</si>
  <si>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</si>
  <si>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</si>
  <si>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</si>
  <si>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</si>
  <si>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</si>
  <si>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</si>
  <si>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</si>
  <si>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</si>
  <si>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</si>
  <si>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</si>
  <si>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</si>
  <si>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</si>
  <si>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</si>
  <si>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</si>
  <si>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</si>
  <si>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</si>
  <si>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</si>
  <si>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</si>
  <si>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</si>
  <si>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</si>
  <si>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</si>
  <si>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</si>
  <si>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</si>
  <si>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</si>
  <si>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</si>
  <si>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</si>
  <si>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</si>
  <si>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</si>
  <si>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</si>
  <si>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</si>
  <si>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</si>
  <si>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</si>
  <si>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</si>
  <si>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</si>
  <si>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</si>
  <si>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</si>
  <si>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</si>
  <si>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</si>
  <si>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</si>
  <si>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</si>
  <si>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</si>
  <si>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</si>
  <si>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</si>
  <si>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</si>
  <si>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</si>
  <si>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</si>
  <si>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</si>
  <si>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</si>
  <si>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</si>
  <si>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</si>
  <si>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</si>
  <si>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</si>
  <si>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</si>
  <si>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</si>
  <si>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</si>
  <si>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</si>
  <si>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</si>
  <si>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</si>
  <si>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</si>
  <si>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</si>
  <si>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</si>
  <si>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</si>
  <si>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</si>
  <si>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</si>
  <si>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</si>
  <si>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</si>
  <si>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</si>
  <si>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</si>
  <si>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</si>
  <si>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</si>
  <si>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</si>
  <si>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</si>
  <si>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</si>
  <si>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</si>
  <si>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</si>
  <si>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</si>
  <si>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</si>
  <si>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</si>
  <si>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</si>
  <si>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</si>
  <si>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</si>
  <si>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</si>
  <si>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</si>
  <si>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</si>
  <si>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</si>
  <si>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</si>
  <si>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</si>
  <si>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</si>
  <si>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</si>
  <si>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</si>
  <si>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</si>
  <si>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</si>
  <si>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</si>
  <si>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</si>
  <si>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</si>
  <si>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</si>
  <si>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</si>
  <si>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</si>
  <si>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</si>
  <si>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</si>
  <si>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</si>
  <si>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</si>
  <si>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</si>
  <si>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</si>
  <si>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</si>
  <si>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</si>
  <si>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</si>
  <si>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</si>
  <si>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</si>
  <si>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</si>
  <si>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</si>
  <si>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</si>
  <si>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</si>
  <si>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</si>
  <si>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</si>
  <si>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</si>
  <si>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</si>
  <si>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</si>
  <si>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</si>
  <si>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</si>
  <si>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</si>
  <si>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</si>
  <si>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</si>
  <si>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</si>
  <si>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</si>
  <si>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</si>
  <si>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</si>
  <si>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</si>
  <si>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</si>
  <si>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</si>
  <si>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</si>
  <si>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</si>
  <si>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</si>
  <si>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</si>
  <si>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</si>
  <si>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</si>
  <si>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</si>
  <si>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</si>
  <si>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</si>
  <si>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</si>
  <si>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</si>
  <si>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</si>
  <si>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</si>
  <si>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</si>
  <si>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</si>
  <si>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</si>
  <si>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</si>
  <si>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</si>
  <si>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</si>
  <si>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</si>
  <si>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</si>
  <si>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</si>
  <si>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</si>
  <si>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</si>
  <si>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</si>
  <si>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</si>
  <si>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</si>
  <si>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</si>
  <si>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</si>
  <si>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</si>
  <si>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</si>
  <si>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</si>
  <si>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</si>
  <si>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</si>
  <si>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</si>
  <si>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</si>
  <si>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</si>
  <si>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</si>
  <si>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</si>
  <si>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</si>
  <si>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</si>
  <si>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</si>
  <si>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</si>
  <si>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</si>
  <si>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</si>
  <si>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</si>
  <si>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</si>
  <si>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</si>
  <si>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</si>
  <si>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</si>
  <si>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</si>
  <si>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</si>
  <si>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</si>
  <si>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</si>
  <si>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</si>
  <si>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</si>
  <si>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</si>
  <si>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</si>
  <si>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</si>
  <si>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</si>
  <si>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</si>
  <si>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</si>
  <si>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</si>
  <si>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</si>
  <si>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</si>
  <si>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</si>
  <si>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</si>
  <si>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</si>
  <si>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</si>
  <si>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</si>
  <si>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</si>
  <si>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</si>
  <si>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</si>
  <si>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</si>
  <si>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</si>
  <si>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</si>
  <si>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</si>
  <si>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</si>
  <si>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</si>
  <si>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</si>
  <si>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</si>
  <si>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</si>
  <si>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</si>
  <si>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</si>
  <si>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</si>
  <si>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</si>
  <si>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</si>
  <si>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</si>
  <si>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</si>
  <si>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</si>
  <si>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</si>
  <si>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</si>
  <si>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</si>
  <si>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</si>
  <si>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</si>
  <si>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</si>
  <si>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</si>
  <si>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</si>
  <si>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</si>
  <si>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</si>
  <si>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</si>
  <si>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</si>
  <si>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</si>
  <si>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</si>
  <si>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</si>
  <si>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</si>
  <si>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</si>
  <si>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</si>
  <si>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</si>
  <si>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</si>
  <si>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</si>
  <si>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</si>
  <si>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</si>
  <si>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</si>
  <si>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</si>
  <si>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</si>
  <si>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</si>
  <si>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</si>
  <si>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</si>
  <si>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</si>
  <si>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</si>
  <si>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</si>
  <si>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</si>
  <si>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</si>
  <si>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</si>
  <si>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</si>
  <si>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</si>
  <si>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</si>
  <si>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</si>
  <si>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</si>
  <si>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</si>
  <si>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</si>
  <si>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</si>
  <si>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</si>
  <si>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</si>
  <si>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</si>
  <si>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</si>
  <si>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</si>
  <si>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</si>
  <si>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</si>
  <si>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</si>
  <si>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</si>
  <si>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</si>
  <si>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</si>
  <si>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</si>
  <si>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</si>
  <si>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</si>
  <si>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</si>
  <si>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</si>
  <si>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</si>
  <si>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</si>
  <si>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</si>
  <si>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</si>
  <si>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</si>
  <si>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</si>
  <si>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</si>
  <si>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</si>
  <si>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</si>
  <si>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</si>
  <si>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</si>
  <si>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</si>
  <si>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</si>
  <si>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</si>
  <si>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</si>
  <si>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</si>
  <si>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</si>
  <si>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</si>
  <si>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</si>
  <si>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</si>
  <si>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</si>
  <si>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</si>
  <si>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</si>
  <si>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</si>
  <si>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</si>
  <si>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</si>
  <si>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</si>
  <si>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</si>
  <si>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</si>
  <si>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</si>
  <si>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</si>
  <si>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</si>
  <si>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</si>
  <si>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</si>
  <si>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</si>
  <si>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</si>
  <si>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</si>
  <si>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</si>
  <si>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</si>
  <si>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</si>
  <si>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</si>
  <si>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</si>
  <si>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</si>
  <si>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</si>
  <si>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</si>
  <si>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</si>
  <si>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</si>
  <si>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</si>
  <si>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</si>
  <si>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</si>
  <si>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</si>
  <si>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</si>
  <si>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</si>
  <si>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</si>
  <si>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</si>
  <si>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</si>
  <si>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</si>
  <si>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</si>
  <si>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</si>
  <si>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</si>
  <si>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</si>
  <si>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</si>
  <si>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</si>
  <si>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</si>
  <si>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</si>
  <si>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</si>
  <si>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</si>
  <si>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</si>
  <si>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</si>
  <si>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</si>
  <si>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</si>
  <si>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</si>
  <si>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</si>
  <si>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</si>
  <si>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</si>
  <si>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</si>
  <si>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</si>
  <si>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</si>
  <si>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</si>
  <si>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</si>
  <si>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</si>
  <si>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</si>
  <si>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</si>
  <si>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</si>
  <si>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</si>
  <si>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</si>
  <si>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</si>
  <si>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</si>
  <si>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</si>
  <si>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</si>
  <si>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</si>
  <si>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</si>
  <si>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</si>
  <si>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</si>
  <si>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</si>
  <si>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</si>
  <si>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</si>
  <si>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</si>
  <si>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</si>
  <si>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</si>
  <si>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</si>
  <si>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</si>
  <si>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</si>
  <si>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</si>
  <si>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</si>
  <si>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</si>
  <si>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</si>
  <si>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</si>
  <si>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</si>
  <si>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</si>
  <si>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</si>
  <si>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</si>
  <si>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</si>
  <si>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</si>
  <si>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</si>
  <si>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</si>
  <si>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</si>
  <si>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</si>
  <si>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</si>
  <si>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</si>
  <si>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</si>
  <si>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</si>
  <si>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</si>
  <si>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</si>
  <si>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</si>
  <si>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</si>
  <si>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</si>
  <si>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</si>
  <si>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</si>
  <si>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</si>
  <si>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</si>
  <si>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</si>
  <si>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</si>
  <si>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</si>
  <si>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</si>
  <si>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</si>
  <si>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</si>
  <si>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</si>
  <si>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</si>
  <si>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</si>
  <si>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</si>
  <si>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</si>
  <si>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</si>
  <si>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</si>
  <si>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</si>
  <si>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</si>
  <si>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</si>
  <si>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</si>
  <si>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</si>
  <si>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</si>
  <si>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</si>
  <si>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</si>
  <si>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Gourmet Food Rehman Pura</t>
  </si>
  <si>
    <t>Address: Rehman Pura</t>
  </si>
  <si>
    <t>Gourmet Food Ghalib Market</t>
  </si>
  <si>
    <t>Address: Ghalib Market</t>
  </si>
  <si>
    <t xml:space="preserve">Gourmet Food Shama </t>
  </si>
  <si>
    <t xml:space="preserve">Address: Shahma </t>
  </si>
  <si>
    <t xml:space="preserve">Address: Muslim Town Ayubia </t>
  </si>
  <si>
    <t xml:space="preserve">Gourmet Food Muslim Town Ayubia </t>
  </si>
  <si>
    <t xml:space="preserve">Gourmet Food Walton </t>
  </si>
  <si>
    <t xml:space="preserve">Address: Walton </t>
  </si>
  <si>
    <t>Gourmet Food Barkat Market</t>
  </si>
  <si>
    <t>Address: Barker Market</t>
  </si>
  <si>
    <t xml:space="preserve">Gourmet Food Firdos Market </t>
  </si>
  <si>
    <t>Address:Firdos Market</t>
  </si>
  <si>
    <t xml:space="preserve">Gourmet Food Umer Chowk </t>
  </si>
  <si>
    <t xml:space="preserve">Address: Umer Chowk </t>
  </si>
  <si>
    <t>Gourmet Food Choung</t>
  </si>
  <si>
    <t>Address: Choung</t>
  </si>
  <si>
    <t xml:space="preserve">Address:  Johar Town </t>
  </si>
  <si>
    <t>Gourmet Food Link Road</t>
  </si>
  <si>
    <t>Address: Link Road</t>
  </si>
  <si>
    <t>Gourmet Food Riwind Road</t>
  </si>
  <si>
    <t>Address: Riwind Road</t>
  </si>
  <si>
    <t>Gourmet Food Moterway</t>
  </si>
  <si>
    <t>Address: Moterway</t>
  </si>
  <si>
    <t>Address: Militry Account</t>
  </si>
  <si>
    <t>Gourmet Food Militry Account</t>
  </si>
  <si>
    <t>Gourmet Food Iqbal Town</t>
  </si>
  <si>
    <t xml:space="preserve">Address: Iqbal Town Cream Block </t>
  </si>
  <si>
    <t>Gourmet Food Wahdat Road</t>
  </si>
  <si>
    <t>Address: Wahdat Road</t>
  </si>
  <si>
    <t>Gourmet Food Nadeem Shaheed</t>
  </si>
  <si>
    <t>Address: Nadeem Shaheed</t>
  </si>
  <si>
    <t>Invoice No # :10012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</si>
</sst>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AE57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7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/>
    </xf>
    <xf numFmtId="0" fontId="35" fillId="6" borderId="1" xfId="0" applyFont="1" applyFill="1" applyBorder="1" applyAlignment="1">
      <alignment horizontal="center"/>
    </xf>
    <xf numFmtId="0" fontId="35" fillId="7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0" workbookViewId="0">
      <selection activeCell="I18" sqref="I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499</v>
      </c>
      <c r="F2" s="358"/>
      <c r="G2" s="358"/>
      <c r="H2" s="355" t="s">
        <v>515</v>
      </c>
      <c r="I2" s="355"/>
      <c r="J2" s="356"/>
      <c r="R2" s="352" t="s">
        <v>498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510</v>
      </c>
      <c r="F3" s="362"/>
      <c r="G3" s="362"/>
      <c r="H3" s="359">
        <f ca="1">TODAY()</f>
        <v>46268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21" t="str">
        <f>+'1'!A6:A6</f>
        <v>Gourmet Food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416" t="str">
        <f>+'2'!A6:A6</f>
        <v>Gourmet Food Rehman Pura</v>
      </c>
      <c r="T4" s="301">
        <f>+'2'!P35</f>
        <v>4898.3511179237294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5" t="s">
        <v>509</v>
      </c>
      <c r="R5" s="314">
        <v>3</v>
      </c>
      <c r="S5" s="416" t="str">
        <f>+'3'!A6:A6</f>
        <v>Gourmet Food Ghalib Market</v>
      </c>
      <c r="T5" s="301">
        <f>+'3'!P35</f>
        <v>4898.3511179237294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5" t="s">
        <v>508</v>
      </c>
      <c r="R6" s="314">
        <v>4</v>
      </c>
      <c r="S6" s="416" t="str">
        <f>+'4'!A6:A6</f>
        <v xml:space="preserve">Gourmet Food Shama </v>
      </c>
      <c r="T6" s="301">
        <f>+'4'!P35</f>
        <v>4898.3511179237294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1133.1899999999998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4941.9675000000007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30.658990042372878</v>
      </c>
      <c r="P7" s="310">
        <f>M7+N7+O7</f>
        <v>6162.4569985169492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80</v>
      </c>
      <c r="R7" s="314">
        <v>5</v>
      </c>
      <c r="S7" s="416" t="str">
        <f>+'5'!A6:A6</f>
        <v xml:space="preserve">Gourmet Food Muslim Town Ayubia </v>
      </c>
      <c r="T7" s="301">
        <f>+'5'!P35</f>
        <v>2054.1523328389831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377.72999999999996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1647.3225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10.219663347457626</v>
      </c>
      <c r="P8" s="311">
        <f t="shared" ref="P8:P15" si="2">M8+N8+O8</f>
        <v>2054.1523328389831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160</v>
      </c>
      <c r="R8" s="314">
        <v>6</v>
      </c>
      <c r="S8" s="320" t="str">
        <f>+'6'!A6:A6</f>
        <v xml:space="preserve">Gourmet Food Walton </v>
      </c>
      <c r="T8" s="301">
        <f>+'6'!P35</f>
        <v>2054.1523328389831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520</v>
      </c>
      <c r="I9" s="236">
        <f t="shared" si="0"/>
        <v>27280.5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4910.4899999999989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954.8175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21415.192500000001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5155.932203389827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132.85562351694915</v>
      </c>
      <c r="P9" s="311">
        <f t="shared" si="2"/>
        <v>26703.980326906778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120</v>
      </c>
      <c r="R9" s="314">
        <v>7</v>
      </c>
      <c r="S9" s="416" t="str">
        <f>+'7'!A6:A6</f>
        <v>Gourmet Food Barkat Market</v>
      </c>
      <c r="T9" s="301">
        <f>+'7'!P35</f>
        <v>5688.3975701694917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279</v>
      </c>
      <c r="I10" s="236">
        <f t="shared" si="0"/>
        <v>20266.560000000001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3647.9807999999994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709.32960000000014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15909.249600000003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3830.3389830508472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98.697942915254231</v>
      </c>
      <c r="P10" s="311">
        <f t="shared" si="2"/>
        <v>19838.286525966101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121</v>
      </c>
      <c r="R10" s="314">
        <v>8</v>
      </c>
      <c r="S10" s="416" t="str">
        <f>+'8'!A6:A6</f>
        <v xml:space="preserve">Gourmet Food Firdos Market </v>
      </c>
      <c r="T10" s="301">
        <f>+'8'!P35</f>
        <v>9725.5972662203385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1569.0239999999997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6842.6880000000001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42.450728135593216</v>
      </c>
      <c r="P11" s="311">
        <f t="shared" si="2"/>
        <v>8532.5963552542362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60</v>
      </c>
      <c r="R11" s="314">
        <v>9</v>
      </c>
      <c r="S11" s="319" t="str">
        <f>+'9'!A6:A6</f>
        <v xml:space="preserve">Gourmet Food Umer Chowk </v>
      </c>
      <c r="T11" s="301">
        <f>+'9'!P35</f>
        <v>11850.854568686438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240</v>
      </c>
      <c r="I12" s="236">
        <f t="shared" si="0"/>
        <v>17433.599999999999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3138.0479999999993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610.17600000000004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13685.376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3294.9152542372885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84.901456271186419</v>
      </c>
      <c r="P12" s="311">
        <f t="shared" si="2"/>
        <v>17065.192710508472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140</v>
      </c>
      <c r="R12" s="314">
        <v>10</v>
      </c>
      <c r="S12" s="319" t="str">
        <f>+'10'!A6:A6</f>
        <v>Gourmet Food Link Road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19" t="str">
        <f>+'11'!A6:A6</f>
        <v>Gourmet Food Riwind Road</v>
      </c>
      <c r="T13" s="301">
        <f>+'11'!P35</f>
        <v>2844.1987850847459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19" t="str">
        <f>+'12'!A6:A6</f>
        <v>Gourmet Food Choung</v>
      </c>
      <c r="T14" s="301">
        <f>+'12'!P35</f>
        <v>7742.5499030084757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19" t="str">
        <f>+'13'!A6:A6</f>
        <v>Gourmet Food Moterway</v>
      </c>
      <c r="T15" s="301">
        <f>+'13'!P35</f>
        <v>6952.5034507627115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32.975000000000001</v>
      </c>
      <c r="H16" s="113">
        <f t="shared" ref="H16:M16" si="3">SUM(H7:H15)</f>
        <v>1319</v>
      </c>
      <c r="I16" s="114">
        <f t="shared" si="3"/>
        <v>82091.459999999992</v>
      </c>
      <c r="J16" s="274">
        <f>SUM(J7:J15)</f>
        <v>14776.462799999996</v>
      </c>
      <c r="K16" s="275">
        <f t="shared" si="3"/>
        <v>2873.2011000000002</v>
      </c>
      <c r="L16" s="276">
        <f t="shared" si="3"/>
        <v>0</v>
      </c>
      <c r="M16" s="232">
        <f t="shared" si="3"/>
        <v>64441.796100000007</v>
      </c>
      <c r="N16" s="233">
        <f>SUM(N7:N15)</f>
        <v>15515.084745762708</v>
      </c>
      <c r="O16" s="101">
        <f>SUM(O7:O15)</f>
        <v>399.78440422881351</v>
      </c>
      <c r="P16" s="113">
        <f>SUM(P7:P15)</f>
        <v>80356.665249991522</v>
      </c>
      <c r="Q16" s="128">
        <f>SUM(Q7:Q15)</f>
        <v>681</v>
      </c>
      <c r="R16" s="314">
        <v>14</v>
      </c>
      <c r="S16" s="319" t="str">
        <f>+'14'!A6:A6</f>
        <v>Gourmet Food Militry Account</v>
      </c>
      <c r="T16" s="301">
        <f>+'14'!P35</f>
        <v>7742.5499030084757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416" t="str">
        <f>+'15'!A6:A6</f>
        <v>Gourmet Food Iqbal Town</v>
      </c>
      <c r="T17" s="301">
        <f>+'15'!P35</f>
        <v>2054.1523328389831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416" t="str">
        <f>+'16'!A6:A6</f>
        <v>Gourmet Food Wahdat Road</v>
      </c>
      <c r="T18" s="301">
        <f>+'16'!P35</f>
        <v>3476.2517253813558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82091.459999999992</v>
      </c>
      <c r="R19" s="299">
        <v>17</v>
      </c>
      <c r="S19" s="319" t="str">
        <f>+'17'!A6:A6</f>
        <v>Gourmet Food Nadeem Shaheed</v>
      </c>
      <c r="T19" s="301">
        <f>+'17'!P35</f>
        <v>3476.2517253813558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14776.462799999996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2873.2011000000002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64441.7961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15515.084745762708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79956.880845762702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399.78440422881351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80356.665249991522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80356.665249991536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  <row r="49" spans="2:2" x14ac:dyDescent="0.35">
      <c r="B49" t="s">
        <v>511</v>
      </c>
    </row>
    <row r="50" spans="2:2" x14ac:dyDescent="0.35">
      <c r="B50" t="s">
        <v>512</v>
      </c>
    </row>
    <row r="51" spans="2:2" x14ac:dyDescent="0.35">
      <c r="B51" t="s">
        <v>513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I11" sqref="I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534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40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40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20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3928.2184999999999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5004.1000000000004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900.73799999999983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175.14350000000002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3928.2185000000009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4873.9812118644077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46" t="s">
        <v>88</v>
      </c>
      <c r="O35" s="347"/>
      <c r="P35" s="297">
        <f>+P33+P34</f>
        <v>4898.3511179237294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519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3928.2184999999999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5004.1000000000004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900.73799999999983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175.14350000000002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3928.2185000000009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4873.9812118644077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46" t="s">
        <v>88</v>
      </c>
      <c r="O35" s="347"/>
      <c r="P35" s="297">
        <f>+P33+P34</f>
        <v>4898.3511179237294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521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3928.2184999999995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5004.1000000000004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900.73799999999983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175.14350000000002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3928.2185000000009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4873.9812118644077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46" t="s">
        <v>88</v>
      </c>
      <c r="O35" s="347"/>
      <c r="P35" s="297">
        <f>+P33+P34</f>
        <v>4898.3511179237294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522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40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2098.5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377.72999999999996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73.447500000000005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1647.3225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2043.9326694915253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6" t="s">
        <v>88</v>
      </c>
      <c r="O35" s="347"/>
      <c r="P35" s="297">
        <f>+P33+P34</f>
        <v>2054.1523328389831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525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40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20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2098.5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377.72999999999996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73.447500000000005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1647.3225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2043.9326694915253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6" t="s">
        <v>88</v>
      </c>
      <c r="O35" s="347"/>
      <c r="P35" s="297">
        <f>+P33+P34</f>
        <v>2054.1523328389831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10" workbookViewId="0">
      <selection activeCell="I11" sqref="I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527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40</v>
      </c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40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203.39200000000002</v>
      </c>
      <c r="L25" s="276">
        <f t="shared" si="7"/>
        <v>0</v>
      </c>
      <c r="M25" s="232">
        <f t="shared" si="7"/>
        <v>4561.7919999999995</v>
      </c>
      <c r="N25" s="233">
        <f>SUM(N16:N24)</f>
        <v>1098.3050847457628</v>
      </c>
      <c r="O25" s="101">
        <f>SUM(O16:O24)</f>
        <v>28.300485423728812</v>
      </c>
      <c r="P25" s="113">
        <f>SUM(P16:P24)</f>
        <v>5688.3975701694908</v>
      </c>
      <c r="Q25" s="128">
        <f>SUM(Q16:Q24)</f>
        <v>120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5811.2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1046.0159999999998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203.39200000000002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4561.7920000000004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5660.0970847457629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28.300485423728816</v>
      </c>
    </row>
    <row r="35" spans="2:16" ht="15.75" customHeight="1" thickBot="1" x14ac:dyDescent="0.4">
      <c r="N35" s="346" t="s">
        <v>88</v>
      </c>
      <c r="O35" s="347"/>
      <c r="P35" s="297">
        <f>+P33+P34</f>
        <v>5688.3975701694917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2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529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39</v>
      </c>
      <c r="I19" s="236">
        <f t="shared" si="0"/>
        <v>2832.96</v>
      </c>
      <c r="J19" s="272">
        <f t="shared" si="1"/>
        <v>509.93279999999999</v>
      </c>
      <c r="K19" s="128">
        <f t="shared" si="1"/>
        <v>99.153600000000012</v>
      </c>
      <c r="L19" s="119">
        <f t="shared" si="1"/>
        <v>0</v>
      </c>
      <c r="M19" s="230">
        <f t="shared" si="2"/>
        <v>2223.8735999999999</v>
      </c>
      <c r="N19" s="277">
        <f t="shared" si="3"/>
        <v>535.42372881355936</v>
      </c>
      <c r="O19" s="239">
        <f t="shared" si="4"/>
        <v>13.796486644067796</v>
      </c>
      <c r="P19" s="311">
        <f t="shared" si="5"/>
        <v>2773.093815457627</v>
      </c>
      <c r="Q19" s="156">
        <v>1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159</v>
      </c>
      <c r="I25" s="114">
        <f t="shared" si="7"/>
        <v>9935.56</v>
      </c>
      <c r="J25" s="274">
        <f>SUM(J16:J24)</f>
        <v>1788.4007999999997</v>
      </c>
      <c r="K25" s="275">
        <f t="shared" si="7"/>
        <v>347.74460000000005</v>
      </c>
      <c r="L25" s="276">
        <f t="shared" si="7"/>
        <v>0</v>
      </c>
      <c r="M25" s="232">
        <f t="shared" si="7"/>
        <v>7799.4146000000001</v>
      </c>
      <c r="N25" s="233">
        <f>SUM(N16:N24)</f>
        <v>1877.796610169491</v>
      </c>
      <c r="O25" s="101">
        <f>SUM(O16:O24)</f>
        <v>48.386056050847458</v>
      </c>
      <c r="P25" s="113">
        <f>SUM(P16:P24)</f>
        <v>9725.5972662203385</v>
      </c>
      <c r="Q25" s="128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9935.56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1788.4007999999997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347.74460000000005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7799.4146000000001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1877.796610169491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9677.2112101694911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48.386056050847458</v>
      </c>
    </row>
    <row r="35" spans="2:16" ht="15.75" customHeight="1" thickBot="1" x14ac:dyDescent="0.4">
      <c r="N35" s="346" t="s">
        <v>88</v>
      </c>
      <c r="O35" s="347"/>
      <c r="P35" s="297">
        <f>+P33+P34</f>
        <v>9725.5972662203385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531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200</v>
      </c>
      <c r="I25" s="114">
        <f t="shared" si="7"/>
        <v>12106.699999999999</v>
      </c>
      <c r="J25" s="274">
        <f>SUM(J16:J24)</f>
        <v>2179.2059999999997</v>
      </c>
      <c r="K25" s="275">
        <f t="shared" si="7"/>
        <v>423.73450000000008</v>
      </c>
      <c r="L25" s="276">
        <f t="shared" si="7"/>
        <v>0</v>
      </c>
      <c r="M25" s="232">
        <f t="shared" si="7"/>
        <v>9503.7595000000001</v>
      </c>
      <c r="N25" s="233">
        <f>SUM(N16:N24)</f>
        <v>2288.1355932203383</v>
      </c>
      <c r="O25" s="101">
        <f>SUM(O16:O24)</f>
        <v>58.959475466101694</v>
      </c>
      <c r="P25" s="113">
        <f>SUM(P16:P24)</f>
        <v>11850.854568686438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12106.699999999999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2179.2059999999997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423.73450000000008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9503.7594999999983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11791.895093220337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58.959475466101686</v>
      </c>
    </row>
    <row r="35" spans="2:16" ht="15.75" customHeight="1" thickBot="1" x14ac:dyDescent="0.4">
      <c r="N35" s="346" t="s">
        <v>88</v>
      </c>
      <c r="O35" s="347"/>
      <c r="P35" s="297">
        <f>+P33+P34</f>
        <v>11850.854568686438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8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536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40</v>
      </c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40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40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20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activeCell="B19" sqref="A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537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538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523.00799999999992</v>
      </c>
      <c r="K25" s="275">
        <f t="shared" si="7"/>
        <v>101.69600000000001</v>
      </c>
      <c r="L25" s="276">
        <f t="shared" si="7"/>
        <v>0</v>
      </c>
      <c r="M25" s="232">
        <f t="shared" si="7"/>
        <v>2280.8959999999997</v>
      </c>
      <c r="N25" s="233">
        <f>SUM(N16:N24)</f>
        <v>549.15254237288138</v>
      </c>
      <c r="O25" s="101">
        <f>SUM(O16:O24)</f>
        <v>14.150242711864406</v>
      </c>
      <c r="P25" s="113">
        <f>SUM(P16:P24)</f>
        <v>2844.1987850847454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2905.6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523.00799999999992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101.69600000000001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2280.8960000000002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2830.0485423728815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14.150242711864408</v>
      </c>
    </row>
    <row r="35" spans="2:16" ht="15.75" customHeight="1" thickBot="1" x14ac:dyDescent="0.4">
      <c r="N35" s="346" t="s">
        <v>88</v>
      </c>
      <c r="O35" s="347"/>
      <c r="P35" s="297">
        <f>+P33+P34</f>
        <v>2844.1987850847459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533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276.83950000000004</v>
      </c>
      <c r="L25" s="276">
        <f t="shared" si="7"/>
        <v>0</v>
      </c>
      <c r="M25" s="232">
        <f t="shared" si="7"/>
        <v>6209.1144999999997</v>
      </c>
      <c r="N25" s="233">
        <f>SUM(N16:N24)</f>
        <v>1494.9152542372879</v>
      </c>
      <c r="O25" s="101">
        <f>SUM(O16:O24)</f>
        <v>38.520148771186442</v>
      </c>
      <c r="P25" s="113">
        <f>SUM(P16:P24)</f>
        <v>7742.5499030084738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7909.7000000000007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1423.7459999999996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276.83950000000004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6209.1145000000015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1494.9152542372879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7704.0297542372891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38.520148771186449</v>
      </c>
    </row>
    <row r="35" spans="2:16" ht="15.75" customHeight="1" thickBot="1" x14ac:dyDescent="0.4">
      <c r="N35" s="346" t="s">
        <v>88</v>
      </c>
      <c r="O35" s="347"/>
      <c r="P35" s="297">
        <f>+P33+P34</f>
        <v>7742.5499030084757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11" workbookViewId="0">
      <selection activeCell="H24" sqref="H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539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540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1278.4679999999998</v>
      </c>
      <c r="K25" s="275">
        <f t="shared" si="7"/>
        <v>248.59100000000001</v>
      </c>
      <c r="L25" s="276">
        <f t="shared" si="7"/>
        <v>0</v>
      </c>
      <c r="M25" s="232">
        <f t="shared" si="7"/>
        <v>5575.5409999999993</v>
      </c>
      <c r="N25" s="233">
        <f>SUM(N16:N24)</f>
        <v>1342.3728813559319</v>
      </c>
      <c r="O25" s="101">
        <f>SUM(O16:O24)</f>
        <v>34.58956940677966</v>
      </c>
      <c r="P25" s="113">
        <f>SUM(P16:P24)</f>
        <v>6952.5034507627115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7102.6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1278.4679999999998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248.59100000000001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5575.5410000000002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6917.9138813559321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34.58956940677966</v>
      </c>
    </row>
    <row r="35" spans="2:16" ht="15.75" customHeight="1" thickBot="1" x14ac:dyDescent="0.4">
      <c r="N35" s="346" t="s">
        <v>88</v>
      </c>
      <c r="O35" s="347"/>
      <c r="P35" s="297">
        <f>+P33+P34</f>
        <v>6952.5034507627115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542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541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276.83950000000004</v>
      </c>
      <c r="L25" s="276">
        <f t="shared" si="7"/>
        <v>0</v>
      </c>
      <c r="M25" s="232">
        <f t="shared" si="7"/>
        <v>6209.1144999999997</v>
      </c>
      <c r="N25" s="233">
        <f>SUM(N16:N24)</f>
        <v>1494.9152542372879</v>
      </c>
      <c r="O25" s="101">
        <f>SUM(O16:O24)</f>
        <v>38.520148771186442</v>
      </c>
      <c r="P25" s="113">
        <f>SUM(P16:P24)</f>
        <v>7742.5499030084738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7909.7000000000007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1423.7459999999996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276.83950000000004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6209.1145000000015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1494.9152542372879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7704.0297542372891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38.520148771186449</v>
      </c>
    </row>
    <row r="35" spans="2:16" ht="15.75" customHeight="1" thickBot="1" x14ac:dyDescent="0.4">
      <c r="N35" s="346" t="s">
        <v>88</v>
      </c>
      <c r="O35" s="347"/>
      <c r="P35" s="297">
        <f>+P33+P34</f>
        <v>7742.5499030084757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3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543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544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2098.5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377.72999999999996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73.447500000000005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1647.3225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2043.9326694915253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6" t="s">
        <v>88</v>
      </c>
      <c r="O35" s="347"/>
      <c r="P35" s="297">
        <f>+P33+P34</f>
        <v>2054.1523328389831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0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545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546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>
        <v>20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60</v>
      </c>
      <c r="I25" s="114">
        <f t="shared" si="7"/>
        <v>3551.3</v>
      </c>
      <c r="J25" s="274">
        <f>SUM(J16:J24)</f>
        <v>639.23399999999992</v>
      </c>
      <c r="K25" s="275">
        <f t="shared" si="7"/>
        <v>124.2955</v>
      </c>
      <c r="L25" s="276">
        <f t="shared" si="7"/>
        <v>0</v>
      </c>
      <c r="M25" s="232">
        <f t="shared" si="7"/>
        <v>2787.7704999999996</v>
      </c>
      <c r="N25" s="233">
        <f>SUM(N16:N24)</f>
        <v>671.18644067796595</v>
      </c>
      <c r="O25" s="101">
        <f>SUM(O16:O24)</f>
        <v>17.29478470338983</v>
      </c>
      <c r="P25" s="113">
        <f>SUM(P16:P24)</f>
        <v>3476.2517253813558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3551.3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639.23399999999992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124.2955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2787.7705000000001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671.18644067796595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3458.956940677966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17.29478470338983</v>
      </c>
    </row>
    <row r="35" spans="2:16" ht="15.75" customHeight="1" thickBot="1" x14ac:dyDescent="0.4">
      <c r="N35" s="346" t="s">
        <v>88</v>
      </c>
      <c r="O35" s="347"/>
      <c r="P35" s="297">
        <f>+P33+P34</f>
        <v>3476.2517253813558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547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548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>
        <v>20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60</v>
      </c>
      <c r="I25" s="114">
        <f t="shared" si="7"/>
        <v>3551.3</v>
      </c>
      <c r="J25" s="274">
        <f>SUM(J16:J24)</f>
        <v>639.23399999999992</v>
      </c>
      <c r="K25" s="275">
        <f t="shared" si="7"/>
        <v>124.2955</v>
      </c>
      <c r="L25" s="276">
        <f t="shared" si="7"/>
        <v>0</v>
      </c>
      <c r="M25" s="232">
        <f t="shared" si="7"/>
        <v>2787.7704999999996</v>
      </c>
      <c r="N25" s="233">
        <f>SUM(N16:N24)</f>
        <v>671.18644067796595</v>
      </c>
      <c r="O25" s="101">
        <f>SUM(O16:O24)</f>
        <v>17.29478470338983</v>
      </c>
      <c r="P25" s="113">
        <f>SUM(P16:P24)</f>
        <v>3476.2517253813558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3551.3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639.23399999999992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124.2955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2787.7705000000001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671.18644067796595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3458.956940677966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17.29478470338983</v>
      </c>
    </row>
    <row r="35" spans="2:16" ht="15.75" customHeight="1" thickBot="1" x14ac:dyDescent="0.4">
      <c r="N35" s="346" t="s">
        <v>88</v>
      </c>
      <c r="O35" s="347"/>
      <c r="P35" s="297">
        <f>+P33+P34</f>
        <v>3476.2517253813558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8.75" customHeight="1" x14ac:dyDescent="0.4">
      <c r="A6" s="400" t="s">
        <v>500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501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507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507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46269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46268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2026-09-03T08:29:57Z</dcterms:modified>
</cp:coreProperties>
</file>