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92535863-52E2-4390-A67D-D194AB98FAB8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L23" i="69"/>
  <c r="K23" i="69"/>
  <c r="J23" i="69"/>
  <c r="M23" i="69" s="1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 s="1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M23" i="49" s="1"/>
  <c r="O23" i="49" s="1"/>
  <c r="P23" i="49" s="1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8" l="1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M23" i="56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M16" i="58"/>
  <c r="M16" i="59"/>
  <c r="M23" i="72"/>
  <c r="O23" i="72" s="1"/>
  <c r="P23" i="72" s="1"/>
  <c r="M23" i="64"/>
  <c r="M23" i="59"/>
  <c r="M23" i="44"/>
  <c r="O23" i="44" s="1"/>
  <c r="P23" i="44" s="1"/>
  <c r="M16" i="66"/>
  <c r="M16" i="44"/>
  <c r="M20" i="70"/>
  <c r="O20" i="70" s="1"/>
  <c r="P20" i="70" s="1"/>
  <c r="R20" i="70" s="1"/>
  <c r="M23" i="65"/>
  <c r="M21" i="5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M21" i="44"/>
  <c r="O21" i="44" s="1"/>
  <c r="P21" i="44" s="1"/>
  <c r="M17" i="60"/>
  <c r="O17" i="60" s="1"/>
  <c r="P17" i="60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 s="1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 s="1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1" i="50" l="1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48"/>
  <c r="O25" i="52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<sst xmlns="http://schemas.openxmlformats.org/spreadsheetml/2006/main" count="3948" uniqueCount="550">
  <si>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</si>
  <si>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</si>
  <si>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</si>
  <si>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</si>
  <si>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</si>
  <si>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</si>
  <si>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</si>
  <si>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</si>
  <si>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</si>
  <si>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</si>
  <si>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</si>
  <si>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</si>
  <si>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</si>
  <si>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</si>
  <si>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</si>
  <si>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</si>
  <si>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</si>
  <si>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</si>
  <si>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</si>
  <si>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</si>
  <si>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</si>
  <si>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</si>
  <si>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</si>
  <si>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</si>
  <si>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</si>
  <si>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</si>
  <si>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</si>
  <si>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</si>
  <si>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</si>
  <si>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</si>
  <si>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</si>
  <si>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</si>
  <si>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</si>
  <si>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</si>
  <si>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</si>
  <si>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</si>
  <si>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</si>
  <si>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</si>
  <si>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</si>
  <si>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</si>
  <si>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</si>
  <si>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</si>
  <si>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</si>
  <si>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</si>
  <si>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</si>
  <si>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</si>
  <si>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</si>
  <si>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</si>
  <si>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</si>
  <si>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</si>
  <si>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</si>
  <si>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</si>
  <si>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</si>
  <si>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</si>
  <si>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</si>
  <si>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</si>
  <si>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</si>
  <si>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</si>
  <si>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</si>
  <si>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</si>
  <si>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</si>
  <si>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</si>
  <si>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</si>
  <si>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</si>
  <si>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</si>
  <si>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</si>
  <si>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</si>
  <si>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</si>
  <si>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</si>
  <si>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</si>
  <si>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</si>
  <si>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</si>
  <si>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</si>
  <si>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</si>
  <si>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</si>
  <si>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</si>
  <si>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</si>
  <si>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</si>
  <si>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</si>
  <si>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</si>
  <si>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</si>
  <si>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</si>
  <si>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</si>
  <si>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</si>
  <si>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</si>
  <si>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</si>
  <si>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</si>
  <si>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</si>
  <si>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</si>
  <si>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</si>
  <si>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</si>
  <si>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</si>
  <si>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</si>
  <si>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</si>
  <si>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</si>
  <si>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</si>
  <si>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</si>
  <si>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</si>
  <si>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</si>
  <si>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</si>
  <si>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</si>
  <si>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</si>
  <si>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</si>
  <si>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</si>
  <si>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</si>
  <si>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</si>
  <si>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</si>
  <si>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</si>
  <si>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</si>
  <si>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</si>
  <si>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</si>
  <si>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</si>
  <si>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</si>
  <si>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</si>
  <si>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</si>
  <si>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</si>
  <si>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</si>
  <si>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</si>
  <si>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</si>
  <si>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</si>
  <si>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</si>
  <si>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</si>
  <si>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</si>
  <si>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</si>
  <si>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</si>
  <si>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</si>
  <si>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</si>
  <si>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</si>
  <si>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</si>
  <si>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</si>
  <si>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</si>
  <si>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</si>
  <si>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</si>
  <si>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</si>
  <si>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</si>
  <si>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</si>
  <si>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</si>
  <si>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</si>
  <si>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</si>
  <si>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</si>
  <si>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</si>
  <si>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</si>
  <si>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</si>
  <si>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</si>
  <si>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</si>
  <si>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</si>
  <si>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</si>
  <si>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</si>
  <si>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</si>
  <si>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</si>
  <si>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</si>
  <si>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</si>
  <si>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</si>
  <si>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</si>
  <si>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</si>
  <si>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</si>
  <si>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</si>
  <si>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</si>
  <si>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</si>
  <si>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</si>
  <si>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</si>
  <si>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</si>
  <si>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</si>
  <si>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</si>
  <si>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</si>
  <si>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</si>
  <si>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</si>
  <si>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</si>
  <si>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</si>
  <si>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</si>
  <si>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</si>
  <si>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</si>
  <si>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</si>
  <si>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</si>
  <si>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</si>
  <si>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</si>
  <si>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</si>
  <si>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</si>
  <si>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</si>
  <si>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</si>
  <si>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</si>
  <si>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</si>
  <si>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</si>
  <si>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</si>
  <si>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</si>
  <si>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</si>
  <si>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</si>
  <si>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</si>
  <si>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</si>
  <si>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</si>
  <si>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</si>
  <si>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</si>
  <si>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</si>
  <si>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</si>
  <si>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</si>
  <si>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</si>
  <si>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</si>
  <si>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</si>
  <si>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</si>
  <si>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</si>
  <si>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</si>
  <si>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</si>
  <si>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</si>
  <si>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</si>
  <si>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</si>
  <si>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</si>
  <si>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</si>
  <si>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</si>
  <si>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</si>
  <si>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</si>
  <si>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</si>
  <si>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</si>
  <si>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</si>
  <si>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</si>
  <si>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</si>
  <si>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</si>
  <si>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</si>
  <si>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</si>
  <si>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</si>
  <si>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</si>
  <si>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</si>
  <si>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</si>
  <si>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</si>
  <si>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</si>
  <si>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</si>
  <si>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</si>
  <si>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</si>
  <si>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</si>
  <si>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</si>
  <si>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</si>
  <si>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</si>
  <si>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</si>
  <si>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</si>
  <si>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</si>
  <si>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</si>
  <si>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</si>
  <si>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</si>
  <si>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</si>
  <si>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</si>
  <si>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</si>
  <si>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</si>
  <si>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</si>
  <si>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</si>
  <si>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</si>
  <si>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</si>
  <si>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</si>
  <si>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</si>
  <si>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</si>
  <si>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</si>
  <si>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</si>
  <si>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</si>
  <si>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</si>
  <si>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</si>
  <si>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</si>
  <si>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</si>
  <si>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</si>
  <si>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</si>
  <si>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</si>
  <si>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</si>
  <si>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</si>
  <si>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</si>
  <si>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</si>
  <si>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</si>
  <si>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</si>
  <si>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</si>
  <si>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</si>
  <si>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</si>
  <si>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</si>
  <si>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</si>
  <si>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</si>
  <si>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</si>
  <si>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</si>
  <si>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</si>
  <si>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</si>
  <si>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</si>
  <si>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</si>
  <si>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</si>
  <si>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</si>
  <si>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</si>
  <si>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</si>
  <si>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</si>
  <si>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</si>
  <si>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</si>
  <si>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</si>
  <si>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</si>
  <si>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</si>
  <si>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</si>
  <si>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</si>
  <si>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</si>
  <si>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</si>
  <si>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</si>
  <si>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</si>
  <si>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</si>
  <si>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</si>
  <si>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</si>
  <si>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</si>
  <si>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</si>
  <si>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</si>
  <si>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</si>
  <si>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</si>
  <si>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</si>
  <si>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</si>
  <si>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</si>
  <si>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</si>
  <si>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</si>
  <si>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</si>
  <si>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</si>
  <si>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</si>
  <si>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</si>
  <si>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</si>
  <si>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</si>
  <si>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</si>
  <si>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</si>
  <si>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</si>
  <si>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</si>
  <si>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</si>
  <si>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</si>
  <si>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</si>
  <si>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</si>
  <si>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</si>
  <si>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</si>
  <si>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</si>
  <si>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</si>
  <si>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</si>
  <si>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</si>
  <si>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</si>
  <si>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</si>
  <si>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</si>
  <si>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</si>
  <si>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</si>
  <si>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</si>
  <si>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</si>
  <si>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</si>
  <si>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</si>
  <si>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</si>
  <si>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</si>
  <si>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</si>
  <si>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</si>
  <si>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</si>
  <si>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</si>
  <si>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</si>
  <si>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</si>
  <si>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</si>
  <si>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</si>
  <si>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</si>
  <si>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</si>
  <si>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</si>
  <si>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</si>
  <si>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</si>
  <si>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</si>
  <si>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</si>
  <si>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</si>
  <si>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</si>
  <si>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</si>
  <si>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</si>
  <si>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</si>
  <si>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</si>
  <si>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</si>
  <si>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</si>
  <si>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</si>
  <si>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</si>
  <si>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</si>
  <si>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</si>
  <si>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</si>
  <si>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</si>
  <si>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</si>
  <si>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</si>
  <si>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</si>
  <si>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</si>
  <si>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</si>
  <si>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</si>
  <si>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</si>
  <si>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</si>
  <si>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</si>
  <si>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</si>
  <si>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</si>
  <si>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</si>
  <si>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</si>
  <si>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</si>
  <si>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</si>
  <si>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</si>
  <si>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</si>
  <si>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</si>
  <si>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</si>
  <si>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</si>
  <si>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</si>
  <si>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</si>
  <si>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</si>
  <si>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</si>
  <si>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</si>
  <si>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</si>
  <si>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</si>
  <si>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</si>
  <si>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</si>
  <si>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</si>
  <si>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</si>
  <si>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</si>
  <si>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</si>
  <si>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</si>
  <si>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</si>
  <si>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</si>
  <si>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</si>
  <si>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</si>
  <si>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</si>
  <si>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</si>
  <si>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</si>
  <si>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</si>
  <si>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</si>
  <si>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</si>
  <si>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</si>
  <si>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</si>
  <si>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</si>
  <si>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</si>
  <si>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</si>
  <si>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</si>
  <si>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</si>
  <si>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</si>
  <si>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</si>
  <si>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</si>
  <si>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</si>
  <si>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</si>
  <si>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</si>
  <si>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</si>
  <si>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</si>
  <si>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</si>
  <si>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</si>
  <si>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</si>
  <si>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</si>
  <si>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</si>
  <si>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</si>
  <si>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</si>
  <si>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</si>
  <si>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</si>
  <si>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</si>
  <si>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</si>
  <si>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</si>
  <si>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</si>
  <si>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</si>
  <si>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</si>
  <si>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</si>
  <si>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</si>
  <si>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</si>
  <si>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</si>
  <si>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</si>
  <si>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</si>
  <si>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</si>
  <si>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</si>
  <si>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</si>
  <si>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</si>
  <si>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</si>
  <si>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</si>
  <si>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</si>
  <si>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</si>
  <si>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</si>
  <si>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</si>
  <si>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</si>
  <si>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</si>
  <si>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</si>
  <si>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</si>
  <si>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</si>
  <si>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</si>
  <si>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</si>
  <si>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</si>
  <si>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</si>
  <si>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</si>
  <si>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</si>
  <si>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</si>
  <si>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</si>
  <si>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</si>
  <si>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</si>
  <si>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</si>
  <si>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</si>
  <si>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</si>
  <si>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</si>
  <si>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</si>
  <si>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</si>
  <si>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</si>
  <si>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</si>
  <si>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</si>
  <si>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</si>
  <si>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</si>
  <si>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</si>
  <si>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</si>
  <si>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</si>
  <si>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</si>
  <si>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</si>
  <si>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</si>
  <si>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</si>
  <si>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</si>
  <si>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</si>
  <si>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</si>
  <si>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</si>
  <si>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</si>
  <si>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</si>
  <si>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</si>
  <si>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</si>
  <si>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</si>
  <si>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</si>
  <si>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</si>
  <si>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</si>
  <si>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</si>
  <si>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</si>
  <si>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</si>
  <si>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</si>
  <si>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</si>
  <si>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</si>
  <si>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</si>
  <si>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</si>
  <si>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</si>
  <si>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</si>
  <si>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</si>
  <si>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</si>
  <si>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</si>
  <si>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</si>
  <si>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</si>
  <si>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</si>
  <si>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Gourmet Food Rehman Pura</t>
  </si>
  <si>
    <t>Address: Rehman Pura</t>
  </si>
  <si>
    <t>Gourmet Food Ghalib Market</t>
  </si>
  <si>
    <t>Address: Ghalib Market</t>
  </si>
  <si>
    <t xml:space="preserve">Gourmet Food Shama </t>
  </si>
  <si>
    <t xml:space="preserve">Address: Shahma </t>
  </si>
  <si>
    <t xml:space="preserve">Address: Muslim Town Ayubia </t>
  </si>
  <si>
    <t xml:space="preserve">Gourmet Food Muslim Town Ayubia </t>
  </si>
  <si>
    <t xml:space="preserve">Gourmet Food Walton </t>
  </si>
  <si>
    <t xml:space="preserve">Address: Walton </t>
  </si>
  <si>
    <t>Gourmet Food Barkat Market</t>
  </si>
  <si>
    <t>Address: Barker Market</t>
  </si>
  <si>
    <t xml:space="preserve">Gourmet Food Firdos Market </t>
  </si>
  <si>
    <t>Address:Firdos Market</t>
  </si>
  <si>
    <t xml:space="preserve">Gourmet Food Umer Chowk </t>
  </si>
  <si>
    <t xml:space="preserve">Address: Umer Chowk </t>
  </si>
  <si>
    <t>Gourmet Food Choung</t>
  </si>
  <si>
    <t>Address: Choung</t>
  </si>
  <si>
    <t xml:space="preserve">Address:  Johar Town </t>
  </si>
  <si>
    <t>Gourmet Food Link Road</t>
  </si>
  <si>
    <t>Address: Link Road</t>
  </si>
  <si>
    <t>Gourmet Food Riwind Road</t>
  </si>
  <si>
    <t>Address: Riwind Road</t>
  </si>
  <si>
    <t>Gourmet Food Moterway</t>
  </si>
  <si>
    <t>Address: Moterway</t>
  </si>
  <si>
    <t>Address: Militry Account</t>
  </si>
  <si>
    <t>Gourmet Food Militry Account</t>
  </si>
  <si>
    <t>Gourmet Food Iqbal Town</t>
  </si>
  <si>
    <t xml:space="preserve">Address: Iqbal Town Cream Block </t>
  </si>
  <si>
    <t>Gourmet Food Wahdat Road</t>
  </si>
  <si>
    <t>Address: Wahdat Road</t>
  </si>
  <si>
    <t>Gourmet Food Nadeem Shaheed</t>
  </si>
  <si>
    <t>Address: Nadeem Shaheed</t>
  </si>
  <si>
    <t>Invoice No # :10012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</si>
</sst>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3" borderId="1" xfId="0" applyFont="1" applyFill="1" applyBorder="1" applyAlignment="1">
      <alignment horizontal="center"/>
    </xf>
    <xf numFmtId="0" fontId="35" fillId="6" borderId="1" xfId="0" applyFont="1" applyFill="1" applyBorder="1" applyAlignment="1">
      <alignment horizontal="center"/>
    </xf>
    <xf numFmtId="0" fontId="35" fillId="7" borderId="1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4" workbookViewId="0">
      <selection activeCell="H14" sqref="H1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4" t="s">
        <v>91</v>
      </c>
      <c r="B2" s="394"/>
      <c r="C2" s="394"/>
      <c r="E2" s="386" t="s">
        <v>499</v>
      </c>
      <c r="F2" s="387"/>
      <c r="G2" s="387"/>
      <c r="H2" s="384" t="s">
        <v>515</v>
      </c>
      <c r="I2" s="384"/>
      <c r="J2" s="385"/>
      <c r="R2" s="381" t="s">
        <v>498</v>
      </c>
      <c r="S2" s="382"/>
      <c r="T2" s="383"/>
    </row>
    <row r="3" spans="1:20 16377:16378" ht="21.75" customHeight="1" thickBot="1" x14ac:dyDescent="0.4">
      <c r="A3" s="395" t="s">
        <v>92</v>
      </c>
      <c r="B3" s="395"/>
      <c r="C3" s="395"/>
      <c r="E3" s="390" t="s">
        <v>510</v>
      </c>
      <c r="F3" s="391"/>
      <c r="G3" s="391"/>
      <c r="H3" s="388">
        <f ca="1">TODAY()</f>
        <v>46254</v>
      </c>
      <c r="I3" s="388"/>
      <c r="J3" s="389"/>
      <c r="K3" s="396" t="s">
        <v>43</v>
      </c>
      <c r="L3" s="396"/>
      <c r="M3" s="396"/>
      <c r="N3" s="395"/>
      <c r="O3" s="395"/>
      <c r="P3" s="395"/>
      <c r="R3" s="299">
        <v>1</v>
      </c>
      <c r="S3" s="321" t="str">
        <f>+'1'!A6:A6</f>
        <v>Gourmet Food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9" t="str">
        <f>+'2'!A6:A6</f>
        <v>Gourmet Food Rehman Pura</v>
      </c>
      <c r="T4" s="301">
        <f>+'2'!P35</f>
        <v>4898.3511179237294</v>
      </c>
      <c r="XEX4" t="s">
        <v>105</v>
      </c>
    </row>
    <row r="5" spans="1:20 16377:16378" ht="21.75" customHeight="1" thickBot="1" x14ac:dyDescent="0.4">
      <c r="A5" s="346" t="s">
        <v>51</v>
      </c>
      <c r="B5" s="347"/>
      <c r="C5" s="350" t="s">
        <v>90</v>
      </c>
      <c r="D5" s="115" t="s">
        <v>52</v>
      </c>
      <c r="E5" s="352" t="s">
        <v>58</v>
      </c>
      <c r="F5" s="353"/>
      <c r="G5" s="354" t="s">
        <v>54</v>
      </c>
      <c r="H5" s="355"/>
      <c r="I5" s="356" t="s">
        <v>77</v>
      </c>
      <c r="J5" s="393" t="s">
        <v>55</v>
      </c>
      <c r="K5" s="354"/>
      <c r="L5" s="355"/>
      <c r="M5" s="347" t="s">
        <v>84</v>
      </c>
      <c r="N5" s="392" t="s">
        <v>495</v>
      </c>
      <c r="O5" s="103" t="s">
        <v>89</v>
      </c>
      <c r="P5" s="115" t="s">
        <v>56</v>
      </c>
      <c r="Q5" s="315" t="s">
        <v>509</v>
      </c>
      <c r="R5" s="314">
        <v>3</v>
      </c>
      <c r="S5" s="319" t="str">
        <f>+'3'!A6:A6</f>
        <v>Gourmet Food Ghalib Market</v>
      </c>
      <c r="T5" s="301">
        <f>+'3'!P35</f>
        <v>4898.3511179237294</v>
      </c>
      <c r="XEX5" t="s">
        <v>106</v>
      </c>
    </row>
    <row r="6" spans="1:20 16377:16378" ht="21.75" customHeight="1" thickBot="1" x14ac:dyDescent="0.4">
      <c r="A6" s="348"/>
      <c r="B6" s="349"/>
      <c r="C6" s="35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7"/>
      <c r="J6" s="143" t="s">
        <v>59</v>
      </c>
      <c r="K6" s="144" t="s">
        <v>39</v>
      </c>
      <c r="L6" s="145" t="s">
        <v>493</v>
      </c>
      <c r="M6" s="349"/>
      <c r="N6" s="357"/>
      <c r="O6" s="228" t="e">
        <f>IF(#REF!="Filer",0.5%,2.5%)</f>
        <v>#REF!</v>
      </c>
      <c r="P6" s="111" t="s">
        <v>38</v>
      </c>
      <c r="Q6" s="315" t="s">
        <v>508</v>
      </c>
      <c r="R6" s="314">
        <v>4</v>
      </c>
      <c r="S6" s="319" t="str">
        <f>+'4'!A6:A6</f>
        <v xml:space="preserve">Gourmet Food Shama </v>
      </c>
      <c r="T6" s="301">
        <f>+'4'!P35</f>
        <v>4898.3511179237294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1133.1899999999998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220.34250000000003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4941.9675000000007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30.658990042372878</v>
      </c>
      <c r="P7" s="310">
        <f>M7+N7+O7</f>
        <v>6162.4569985169492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80</v>
      </c>
      <c r="R7" s="314">
        <v>5</v>
      </c>
      <c r="S7" s="319" t="str">
        <f>+'5'!A6:A6</f>
        <v xml:space="preserve">Gourmet Food Muslim Town Ayubia </v>
      </c>
      <c r="T7" s="301">
        <f>+'5'!P35</f>
        <v>2054.1523328389831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377.72999999999996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1647.3225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10.219663347457626</v>
      </c>
      <c r="P8" s="311">
        <f t="shared" ref="P8:P15" si="2">M8+N8+O8</f>
        <v>2054.1523328389831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160</v>
      </c>
      <c r="R8" s="314">
        <v>6</v>
      </c>
      <c r="S8" s="320" t="str">
        <f>+'6'!A6:A6</f>
        <v xml:space="preserve">Gourmet Food Walton </v>
      </c>
      <c r="T8" s="301">
        <f>+'6'!P35</f>
        <v>2054.1523328389831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520</v>
      </c>
      <c r="I9" s="236">
        <f t="shared" si="0"/>
        <v>27280.5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4910.4899999999989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954.8175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21415.192500000001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5155.932203389827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132.85562351694915</v>
      </c>
      <c r="P9" s="311">
        <f t="shared" si="2"/>
        <v>26703.980326906778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120</v>
      </c>
      <c r="R9" s="314">
        <v>7</v>
      </c>
      <c r="S9" s="319" t="str">
        <f>+'7'!A6:A6</f>
        <v>Gourmet Food Barkat Market</v>
      </c>
      <c r="T9" s="301">
        <f>+'7'!P35</f>
        <v>5688.3975701694917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279</v>
      </c>
      <c r="I10" s="236">
        <f t="shared" si="0"/>
        <v>20266.560000000001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3647.9807999999994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709.32960000000014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15909.249600000003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3830.3389830508472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98.697942915254231</v>
      </c>
      <c r="P10" s="311">
        <f t="shared" si="2"/>
        <v>19838.286525966101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121</v>
      </c>
      <c r="R10" s="314">
        <v>8</v>
      </c>
      <c r="S10" s="319" t="str">
        <f>+'8'!A6:A6</f>
        <v xml:space="preserve">Gourmet Food Firdos Market </v>
      </c>
      <c r="T10" s="301">
        <f>+'8'!P35</f>
        <v>9725.5972662203385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120</v>
      </c>
      <c r="I11" s="236">
        <f t="shared" si="0"/>
        <v>8716.7999999999993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1569.0239999999997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305.08800000000002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6842.6880000000001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1647.457627118644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42.450728135593216</v>
      </c>
      <c r="P11" s="311">
        <f t="shared" si="2"/>
        <v>8532.5963552542362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60</v>
      </c>
      <c r="R11" s="314">
        <v>9</v>
      </c>
      <c r="S11" s="319" t="str">
        <f>+'9'!A6:A6</f>
        <v xml:space="preserve">Gourmet Food Umer Chowk </v>
      </c>
      <c r="T11" s="301">
        <f>+'9'!P35</f>
        <v>11850.854568686438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240</v>
      </c>
      <c r="I12" s="236">
        <f t="shared" si="0"/>
        <v>17433.599999999999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3138.0479999999993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610.17600000000004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13685.376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3294.9152542372885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84.901456271186419</v>
      </c>
      <c r="P12" s="311">
        <f t="shared" si="2"/>
        <v>17065.192710508472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140</v>
      </c>
      <c r="R12" s="314">
        <v>10</v>
      </c>
      <c r="S12" s="319" t="str">
        <f>+'10'!A6:A6</f>
        <v>Gourmet Food Link Road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19" t="str">
        <f>+'11'!A6:A6</f>
        <v>Gourmet Food Riwind Road</v>
      </c>
      <c r="T13" s="301">
        <f>+'11'!P35</f>
        <v>2844.1987850847459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19" t="str">
        <f>+'12'!A6:A6</f>
        <v>Gourmet Food Choung</v>
      </c>
      <c r="T14" s="301">
        <f>+'12'!P35</f>
        <v>7742.5499030084757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19" t="str">
        <f>+'13'!A6:A6</f>
        <v>Gourmet Food Moterway</v>
      </c>
      <c r="T15" s="301">
        <f>+'13'!P35</f>
        <v>6952.5034507627115</v>
      </c>
    </row>
    <row r="16" spans="1:20 16377:16378" ht="21.75" customHeight="1" thickBot="1" x14ac:dyDescent="0.4">
      <c r="A16" s="397">
        <f>COUNT(A7:A15)</f>
        <v>0</v>
      </c>
      <c r="B16" s="358"/>
      <c r="C16" s="358" t="s">
        <v>40</v>
      </c>
      <c r="D16" s="358"/>
      <c r="E16" s="358"/>
      <c r="F16" s="359"/>
      <c r="G16" s="117">
        <f>H16/40</f>
        <v>32.975000000000001</v>
      </c>
      <c r="H16" s="113">
        <f t="shared" ref="H16:M16" si="3">SUM(H7:H15)</f>
        <v>1319</v>
      </c>
      <c r="I16" s="114">
        <f t="shared" si="3"/>
        <v>82091.459999999992</v>
      </c>
      <c r="J16" s="274">
        <f>SUM(J7:J15)</f>
        <v>14776.462799999996</v>
      </c>
      <c r="K16" s="275">
        <f t="shared" si="3"/>
        <v>2873.2011000000002</v>
      </c>
      <c r="L16" s="276">
        <f t="shared" si="3"/>
        <v>0</v>
      </c>
      <c r="M16" s="232">
        <f t="shared" si="3"/>
        <v>64441.796100000007</v>
      </c>
      <c r="N16" s="233">
        <f>SUM(N7:N15)</f>
        <v>15515.084745762708</v>
      </c>
      <c r="O16" s="101">
        <f>SUM(O7:O15)</f>
        <v>399.78440422881351</v>
      </c>
      <c r="P16" s="113">
        <f>SUM(P7:P15)</f>
        <v>80356.665249991522</v>
      </c>
      <c r="Q16" s="128">
        <f>SUM(Q7:Q15)</f>
        <v>681</v>
      </c>
      <c r="R16" s="314">
        <v>14</v>
      </c>
      <c r="S16" s="319" t="str">
        <f>+'14'!A6:A6</f>
        <v>Gourmet Food Militry Account</v>
      </c>
      <c r="T16" s="301">
        <f>+'14'!P35</f>
        <v>7742.5499030084757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19" t="str">
        <f>+'15'!A6:A6</f>
        <v>Gourmet Food Iqbal Town</v>
      </c>
      <c r="T17" s="301">
        <f>+'15'!P35</f>
        <v>2054.1523328389831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19" t="str">
        <f>+'16'!A6:A6</f>
        <v>Gourmet Food Wahdat Road</v>
      </c>
      <c r="T18" s="301">
        <f>+'16'!P35</f>
        <v>3476.2517253813558</v>
      </c>
    </row>
    <row r="19" spans="1:20" ht="21.75" customHeight="1" x14ac:dyDescent="0.35">
      <c r="B19" s="360" t="s">
        <v>64</v>
      </c>
      <c r="C19" s="361"/>
      <c r="D19" s="361"/>
      <c r="E19" s="361"/>
      <c r="F19" s="361"/>
      <c r="G19" s="361"/>
      <c r="H19" s="361"/>
      <c r="I19" s="361"/>
      <c r="J19" s="361"/>
      <c r="K19" s="361"/>
      <c r="L19" s="362"/>
      <c r="N19" s="369" t="s">
        <v>60</v>
      </c>
      <c r="O19" s="370"/>
      <c r="P19" s="139">
        <f>I16</f>
        <v>82091.459999999992</v>
      </c>
      <c r="R19" s="299">
        <v>17</v>
      </c>
      <c r="S19" s="319" t="str">
        <f>+'17'!A6:A6</f>
        <v>Gourmet Food Nadeem Shaheed</v>
      </c>
      <c r="T19" s="301">
        <f>+'17'!P35</f>
        <v>3476.2517253813558</v>
      </c>
    </row>
    <row r="20" spans="1:20" ht="21.75" customHeight="1" x14ac:dyDescent="0.35">
      <c r="B20" s="363"/>
      <c r="C20" s="364"/>
      <c r="D20" s="364"/>
      <c r="E20" s="364"/>
      <c r="F20" s="364"/>
      <c r="G20" s="364"/>
      <c r="H20" s="364"/>
      <c r="I20" s="364"/>
      <c r="J20" s="364"/>
      <c r="K20" s="364"/>
      <c r="L20" s="365"/>
      <c r="N20" s="371" t="s">
        <v>85</v>
      </c>
      <c r="O20" s="372"/>
      <c r="P20" s="140">
        <f>+J16</f>
        <v>14776.462799999996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63"/>
      <c r="C21" s="364"/>
      <c r="D21" s="364"/>
      <c r="E21" s="364"/>
      <c r="F21" s="364"/>
      <c r="G21" s="364"/>
      <c r="H21" s="364"/>
      <c r="I21" s="364"/>
      <c r="J21" s="364"/>
      <c r="K21" s="364"/>
      <c r="L21" s="365"/>
      <c r="N21" s="371" t="s">
        <v>86</v>
      </c>
      <c r="O21" s="372"/>
      <c r="P21" s="140">
        <f>+K16+L16</f>
        <v>2873.2011000000002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63"/>
      <c r="C22" s="364"/>
      <c r="D22" s="364"/>
      <c r="E22" s="364"/>
      <c r="F22" s="364"/>
      <c r="G22" s="364"/>
      <c r="H22" s="364"/>
      <c r="I22" s="364"/>
      <c r="J22" s="364"/>
      <c r="K22" s="364"/>
      <c r="L22" s="365"/>
      <c r="M22" s="131"/>
      <c r="N22" s="371" t="s">
        <v>87</v>
      </c>
      <c r="O22" s="372"/>
      <c r="P22" s="140">
        <f>P19-P20-P21</f>
        <v>64441.7961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63"/>
      <c r="C23" s="364"/>
      <c r="D23" s="364"/>
      <c r="E23" s="364"/>
      <c r="F23" s="364"/>
      <c r="G23" s="364"/>
      <c r="H23" s="364"/>
      <c r="I23" s="364"/>
      <c r="J23" s="364"/>
      <c r="K23" s="364"/>
      <c r="L23" s="365"/>
      <c r="M23" s="131"/>
      <c r="N23" s="136" t="s">
        <v>61</v>
      </c>
      <c r="O23" s="133">
        <v>0.18</v>
      </c>
      <c r="P23" s="140">
        <f>+N16</f>
        <v>15515.084745762708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63"/>
      <c r="C24" s="364"/>
      <c r="D24" s="364"/>
      <c r="E24" s="364"/>
      <c r="F24" s="364"/>
      <c r="G24" s="364"/>
      <c r="H24" s="364"/>
      <c r="I24" s="364"/>
      <c r="J24" s="364"/>
      <c r="K24" s="364"/>
      <c r="L24" s="365"/>
      <c r="M24" s="131"/>
      <c r="N24" s="373" t="s">
        <v>76</v>
      </c>
      <c r="O24" s="374"/>
      <c r="P24" s="140">
        <f>P22+P23</f>
        <v>79956.880845762702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6"/>
      <c r="C25" s="367"/>
      <c r="D25" s="367"/>
      <c r="E25" s="367"/>
      <c r="F25" s="367"/>
      <c r="G25" s="367"/>
      <c r="H25" s="367"/>
      <c r="I25" s="367"/>
      <c r="J25" s="367"/>
      <c r="K25" s="367"/>
      <c r="L25" s="368"/>
      <c r="M25" s="99"/>
      <c r="N25" s="138" t="s">
        <v>83</v>
      </c>
      <c r="O25" s="137" t="e">
        <f>IF(#REF!="Filer",0.5%,2.5%)</f>
        <v>#REF!</v>
      </c>
      <c r="P25" s="140">
        <f>+O16</f>
        <v>399.78440422881351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5" t="s">
        <v>88</v>
      </c>
      <c r="O26" s="376"/>
      <c r="P26" s="297">
        <f>+P24+P25</f>
        <v>80356.665249991522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7"/>
      <c r="D27" s="377"/>
      <c r="E27" s="377"/>
      <c r="F27" s="377"/>
      <c r="G27" s="377"/>
      <c r="H27" s="377"/>
      <c r="I27" s="378"/>
      <c r="J27" s="379"/>
      <c r="K27" s="380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80356.665249991536</v>
      </c>
    </row>
    <row r="44" spans="2:20" x14ac:dyDescent="0.35">
      <c r="B44" t="s">
        <v>502</v>
      </c>
    </row>
    <row r="45" spans="2:20" x14ac:dyDescent="0.35">
      <c r="B45" t="s">
        <v>503</v>
      </c>
    </row>
    <row r="46" spans="2:20" x14ac:dyDescent="0.35">
      <c r="B46" t="s">
        <v>504</v>
      </c>
    </row>
    <row r="47" spans="2:20" x14ac:dyDescent="0.35">
      <c r="B47" t="s">
        <v>505</v>
      </c>
    </row>
    <row r="48" spans="2:20" x14ac:dyDescent="0.35">
      <c r="B48" t="s">
        <v>506</v>
      </c>
    </row>
    <row r="49" spans="2:2" x14ac:dyDescent="0.35">
      <c r="B49" t="s">
        <v>511</v>
      </c>
    </row>
    <row r="50" spans="2:2" x14ac:dyDescent="0.35">
      <c r="B50" t="s">
        <v>512</v>
      </c>
    </row>
    <row r="51" spans="2:2" x14ac:dyDescent="0.35">
      <c r="B51" t="s">
        <v>513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0" workbookViewId="0">
      <selection activeCell="I11" sqref="I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7.2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534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>
        <v>40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40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>
        <v>20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20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160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516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101.69600000000001</v>
      </c>
      <c r="L21" s="119">
        <f t="shared" si="1"/>
        <v>0</v>
      </c>
      <c r="M21" s="230">
        <f t="shared" si="2"/>
        <v>2280.8959999999997</v>
      </c>
      <c r="N21" s="277">
        <f t="shared" si="3"/>
        <v>549.15254237288138</v>
      </c>
      <c r="O21" s="239">
        <f t="shared" si="4"/>
        <v>14.150242711864406</v>
      </c>
      <c r="P21" s="311">
        <f t="shared" si="5"/>
        <v>2844.1987850847454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175.14350000000002</v>
      </c>
      <c r="L25" s="276">
        <f t="shared" si="7"/>
        <v>0</v>
      </c>
      <c r="M25" s="232">
        <f t="shared" si="7"/>
        <v>3928.2184999999999</v>
      </c>
      <c r="N25" s="233">
        <f>SUM(N16:N24)</f>
        <v>945.76271186440658</v>
      </c>
      <c r="O25" s="101">
        <f>SUM(O16:O24)</f>
        <v>24.369906059322034</v>
      </c>
      <c r="P25" s="113">
        <f>SUM(P16:P24)</f>
        <v>4898.3511179237285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5004.1000000000004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900.73799999999983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175.14350000000002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3928.2185000000009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4873.9812118644077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24.369906059322037</v>
      </c>
    </row>
    <row r="35" spans="2:16" ht="15.75" customHeight="1" thickBot="1" x14ac:dyDescent="0.4">
      <c r="N35" s="375" t="s">
        <v>88</v>
      </c>
      <c r="O35" s="376"/>
      <c r="P35" s="297">
        <f>+P33+P34</f>
        <v>4898.3511179237294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7"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8.75" customHeight="1" x14ac:dyDescent="0.4">
      <c r="A6" s="401" t="s">
        <v>518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519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101.69600000000001</v>
      </c>
      <c r="L19" s="119">
        <f t="shared" si="1"/>
        <v>0</v>
      </c>
      <c r="M19" s="230">
        <f t="shared" si="2"/>
        <v>2280.8959999999997</v>
      </c>
      <c r="N19" s="277">
        <f t="shared" si="3"/>
        <v>549.15254237288138</v>
      </c>
      <c r="O19" s="239">
        <f t="shared" si="4"/>
        <v>14.150242711864406</v>
      </c>
      <c r="P19" s="311">
        <f t="shared" si="5"/>
        <v>2844.1987850847454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175.14350000000002</v>
      </c>
      <c r="L25" s="276">
        <f t="shared" si="7"/>
        <v>0</v>
      </c>
      <c r="M25" s="232">
        <f t="shared" si="7"/>
        <v>3928.2184999999999</v>
      </c>
      <c r="N25" s="233">
        <f>SUM(N16:N24)</f>
        <v>945.76271186440658</v>
      </c>
      <c r="O25" s="101">
        <f>SUM(O16:O24)</f>
        <v>24.369906059322034</v>
      </c>
      <c r="P25" s="113">
        <f>SUM(P16:P24)</f>
        <v>4898.3511179237285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5004.1000000000004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900.73799999999983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175.14350000000002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3928.2185000000009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4873.9812118644077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24.369906059322037</v>
      </c>
    </row>
    <row r="35" spans="2:16" ht="15.75" customHeight="1" thickBot="1" x14ac:dyDescent="0.4">
      <c r="N35" s="375" t="s">
        <v>88</v>
      </c>
      <c r="O35" s="376"/>
      <c r="P35" s="297">
        <f>+P33+P34</f>
        <v>4898.3511179237294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520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521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175.14350000000002</v>
      </c>
      <c r="L25" s="276">
        <f t="shared" si="7"/>
        <v>0</v>
      </c>
      <c r="M25" s="232">
        <f t="shared" si="7"/>
        <v>3928.2184999999995</v>
      </c>
      <c r="N25" s="233">
        <f>SUM(N16:N24)</f>
        <v>945.76271186440658</v>
      </c>
      <c r="O25" s="101">
        <f>SUM(O16:O24)</f>
        <v>24.369906059322034</v>
      </c>
      <c r="P25" s="113">
        <f>SUM(P16:P24)</f>
        <v>4898.3511179237285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5004.1000000000004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900.73799999999983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175.14350000000002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3928.2185000000009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4873.9812118644077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24.369906059322037</v>
      </c>
    </row>
    <row r="35" spans="2:16" ht="15.75" customHeight="1" thickBot="1" x14ac:dyDescent="0.4">
      <c r="N35" s="375" t="s">
        <v>88</v>
      </c>
      <c r="O35" s="376"/>
      <c r="P35" s="297">
        <f>+P33+P34</f>
        <v>4898.3511179237294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8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523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522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>
        <v>40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2098.5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377.72999999999996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73.447500000000005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1647.3225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2043.9326694915253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75" t="s">
        <v>88</v>
      </c>
      <c r="O35" s="376"/>
      <c r="P35" s="297">
        <f>+P33+P34</f>
        <v>2054.1523328389831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7" workbookViewId="0">
      <selection activeCell="F6" sqref="F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524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525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40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>
        <v>20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20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2098.5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377.72999999999996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73.447500000000005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1647.3225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2043.9326694915253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75" t="s">
        <v>88</v>
      </c>
      <c r="O35" s="376"/>
      <c r="P35" s="297">
        <f>+P33+P34</f>
        <v>2054.1523328389831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10" workbookViewId="0">
      <selection activeCell="I11" sqref="I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526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527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>
        <v>40</v>
      </c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>
        <v>40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101.69600000000001</v>
      </c>
      <c r="L19" s="119">
        <f t="shared" si="1"/>
        <v>0</v>
      </c>
      <c r="M19" s="230">
        <f t="shared" si="2"/>
        <v>2280.8959999999997</v>
      </c>
      <c r="N19" s="277">
        <f t="shared" si="3"/>
        <v>549.15254237288138</v>
      </c>
      <c r="O19" s="239">
        <f t="shared" si="4"/>
        <v>14.150242711864406</v>
      </c>
      <c r="P19" s="311">
        <f t="shared" si="5"/>
        <v>2844.1987850847454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203.39200000000002</v>
      </c>
      <c r="L25" s="276">
        <f t="shared" si="7"/>
        <v>0</v>
      </c>
      <c r="M25" s="232">
        <f t="shared" si="7"/>
        <v>4561.7919999999995</v>
      </c>
      <c r="N25" s="233">
        <f>SUM(N16:N24)</f>
        <v>1098.3050847457628</v>
      </c>
      <c r="O25" s="101">
        <f>SUM(O16:O24)</f>
        <v>28.300485423728812</v>
      </c>
      <c r="P25" s="113">
        <f>SUM(P16:P24)</f>
        <v>5688.3975701694908</v>
      </c>
      <c r="Q25" s="128">
        <f>SUM(Q16:Q24)</f>
        <v>120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5811.2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1046.0159999999998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203.39200000000002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4561.7920000000004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5660.0970847457629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28.300485423728816</v>
      </c>
    </row>
    <row r="35" spans="2:16" ht="15.75" customHeight="1" thickBot="1" x14ac:dyDescent="0.4">
      <c r="N35" s="375" t="s">
        <v>88</v>
      </c>
      <c r="O35" s="376"/>
      <c r="P35" s="297">
        <f>+P33+P34</f>
        <v>5688.3975701694917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12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528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529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39</v>
      </c>
      <c r="I19" s="236">
        <f t="shared" si="0"/>
        <v>2832.96</v>
      </c>
      <c r="J19" s="272">
        <f t="shared" si="1"/>
        <v>509.93279999999999</v>
      </c>
      <c r="K19" s="128">
        <f t="shared" si="1"/>
        <v>99.153600000000012</v>
      </c>
      <c r="L19" s="119">
        <f t="shared" si="1"/>
        <v>0</v>
      </c>
      <c r="M19" s="230">
        <f t="shared" si="2"/>
        <v>2223.8735999999999</v>
      </c>
      <c r="N19" s="277">
        <f t="shared" si="3"/>
        <v>535.42372881355936</v>
      </c>
      <c r="O19" s="239">
        <f t="shared" si="4"/>
        <v>13.796486644067796</v>
      </c>
      <c r="P19" s="311">
        <f t="shared" si="5"/>
        <v>2773.093815457627</v>
      </c>
      <c r="Q19" s="156">
        <v>1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159</v>
      </c>
      <c r="I25" s="114">
        <f t="shared" si="7"/>
        <v>9935.56</v>
      </c>
      <c r="J25" s="274">
        <f>SUM(J16:J24)</f>
        <v>1788.4007999999997</v>
      </c>
      <c r="K25" s="275">
        <f t="shared" si="7"/>
        <v>347.74460000000005</v>
      </c>
      <c r="L25" s="276">
        <f t="shared" si="7"/>
        <v>0</v>
      </c>
      <c r="M25" s="232">
        <f t="shared" si="7"/>
        <v>7799.4146000000001</v>
      </c>
      <c r="N25" s="233">
        <f>SUM(N16:N24)</f>
        <v>1877.796610169491</v>
      </c>
      <c r="O25" s="101">
        <f>SUM(O16:O24)</f>
        <v>48.386056050847458</v>
      </c>
      <c r="P25" s="113">
        <f>SUM(P16:P24)</f>
        <v>9725.5972662203385</v>
      </c>
      <c r="Q25" s="128">
        <f>SUM(Q16:Q24)</f>
        <v>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9935.56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1788.4007999999997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347.74460000000005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7799.4146000000001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1877.796610169491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9677.2112101694911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48.386056050847458</v>
      </c>
    </row>
    <row r="35" spans="2:16" ht="15.75" customHeight="1" thickBot="1" x14ac:dyDescent="0.4">
      <c r="N35" s="375" t="s">
        <v>88</v>
      </c>
      <c r="O35" s="376"/>
      <c r="P35" s="297">
        <f>+P33+P34</f>
        <v>9725.5972662203385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7" workbookViewId="0">
      <selection activeCell="H23" sqref="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530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531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101.69600000000001</v>
      </c>
      <c r="L19" s="119">
        <f t="shared" si="1"/>
        <v>0</v>
      </c>
      <c r="M19" s="230">
        <f t="shared" si="2"/>
        <v>2280.8959999999997</v>
      </c>
      <c r="N19" s="277">
        <f t="shared" si="3"/>
        <v>549.15254237288138</v>
      </c>
      <c r="O19" s="239">
        <f t="shared" si="4"/>
        <v>14.150242711864406</v>
      </c>
      <c r="P19" s="311">
        <f t="shared" si="5"/>
        <v>2844.1987850847454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200</v>
      </c>
      <c r="I25" s="114">
        <f t="shared" si="7"/>
        <v>12106.699999999999</v>
      </c>
      <c r="J25" s="274">
        <f>SUM(J16:J24)</f>
        <v>2179.2059999999997</v>
      </c>
      <c r="K25" s="275">
        <f t="shared" si="7"/>
        <v>423.73450000000008</v>
      </c>
      <c r="L25" s="276">
        <f t="shared" si="7"/>
        <v>0</v>
      </c>
      <c r="M25" s="232">
        <f t="shared" si="7"/>
        <v>9503.7595000000001</v>
      </c>
      <c r="N25" s="233">
        <f>SUM(N16:N24)</f>
        <v>2288.1355932203383</v>
      </c>
      <c r="O25" s="101">
        <f>SUM(O16:O24)</f>
        <v>58.959475466101694</v>
      </c>
      <c r="P25" s="113">
        <f>SUM(P16:P24)</f>
        <v>11850.854568686438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12106.699999999999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2179.2059999999997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423.73450000000008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9503.7594999999983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2288.1355932203383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11791.895093220337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58.959475466101686</v>
      </c>
    </row>
    <row r="35" spans="2:16" ht="15.75" customHeight="1" thickBot="1" x14ac:dyDescent="0.4">
      <c r="N35" s="375" t="s">
        <v>88</v>
      </c>
      <c r="O35" s="376"/>
      <c r="P35" s="297">
        <f>+P33+P34</f>
        <v>11850.854568686438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8" workbookViewId="0">
      <selection activeCell="H16" sqref="H16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535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536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>
        <v>40</v>
      </c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>
        <v>40</v>
      </c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40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>
        <v>20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20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200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7" workbookViewId="0">
      <selection activeCell="B19" sqref="A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537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538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101.69600000000001</v>
      </c>
      <c r="L19" s="119">
        <f t="shared" si="1"/>
        <v>0</v>
      </c>
      <c r="M19" s="230">
        <f t="shared" si="2"/>
        <v>2280.8959999999997</v>
      </c>
      <c r="N19" s="277">
        <f t="shared" si="3"/>
        <v>549.15254237288138</v>
      </c>
      <c r="O19" s="239">
        <f t="shared" si="4"/>
        <v>14.150242711864406</v>
      </c>
      <c r="P19" s="311">
        <f t="shared" si="5"/>
        <v>2844.1987850847454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523.00799999999992</v>
      </c>
      <c r="K25" s="275">
        <f t="shared" si="7"/>
        <v>101.69600000000001</v>
      </c>
      <c r="L25" s="276">
        <f t="shared" si="7"/>
        <v>0</v>
      </c>
      <c r="M25" s="232">
        <f t="shared" si="7"/>
        <v>2280.8959999999997</v>
      </c>
      <c r="N25" s="233">
        <f>SUM(N16:N24)</f>
        <v>549.15254237288138</v>
      </c>
      <c r="O25" s="101">
        <f>SUM(O16:O24)</f>
        <v>14.150242711864406</v>
      </c>
      <c r="P25" s="113">
        <f>SUM(P16:P24)</f>
        <v>2844.1987850847454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2905.6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523.00799999999992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101.69600000000001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2280.8960000000002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2830.0485423728815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14.150242711864408</v>
      </c>
    </row>
    <row r="35" spans="2:16" ht="15.75" customHeight="1" thickBot="1" x14ac:dyDescent="0.4">
      <c r="N35" s="375" t="s">
        <v>88</v>
      </c>
      <c r="O35" s="376"/>
      <c r="P35" s="297">
        <f>+P33+P34</f>
        <v>2844.1987850847459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5"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532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533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101.69600000000001</v>
      </c>
      <c r="L19" s="119">
        <f t="shared" si="1"/>
        <v>0</v>
      </c>
      <c r="M19" s="230">
        <f t="shared" si="2"/>
        <v>2280.8959999999997</v>
      </c>
      <c r="N19" s="277">
        <f t="shared" si="3"/>
        <v>549.15254237288138</v>
      </c>
      <c r="O19" s="239">
        <f t="shared" si="4"/>
        <v>14.150242711864406</v>
      </c>
      <c r="P19" s="311">
        <f t="shared" si="5"/>
        <v>2844.1987850847454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276.83950000000004</v>
      </c>
      <c r="L25" s="276">
        <f t="shared" si="7"/>
        <v>0</v>
      </c>
      <c r="M25" s="232">
        <f t="shared" si="7"/>
        <v>6209.1144999999997</v>
      </c>
      <c r="N25" s="233">
        <f>SUM(N16:N24)</f>
        <v>1494.9152542372879</v>
      </c>
      <c r="O25" s="101">
        <f>SUM(O16:O24)</f>
        <v>38.520148771186442</v>
      </c>
      <c r="P25" s="113">
        <f>SUM(P16:P24)</f>
        <v>7742.5499030084738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7909.7000000000007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1423.7459999999996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276.83950000000004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6209.1145000000015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1494.9152542372879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7704.0297542372891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38.520148771186449</v>
      </c>
    </row>
    <row r="35" spans="2:16" ht="15.75" customHeight="1" thickBot="1" x14ac:dyDescent="0.4">
      <c r="N35" s="375" t="s">
        <v>88</v>
      </c>
      <c r="O35" s="376"/>
      <c r="P35" s="297">
        <f>+P33+P34</f>
        <v>7742.5499030084757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11" workbookViewId="0">
      <selection activeCell="H24" sqref="H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539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540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101.69600000000001</v>
      </c>
      <c r="L21" s="119">
        <f t="shared" si="1"/>
        <v>0</v>
      </c>
      <c r="M21" s="230">
        <f t="shared" si="2"/>
        <v>2280.8959999999997</v>
      </c>
      <c r="N21" s="277">
        <f t="shared" si="3"/>
        <v>549.15254237288138</v>
      </c>
      <c r="O21" s="239">
        <f t="shared" si="4"/>
        <v>14.150242711864406</v>
      </c>
      <c r="P21" s="311">
        <f t="shared" si="5"/>
        <v>2844.1987850847454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120</v>
      </c>
      <c r="I25" s="114">
        <f t="shared" si="7"/>
        <v>7102.6</v>
      </c>
      <c r="J25" s="274">
        <f>SUM(J16:J24)</f>
        <v>1278.4679999999998</v>
      </c>
      <c r="K25" s="275">
        <f t="shared" si="7"/>
        <v>248.59100000000001</v>
      </c>
      <c r="L25" s="276">
        <f t="shared" si="7"/>
        <v>0</v>
      </c>
      <c r="M25" s="232">
        <f t="shared" si="7"/>
        <v>5575.5409999999993</v>
      </c>
      <c r="N25" s="233">
        <f>SUM(N16:N24)</f>
        <v>1342.3728813559319</v>
      </c>
      <c r="O25" s="101">
        <f>SUM(O16:O24)</f>
        <v>34.58956940677966</v>
      </c>
      <c r="P25" s="113">
        <f>SUM(P16:P24)</f>
        <v>6952.5034507627115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7102.6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1278.4679999999998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248.59100000000001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5575.5410000000002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1342.3728813559319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6917.9138813559321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34.58956940677966</v>
      </c>
    </row>
    <row r="35" spans="2:16" ht="15.75" customHeight="1" thickBot="1" x14ac:dyDescent="0.4">
      <c r="N35" s="375" t="s">
        <v>88</v>
      </c>
      <c r="O35" s="376"/>
      <c r="P35" s="297">
        <f>+P33+P34</f>
        <v>6952.5034507627115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542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541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101.69600000000001</v>
      </c>
      <c r="L19" s="119">
        <f t="shared" si="1"/>
        <v>0</v>
      </c>
      <c r="M19" s="230">
        <f t="shared" si="2"/>
        <v>2280.8959999999997</v>
      </c>
      <c r="N19" s="277">
        <f t="shared" si="3"/>
        <v>549.15254237288138</v>
      </c>
      <c r="O19" s="239">
        <f t="shared" si="4"/>
        <v>14.150242711864406</v>
      </c>
      <c r="P19" s="311">
        <f t="shared" si="5"/>
        <v>2844.1987850847454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276.83950000000004</v>
      </c>
      <c r="L25" s="276">
        <f t="shared" si="7"/>
        <v>0</v>
      </c>
      <c r="M25" s="232">
        <f t="shared" si="7"/>
        <v>6209.1144999999997</v>
      </c>
      <c r="N25" s="233">
        <f>SUM(N16:N24)</f>
        <v>1494.9152542372879</v>
      </c>
      <c r="O25" s="101">
        <f>SUM(O16:O24)</f>
        <v>38.520148771186442</v>
      </c>
      <c r="P25" s="113">
        <f>SUM(P16:P24)</f>
        <v>7742.5499030084738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7909.7000000000007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1423.7459999999996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276.83950000000004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6209.1145000000015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1494.9152542372879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7704.0297542372891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38.520148771186449</v>
      </c>
    </row>
    <row r="35" spans="2:16" ht="15.75" customHeight="1" thickBot="1" x14ac:dyDescent="0.4">
      <c r="N35" s="375" t="s">
        <v>88</v>
      </c>
      <c r="O35" s="376"/>
      <c r="P35" s="297">
        <f>+P33+P34</f>
        <v>7742.5499030084757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13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543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544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40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2098.5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377.72999999999996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73.447500000000005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1647.3225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2043.9326694915253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75" t="s">
        <v>88</v>
      </c>
      <c r="O35" s="376"/>
      <c r="P35" s="297">
        <f>+P33+P34</f>
        <v>2054.1523328389831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10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545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546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>
        <v>20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60</v>
      </c>
      <c r="I25" s="114">
        <f t="shared" si="7"/>
        <v>3551.3</v>
      </c>
      <c r="J25" s="274">
        <f>SUM(J16:J24)</f>
        <v>639.23399999999992</v>
      </c>
      <c r="K25" s="275">
        <f t="shared" si="7"/>
        <v>124.2955</v>
      </c>
      <c r="L25" s="276">
        <f t="shared" si="7"/>
        <v>0</v>
      </c>
      <c r="M25" s="232">
        <f t="shared" si="7"/>
        <v>2787.7704999999996</v>
      </c>
      <c r="N25" s="233">
        <f>SUM(N16:N24)</f>
        <v>671.18644067796595</v>
      </c>
      <c r="O25" s="101">
        <f>SUM(O16:O24)</f>
        <v>17.29478470338983</v>
      </c>
      <c r="P25" s="113">
        <f>SUM(P16:P24)</f>
        <v>3476.2517253813558</v>
      </c>
      <c r="Q25" s="128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3551.3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639.23399999999992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124.2955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2787.7705000000001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671.18644067796595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3458.956940677966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17.29478470338983</v>
      </c>
    </row>
    <row r="35" spans="2:16" ht="15.75" customHeight="1" thickBot="1" x14ac:dyDescent="0.4">
      <c r="N35" s="375" t="s">
        <v>88</v>
      </c>
      <c r="O35" s="376"/>
      <c r="P35" s="297">
        <f>+P33+P34</f>
        <v>3476.2517253813558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F6" sqref="F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547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548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>
        <v>20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60</v>
      </c>
      <c r="I25" s="114">
        <f t="shared" si="7"/>
        <v>3551.3</v>
      </c>
      <c r="J25" s="274">
        <f>SUM(J16:J24)</f>
        <v>639.23399999999992</v>
      </c>
      <c r="K25" s="275">
        <f t="shared" si="7"/>
        <v>124.2955</v>
      </c>
      <c r="L25" s="276">
        <f t="shared" si="7"/>
        <v>0</v>
      </c>
      <c r="M25" s="232">
        <f t="shared" si="7"/>
        <v>2787.7704999999996</v>
      </c>
      <c r="N25" s="233">
        <f>SUM(N16:N24)</f>
        <v>671.18644067796595</v>
      </c>
      <c r="O25" s="101">
        <f>SUM(O16:O24)</f>
        <v>17.29478470338983</v>
      </c>
      <c r="P25" s="113">
        <f>SUM(P16:P24)</f>
        <v>3476.2517253813558</v>
      </c>
      <c r="Q25" s="128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3551.3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639.23399999999992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124.2955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2787.7705000000001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671.18644067796595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3458.956940677966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17.29478470338983</v>
      </c>
    </row>
    <row r="35" spans="2:16" ht="15.75" customHeight="1" thickBot="1" x14ac:dyDescent="0.4">
      <c r="N35" s="375" t="s">
        <v>88</v>
      </c>
      <c r="O35" s="376"/>
      <c r="P35" s="297">
        <f>+P33+P34</f>
        <v>3476.2517253813558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496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496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8.75" customHeight="1" x14ac:dyDescent="0.4">
      <c r="A6" s="401" t="s">
        <v>500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496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496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496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496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496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496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496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496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496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501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496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507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507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8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4" t="s">
        <v>91</v>
      </c>
      <c r="B2" s="394"/>
      <c r="C2" s="394"/>
    </row>
    <row r="3" spans="1:18 16382:16383" ht="15" customHeight="1" x14ac:dyDescent="0.35">
      <c r="A3" s="395" t="s">
        <v>92</v>
      </c>
      <c r="B3" s="395"/>
      <c r="C3" s="395"/>
      <c r="F3" s="85"/>
      <c r="G3" s="1"/>
      <c r="J3" s="396" t="s">
        <v>43</v>
      </c>
      <c r="K3" s="396"/>
      <c r="L3" s="396"/>
      <c r="M3" s="395"/>
      <c r="N3" s="395"/>
      <c r="O3" s="395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5" t="s">
        <v>65</v>
      </c>
      <c r="B4" s="395"/>
      <c r="C4" s="395"/>
      <c r="F4" s="85"/>
      <c r="G4" s="1"/>
      <c r="J4" s="396" t="s">
        <v>44</v>
      </c>
      <c r="K4" s="396"/>
      <c r="L4" s="396"/>
      <c r="M4" s="399">
        <f ca="1">TODAY()+1</f>
        <v>46255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00" t="s">
        <v>93</v>
      </c>
      <c r="B5" s="400"/>
      <c r="C5" s="400"/>
      <c r="F5" s="85"/>
      <c r="G5" s="1"/>
      <c r="J5" s="396" t="s">
        <v>45</v>
      </c>
      <c r="K5" s="396"/>
      <c r="L5" s="396"/>
      <c r="M5" s="399">
        <f ca="1">M4-1</f>
        <v>46254</v>
      </c>
      <c r="N5" s="395"/>
      <c r="O5" s="395"/>
      <c r="Q5" s="85"/>
      <c r="R5" s="1"/>
    </row>
    <row r="6" spans="1:18 16382:16383" ht="15" customHeight="1" x14ac:dyDescent="0.35">
      <c r="A6" s="396" t="s">
        <v>94</v>
      </c>
      <c r="B6" s="396"/>
      <c r="C6" s="396"/>
      <c r="F6" s="85"/>
      <c r="G6" s="86"/>
      <c r="J6" s="396" t="s">
        <v>69</v>
      </c>
      <c r="K6" s="396"/>
      <c r="L6" s="396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6" t="s">
        <v>73</v>
      </c>
      <c r="B7" s="396"/>
      <c r="C7" s="396"/>
      <c r="F7" s="85"/>
      <c r="G7" s="86"/>
      <c r="J7" s="396" t="s">
        <v>66</v>
      </c>
      <c r="K7" s="396"/>
      <c r="L7" s="396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2" t="s">
        <v>95</v>
      </c>
      <c r="B8" s="402"/>
      <c r="C8" s="402"/>
      <c r="F8" s="85"/>
      <c r="G8" s="86"/>
      <c r="J8" s="396" t="s">
        <v>67</v>
      </c>
      <c r="K8" s="396"/>
      <c r="L8" s="396"/>
      <c r="M8" s="398" t="s">
        <v>71</v>
      </c>
      <c r="N8" s="398"/>
      <c r="O8" s="398"/>
      <c r="Q8" s="85"/>
      <c r="R8" s="86"/>
    </row>
    <row r="9" spans="1:18 16382:16383" x14ac:dyDescent="0.35">
      <c r="A9" s="402" t="s">
        <v>96</v>
      </c>
      <c r="B9" s="402"/>
      <c r="C9" s="402"/>
      <c r="F9" s="85"/>
      <c r="G9" s="86"/>
      <c r="J9" s="396" t="s">
        <v>68</v>
      </c>
      <c r="K9" s="396"/>
      <c r="L9" s="396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402" t="s">
        <v>97</v>
      </c>
      <c r="B10" s="402"/>
      <c r="C10" s="402"/>
      <c r="F10" s="85"/>
      <c r="G10" s="1"/>
      <c r="J10" s="396" t="s">
        <v>46</v>
      </c>
      <c r="K10" s="396"/>
      <c r="L10" s="396"/>
      <c r="M10" s="395" t="s">
        <v>47</v>
      </c>
      <c r="N10" s="395"/>
      <c r="O10" s="395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6" t="s">
        <v>48</v>
      </c>
      <c r="K11" s="396"/>
      <c r="L11" s="396"/>
      <c r="M11" s="395" t="s">
        <v>49</v>
      </c>
      <c r="N11" s="395"/>
      <c r="O11" s="395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6" t="s">
        <v>50</v>
      </c>
      <c r="K12" s="396"/>
      <c r="L12" s="396"/>
      <c r="M12" s="395"/>
      <c r="N12" s="395"/>
      <c r="O12" s="395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6" t="s">
        <v>51</v>
      </c>
      <c r="B14" s="347"/>
      <c r="C14" s="350" t="s">
        <v>90</v>
      </c>
      <c r="D14" s="88" t="s">
        <v>52</v>
      </c>
      <c r="E14" s="95" t="s">
        <v>74</v>
      </c>
      <c r="F14" s="115" t="s">
        <v>53</v>
      </c>
      <c r="G14" s="393" t="s">
        <v>54</v>
      </c>
      <c r="H14" s="355"/>
      <c r="I14" s="356" t="s">
        <v>77</v>
      </c>
      <c r="J14" s="354" t="s">
        <v>55</v>
      </c>
      <c r="K14" s="355"/>
      <c r="L14" s="35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8"/>
      <c r="B15" s="349"/>
      <c r="C15" s="35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7"/>
      <c r="J15" s="144" t="s">
        <v>39</v>
      </c>
      <c r="K15" s="145" t="s">
        <v>59</v>
      </c>
      <c r="L15" s="35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2"/>
      <c r="M28" s="369" t="s">
        <v>60</v>
      </c>
      <c r="N28" s="370"/>
      <c r="O28" s="139">
        <f>I25</f>
        <v>1452.8</v>
      </c>
    </row>
    <row r="29" spans="1:18 16383:16383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5"/>
      <c r="M29" s="371" t="s">
        <v>85</v>
      </c>
      <c r="N29" s="372"/>
      <c r="O29" s="140">
        <f>K25</f>
        <v>0</v>
      </c>
    </row>
    <row r="30" spans="1:18 16383:16383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5"/>
      <c r="M30" s="371" t="s">
        <v>86</v>
      </c>
      <c r="N30" s="372"/>
      <c r="O30" s="140">
        <f>J25</f>
        <v>50.848000000000006</v>
      </c>
    </row>
    <row r="31" spans="1:18 16383:16383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5"/>
      <c r="L31" s="131"/>
      <c r="M31" s="371" t="s">
        <v>87</v>
      </c>
      <c r="N31" s="372"/>
      <c r="O31" s="140">
        <f>O28-O29-O30</f>
        <v>1401.952</v>
      </c>
    </row>
    <row r="32" spans="1:18 16383:16383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5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5"/>
      <c r="L33" s="131"/>
      <c r="M33" s="373" t="s">
        <v>76</v>
      </c>
      <c r="N33" s="374"/>
      <c r="O33" s="140">
        <f>O31+O32</f>
        <v>1710.3814400000001</v>
      </c>
    </row>
    <row r="34" spans="2:15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8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5" t="s">
        <v>88</v>
      </c>
      <c r="N35" s="376"/>
      <c r="O35" s="141">
        <f>O28-O29+O31+O34</f>
        <v>2897.511536</v>
      </c>
    </row>
    <row r="36" spans="2:15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6" t="s">
        <v>439</v>
      </c>
      <c r="E1" s="338" t="s">
        <v>58</v>
      </c>
      <c r="F1" s="338"/>
      <c r="G1" s="339" t="s">
        <v>440</v>
      </c>
      <c r="H1" s="339"/>
      <c r="I1" s="407" t="s">
        <v>441</v>
      </c>
      <c r="J1" s="407"/>
      <c r="K1" s="407" t="s">
        <v>442</v>
      </c>
      <c r="L1" s="407"/>
      <c r="M1" s="403" t="s">
        <v>484</v>
      </c>
      <c r="N1" s="404"/>
      <c r="O1" s="405"/>
    </row>
    <row r="2" spans="3:24" ht="29" x14ac:dyDescent="0.35">
      <c r="C2" s="338"/>
      <c r="D2" s="406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10" t="s">
        <v>58</v>
      </c>
      <c r="F7" s="410"/>
      <c r="G7" s="411" t="s">
        <v>440</v>
      </c>
      <c r="H7" s="339"/>
      <c r="I7" s="340" t="s">
        <v>441</v>
      </c>
      <c r="J7" s="341"/>
      <c r="K7" s="340" t="s">
        <v>442</v>
      </c>
      <c r="L7" s="341"/>
      <c r="M7" s="403" t="s">
        <v>484</v>
      </c>
      <c r="N7" s="404"/>
      <c r="O7" s="405"/>
      <c r="P7" s="256" t="s">
        <v>475</v>
      </c>
      <c r="Q7" s="242" t="s">
        <v>473</v>
      </c>
      <c r="R7" s="406" t="s">
        <v>475</v>
      </c>
      <c r="S7" s="406" t="s">
        <v>485</v>
      </c>
      <c r="T7" s="412" t="s">
        <v>486</v>
      </c>
      <c r="U7" s="412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6"/>
      <c r="S8" s="406"/>
      <c r="T8" s="411"/>
      <c r="U8" s="41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3" t="s">
        <v>484</v>
      </c>
      <c r="N13" s="404"/>
      <c r="O13" s="405"/>
      <c r="P13" s="256" t="s">
        <v>475</v>
      </c>
      <c r="Q13" s="242" t="s">
        <v>473</v>
      </c>
      <c r="R13" s="406" t="s">
        <v>475</v>
      </c>
      <c r="S13" s="406" t="s">
        <v>485</v>
      </c>
      <c r="T13" s="412" t="s">
        <v>486</v>
      </c>
      <c r="U13" s="412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6"/>
      <c r="S14" s="406"/>
      <c r="T14" s="411"/>
      <c r="U14" s="41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3" t="s">
        <v>484</v>
      </c>
      <c r="N20" s="404"/>
      <c r="O20" s="405"/>
      <c r="P20" s="256" t="s">
        <v>475</v>
      </c>
      <c r="Q20" s="242" t="s">
        <v>473</v>
      </c>
      <c r="R20" s="406" t="s">
        <v>475</v>
      </c>
      <c r="S20" s="406" t="s">
        <v>485</v>
      </c>
      <c r="T20" s="412" t="s">
        <v>486</v>
      </c>
      <c r="U20" s="412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6"/>
      <c r="S21" s="406"/>
      <c r="T21" s="411"/>
      <c r="U21" s="41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3" t="s">
        <v>484</v>
      </c>
      <c r="N27" s="404"/>
      <c r="O27" s="405"/>
      <c r="P27" s="256" t="s">
        <v>475</v>
      </c>
      <c r="Q27" s="242" t="s">
        <v>473</v>
      </c>
      <c r="R27" s="406" t="s">
        <v>475</v>
      </c>
      <c r="S27" s="406" t="s">
        <v>485</v>
      </c>
      <c r="T27" s="412" t="s">
        <v>486</v>
      </c>
      <c r="U27" s="412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6"/>
      <c r="S28" s="406"/>
      <c r="T28" s="411"/>
      <c r="U28" s="41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6" t="s">
        <v>439</v>
      </c>
      <c r="D1" s="338" t="s">
        <v>58</v>
      </c>
      <c r="E1" s="338"/>
      <c r="F1" s="339" t="s">
        <v>440</v>
      </c>
      <c r="G1" s="339"/>
      <c r="H1" s="407" t="s">
        <v>441</v>
      </c>
      <c r="I1" s="407"/>
      <c r="J1" s="407" t="s">
        <v>442</v>
      </c>
      <c r="K1" s="407"/>
      <c r="L1" s="403" t="s">
        <v>484</v>
      </c>
      <c r="M1" s="404"/>
      <c r="N1" s="405"/>
    </row>
    <row r="2" spans="2:17" ht="29" x14ac:dyDescent="0.35">
      <c r="B2" s="338"/>
      <c r="C2" s="406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5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5"/>
      <c r="G60" s="160" t="s">
        <v>195</v>
      </c>
      <c r="H60" s="161" t="s">
        <v>100</v>
      </c>
    </row>
    <row r="61" spans="5:8" x14ac:dyDescent="0.35">
      <c r="E61" s="159" t="s">
        <v>192</v>
      </c>
      <c r="F61" s="415"/>
      <c r="G61" s="160" t="s">
        <v>196</v>
      </c>
      <c r="H61" s="161" t="s">
        <v>98</v>
      </c>
    </row>
    <row r="62" spans="5:8" x14ac:dyDescent="0.35">
      <c r="E62" s="159" t="s">
        <v>192</v>
      </c>
      <c r="F62" s="415"/>
      <c r="G62" s="160" t="s">
        <v>197</v>
      </c>
      <c r="H62" s="161" t="s">
        <v>101</v>
      </c>
    </row>
    <row r="63" spans="5:8" x14ac:dyDescent="0.35">
      <c r="E63" s="159" t="s">
        <v>192</v>
      </c>
      <c r="F63" s="415"/>
      <c r="G63" s="160" t="s">
        <v>198</v>
      </c>
      <c r="H63" s="161" t="s">
        <v>102</v>
      </c>
    </row>
    <row r="64" spans="5:8" x14ac:dyDescent="0.35">
      <c r="E64" s="159" t="s">
        <v>192</v>
      </c>
      <c r="F64" s="415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5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5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5"/>
      <c r="G121" s="160" t="s">
        <v>273</v>
      </c>
      <c r="H121" s="161" t="s">
        <v>98</v>
      </c>
    </row>
    <row r="122" spans="5:8" x14ac:dyDescent="0.35">
      <c r="E122" s="159" t="s">
        <v>269</v>
      </c>
      <c r="F122" s="415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5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5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5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5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5"/>
      <c r="G241" s="160" t="s">
        <v>432</v>
      </c>
      <c r="H241" s="161" t="s">
        <v>98</v>
      </c>
    </row>
    <row r="242" spans="5:8" x14ac:dyDescent="0.35">
      <c r="E242" s="159" t="s">
        <v>428</v>
      </c>
      <c r="F242" s="415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5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5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2026-08-20T12:28:52Z</dcterms:modified>
</cp:coreProperties>
</file>