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CD15BB9-31E1-4DB8-A235-6EE9EC27C6D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<sst xmlns="http://schemas.openxmlformats.org/spreadsheetml/2006/main" count="3978" uniqueCount="526">
  <si>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</si>
  <si>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</si>
  <si>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</si>
  <si>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</si>
  <si>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</si>
  <si>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</si>
  <si>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</si>
  <si>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</si>
  <si>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</si>
  <si>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</si>
  <si>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</si>
  <si>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</si>
  <si>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</si>
  <si>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</si>
  <si>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</si>
  <si>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</si>
  <si>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</si>
  <si>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</si>
  <si>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</si>
  <si>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</si>
  <si>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</si>
  <si>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</si>
  <si>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</si>
  <si>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</si>
  <si>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</si>
  <si>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</si>
  <si>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</si>
  <si>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</si>
  <si>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</si>
  <si>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</si>
  <si>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</si>
  <si>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</si>
  <si>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</si>
  <si>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</si>
  <si>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</si>
  <si>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</si>
  <si>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</si>
  <si>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</si>
  <si>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</si>
  <si>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</si>
  <si>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</si>
  <si>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</si>
  <si>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</si>
  <si>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</si>
  <si>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</si>
  <si>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</si>
  <si>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</si>
  <si>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</si>
  <si>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</si>
  <si>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</si>
  <si>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</si>
  <si>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</si>
  <si>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</si>
  <si>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</si>
  <si>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</si>
  <si>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</si>
  <si>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</si>
  <si>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</si>
  <si>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</si>
  <si>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</si>
  <si>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</si>
  <si>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</si>
  <si>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</si>
  <si>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</si>
  <si>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</si>
  <si>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</si>
  <si>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</si>
  <si>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</si>
  <si>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</si>
  <si>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</si>
  <si>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</si>
  <si>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</si>
  <si>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</si>
  <si>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</si>
  <si>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</si>
  <si>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</si>
  <si>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</si>
  <si>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</si>
  <si>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</si>
  <si>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</si>
  <si>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</si>
  <si>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</si>
  <si>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</si>
  <si>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</si>
  <si>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</si>
  <si>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</si>
  <si>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</si>
  <si>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</si>
  <si>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</si>
  <si>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</si>
  <si>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</si>
  <si>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</si>
  <si>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</si>
  <si>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</si>
  <si>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</si>
  <si>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</si>
  <si>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</si>
  <si>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</si>
  <si>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</si>
  <si>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</si>
  <si>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</si>
  <si>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</si>
  <si>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</si>
  <si>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</si>
  <si>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</si>
  <si>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</si>
  <si>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</si>
  <si>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</si>
  <si>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</si>
  <si>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</si>
  <si>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</si>
  <si>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</si>
  <si>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</si>
  <si>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</si>
  <si>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</si>
  <si>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</si>
  <si>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</si>
  <si>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</si>
  <si>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</si>
  <si>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</si>
  <si>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</si>
  <si>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</si>
  <si>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</si>
  <si>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</si>
  <si>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</si>
  <si>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</si>
  <si>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</si>
  <si>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</si>
  <si>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</si>
  <si>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</si>
  <si>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</si>
  <si>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</si>
  <si>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</si>
  <si>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</si>
  <si>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</si>
  <si>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</si>
  <si>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</si>
  <si>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</si>
  <si>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</si>
  <si>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</si>
  <si>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</si>
  <si>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</si>
  <si>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</si>
  <si>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</si>
  <si>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</si>
  <si>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</si>
  <si>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</si>
  <si>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</si>
  <si>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</si>
  <si>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</si>
  <si>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</si>
  <si>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</si>
  <si>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</si>
  <si>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</si>
  <si>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</si>
  <si>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</si>
  <si>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</si>
  <si>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</si>
  <si>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</si>
  <si>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</si>
  <si>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</si>
  <si>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</si>
  <si>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</si>
  <si>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</si>
  <si>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</si>
  <si>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</si>
  <si>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</si>
  <si>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</si>
  <si>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</si>
  <si>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</si>
  <si>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</si>
  <si>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</si>
  <si>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</si>
  <si>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</si>
  <si>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</si>
  <si>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</si>
  <si>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</si>
  <si>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</si>
  <si>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</si>
  <si>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</si>
  <si>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</si>
  <si>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</si>
  <si>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</si>
  <si>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</si>
  <si>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</si>
  <si>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</si>
  <si>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</si>
  <si>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</si>
  <si>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</si>
  <si>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</si>
  <si>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</si>
  <si>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</si>
  <si>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</si>
  <si>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</si>
  <si>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</si>
  <si>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</si>
  <si>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</si>
  <si>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</si>
  <si>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</si>
  <si>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</si>
  <si>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</si>
  <si>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</si>
  <si>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</si>
  <si>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</si>
  <si>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</si>
  <si>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</si>
  <si>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</si>
  <si>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</si>
  <si>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</si>
  <si>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</si>
  <si>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</si>
  <si>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</si>
  <si>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</si>
  <si>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</si>
  <si>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</si>
  <si>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</si>
  <si>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</si>
  <si>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</si>
  <si>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</si>
  <si>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</si>
  <si>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</si>
  <si>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</si>
  <si>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</si>
  <si>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</si>
  <si>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</si>
  <si>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</si>
  <si>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</si>
  <si>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</si>
  <si>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</si>
  <si>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</si>
  <si>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</si>
  <si>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</si>
  <si>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</si>
  <si>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</si>
  <si>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</si>
  <si>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</si>
  <si>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</si>
  <si>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</si>
  <si>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</si>
  <si>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</si>
  <si>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</si>
  <si>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</si>
  <si>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</si>
  <si>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</si>
  <si>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</si>
  <si>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</si>
  <si>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</si>
  <si>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</si>
  <si>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</si>
  <si>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</si>
  <si>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</si>
  <si>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</si>
  <si>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</si>
  <si>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</si>
  <si>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</si>
  <si>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</si>
  <si>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</si>
  <si>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</si>
  <si>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</si>
  <si>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</si>
  <si>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</si>
  <si>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</si>
  <si>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</si>
  <si>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</si>
  <si>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</si>
  <si>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</si>
  <si>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</si>
  <si>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</si>
  <si>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</si>
  <si>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</si>
  <si>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</si>
  <si>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</si>
  <si>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</si>
  <si>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</si>
  <si>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</si>
  <si>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</si>
  <si>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</si>
  <si>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</si>
  <si>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</si>
  <si>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</si>
  <si>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</si>
  <si>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</si>
  <si>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</si>
  <si>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</si>
  <si>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</si>
  <si>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</si>
  <si>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</si>
  <si>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</si>
  <si>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</si>
  <si>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</si>
  <si>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</si>
  <si>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</si>
  <si>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</si>
  <si>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</si>
  <si>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</si>
  <si>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</si>
  <si>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</si>
  <si>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</si>
  <si>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</si>
  <si>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</si>
  <si>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</si>
  <si>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</si>
  <si>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</si>
  <si>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</si>
  <si>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</si>
  <si>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</si>
  <si>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</si>
  <si>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</si>
  <si>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</si>
  <si>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</si>
  <si>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</si>
  <si>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</si>
  <si>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</si>
  <si>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</si>
  <si>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</si>
  <si>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</si>
  <si>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</si>
  <si>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</si>
  <si>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</si>
  <si>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</si>
  <si>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</si>
  <si>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</si>
  <si>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</si>
  <si>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</si>
  <si>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</si>
  <si>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</si>
  <si>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</si>
  <si>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</si>
  <si>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</si>
  <si>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</si>
  <si>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</si>
  <si>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</si>
  <si>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</si>
  <si>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</si>
  <si>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</si>
  <si>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</si>
  <si>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</si>
  <si>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</si>
  <si>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</si>
  <si>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</si>
  <si>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</si>
  <si>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</si>
  <si>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</si>
  <si>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</si>
  <si>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</si>
  <si>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</si>
  <si>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</si>
  <si>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</si>
  <si>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</si>
  <si>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</si>
  <si>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</si>
  <si>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</si>
  <si>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</si>
  <si>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</si>
  <si>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</si>
  <si>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</si>
  <si>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</si>
  <si>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</si>
  <si>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</si>
  <si>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</si>
  <si>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</si>
  <si>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</si>
  <si>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</si>
  <si>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</si>
  <si>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</si>
  <si>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</si>
  <si>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</si>
  <si>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</si>
  <si>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</si>
  <si>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</si>
  <si>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</si>
  <si>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</si>
  <si>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</si>
  <si>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</si>
  <si>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</si>
  <si>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</si>
  <si>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</si>
  <si>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</si>
  <si>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</si>
  <si>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</si>
  <si>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</si>
  <si>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</si>
  <si>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</si>
  <si>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</si>
  <si>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</si>
  <si>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</si>
  <si>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</si>
  <si>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</si>
  <si>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</si>
  <si>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</si>
  <si>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</si>
  <si>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</si>
  <si>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</si>
  <si>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</si>
  <si>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</si>
  <si>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</si>
  <si>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</si>
  <si>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</si>
  <si>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</si>
  <si>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</si>
  <si>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</si>
  <si>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</si>
  <si>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</si>
  <si>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</si>
  <si>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</si>
  <si>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</si>
  <si>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</si>
  <si>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</si>
  <si>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</si>
  <si>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</si>
  <si>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</si>
  <si>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</si>
  <si>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</si>
  <si>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</si>
  <si>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</si>
  <si>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</si>
  <si>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</si>
  <si>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</si>
  <si>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</si>
  <si>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</si>
  <si>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</si>
  <si>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</si>
  <si>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</si>
  <si>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</si>
  <si>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</si>
  <si>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</si>
  <si>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</si>
  <si>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</si>
  <si>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</si>
  <si>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</si>
  <si>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</si>
  <si>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</si>
  <si>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</si>
  <si>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</si>
  <si>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</si>
  <si>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</si>
  <si>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</si>
  <si>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</si>
  <si>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</si>
  <si>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</si>
  <si>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</si>
  <si>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</si>
  <si>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</si>
  <si>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</si>
  <si>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</si>
  <si>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</si>
  <si>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</si>
  <si>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</si>
  <si>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</si>
  <si>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</si>
  <si>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</si>
  <si>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</si>
  <si>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</si>
  <si>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</si>
  <si>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</si>
  <si>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</si>
  <si>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</si>
  <si>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</si>
  <si>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</si>
  <si>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</si>
  <si>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</si>
  <si>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</si>
  <si>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</si>
  <si>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</si>
  <si>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</si>
  <si>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</si>
  <si>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</si>
  <si>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</si>
  <si>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</si>
  <si>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</si>
  <si>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</si>
  <si>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</si>
  <si>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</si>
  <si>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</si>
  <si>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</si>
  <si>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</si>
  <si>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</si>
  <si>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</si>
  <si>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</si>
  <si>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</si>
  <si>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</si>
  <si>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</si>
  <si>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</si>
  <si>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</si>
  <si>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</si>
  <si>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</si>
  <si>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</si>
  <si>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</si>
  <si>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</si>
  <si>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</si>
  <si>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</si>
  <si>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</si>
  <si>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</si>
  <si>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</si>
  <si>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</si>
  <si>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</si>
  <si>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</si>
  <si>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</si>
  <si>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</si>
  <si>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</si>
  <si>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</si>
  <si>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</si>
  <si>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</si>
  <si>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</si>
  <si>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</si>
  <si>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</si>
  <si>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</si>
  <si>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</si>
  <si>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</si>
  <si>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</si>
  <si>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</si>
  <si>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</si>
  <si>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</si>
  <si>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</si>
  <si>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</si>
  <si>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</si>
  <si>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Zesahn </t>
  </si>
  <si>
    <t>Allys Store</t>
  </si>
  <si>
    <t>Address: DHA</t>
  </si>
  <si>
    <t>Bravo Store</t>
  </si>
  <si>
    <t>Maharaja Store</t>
  </si>
  <si>
    <t>Bismillah Store</t>
  </si>
  <si>
    <t>Bilal Store</t>
  </si>
  <si>
    <t>Besta Store</t>
  </si>
  <si>
    <t>Al Ghani Store</t>
  </si>
  <si>
    <t>Paradise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</si>
</sst>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G37" sqref="G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Allys Store</v>
      </c>
      <c r="T3" s="301">
        <f>+'1'!P35</f>
        <v>3323.3438006237293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Bravo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Maharaja Store</v>
      </c>
      <c r="T5" s="301">
        <f>+'3'!P35</f>
        <v>2682.3460612118647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Bismillah Store</v>
      </c>
      <c r="T6" s="301">
        <f>+'4'!P35</f>
        <v>5007.533740474576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Besta Store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Bilal Store</v>
      </c>
      <c r="T9" s="301">
        <f>+'7'!P35</f>
        <v>1881.7269510508474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114</v>
      </c>
      <c r="I10" s="236">
        <f t="shared" si="0"/>
        <v>8280.9600000000009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662.47680000000003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289.83360000000005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7328.6496000000006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1565.0847457627119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44.468671728813561</v>
      </c>
      <c r="P10" s="311">
        <f t="shared" si="2"/>
        <v>8938.2030174915253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Ghani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</v>
      </c>
      <c r="I11" s="236">
        <f t="shared" si="0"/>
        <v>3777.28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302.18240000000003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132.20480000000001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3342.8928000000001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713.89830508474574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20.283955525423728</v>
      </c>
      <c r="P11" s="311">
        <f t="shared" si="2"/>
        <v>4077.0750606101697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Paradise Store</v>
      </c>
      <c r="T11" s="301">
        <f>+'9'!P35</f>
        <v>4805.3894985762709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84</v>
      </c>
      <c r="I12" s="236">
        <f t="shared" si="0"/>
        <v>6101.76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488.14080000000001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213.56160000000003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5400.0576000000001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1153.2203389830509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32.766389694915254</v>
      </c>
      <c r="P12" s="311">
        <f t="shared" si="2"/>
        <v>6586.0443286779664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222</v>
      </c>
      <c r="I13" s="236">
        <f t="shared" si="0"/>
        <v>8709.0600000000013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435.45300000000009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304.81710000000004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444.16206</v>
      </c>
      <c r="M13" s="230">
        <f t="shared" si="1"/>
        <v>7524.627840000001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1693.2203389830499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46.08924089491525</v>
      </c>
      <c r="P13" s="311">
        <f t="shared" si="2"/>
        <v>9263.937419877966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12.8</v>
      </c>
      <c r="H16" s="113">
        <f t="shared" ref="H16:M16" si="3">SUM(H7:H15)</f>
        <v>512</v>
      </c>
      <c r="I16" s="114">
        <f t="shared" si="3"/>
        <v>28967.56</v>
      </c>
      <c r="J16" s="274">
        <f>SUM(J7:J15)</f>
        <v>2056.1330000000003</v>
      </c>
      <c r="K16" s="275">
        <f t="shared" si="3"/>
        <v>1013.8646000000001</v>
      </c>
      <c r="L16" s="276">
        <f t="shared" si="3"/>
        <v>444.16206</v>
      </c>
      <c r="M16" s="232">
        <f t="shared" si="3"/>
        <v>25453.40034</v>
      </c>
      <c r="N16" s="233">
        <f>SUM(N7:N15)</f>
        <v>5522.0338983050842</v>
      </c>
      <c r="O16" s="101">
        <f>SUM(O7:O15)</f>
        <v>154.87717119152541</v>
      </c>
      <c r="P16" s="113">
        <f>SUM(P7:P15)</f>
        <v>31130.311409496611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28967.56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2056.1330000000003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1458.02666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25453.40034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5522.0338983050842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30975.434238305083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154.87717119152541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31130.311409496608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31130.311409496611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3085.8</v>
      </c>
      <c r="J25" s="274">
        <f>SUM(J16:J24)</f>
        <v>232.74120000000005</v>
      </c>
      <c r="K25" s="275">
        <f t="shared" si="10"/>
        <v>108.00300000000001</v>
      </c>
      <c r="L25" s="276">
        <f t="shared" si="10"/>
        <v>24.008760000000002</v>
      </c>
      <c r="M25" s="232">
        <f t="shared" si="10"/>
        <v>2721.0470400000004</v>
      </c>
      <c r="N25" s="233">
        <f>SUM(N16:N24)</f>
        <v>585.76271186440681</v>
      </c>
      <c r="O25" s="101">
        <f>SUM(O16:O24)</f>
        <v>16.534048759322033</v>
      </c>
      <c r="P25" s="113">
        <f>SUM(P16:P24)</f>
        <v>3323.3438006237288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3085.8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232.74120000000005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132.01176000000001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2721.0470400000004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585.76271186440681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3306.8097518644072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16.534048759322037</v>
      </c>
    </row>
    <row r="35" spans="2:16" ht="15.75" customHeight="1" thickBot="1" x14ac:dyDescent="0.4">
      <c r="N35" s="371" t="s">
        <v>88</v>
      </c>
      <c r="O35" s="372"/>
      <c r="P35" s="297">
        <f>+P33+P34</f>
        <v>3323.3438006237293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50</v>
      </c>
      <c r="I25" s="114">
        <f t="shared" si="7"/>
        <v>2490.8000000000002</v>
      </c>
      <c r="J25" s="274">
        <f>SUM(J16:J24)</f>
        <v>187.495</v>
      </c>
      <c r="K25" s="275">
        <f t="shared" si="7"/>
        <v>87.178000000000011</v>
      </c>
      <c r="L25" s="276">
        <f t="shared" si="7"/>
        <v>20.007300000000001</v>
      </c>
      <c r="M25" s="232">
        <f t="shared" si="7"/>
        <v>2196.1197000000002</v>
      </c>
      <c r="N25" s="233">
        <f>SUM(N16:N24)</f>
        <v>472.88135593220318</v>
      </c>
      <c r="O25" s="101">
        <f>SUM(O16:O24)</f>
        <v>13.345005279661017</v>
      </c>
      <c r="P25" s="113">
        <f>SUM(P16:P24)</f>
        <v>2682.3460612118643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2490.8000000000002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187.495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107.18530000000001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2196.1197000000002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472.88135593220318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2669.0010559322036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13.345005279661018</v>
      </c>
    </row>
    <row r="35" spans="2:16" ht="15.75" customHeight="1" thickBot="1" x14ac:dyDescent="0.4">
      <c r="N35" s="371" t="s">
        <v>88</v>
      </c>
      <c r="O35" s="372"/>
      <c r="P35" s="297">
        <f>+P33+P34</f>
        <v>2682.3460612118647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4707.6000000000004</v>
      </c>
      <c r="J25" s="274">
        <f>SUM(J16:J24)</f>
        <v>235.38000000000002</v>
      </c>
      <c r="K25" s="275">
        <f t="shared" si="7"/>
        <v>164.76600000000002</v>
      </c>
      <c r="L25" s="276">
        <f t="shared" si="7"/>
        <v>240.08760000000001</v>
      </c>
      <c r="M25" s="232">
        <f t="shared" si="7"/>
        <v>4067.3664000000003</v>
      </c>
      <c r="N25" s="233">
        <f>SUM(N16:N24)</f>
        <v>915.25423728813507</v>
      </c>
      <c r="O25" s="101">
        <f>SUM(O16:O24)</f>
        <v>24.913103186440676</v>
      </c>
      <c r="P25" s="113">
        <f>SUM(P16:P24)</f>
        <v>5007.533740474576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4707.6000000000004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235.38000000000002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404.85360000000003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4067.3664000000003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915.25423728813507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4982.6206372881352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24.913103186440676</v>
      </c>
    </row>
    <row r="35" spans="2:16" ht="15.75" customHeight="1" thickBot="1" x14ac:dyDescent="0.4">
      <c r="N35" s="371" t="s">
        <v>88</v>
      </c>
      <c r="O35" s="372"/>
      <c r="P35" s="297">
        <f>+P33+P34</f>
        <v>5007.533740474576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2179.1999999999998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174.33600000000001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76.272000000000006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1928.5919999999999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2340.4564067796609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1" t="s">
        <v>88</v>
      </c>
      <c r="O35" s="372"/>
      <c r="P35" s="297">
        <f>+P33+P34</f>
        <v>2352.1586888135594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1743.3600000000001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139.46880000000002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61.017600000000009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1542.8736000000001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1872.3651254237288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1" t="s">
        <v>88</v>
      </c>
      <c r="O35" s="372"/>
      <c r="P35" s="297">
        <f>+P33+P34</f>
        <v>1881.7269510508474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2026-08-19T12:17:49Z</dcterms:modified>
</cp:coreProperties>
</file>