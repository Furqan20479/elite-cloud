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648865-3147-470D-BD62-8D874F37F52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<sst xmlns="http://schemas.openxmlformats.org/spreadsheetml/2006/main" count="3978" uniqueCount="524">
  <si>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</si>
  <si>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</si>
  <si>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</si>
  <si>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</si>
  <si>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</si>
  <si>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</si>
  <si>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</si>
  <si>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</si>
  <si>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</si>
  <si>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</si>
  <si>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</si>
  <si>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</si>
  <si>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</si>
  <si>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</si>
  <si>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</si>
  <si>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</si>
  <si>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</si>
  <si>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</si>
  <si>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</si>
  <si>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</si>
  <si>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</si>
  <si>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</si>
  <si>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</si>
  <si>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</si>
  <si>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</si>
  <si>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</si>
  <si>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</si>
  <si>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</si>
  <si>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</si>
  <si>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</si>
  <si>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</si>
  <si>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</si>
  <si>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</si>
  <si>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</si>
  <si>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</si>
  <si>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</si>
  <si>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</si>
  <si>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</si>
  <si>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</si>
  <si>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</si>
  <si>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</si>
  <si>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</si>
  <si>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</si>
  <si>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</si>
  <si>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</si>
  <si>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</si>
  <si>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</si>
  <si>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</si>
  <si>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</si>
  <si>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</si>
  <si>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</si>
  <si>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</si>
  <si>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</si>
  <si>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</si>
  <si>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</si>
  <si>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</si>
  <si>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</si>
  <si>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</si>
  <si>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</si>
  <si>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</si>
  <si>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</si>
  <si>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</si>
  <si>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</si>
  <si>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</si>
  <si>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</si>
  <si>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</si>
  <si>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</si>
  <si>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</si>
  <si>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</si>
  <si>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</si>
  <si>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</si>
  <si>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</si>
  <si>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</si>
  <si>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</si>
  <si>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</si>
  <si>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</si>
  <si>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</si>
  <si>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</si>
  <si>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</si>
  <si>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</si>
  <si>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</si>
  <si>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</si>
  <si>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</si>
  <si>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</si>
  <si>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</si>
  <si>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</si>
  <si>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</si>
  <si>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</si>
  <si>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</si>
  <si>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</si>
  <si>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</si>
  <si>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</si>
  <si>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</si>
  <si>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</si>
  <si>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</si>
  <si>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</si>
  <si>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</si>
  <si>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</si>
  <si>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</si>
  <si>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</si>
  <si>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</si>
  <si>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</si>
  <si>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</si>
  <si>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</si>
  <si>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</si>
  <si>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</si>
  <si>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</si>
  <si>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</si>
  <si>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</si>
  <si>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</si>
  <si>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</si>
  <si>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</si>
  <si>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</si>
  <si>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</si>
  <si>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</si>
  <si>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</si>
  <si>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</si>
  <si>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</si>
  <si>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</si>
  <si>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</si>
  <si>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</si>
  <si>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</si>
  <si>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</si>
  <si>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</si>
  <si>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</si>
  <si>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</si>
  <si>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</si>
  <si>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</si>
  <si>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</si>
  <si>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</si>
  <si>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</si>
  <si>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</si>
  <si>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</si>
  <si>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</si>
  <si>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</si>
  <si>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</si>
  <si>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</si>
  <si>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</si>
  <si>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</si>
  <si>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</si>
  <si>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</si>
  <si>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</si>
  <si>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</si>
  <si>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</si>
  <si>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</si>
  <si>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</si>
  <si>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</si>
  <si>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</si>
  <si>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</si>
  <si>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</si>
  <si>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</si>
  <si>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</si>
  <si>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</si>
  <si>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</si>
  <si>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</si>
  <si>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</si>
  <si>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</si>
  <si>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</si>
  <si>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</si>
  <si>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</si>
  <si>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</si>
  <si>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</si>
  <si>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</si>
  <si>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</si>
  <si>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</si>
  <si>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</si>
  <si>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</si>
  <si>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</si>
  <si>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</si>
  <si>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</si>
  <si>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</si>
  <si>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</si>
  <si>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</si>
  <si>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</si>
  <si>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</si>
  <si>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</si>
  <si>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</si>
  <si>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</si>
  <si>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</si>
  <si>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</si>
  <si>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</si>
  <si>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</si>
  <si>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</si>
  <si>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</si>
  <si>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</si>
  <si>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</si>
  <si>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</si>
  <si>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</si>
  <si>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</si>
  <si>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</si>
  <si>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</si>
  <si>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</si>
  <si>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</si>
  <si>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</si>
  <si>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</si>
  <si>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</si>
  <si>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</si>
  <si>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</si>
  <si>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</si>
  <si>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</si>
  <si>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</si>
  <si>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</si>
  <si>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</si>
  <si>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</si>
  <si>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</si>
  <si>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</si>
  <si>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</si>
  <si>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</si>
  <si>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</si>
  <si>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</si>
  <si>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</si>
  <si>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</si>
  <si>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</si>
  <si>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</si>
  <si>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</si>
  <si>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</si>
  <si>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</si>
  <si>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</si>
  <si>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</si>
  <si>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</si>
  <si>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</si>
  <si>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</si>
  <si>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</si>
  <si>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</si>
  <si>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</si>
  <si>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</si>
  <si>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</si>
  <si>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</si>
  <si>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</si>
  <si>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</si>
  <si>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</si>
  <si>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</si>
  <si>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</si>
  <si>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</si>
  <si>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</si>
  <si>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</si>
  <si>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</si>
  <si>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</si>
  <si>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</si>
  <si>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</si>
  <si>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</si>
  <si>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</si>
  <si>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</si>
  <si>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</si>
  <si>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</si>
  <si>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</si>
  <si>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</si>
  <si>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</si>
  <si>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</si>
  <si>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</si>
  <si>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</si>
  <si>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</si>
  <si>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</si>
  <si>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</si>
  <si>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</si>
  <si>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</si>
  <si>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</si>
  <si>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</si>
  <si>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</si>
  <si>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</si>
  <si>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</si>
  <si>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</si>
  <si>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</si>
  <si>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</si>
  <si>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</si>
  <si>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</si>
  <si>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</si>
  <si>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</si>
  <si>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</si>
  <si>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</si>
  <si>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</si>
  <si>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</si>
  <si>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</si>
  <si>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</si>
  <si>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</si>
  <si>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</si>
  <si>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</si>
  <si>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</si>
  <si>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</si>
  <si>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</si>
  <si>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</si>
  <si>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</si>
  <si>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</si>
  <si>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</si>
  <si>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</si>
  <si>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</si>
  <si>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</si>
  <si>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</si>
  <si>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</si>
  <si>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</si>
  <si>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</si>
  <si>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</si>
  <si>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</si>
  <si>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</si>
  <si>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</si>
  <si>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</si>
  <si>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</si>
  <si>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</si>
  <si>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</si>
  <si>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</si>
  <si>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</si>
  <si>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</si>
  <si>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</si>
  <si>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</si>
  <si>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</si>
  <si>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</si>
  <si>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</si>
  <si>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</si>
  <si>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</si>
  <si>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</si>
  <si>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</si>
  <si>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</si>
  <si>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</si>
  <si>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</si>
  <si>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</si>
  <si>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</si>
  <si>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</si>
  <si>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</si>
  <si>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</si>
  <si>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</si>
  <si>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</si>
  <si>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</si>
  <si>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</si>
  <si>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</si>
  <si>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</si>
  <si>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</si>
  <si>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</si>
  <si>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</si>
  <si>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</si>
  <si>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</si>
  <si>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</si>
  <si>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</si>
  <si>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</si>
  <si>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</si>
  <si>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</si>
  <si>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</si>
  <si>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</si>
  <si>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</si>
  <si>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</si>
  <si>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</si>
  <si>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</si>
  <si>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</si>
  <si>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</si>
  <si>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</si>
  <si>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</si>
  <si>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</si>
  <si>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</si>
  <si>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</si>
  <si>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</si>
  <si>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</si>
  <si>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</si>
  <si>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</si>
  <si>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</si>
  <si>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</si>
  <si>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</si>
  <si>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</si>
  <si>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</si>
  <si>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</si>
  <si>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</si>
  <si>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</si>
  <si>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</si>
  <si>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</si>
  <si>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</si>
  <si>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</si>
  <si>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</si>
  <si>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</si>
  <si>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</si>
  <si>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</si>
  <si>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</si>
  <si>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</si>
  <si>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</si>
  <si>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</si>
  <si>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</si>
  <si>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</si>
  <si>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</si>
  <si>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</si>
  <si>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</si>
  <si>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</si>
  <si>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</si>
  <si>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</si>
  <si>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</si>
  <si>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</si>
  <si>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</si>
  <si>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</si>
  <si>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</si>
  <si>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</si>
  <si>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</si>
  <si>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</si>
  <si>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</si>
  <si>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</si>
  <si>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</si>
  <si>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</si>
  <si>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</si>
  <si>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</si>
  <si>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</si>
  <si>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</si>
  <si>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</si>
  <si>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</si>
  <si>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</si>
  <si>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</si>
  <si>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</si>
  <si>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</si>
  <si>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</si>
  <si>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</si>
  <si>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</si>
  <si>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</si>
  <si>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</si>
  <si>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</si>
  <si>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</si>
  <si>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</si>
  <si>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</si>
  <si>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</si>
  <si>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</si>
  <si>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</si>
  <si>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</si>
  <si>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</si>
  <si>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</si>
  <si>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</si>
  <si>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</si>
  <si>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</si>
  <si>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</si>
  <si>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</si>
  <si>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</si>
  <si>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</si>
  <si>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</si>
  <si>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</si>
  <si>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</si>
  <si>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</si>
  <si>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</si>
  <si>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</si>
  <si>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</si>
  <si>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</si>
  <si>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</si>
  <si>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</si>
  <si>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</si>
  <si>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</si>
  <si>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</si>
  <si>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</si>
  <si>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</si>
  <si>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</si>
  <si>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</si>
  <si>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</si>
  <si>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</si>
  <si>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</si>
  <si>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</si>
  <si>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</si>
  <si>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</si>
  <si>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</si>
  <si>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</si>
  <si>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</si>
  <si>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</si>
  <si>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</si>
  <si>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</si>
  <si>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</si>
  <si>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</si>
  <si>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</si>
  <si>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</si>
  <si>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</si>
  <si>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</si>
  <si>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</si>
  <si>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</si>
  <si>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</si>
  <si>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</si>
  <si>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</si>
  <si>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</si>
  <si>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</si>
  <si>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</si>
  <si>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</si>
  <si>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</si>
  <si>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</si>
  <si>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</si>
  <si>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</si>
  <si>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</si>
  <si>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</si>
  <si>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</si>
  <si>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</si>
  <si>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</si>
  <si>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</si>
  <si>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</si>
  <si>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</si>
  <si>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</si>
  <si>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</si>
  <si>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</si>
  <si>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</si>
  <si>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</si>
  <si>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</si>
  <si>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</si>
  <si>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</si>
  <si>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</si>
  <si>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</si>
  <si>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</si>
  <si>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</si>
  <si>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</si>
  <si>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</si>
  <si>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</si>
  <si>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</si>
  <si>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</si>
  <si>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</si>
  <si>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</si>
  <si>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</si>
  <si>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</si>
  <si>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</si>
  <si>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</si>
  <si>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</si>
  <si>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</si>
  <si>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</si>
  <si>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</si>
  <si>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</si>
  <si>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</si>
  <si>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</si>
  <si>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</si>
  <si>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</si>
  <si>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</si>
  <si>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</si>
  <si>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</si>
  <si>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</si>
  <si>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Hasan </t>
  </si>
  <si>
    <t>Dawood Store</t>
  </si>
  <si>
    <t>Address: Landa Bazar</t>
  </si>
  <si>
    <t>Saeed But GS</t>
  </si>
  <si>
    <t xml:space="preserve">Address: Rehman Gali </t>
  </si>
  <si>
    <t>Ajwa Bakery</t>
  </si>
  <si>
    <t xml:space="preserve">Address: Railway Station </t>
  </si>
  <si>
    <t>CNIC #: 352026226316-9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</si>
</sst>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G40" sqref="G4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Dawood Store</v>
      </c>
      <c r="T3" s="301">
        <f>+'1'!P35</f>
        <v>1698.7886871292369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Saeed But GS</v>
      </c>
      <c r="T4" s="301">
        <f>+'2'!P35</f>
        <v>235.21586888135593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Ajwa Bakery</v>
      </c>
      <c r="T5" s="301">
        <f>+'3'!P35</f>
        <v>3934.229496330508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</v>
      </c>
      <c r="I10" s="236">
        <f t="shared" si="0"/>
        <v>72.64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5.8112000000000004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2.5424000000000002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64.2864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13.728813559322035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0.39007606779661019</v>
      </c>
      <c r="P10" s="311">
        <f t="shared" si="2"/>
        <v>78.405289627118648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</v>
      </c>
      <c r="I11" s="236">
        <f t="shared" si="0"/>
        <v>72.64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5.8112000000000004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2.5424000000000002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64.2864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13.728813559322035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0.39007606779661019</v>
      </c>
      <c r="P11" s="311">
        <f t="shared" si="2"/>
        <v>78.405289627118648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</v>
      </c>
      <c r="I12" s="236">
        <f t="shared" si="0"/>
        <v>72.64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5.8112000000000004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2.5424000000000002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64.2864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13.728813559322035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0.39007606779661019</v>
      </c>
      <c r="P12" s="311">
        <f t="shared" si="2"/>
        <v>78.405289627118648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2.8250000000000002</v>
      </c>
      <c r="H16" s="113">
        <f t="shared" ref="H16:M16" si="3">SUM(H7:H15)</f>
        <v>113</v>
      </c>
      <c r="I16" s="114">
        <f t="shared" si="3"/>
        <v>5459.4949999999999</v>
      </c>
      <c r="J16" s="274">
        <f>SUM(J7:J15)</f>
        <v>389.68359999999996</v>
      </c>
      <c r="K16" s="275">
        <f t="shared" si="3"/>
        <v>191.08232499999997</v>
      </c>
      <c r="L16" s="276">
        <f t="shared" si="3"/>
        <v>80.029200000000003</v>
      </c>
      <c r="M16" s="232">
        <f t="shared" si="3"/>
        <v>4798.6998750000002</v>
      </c>
      <c r="N16" s="233">
        <f>SUM(N7:N15)</f>
        <v>1040.3389830508468</v>
      </c>
      <c r="O16" s="101">
        <f>SUM(O7:O15)</f>
        <v>29.195194290254236</v>
      </c>
      <c r="P16" s="113">
        <f>SUM(P7:P15)</f>
        <v>5868.2340523411021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5459.4949999999999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389.68359999999996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271.11152499999997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4798.6998749999993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1040.3389830508468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5839.0388580508461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29.195194290254236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5868.2340523411003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5868.2340523411003</v>
      </c>
    </row>
    <row r="44" spans="2:20" x14ac:dyDescent="0.35">
      <c r="B44" t="s">
        <v>516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1573.875</v>
      </c>
      <c r="J25" s="274">
        <f>SUM(J16:J24)</f>
        <v>125.91</v>
      </c>
      <c r="K25" s="275">
        <f t="shared" si="10"/>
        <v>55.085625000000007</v>
      </c>
      <c r="L25" s="276">
        <f t="shared" si="10"/>
        <v>0</v>
      </c>
      <c r="M25" s="232">
        <f t="shared" si="10"/>
        <v>1392.879375</v>
      </c>
      <c r="N25" s="233">
        <f>SUM(N16:N24)</f>
        <v>297.45762711864393</v>
      </c>
      <c r="O25" s="101">
        <f>SUM(O16:O24)</f>
        <v>8.45168501059322</v>
      </c>
      <c r="P25" s="113">
        <f>SUM(P16:P24)</f>
        <v>1698.7886871292371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1573.875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125.91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55.085625000000007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1392.879375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1690.3370021186438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42" t="s">
        <v>88</v>
      </c>
      <c r="O35" s="343"/>
      <c r="P35" s="297">
        <f>+P33+P34</f>
        <v>1698.7886871292369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217.92000000000002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17.433600000000002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7.6272000000000002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192.85920000000002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234.04564067796611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2" t="s">
        <v>88</v>
      </c>
      <c r="O35" s="343"/>
      <c r="P35" s="297">
        <f>+P33+P34</f>
        <v>235.21586888135593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311">
        <f t="shared" si="5"/>
        <v>1698.7886871292369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2026-08-19T12:12:17Z</dcterms:modified>
</cp:coreProperties>
</file>