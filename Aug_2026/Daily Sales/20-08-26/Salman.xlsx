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A805F94-FCAF-4545-9E93-58F749214A24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0" i="50"/>
  <c r="O20" i="50" s="1"/>
  <c r="P20" i="50" s="1"/>
  <c r="R20" i="50" s="1"/>
  <c r="M16" i="48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<sst xmlns="http://schemas.openxmlformats.org/spreadsheetml/2006/main" count="3978" uniqueCount="528">
  <si>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</si>
  <si>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</si>
  <si>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</si>
  <si>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</si>
  <si>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</si>
  <si>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</si>
  <si>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</si>
  <si>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</si>
  <si>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</si>
  <si>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</si>
  <si>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</si>
  <si>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</si>
  <si>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</si>
  <si>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</si>
  <si>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</si>
  <si>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</si>
  <si>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</si>
  <si>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</si>
  <si>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</si>
  <si>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</si>
  <si>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</si>
  <si>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</si>
  <si>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</si>
  <si>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</si>
  <si>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</si>
  <si>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</si>
  <si>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</si>
  <si>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</si>
  <si>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</si>
  <si>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</si>
  <si>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</si>
  <si>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</si>
  <si>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</si>
  <si>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</si>
  <si>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</si>
  <si>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</si>
  <si>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</si>
  <si>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</si>
  <si>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</si>
  <si>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</si>
  <si>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</si>
  <si>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</si>
  <si>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</si>
  <si>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</si>
  <si>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</si>
  <si>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</si>
  <si>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</si>
  <si>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</si>
  <si>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</si>
  <si>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</si>
  <si>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</si>
  <si>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</si>
  <si>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</si>
  <si>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</si>
  <si>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</si>
  <si>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</si>
  <si>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</si>
  <si>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</si>
  <si>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</si>
  <si>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</si>
  <si>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</si>
  <si>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</si>
  <si>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</si>
  <si>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</si>
  <si>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</si>
  <si>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</si>
  <si>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</si>
  <si>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</si>
  <si>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</si>
  <si>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</si>
  <si>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</si>
  <si>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</si>
  <si>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</si>
  <si>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</si>
  <si>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</si>
  <si>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</si>
  <si>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</si>
  <si>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</si>
  <si>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</si>
  <si>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</si>
  <si>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</si>
  <si>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</si>
  <si>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</si>
  <si>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</si>
  <si>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</si>
  <si>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</si>
  <si>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</si>
  <si>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</si>
  <si>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</si>
  <si>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</si>
  <si>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</si>
  <si>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</si>
  <si>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</si>
  <si>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</si>
  <si>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</si>
  <si>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</si>
  <si>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</si>
  <si>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</si>
  <si>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</si>
  <si>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</si>
  <si>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</si>
  <si>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</si>
  <si>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</si>
  <si>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</si>
  <si>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</si>
  <si>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</si>
  <si>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</si>
  <si>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</si>
  <si>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</si>
  <si>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</si>
  <si>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</si>
  <si>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</si>
  <si>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</si>
  <si>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</si>
  <si>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</si>
  <si>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</si>
  <si>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</si>
  <si>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</si>
  <si>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</si>
  <si>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</si>
  <si>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</si>
  <si>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</si>
  <si>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</si>
  <si>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</si>
  <si>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</si>
  <si>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</si>
  <si>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</si>
  <si>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</si>
  <si>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</si>
  <si>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</si>
  <si>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</si>
  <si>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</si>
  <si>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</si>
  <si>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</si>
  <si>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</si>
  <si>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</si>
  <si>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</si>
  <si>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</si>
  <si>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</si>
  <si>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</si>
  <si>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</si>
  <si>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</si>
  <si>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</si>
  <si>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</si>
  <si>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</si>
  <si>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</si>
  <si>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</si>
  <si>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</si>
  <si>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</si>
  <si>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</si>
  <si>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</si>
  <si>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</si>
  <si>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</si>
  <si>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</si>
  <si>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</si>
  <si>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</si>
  <si>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</si>
  <si>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</si>
  <si>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</si>
  <si>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</si>
  <si>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</si>
  <si>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</si>
  <si>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</si>
  <si>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</si>
  <si>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</si>
  <si>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</si>
  <si>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</si>
  <si>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</si>
  <si>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</si>
  <si>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</si>
  <si>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</si>
  <si>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</si>
  <si>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</si>
  <si>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</si>
  <si>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</si>
  <si>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</si>
  <si>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</si>
  <si>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</si>
  <si>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</si>
  <si>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</si>
  <si>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</si>
  <si>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</si>
  <si>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</si>
  <si>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</si>
  <si>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</si>
  <si>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</si>
  <si>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</si>
  <si>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</si>
  <si>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</si>
  <si>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</si>
  <si>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</si>
  <si>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</si>
  <si>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</si>
  <si>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</si>
  <si>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</si>
  <si>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</si>
  <si>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</si>
  <si>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</si>
  <si>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</si>
  <si>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</si>
  <si>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</si>
  <si>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</si>
  <si>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</si>
  <si>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</si>
  <si>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</si>
  <si>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</si>
  <si>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</si>
  <si>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</si>
  <si>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</si>
  <si>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</si>
  <si>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</si>
  <si>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</si>
  <si>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</si>
  <si>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</si>
  <si>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</si>
  <si>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</si>
  <si>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</si>
  <si>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</si>
  <si>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</si>
  <si>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</si>
  <si>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</si>
  <si>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</si>
  <si>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</si>
  <si>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</si>
  <si>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</si>
  <si>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</si>
  <si>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</si>
  <si>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</si>
  <si>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</si>
  <si>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</si>
  <si>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</si>
  <si>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</si>
  <si>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</si>
  <si>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</si>
  <si>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</si>
  <si>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</si>
  <si>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</si>
  <si>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</si>
  <si>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</si>
  <si>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</si>
  <si>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</si>
  <si>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</si>
  <si>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</si>
  <si>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</si>
  <si>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</si>
  <si>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</si>
  <si>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</si>
  <si>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</si>
  <si>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</si>
  <si>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</si>
  <si>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</si>
  <si>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</si>
  <si>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</si>
  <si>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</si>
  <si>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</si>
  <si>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</si>
  <si>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</si>
  <si>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</si>
  <si>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</si>
  <si>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</si>
  <si>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</si>
  <si>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</si>
  <si>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</si>
  <si>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</si>
  <si>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</si>
  <si>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</si>
  <si>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</si>
  <si>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</si>
  <si>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</si>
  <si>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</si>
  <si>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</si>
  <si>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</si>
  <si>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</si>
  <si>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</si>
  <si>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</si>
  <si>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</si>
  <si>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</si>
  <si>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</si>
  <si>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</si>
  <si>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</si>
  <si>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</si>
  <si>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</si>
  <si>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</si>
  <si>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</si>
  <si>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</si>
  <si>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</si>
  <si>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</si>
  <si>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</si>
  <si>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</si>
  <si>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</si>
  <si>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</si>
  <si>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</si>
  <si>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</si>
  <si>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</si>
  <si>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</si>
  <si>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</si>
  <si>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</si>
  <si>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</si>
  <si>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</si>
  <si>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</si>
  <si>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</si>
  <si>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</si>
  <si>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</si>
  <si>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</si>
  <si>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</si>
  <si>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</si>
  <si>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</si>
  <si>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</si>
  <si>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</si>
  <si>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</si>
  <si>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</si>
  <si>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</si>
  <si>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</si>
  <si>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</si>
  <si>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</si>
  <si>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</si>
  <si>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</si>
  <si>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</si>
  <si>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</si>
  <si>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</si>
  <si>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</si>
  <si>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</si>
  <si>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</si>
  <si>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</si>
  <si>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</si>
  <si>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</si>
  <si>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</si>
  <si>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</si>
  <si>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</si>
  <si>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</si>
  <si>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</si>
  <si>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</si>
  <si>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</si>
  <si>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</si>
  <si>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</si>
  <si>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</si>
  <si>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</si>
  <si>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</si>
  <si>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</si>
  <si>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</si>
  <si>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</si>
  <si>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</si>
  <si>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</si>
  <si>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</si>
  <si>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</si>
  <si>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</si>
  <si>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</si>
  <si>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</si>
  <si>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</si>
  <si>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</si>
  <si>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</si>
  <si>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</si>
  <si>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</si>
  <si>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</si>
  <si>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</si>
  <si>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</si>
  <si>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</si>
  <si>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</si>
  <si>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</si>
  <si>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</si>
  <si>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</si>
  <si>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</si>
  <si>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</si>
  <si>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</si>
  <si>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</si>
  <si>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</si>
  <si>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</si>
  <si>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</si>
  <si>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</si>
  <si>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</si>
  <si>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</si>
  <si>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</si>
  <si>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</si>
  <si>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</si>
  <si>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</si>
  <si>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</si>
  <si>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</si>
  <si>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</si>
  <si>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</si>
  <si>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</si>
  <si>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</si>
  <si>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</si>
  <si>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</si>
  <si>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</si>
  <si>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</si>
  <si>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</si>
  <si>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</si>
  <si>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</si>
  <si>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</si>
  <si>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</si>
  <si>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</si>
  <si>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</si>
  <si>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</si>
  <si>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</si>
  <si>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</si>
  <si>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</si>
  <si>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</si>
  <si>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</si>
  <si>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</si>
  <si>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</si>
  <si>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</si>
  <si>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</si>
  <si>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</si>
  <si>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</si>
  <si>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</si>
  <si>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</si>
  <si>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</si>
  <si>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</si>
  <si>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</si>
  <si>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</si>
  <si>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</si>
  <si>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</si>
  <si>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</si>
  <si>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</si>
  <si>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</si>
  <si>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</si>
  <si>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</si>
  <si>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</si>
  <si>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</si>
  <si>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</si>
  <si>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</si>
  <si>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</si>
  <si>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</si>
  <si>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</si>
  <si>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</si>
  <si>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</si>
  <si>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</si>
  <si>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</si>
  <si>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</si>
  <si>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</si>
  <si>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</si>
  <si>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</si>
  <si>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</si>
  <si>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</si>
  <si>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</si>
  <si>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</si>
  <si>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</si>
  <si>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</si>
  <si>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</si>
  <si>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</si>
  <si>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</si>
  <si>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</si>
  <si>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</si>
  <si>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</si>
  <si>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</si>
  <si>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</si>
  <si>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</si>
  <si>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</si>
  <si>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</si>
  <si>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</si>
  <si>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</si>
  <si>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</si>
  <si>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</si>
  <si>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</si>
  <si>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</si>
  <si>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</si>
  <si>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</si>
  <si>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</si>
  <si>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</si>
  <si>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</si>
  <si>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</si>
  <si>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</si>
  <si>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</si>
  <si>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</si>
  <si>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</si>
  <si>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</si>
  <si>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</si>
  <si>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</si>
  <si>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</si>
  <si>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</si>
  <si>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</si>
  <si>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</si>
  <si>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</si>
  <si>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</si>
  <si>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</si>
  <si>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</si>
  <si>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</si>
  <si>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</si>
  <si>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</si>
  <si>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</si>
  <si>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</si>
  <si>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</si>
  <si>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</si>
  <si>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</si>
  <si>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</si>
  <si>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</si>
  <si>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</si>
  <si>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</si>
  <si>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</si>
  <si>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</si>
  <si>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</si>
  <si>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</si>
  <si>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</si>
  <si>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</si>
  <si>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</si>
  <si>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</si>
  <si>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</si>
  <si>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</si>
  <si>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</si>
  <si>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</si>
  <si>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</si>
  <si>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</si>
  <si>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</si>
  <si>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</si>
  <si>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</si>
  <si>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</si>
  <si>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</si>
  <si>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</si>
  <si>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</si>
  <si>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</si>
  <si>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</si>
  <si>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</si>
  <si>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</si>
  <si>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</si>
  <si>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</si>
  <si>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</si>
  <si>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Salman</t>
  </si>
  <si>
    <t xml:space="preserve">Al Falah Bakery </t>
  </si>
  <si>
    <t>Address: Cavelary Ground</t>
  </si>
  <si>
    <t>Wali Super Store</t>
  </si>
  <si>
    <t>Harmain Store</t>
  </si>
  <si>
    <t>Al Fateh Super Store</t>
  </si>
  <si>
    <t xml:space="preserve">K Mart </t>
  </si>
  <si>
    <t>Ali Super Store</t>
  </si>
  <si>
    <t>Shreef GS</t>
  </si>
  <si>
    <t>Al Sheikh Store</t>
  </si>
  <si>
    <t>Aashiyana Store</t>
  </si>
  <si>
    <t>Hafiz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</si>
</sst>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" workbookViewId="0">
      <selection activeCell="U5" sqref="U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46253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Al Falah Bakery </v>
      </c>
      <c r="T3" s="301">
        <f>+'1'!P35</f>
        <v>4805.3894985762709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Wali Super Store</v>
      </c>
      <c r="T4" s="301">
        <f>+'2'!P35</f>
        <v>3934.229496330508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Harmain Store</v>
      </c>
      <c r="T5" s="301">
        <f>+'3'!P35</f>
        <v>1568.1057925423729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Al Fateh Super Store</v>
      </c>
      <c r="T6" s="301">
        <f>+'4'!P35</f>
        <v>1967.114748165254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72</v>
      </c>
      <c r="I7" s="235">
        <f>(G7*D7)*F7+H7*F7</f>
        <v>3777.2999999999997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302.18399999999997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132.20550000000003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3342.9105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713.8983050847454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20.284044025423729</v>
      </c>
      <c r="P7" s="310">
        <f>M7+N7+O7</f>
        <v>4077.092849110169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K Mart </v>
      </c>
      <c r="T7" s="301">
        <f>+'5'!P35</f>
        <v>2700.6315839618646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92</v>
      </c>
      <c r="I8" s="236">
        <f t="shared" ref="I8:I14" si="0">(G8*D8)*F8+H8*F8</f>
        <v>4826.55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386.12399999999991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168.92925000000002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4271.4967500000002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912.20338983050806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25.918500699152542</v>
      </c>
      <c r="P8" s="311">
        <f t="shared" ref="P8:P15" si="2">M8+N8+O8</f>
        <v>5209.6186405296612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Ali Super Store</v>
      </c>
      <c r="T8" s="301">
        <f>+'6'!P35</f>
        <v>3397.5773742584738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32</v>
      </c>
      <c r="I9" s="236">
        <f t="shared" si="0"/>
        <v>1678.8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134.304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58.758000000000003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1485.7379999999998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317.2881355932202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9.015130677966102</v>
      </c>
      <c r="P9" s="311">
        <f t="shared" si="2"/>
        <v>1812.041266271186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Shreef GS</v>
      </c>
      <c r="T9" s="301">
        <f>+'7'!P35</f>
        <v>2038.5464245550845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82</v>
      </c>
      <c r="I10" s="236">
        <f t="shared" si="0"/>
        <v>5956.4800000000005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476.51840000000004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208.47680000000003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5271.4848000000002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1125.762711864407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31.986237559322038</v>
      </c>
      <c r="P10" s="311">
        <f t="shared" si="2"/>
        <v>6429.233749423729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Al Sheikh Store</v>
      </c>
      <c r="T10" s="301">
        <f>+'8'!P35</f>
        <v>2382.4803250983055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26</v>
      </c>
      <c r="I11" s="236">
        <f t="shared" si="0"/>
        <v>1888.64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151.09120000000001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66.102400000000003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1671.4464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356.94915254237287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10.141977762711864</v>
      </c>
      <c r="P11" s="311">
        <f t="shared" si="2"/>
        <v>2038.5375303050848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Aashiyana Store</v>
      </c>
      <c r="T11" s="301">
        <f>+'9'!P35</f>
        <v>3901.9789586059323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26</v>
      </c>
      <c r="I12" s="236">
        <f t="shared" si="0"/>
        <v>1888.64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151.09120000000001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66.102400000000003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1671.4464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356.94915254237287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10.141977762711864</v>
      </c>
      <c r="P12" s="311">
        <f t="shared" si="2"/>
        <v>2038.5375303050848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Hafiz Store</v>
      </c>
      <c r="T12" s="301">
        <f>+'10'!P35</f>
        <v>250.37668702372881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128</v>
      </c>
      <c r="I13" s="236">
        <f t="shared" si="0"/>
        <v>5021.4400000000005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251.07200000000009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175.75040000000004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256.09344000000004</v>
      </c>
      <c r="M13" s="230">
        <f t="shared" si="1"/>
        <v>4338.5241600000008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976.27118644067741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26.573976732203391</v>
      </c>
      <c r="P13" s="311">
        <f t="shared" si="2"/>
        <v>5341.3693231728812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11.45</v>
      </c>
      <c r="H16" s="113">
        <f t="shared" ref="H16:M16" si="3">SUM(H7:H15)</f>
        <v>458</v>
      </c>
      <c r="I16" s="114">
        <f t="shared" si="3"/>
        <v>25037.85</v>
      </c>
      <c r="J16" s="274">
        <f>SUM(J7:J15)</f>
        <v>1852.3848000000003</v>
      </c>
      <c r="K16" s="275">
        <f t="shared" si="3"/>
        <v>876.32475000000011</v>
      </c>
      <c r="L16" s="276">
        <f t="shared" si="3"/>
        <v>256.09344000000004</v>
      </c>
      <c r="M16" s="232">
        <f t="shared" si="3"/>
        <v>22053.047010000002</v>
      </c>
      <c r="N16" s="233">
        <f>SUM(N7:N15)</f>
        <v>4759.3220338983037</v>
      </c>
      <c r="O16" s="101">
        <f>SUM(O7:O15)</f>
        <v>134.06184521949152</v>
      </c>
      <c r="P16" s="113">
        <f>SUM(P7:P15)</f>
        <v>26946.430889117801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25037.85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1852.3848000000003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1132.4181900000001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22053.047009999998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4759.3220338983037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26812.369043898303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134.06184521949152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26946.430889117793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26946.430889117793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7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4474.8</v>
      </c>
      <c r="J25" s="274">
        <f>SUM(J16:J24)</f>
        <v>310.90800000000002</v>
      </c>
      <c r="K25" s="275">
        <f t="shared" si="10"/>
        <v>156.61800000000002</v>
      </c>
      <c r="L25" s="276">
        <f t="shared" si="10"/>
        <v>80.029200000000003</v>
      </c>
      <c r="M25" s="232">
        <f t="shared" si="10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4474.8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310.90800000000002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236.64720000000003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3927.2447999999999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4781.4820881355927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2" t="s">
        <v>88</v>
      </c>
      <c r="O35" s="343"/>
      <c r="P35" s="297">
        <f>+P33+P34</f>
        <v>4805.3894985762709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3667.7000000000003</v>
      </c>
      <c r="J25" s="274">
        <f>SUM(J16:J24)</f>
        <v>246.34000000000003</v>
      </c>
      <c r="K25" s="275">
        <f t="shared" si="7"/>
        <v>128.36950000000002</v>
      </c>
      <c r="L25" s="276">
        <f t="shared" si="7"/>
        <v>80.029200000000003</v>
      </c>
      <c r="M25" s="232">
        <f t="shared" si="7"/>
        <v>3212.9613000000004</v>
      </c>
      <c r="N25" s="233">
        <f>SUM(N16:N24)</f>
        <v>701.694915254237</v>
      </c>
      <c r="O25" s="101">
        <f>SUM(O16:O24)</f>
        <v>19.573281076271186</v>
      </c>
      <c r="P25" s="113">
        <f>SUM(P16:P24)</f>
        <v>3934.2294963305085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3667.7000000000003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246.34000000000003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208.39870000000002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3212.9612999999999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701.694915254237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3914.6562152542369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19.573281076271186</v>
      </c>
    </row>
    <row r="35" spans="2:16" ht="15.75" customHeight="1" thickBot="1" x14ac:dyDescent="0.4">
      <c r="N35" s="342" t="s">
        <v>88</v>
      </c>
      <c r="O35" s="343"/>
      <c r="P35" s="297">
        <f>+P33+P34</f>
        <v>3934.229496330508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8.7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1452.8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116.224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50.848000000000006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1285.7280000000001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1560.3042711864407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2" t="s">
        <v>88</v>
      </c>
      <c r="O35" s="343"/>
      <c r="P35" s="297">
        <f>+P33+P34</f>
        <v>1568.1057925423729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1833.8500000000001</v>
      </c>
      <c r="J25" s="274">
        <f>SUM(J16:J24)</f>
        <v>123.17000000000002</v>
      </c>
      <c r="K25" s="275">
        <f t="shared" si="7"/>
        <v>64.184750000000008</v>
      </c>
      <c r="L25" s="276">
        <f t="shared" si="7"/>
        <v>40.014600000000002</v>
      </c>
      <c r="M25" s="232">
        <f t="shared" si="7"/>
        <v>1606.4806500000002</v>
      </c>
      <c r="N25" s="233">
        <f>SUM(N16:N24)</f>
        <v>350.8474576271185</v>
      </c>
      <c r="O25" s="101">
        <f>SUM(O16:O24)</f>
        <v>9.7866405381355932</v>
      </c>
      <c r="P25" s="113">
        <f>SUM(P16:P24)</f>
        <v>1967.1147481652542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1833.8500000000001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123.17000000000002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104.19935000000001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1606.48065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350.8474576271185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1957.3281076271185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9.7866405381355932</v>
      </c>
    </row>
    <row r="35" spans="2:16" ht="15.75" customHeight="1" thickBot="1" x14ac:dyDescent="0.4">
      <c r="N35" s="342" t="s">
        <v>88</v>
      </c>
      <c r="O35" s="343"/>
      <c r="P35" s="297">
        <f>+P33+P34</f>
        <v>1967.114748165254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2502.0500000000002</v>
      </c>
      <c r="J25" s="274">
        <f>SUM(J16:J24)</f>
        <v>200.16399999999999</v>
      </c>
      <c r="K25" s="275">
        <f t="shared" si="7"/>
        <v>87.571750000000009</v>
      </c>
      <c r="L25" s="276">
        <f t="shared" si="7"/>
        <v>0</v>
      </c>
      <c r="M25" s="232">
        <f t="shared" si="7"/>
        <v>2214.3142500000004</v>
      </c>
      <c r="N25" s="233">
        <f>SUM(N16:N24)</f>
        <v>472.88135593220329</v>
      </c>
      <c r="O25" s="101">
        <f>SUM(O16:O24)</f>
        <v>13.435978029661017</v>
      </c>
      <c r="P25" s="113">
        <f>SUM(P16:P24)</f>
        <v>2700.6315839618646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2502.0500000000002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200.16399999999999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87.571750000000009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2214.3142500000004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472.88135593220329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2687.1956059322038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13.435978029661019</v>
      </c>
    </row>
    <row r="35" spans="2:16" ht="15.75" customHeight="1" thickBot="1" x14ac:dyDescent="0.4">
      <c r="N35" s="342" t="s">
        <v>88</v>
      </c>
      <c r="O35" s="343"/>
      <c r="P35" s="297">
        <f>+P33+P34</f>
        <v>2700.6315839618646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60</v>
      </c>
      <c r="I25" s="114">
        <f t="shared" si="7"/>
        <v>3147.75</v>
      </c>
      <c r="J25" s="274">
        <f>SUM(J16:J24)</f>
        <v>251.82</v>
      </c>
      <c r="K25" s="275">
        <f t="shared" si="7"/>
        <v>110.17125000000001</v>
      </c>
      <c r="L25" s="276">
        <f t="shared" si="7"/>
        <v>0</v>
      </c>
      <c r="M25" s="232">
        <f t="shared" si="7"/>
        <v>2785.75875</v>
      </c>
      <c r="N25" s="233">
        <f>SUM(N16:N24)</f>
        <v>594.91525423728785</v>
      </c>
      <c r="O25" s="101">
        <f>SUM(O16:O24)</f>
        <v>16.90337002118644</v>
      </c>
      <c r="P25" s="113">
        <f>SUM(P16:P24)</f>
        <v>3397.5773742584743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3147.75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251.82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110.17125000000001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2785.75875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594.91525423728785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3380.6740042372876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16.90337002118644</v>
      </c>
    </row>
    <row r="35" spans="2:16" ht="15.75" customHeight="1" thickBot="1" x14ac:dyDescent="0.4">
      <c r="N35" s="342" t="s">
        <v>88</v>
      </c>
      <c r="O35" s="343"/>
      <c r="P35" s="297">
        <f>+P33+P34</f>
        <v>3397.5773742584738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36</v>
      </c>
      <c r="I25" s="114">
        <f t="shared" si="7"/>
        <v>1888.6499999999999</v>
      </c>
      <c r="J25" s="274">
        <f>SUM(J16:J24)</f>
        <v>151.09199999999998</v>
      </c>
      <c r="K25" s="275">
        <f t="shared" si="7"/>
        <v>66.10275</v>
      </c>
      <c r="L25" s="276">
        <f t="shared" si="7"/>
        <v>0</v>
      </c>
      <c r="M25" s="232">
        <f t="shared" si="7"/>
        <v>1671.45525</v>
      </c>
      <c r="N25" s="233">
        <f>SUM(N16:N24)</f>
        <v>356.94915254237276</v>
      </c>
      <c r="O25" s="101">
        <f>SUM(O16:O24)</f>
        <v>10.142022012711863</v>
      </c>
      <c r="P25" s="113">
        <f>SUM(P16:P24)</f>
        <v>2038.5464245550847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1888.6499999999999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151.09199999999998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66.10275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1671.45525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356.94915254237276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2028.4044025423727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10.142022012711864</v>
      </c>
    </row>
    <row r="35" spans="2:16" ht="15.75" customHeight="1" thickBot="1" x14ac:dyDescent="0.4">
      <c r="N35" s="342" t="s">
        <v>88</v>
      </c>
      <c r="O35" s="343"/>
      <c r="P35" s="297">
        <f>+P33+P34</f>
        <v>2038.5464245550845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36</v>
      </c>
      <c r="I25" s="114">
        <f t="shared" si="7"/>
        <v>2214.1200000000003</v>
      </c>
      <c r="J25" s="274">
        <f>SUM(J16:J24)</f>
        <v>163.00680000000003</v>
      </c>
      <c r="K25" s="275">
        <f t="shared" si="7"/>
        <v>77.494200000000006</v>
      </c>
      <c r="L25" s="276">
        <f t="shared" si="7"/>
        <v>24.008760000000002</v>
      </c>
      <c r="M25" s="232">
        <f t="shared" si="7"/>
        <v>1949.6102400000002</v>
      </c>
      <c r="N25" s="233">
        <f>SUM(N16:N24)</f>
        <v>421.01694915254234</v>
      </c>
      <c r="O25" s="101">
        <f>SUM(O16:O24)</f>
        <v>11.853135945762713</v>
      </c>
      <c r="P25" s="113">
        <f>SUM(P16:P24)</f>
        <v>2382.480325098305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2214.1200000000003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163.00680000000003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101.50296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1949.6102400000002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421.01694915254234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2370.6271891525425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11.853135945762713</v>
      </c>
    </row>
    <row r="35" spans="2:16" ht="15.75" customHeight="1" thickBot="1" x14ac:dyDescent="0.4">
      <c r="N35" s="342" t="s">
        <v>88</v>
      </c>
      <c r="O35" s="343"/>
      <c r="P35" s="297">
        <f>+P33+P34</f>
        <v>2382.4803250983055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60</v>
      </c>
      <c r="I25" s="114">
        <f t="shared" si="7"/>
        <v>3620.7500000000005</v>
      </c>
      <c r="J25" s="274">
        <f>SUM(J16:J24)</f>
        <v>277.89100000000002</v>
      </c>
      <c r="K25" s="275">
        <f t="shared" si="7"/>
        <v>126.72625000000002</v>
      </c>
      <c r="L25" s="276">
        <f t="shared" si="7"/>
        <v>20.007300000000001</v>
      </c>
      <c r="M25" s="232">
        <f t="shared" si="7"/>
        <v>3196.1254500000005</v>
      </c>
      <c r="N25" s="233">
        <f>SUM(N16:N24)</f>
        <v>686.44067796610148</v>
      </c>
      <c r="O25" s="101">
        <f>SUM(O16:O24)</f>
        <v>19.412830639830506</v>
      </c>
      <c r="P25" s="113">
        <f>SUM(P16:P24)</f>
        <v>3901.9789586059323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3620.7500000000005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277.89100000000002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146.73355000000004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3196.1254500000005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686.44067796610148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3882.5661279661017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19.41283063983051</v>
      </c>
    </row>
    <row r="35" spans="2:16" ht="15.75" customHeight="1" thickBot="1" x14ac:dyDescent="0.4">
      <c r="N35" s="342" t="s">
        <v>88</v>
      </c>
      <c r="O35" s="343"/>
      <c r="P35" s="297">
        <f>+P33+P34</f>
        <v>3901.9789586059323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235.38000000000002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11.769000000000002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20.242680000000004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203.36832000000001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249.13103186440676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42" t="s">
        <v>88</v>
      </c>
      <c r="O35" s="343"/>
      <c r="P35" s="297">
        <f>+P33+P34</f>
        <v>250.37668702372881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46253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2026-08-19T11:58:38Z</dcterms:modified>
</cp:coreProperties>
</file>