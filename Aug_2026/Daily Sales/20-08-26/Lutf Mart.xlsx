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894E815-DDA4-40B0-BBF5-9E353C60D65E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16" i="55" s="1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<sst xmlns="http://schemas.openxmlformats.org/spreadsheetml/2006/main" count="3947" uniqueCount="515">
  <si>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</si>
  <si>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</si>
  <si>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</si>
  <si>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</si>
  <si>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</si>
  <si>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</si>
  <si>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</si>
  <si>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</si>
  <si>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</si>
  <si>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</si>
  <si>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</si>
  <si>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</si>
  <si>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</si>
  <si>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</si>
  <si>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</si>
  <si>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</si>
  <si>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</si>
  <si>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</si>
  <si>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</si>
  <si>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</si>
  <si>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</si>
  <si>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</si>
  <si>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</si>
  <si>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</si>
  <si>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</si>
  <si>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</si>
  <si>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</si>
  <si>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</si>
  <si>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</si>
  <si>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</si>
  <si>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</si>
  <si>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</si>
  <si>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</si>
  <si>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</si>
  <si>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</si>
  <si>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</si>
  <si>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</si>
  <si>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</si>
  <si>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</si>
  <si>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</si>
  <si>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</si>
  <si>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</si>
  <si>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</si>
  <si>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</si>
  <si>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</si>
  <si>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</si>
  <si>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</si>
  <si>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</si>
  <si>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</si>
  <si>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</si>
  <si>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</si>
  <si>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</si>
  <si>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</si>
  <si>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</si>
  <si>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</si>
  <si>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</si>
  <si>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</si>
  <si>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</si>
  <si>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</si>
  <si>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</si>
  <si>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</si>
  <si>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</si>
  <si>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</si>
  <si>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</si>
  <si>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</si>
  <si>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</si>
  <si>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</si>
  <si>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</si>
  <si>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</si>
  <si>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</si>
  <si>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</si>
  <si>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</si>
  <si>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</si>
  <si>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</si>
  <si>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</si>
  <si>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</si>
  <si>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</si>
  <si>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</si>
  <si>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</si>
  <si>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</si>
  <si>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</si>
  <si>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</si>
  <si>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</si>
  <si>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</si>
  <si>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</si>
  <si>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</si>
  <si>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</si>
  <si>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</si>
  <si>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</si>
  <si>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</si>
  <si>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</si>
  <si>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</si>
  <si>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</si>
  <si>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</si>
  <si>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</si>
  <si>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</si>
  <si>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</si>
  <si>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</si>
  <si>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</si>
  <si>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</si>
  <si>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</si>
  <si>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</si>
  <si>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</si>
  <si>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</si>
  <si>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</si>
  <si>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</si>
  <si>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</si>
  <si>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</si>
  <si>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</si>
  <si>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</si>
  <si>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</si>
  <si>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</si>
  <si>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</si>
  <si>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</si>
  <si>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</si>
  <si>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</si>
  <si>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</si>
  <si>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</si>
  <si>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</si>
  <si>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</si>
  <si>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</si>
  <si>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</si>
  <si>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</si>
  <si>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</si>
  <si>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</si>
  <si>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</si>
  <si>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</si>
  <si>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</si>
  <si>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</si>
  <si>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</si>
  <si>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</si>
  <si>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</si>
  <si>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</si>
  <si>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</si>
  <si>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</si>
  <si>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</si>
  <si>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</si>
  <si>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</si>
  <si>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</si>
  <si>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</si>
  <si>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</si>
  <si>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</si>
  <si>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</si>
  <si>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</si>
  <si>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</si>
  <si>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</si>
  <si>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</si>
  <si>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</si>
  <si>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</si>
  <si>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</si>
  <si>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</si>
  <si>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</si>
  <si>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</si>
  <si>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</si>
  <si>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</si>
  <si>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</si>
  <si>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</si>
  <si>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</si>
  <si>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</si>
  <si>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</si>
  <si>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</si>
  <si>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</si>
  <si>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</si>
  <si>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</si>
  <si>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</si>
  <si>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</si>
  <si>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</si>
  <si>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</si>
  <si>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</si>
  <si>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</si>
  <si>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</si>
  <si>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</si>
  <si>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</si>
  <si>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</si>
  <si>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</si>
  <si>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</si>
  <si>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</si>
  <si>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</si>
  <si>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</si>
  <si>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</si>
  <si>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</si>
  <si>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</si>
  <si>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</si>
  <si>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</si>
  <si>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</si>
  <si>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</si>
  <si>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</si>
  <si>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</si>
  <si>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</si>
  <si>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</si>
  <si>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</si>
  <si>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</si>
  <si>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</si>
  <si>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</si>
  <si>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</si>
  <si>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</si>
  <si>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</si>
  <si>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</si>
  <si>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</si>
  <si>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</si>
  <si>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</si>
  <si>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</si>
  <si>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</si>
  <si>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</si>
  <si>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</si>
  <si>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</si>
  <si>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</si>
  <si>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</si>
  <si>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</si>
  <si>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</si>
  <si>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</si>
  <si>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</si>
  <si>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</si>
  <si>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</si>
  <si>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</si>
  <si>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</si>
  <si>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</si>
  <si>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</si>
  <si>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</si>
  <si>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</si>
  <si>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</si>
  <si>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</si>
  <si>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</si>
  <si>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</si>
  <si>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</si>
  <si>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</si>
  <si>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</si>
  <si>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</si>
  <si>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</si>
  <si>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</si>
  <si>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</si>
  <si>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</si>
  <si>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</si>
  <si>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</si>
  <si>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</si>
  <si>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</si>
  <si>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</si>
  <si>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</si>
  <si>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</si>
  <si>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</si>
  <si>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</si>
  <si>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</si>
  <si>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</si>
  <si>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</si>
  <si>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</si>
  <si>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</si>
  <si>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</si>
  <si>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</si>
  <si>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</si>
  <si>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</si>
  <si>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</si>
  <si>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</si>
  <si>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</si>
  <si>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</si>
  <si>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</si>
  <si>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</si>
  <si>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</si>
  <si>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</si>
  <si>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</si>
  <si>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</si>
  <si>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</si>
  <si>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</si>
  <si>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</si>
  <si>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</si>
  <si>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</si>
  <si>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</si>
  <si>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</si>
  <si>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</si>
  <si>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</si>
  <si>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</si>
  <si>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</si>
  <si>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</si>
  <si>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</si>
  <si>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</si>
  <si>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</si>
  <si>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</si>
  <si>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</si>
  <si>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</si>
  <si>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</si>
  <si>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</si>
  <si>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</si>
  <si>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</si>
  <si>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</si>
  <si>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</si>
  <si>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</si>
  <si>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</si>
  <si>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</si>
  <si>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</si>
  <si>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</si>
  <si>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</si>
  <si>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</si>
  <si>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</si>
  <si>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</si>
  <si>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</si>
  <si>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</si>
  <si>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</si>
  <si>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</si>
  <si>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</si>
  <si>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</si>
  <si>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</si>
  <si>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</si>
  <si>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</si>
  <si>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</si>
  <si>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</si>
  <si>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</si>
  <si>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</si>
  <si>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</si>
  <si>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</si>
  <si>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</si>
  <si>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</si>
  <si>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</si>
  <si>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</si>
  <si>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</si>
  <si>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</si>
  <si>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</si>
  <si>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</si>
  <si>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</si>
  <si>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</si>
  <si>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</si>
  <si>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</si>
  <si>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</si>
  <si>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</si>
  <si>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</si>
  <si>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</si>
  <si>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</si>
  <si>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</si>
  <si>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</si>
  <si>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</si>
  <si>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</si>
  <si>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</si>
  <si>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</si>
  <si>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</si>
  <si>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</si>
  <si>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</si>
  <si>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</si>
  <si>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</si>
  <si>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</si>
  <si>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</si>
  <si>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</si>
  <si>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</si>
  <si>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</si>
  <si>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</si>
  <si>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</si>
  <si>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</si>
  <si>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</si>
  <si>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</si>
  <si>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</si>
  <si>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</si>
  <si>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</si>
  <si>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</si>
  <si>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</si>
  <si>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</si>
  <si>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</si>
  <si>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</si>
  <si>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</si>
  <si>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</si>
  <si>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</si>
  <si>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</si>
  <si>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</si>
  <si>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</si>
  <si>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</si>
  <si>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</si>
  <si>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</si>
  <si>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</si>
  <si>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</si>
  <si>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</si>
  <si>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</si>
  <si>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</si>
  <si>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</si>
  <si>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</si>
  <si>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</si>
  <si>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</si>
  <si>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</si>
  <si>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</si>
  <si>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</si>
  <si>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</si>
  <si>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</si>
  <si>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</si>
  <si>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</si>
  <si>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</si>
  <si>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</si>
  <si>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</si>
  <si>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</si>
  <si>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</si>
  <si>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</si>
  <si>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</si>
  <si>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</si>
  <si>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</si>
  <si>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</si>
  <si>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</si>
  <si>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</si>
  <si>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</si>
  <si>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</si>
  <si>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</si>
  <si>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</si>
  <si>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</si>
  <si>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</si>
  <si>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</si>
  <si>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</si>
  <si>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</si>
  <si>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</si>
  <si>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</si>
  <si>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</si>
  <si>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</si>
  <si>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</si>
  <si>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</si>
  <si>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</si>
  <si>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</si>
  <si>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</si>
  <si>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</si>
  <si>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</si>
  <si>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</si>
  <si>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</si>
  <si>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</si>
  <si>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</si>
  <si>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</si>
  <si>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</si>
  <si>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</si>
  <si>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</si>
  <si>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</si>
  <si>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</si>
  <si>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</si>
  <si>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</si>
  <si>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</si>
  <si>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</si>
  <si>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</si>
  <si>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</si>
  <si>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</si>
  <si>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</si>
  <si>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</si>
  <si>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</si>
  <si>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</si>
  <si>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</si>
  <si>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</si>
  <si>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</si>
  <si>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</si>
  <si>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</si>
  <si>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</si>
  <si>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</si>
  <si>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</si>
  <si>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</si>
  <si>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</si>
  <si>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</si>
  <si>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</si>
  <si>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</si>
  <si>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</si>
  <si>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</si>
  <si>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</si>
  <si>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</si>
  <si>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</si>
  <si>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</si>
  <si>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</si>
  <si>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</si>
  <si>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</si>
  <si>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</si>
  <si>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</si>
  <si>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</si>
  <si>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</si>
  <si>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</si>
  <si>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</si>
  <si>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</si>
  <si>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</si>
  <si>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</si>
  <si>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</si>
  <si>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</si>
  <si>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</si>
  <si>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</si>
  <si>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</si>
  <si>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</si>
  <si>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</si>
  <si>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</si>
  <si>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</si>
  <si>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</si>
  <si>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</si>
  <si>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</si>
  <si>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</si>
  <si>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</si>
  <si>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</si>
  <si>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</si>
  <si>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</si>
  <si>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</si>
  <si>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</si>
  <si>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</si>
  <si>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</si>
  <si>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</si>
  <si>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</si>
  <si>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</si>
  <si>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</si>
  <si>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</si>
  <si>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</si>
  <si>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</si>
  <si>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</si>
  <si>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</si>
  <si>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</si>
  <si>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</si>
  <si>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</si>
  <si>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</si>
  <si>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</si>
  <si>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</si>
  <si>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</si>
  <si>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</si>
  <si>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</si>
  <si>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</si>
  <si>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</si>
  <si>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</si>
  <si>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</si>
  <si>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</si>
  <si>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</si>
  <si>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</si>
  <si>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</si>
  <si>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</si>
  <si>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</si>
  <si>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 xml:space="preserve">LUTF Mart </t>
  </si>
  <si>
    <t>Address: Ranger Head Quarter</t>
  </si>
  <si>
    <t>Invoice No # :0002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</si>
</sst>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19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/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46253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 xml:space="preserve">LUTF Mart </v>
      </c>
      <c r="T3" s="301">
        <f>+'1'!P35</f>
        <v>53006.807579237291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LUTF Mart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LUTF Mart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LUTF Mart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1049.25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367.23750000000001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9076.0125000000007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55.29531673728814</v>
      </c>
      <c r="P7" s="310">
        <f>M7+N7+O7</f>
        <v>11114.358664194917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LUTF Mart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LUTF Mart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1049.25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9076.0125000000007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55.29531673728814</v>
      </c>
      <c r="P9" s="311">
        <f t="shared" si="2"/>
        <v>11114.358664194917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LUTF Mart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1452.8000000000002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508.48000000000008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12566.72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76.562413559322039</v>
      </c>
      <c r="P10" s="311">
        <f t="shared" si="2"/>
        <v>15389.045125423729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LUTF Mart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LUTF Mart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1452.8000000000002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12566.72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76.562413559322039</v>
      </c>
      <c r="P12" s="311">
        <f t="shared" si="2"/>
        <v>15389.045125423729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LUTF Mart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LUTF Mart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LUTF Mart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LUTF Mart 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20</v>
      </c>
      <c r="H16" s="113">
        <f t="shared" ref="H16:M16" si="3">SUM(H7:H15)</f>
        <v>800</v>
      </c>
      <c r="I16" s="114">
        <f t="shared" si="3"/>
        <v>50041</v>
      </c>
      <c r="J16" s="274">
        <f>SUM(J7:J15)</f>
        <v>5004.1000000000004</v>
      </c>
      <c r="K16" s="275">
        <f t="shared" si="3"/>
        <v>1751.4350000000002</v>
      </c>
      <c r="L16" s="276">
        <f t="shared" si="3"/>
        <v>0</v>
      </c>
      <c r="M16" s="232">
        <f t="shared" si="3"/>
        <v>43285.465000000004</v>
      </c>
      <c r="N16" s="233">
        <f>SUM(N7:N15)</f>
        <v>9457.6271186440663</v>
      </c>
      <c r="O16" s="101">
        <f>SUM(O7:O15)</f>
        <v>263.71546059322031</v>
      </c>
      <c r="P16" s="113">
        <f>SUM(P7:P15)</f>
        <v>53006.807579237291</v>
      </c>
      <c r="Q16" s="128">
        <f>SUM(Q7:Q15)</f>
        <v>0</v>
      </c>
      <c r="R16" s="314">
        <v>14</v>
      </c>
      <c r="S16" s="300" t="str">
        <f>+'14'!A6:A6</f>
        <v xml:space="preserve">LUTF Mart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LUTF Mart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LUTF Mart 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50041</v>
      </c>
      <c r="R19" s="299">
        <v>17</v>
      </c>
      <c r="S19" s="300" t="str">
        <f>+'17'!A6:A6</f>
        <v xml:space="preserve">LUTF Mart 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5004.1000000000004</v>
      </c>
      <c r="R20" s="299">
        <v>18</v>
      </c>
      <c r="S20" s="300" t="str">
        <f>+'18'!A6:A6</f>
        <v xml:space="preserve">LUTF Mart 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1751.4350000000002</v>
      </c>
      <c r="R21" s="299">
        <v>19</v>
      </c>
      <c r="S21" s="300" t="str">
        <f>+'19'!A6:A6</f>
        <v xml:space="preserve">LUTF Mart 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43285.465000000004</v>
      </c>
      <c r="R22" s="299">
        <v>20</v>
      </c>
      <c r="S22" s="300" t="str">
        <f>+'20'!A6:A6</f>
        <v xml:space="preserve">LUTF Mart 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9457.6271186440663</v>
      </c>
      <c r="R23" s="299">
        <v>21</v>
      </c>
      <c r="S23" s="300" t="str">
        <f>+'21'!A6:A6</f>
        <v xml:space="preserve">LUTF Mart 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52743.092118644068</v>
      </c>
      <c r="R24" s="299">
        <v>22</v>
      </c>
      <c r="S24" s="300" t="str">
        <f>+'22'!A6:A6</f>
        <v xml:space="preserve">LUTF Mart 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263.71546059322031</v>
      </c>
      <c r="R25" s="299">
        <v>23</v>
      </c>
      <c r="S25" s="300" t="str">
        <f>+'23'!A6:A6</f>
        <v xml:space="preserve">LUTF Mart 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53006.807579237291</v>
      </c>
      <c r="R26" s="299">
        <v>24</v>
      </c>
      <c r="S26" s="300" t="str">
        <f>+'24'!A6:A6</f>
        <v xml:space="preserve">LUTF Mart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 xml:space="preserve">LUTF Mart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LUTF Mart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LUTF Mart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LUTF Mart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LUTF Mart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LUTF Mart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53006.807579237291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46253</v>
      </c>
      <c r="O5" s="392"/>
      <c r="P5" s="392"/>
      <c r="R5" s="85"/>
      <c r="S5" s="266"/>
    </row>
    <row r="6" spans="1:22 16383:16384" ht="17.2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500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200</v>
      </c>
      <c r="I16" s="235">
        <f>(G16*D16)*F16+H16*F16</f>
        <v>10492.5</v>
      </c>
      <c r="J16" s="271">
        <f>$I16*S16</f>
        <v>1049.25</v>
      </c>
      <c r="K16" s="127">
        <f>$I16*T16</f>
        <v>367.23750000000001</v>
      </c>
      <c r="L16" s="118">
        <f>$I16*U16</f>
        <v>0</v>
      </c>
      <c r="M16" s="229">
        <f>I16-SUM(J16:L16)</f>
        <v>9076.0125000000007</v>
      </c>
      <c r="N16" s="248">
        <f>+(G16*D16+H16)*V16</f>
        <v>1983.0508474576263</v>
      </c>
      <c r="O16" s="238">
        <f>(N16+M16)*$O$15</f>
        <v>55.29531673728814</v>
      </c>
      <c r="P16" s="310">
        <f>M16+N16+O16</f>
        <v>11114.358664194917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ref="I18:I21" si="7">(G18*D18)*F18+H18*F18</f>
        <v>10492.5</v>
      </c>
      <c r="J18" s="272">
        <f t="shared" si="1"/>
        <v>1049.25</v>
      </c>
      <c r="K18" s="128">
        <f t="shared" si="1"/>
        <v>367.23750000000001</v>
      </c>
      <c r="L18" s="119">
        <f t="shared" si="1"/>
        <v>0</v>
      </c>
      <c r="M18" s="230">
        <f t="shared" si="2"/>
        <v>9076.0125000000007</v>
      </c>
      <c r="N18" s="277">
        <f t="shared" si="3"/>
        <v>1983.0508474576263</v>
      </c>
      <c r="O18" s="239">
        <f t="shared" si="4"/>
        <v>55.29531673728814</v>
      </c>
      <c r="P18" s="311">
        <f t="shared" si="5"/>
        <v>11114.358664194917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7"/>
        <v>14528</v>
      </c>
      <c r="J19" s="272">
        <f t="shared" si="1"/>
        <v>1452.8000000000002</v>
      </c>
      <c r="K19" s="128">
        <f t="shared" si="1"/>
        <v>508.48000000000008</v>
      </c>
      <c r="L19" s="119">
        <f t="shared" si="1"/>
        <v>0</v>
      </c>
      <c r="M19" s="230">
        <f t="shared" si="2"/>
        <v>12566.72</v>
      </c>
      <c r="N19" s="277">
        <f t="shared" si="3"/>
        <v>2745.7627118644068</v>
      </c>
      <c r="O19" s="239">
        <f t="shared" si="4"/>
        <v>76.562413559322039</v>
      </c>
      <c r="P19" s="311">
        <f t="shared" si="5"/>
        <v>15389.045125423729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1452.8000000000002</v>
      </c>
      <c r="K21" s="128">
        <f t="shared" si="1"/>
        <v>508.48000000000008</v>
      </c>
      <c r="L21" s="119">
        <f t="shared" si="1"/>
        <v>0</v>
      </c>
      <c r="M21" s="230">
        <f t="shared" si="2"/>
        <v>12566.72</v>
      </c>
      <c r="N21" s="277">
        <f t="shared" si="3"/>
        <v>2745.7627118644068</v>
      </c>
      <c r="O21" s="239">
        <f t="shared" si="4"/>
        <v>76.562413559322039</v>
      </c>
      <c r="P21" s="311">
        <f t="shared" si="5"/>
        <v>15389.045125423729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800</v>
      </c>
      <c r="I25" s="114">
        <f t="shared" ref="I25:M25" si="10">SUM(I16:I24)</f>
        <v>50041</v>
      </c>
      <c r="J25" s="274">
        <f>SUM(J16:J24)</f>
        <v>5004.1000000000004</v>
      </c>
      <c r="K25" s="275">
        <f t="shared" si="10"/>
        <v>1751.4350000000002</v>
      </c>
      <c r="L25" s="276">
        <f t="shared" si="10"/>
        <v>0</v>
      </c>
      <c r="M25" s="232">
        <f t="shared" si="10"/>
        <v>43285.465000000004</v>
      </c>
      <c r="N25" s="233">
        <f>SUM(N16:N24)</f>
        <v>9457.6271186440663</v>
      </c>
      <c r="O25" s="101">
        <f>SUM(O16:O24)</f>
        <v>263.71546059322031</v>
      </c>
      <c r="P25" s="113">
        <f>SUM(P16:P24)</f>
        <v>53006.807579237291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50041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5004.1000000000004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1751.4350000000002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43285.465000000004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9457.6271186440663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52743.092118644068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263.71546059322037</v>
      </c>
    </row>
    <row r="35" spans="2:16" ht="15.75" customHeight="1" thickBot="1" x14ac:dyDescent="0.4">
      <c r="N35" s="372" t="s">
        <v>88</v>
      </c>
      <c r="O35" s="373"/>
      <c r="P35" s="297">
        <f>+P33+P34</f>
        <v>53006.807579237291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46254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46253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2026-08-19T12:28:45Z</dcterms:modified>
</cp:coreProperties>
</file>