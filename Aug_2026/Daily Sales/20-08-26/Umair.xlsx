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6B9C5B0-495E-4EA3-9EC3-4C8889045AB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<sst xmlns="http://schemas.openxmlformats.org/spreadsheetml/2006/main" count="3978" uniqueCount="527">
  <si>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</si>
  <si>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</si>
  <si>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</si>
  <si>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</si>
  <si>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</si>
  <si>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</si>
  <si>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</si>
  <si>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</si>
  <si>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</si>
  <si>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</si>
  <si>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</si>
  <si>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</si>
  <si>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</si>
  <si>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</si>
  <si>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</si>
  <si>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</si>
  <si>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</si>
  <si>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</si>
  <si>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</si>
  <si>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</si>
  <si>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</si>
  <si>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</si>
  <si>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</si>
  <si>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</si>
  <si>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</si>
  <si>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</si>
  <si>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</si>
  <si>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</si>
  <si>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</si>
  <si>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</si>
  <si>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</si>
  <si>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</si>
  <si>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</si>
  <si>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</si>
  <si>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</si>
  <si>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</si>
  <si>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</si>
  <si>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</si>
  <si>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</si>
  <si>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</si>
  <si>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</si>
  <si>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</si>
  <si>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</si>
  <si>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</si>
  <si>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</si>
  <si>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</si>
  <si>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</si>
  <si>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</si>
  <si>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</si>
  <si>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</si>
  <si>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</si>
  <si>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</si>
  <si>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</si>
  <si>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</si>
  <si>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</si>
  <si>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</si>
  <si>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</si>
  <si>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</si>
  <si>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</si>
  <si>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</si>
  <si>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</si>
  <si>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</si>
  <si>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</si>
  <si>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</si>
  <si>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</si>
  <si>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</si>
  <si>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</si>
  <si>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</si>
  <si>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</si>
  <si>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</si>
  <si>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</si>
  <si>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</si>
  <si>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</si>
  <si>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</si>
  <si>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</si>
  <si>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</si>
  <si>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</si>
  <si>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</si>
  <si>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</si>
  <si>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</si>
  <si>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</si>
  <si>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</si>
  <si>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</si>
  <si>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</si>
  <si>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</si>
  <si>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</si>
  <si>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</si>
  <si>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</si>
  <si>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</si>
  <si>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</si>
  <si>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</si>
  <si>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</si>
  <si>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</si>
  <si>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</si>
  <si>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</si>
  <si>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</si>
  <si>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</si>
  <si>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</si>
  <si>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</si>
  <si>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</si>
  <si>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</si>
  <si>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</si>
  <si>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</si>
  <si>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</si>
  <si>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</si>
  <si>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</si>
  <si>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</si>
  <si>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</si>
  <si>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</si>
  <si>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</si>
  <si>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</si>
  <si>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</si>
  <si>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</si>
  <si>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</si>
  <si>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</si>
  <si>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</si>
  <si>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</si>
  <si>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</si>
  <si>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</si>
  <si>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</si>
  <si>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</si>
  <si>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</si>
  <si>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</si>
  <si>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</si>
  <si>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</si>
  <si>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</si>
  <si>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</si>
  <si>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</si>
  <si>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</si>
  <si>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</si>
  <si>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</si>
  <si>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</si>
  <si>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</si>
  <si>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</si>
  <si>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</si>
  <si>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</si>
  <si>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</si>
  <si>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</si>
  <si>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</si>
  <si>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</si>
  <si>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</si>
  <si>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</si>
  <si>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</si>
  <si>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</si>
  <si>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</si>
  <si>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</si>
  <si>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</si>
  <si>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</si>
  <si>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</si>
  <si>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</si>
  <si>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</si>
  <si>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</si>
  <si>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</si>
  <si>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</si>
  <si>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</si>
  <si>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</si>
  <si>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</si>
  <si>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</si>
  <si>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</si>
  <si>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</si>
  <si>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</si>
  <si>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</si>
  <si>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</si>
  <si>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</si>
  <si>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</si>
  <si>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</si>
  <si>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</si>
  <si>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</si>
  <si>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</si>
  <si>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</si>
  <si>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</si>
  <si>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</si>
  <si>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</si>
  <si>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</si>
  <si>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</si>
  <si>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</si>
  <si>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</si>
  <si>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</si>
  <si>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</si>
  <si>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</si>
  <si>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</si>
  <si>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</si>
  <si>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</si>
  <si>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</si>
  <si>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</si>
  <si>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</si>
  <si>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</si>
  <si>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</si>
  <si>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</si>
  <si>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</si>
  <si>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</si>
  <si>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</si>
  <si>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</si>
  <si>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</si>
  <si>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</si>
  <si>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</si>
  <si>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</si>
  <si>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</si>
  <si>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</si>
  <si>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</si>
  <si>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</si>
  <si>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</si>
  <si>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</si>
  <si>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</si>
  <si>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</si>
  <si>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</si>
  <si>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</si>
  <si>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</si>
  <si>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</si>
  <si>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</si>
  <si>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</si>
  <si>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</si>
  <si>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</si>
  <si>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</si>
  <si>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</si>
  <si>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</si>
  <si>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</si>
  <si>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</si>
  <si>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</si>
  <si>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</si>
  <si>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</si>
  <si>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</si>
  <si>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</si>
  <si>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</si>
  <si>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</si>
  <si>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</si>
  <si>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</si>
  <si>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</si>
  <si>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</si>
  <si>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</si>
  <si>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</si>
  <si>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</si>
  <si>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</si>
  <si>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</si>
  <si>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</si>
  <si>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</si>
  <si>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</si>
  <si>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</si>
  <si>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</si>
  <si>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</si>
  <si>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</si>
  <si>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</si>
  <si>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</si>
  <si>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</si>
  <si>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</si>
  <si>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</si>
  <si>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</si>
  <si>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</si>
  <si>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</si>
  <si>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</si>
  <si>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</si>
  <si>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</si>
  <si>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</si>
  <si>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</si>
  <si>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</si>
  <si>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</si>
  <si>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</si>
  <si>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</si>
  <si>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</si>
  <si>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</si>
  <si>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</si>
  <si>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</si>
  <si>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</si>
  <si>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</si>
  <si>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</si>
  <si>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</si>
  <si>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</si>
  <si>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</si>
  <si>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</si>
  <si>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</si>
  <si>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</si>
  <si>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</si>
  <si>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</si>
  <si>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</si>
  <si>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</si>
  <si>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</si>
  <si>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</si>
  <si>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</si>
  <si>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</si>
  <si>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</si>
  <si>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</si>
  <si>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</si>
  <si>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</si>
  <si>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</si>
  <si>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</si>
  <si>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</si>
  <si>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</si>
  <si>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</si>
  <si>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</si>
  <si>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</si>
  <si>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</si>
  <si>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</si>
  <si>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</si>
  <si>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</si>
  <si>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</si>
  <si>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</si>
  <si>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</si>
  <si>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</si>
  <si>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</si>
  <si>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</si>
  <si>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</si>
  <si>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</si>
  <si>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</si>
  <si>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</si>
  <si>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</si>
  <si>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</si>
  <si>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</si>
  <si>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</si>
  <si>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</si>
  <si>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</si>
  <si>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</si>
  <si>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</si>
  <si>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</si>
  <si>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</si>
  <si>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</si>
  <si>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</si>
  <si>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</si>
  <si>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</si>
  <si>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</si>
  <si>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</si>
  <si>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</si>
  <si>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</si>
  <si>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</si>
  <si>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</si>
  <si>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</si>
  <si>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</si>
  <si>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</si>
  <si>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</si>
  <si>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</si>
  <si>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</si>
  <si>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</si>
  <si>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</si>
  <si>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</si>
  <si>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</si>
  <si>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</si>
  <si>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</si>
  <si>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</si>
  <si>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</si>
  <si>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</si>
  <si>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</si>
  <si>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</si>
  <si>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</si>
  <si>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</si>
  <si>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</si>
  <si>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</si>
  <si>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</si>
  <si>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</si>
  <si>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</si>
  <si>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</si>
  <si>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</si>
  <si>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</si>
  <si>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</si>
  <si>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</si>
  <si>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</si>
  <si>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</si>
  <si>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</si>
  <si>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</si>
  <si>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</si>
  <si>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</si>
  <si>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</si>
  <si>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</si>
  <si>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</si>
  <si>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</si>
  <si>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</si>
  <si>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</si>
  <si>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</si>
  <si>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</si>
  <si>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</si>
  <si>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</si>
  <si>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</si>
  <si>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</si>
  <si>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</si>
  <si>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</si>
  <si>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</si>
  <si>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</si>
  <si>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</si>
  <si>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</si>
  <si>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</si>
  <si>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</si>
  <si>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</si>
  <si>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</si>
  <si>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</si>
  <si>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</si>
  <si>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</si>
  <si>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</si>
  <si>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</si>
  <si>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</si>
  <si>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</si>
  <si>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</si>
  <si>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</si>
  <si>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</si>
  <si>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</si>
  <si>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</si>
  <si>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</si>
  <si>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</si>
  <si>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</si>
  <si>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</si>
  <si>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</si>
  <si>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</si>
  <si>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</si>
  <si>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</si>
  <si>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</si>
  <si>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</si>
  <si>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</si>
  <si>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</si>
  <si>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</si>
  <si>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</si>
  <si>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</si>
  <si>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</si>
  <si>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</si>
  <si>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</si>
  <si>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</si>
  <si>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</si>
  <si>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</si>
  <si>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</si>
  <si>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</si>
  <si>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</si>
  <si>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</si>
  <si>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</si>
  <si>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</si>
  <si>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</si>
  <si>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</si>
  <si>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</si>
  <si>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</si>
  <si>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</si>
  <si>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</si>
  <si>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</si>
  <si>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</si>
  <si>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</si>
  <si>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</si>
  <si>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</si>
  <si>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</si>
  <si>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</si>
  <si>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</si>
  <si>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</si>
  <si>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</si>
  <si>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</si>
  <si>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</si>
  <si>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</si>
  <si>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</si>
  <si>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</si>
  <si>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</si>
  <si>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</si>
  <si>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</si>
  <si>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</si>
  <si>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</si>
  <si>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</si>
  <si>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</si>
  <si>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</si>
  <si>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</si>
  <si>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</si>
  <si>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</si>
  <si>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</si>
  <si>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</si>
  <si>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</si>
  <si>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</si>
  <si>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</si>
  <si>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</si>
  <si>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</si>
  <si>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</si>
  <si>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</si>
  <si>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</si>
  <si>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</si>
  <si>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</si>
  <si>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</si>
  <si>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</si>
  <si>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</si>
  <si>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</si>
  <si>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</si>
  <si>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</si>
  <si>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</si>
  <si>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</si>
  <si>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</si>
  <si>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</si>
  <si>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</si>
  <si>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</si>
  <si>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</si>
  <si>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</si>
  <si>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</si>
  <si>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</si>
  <si>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</si>
  <si>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</si>
  <si>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</si>
  <si>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</si>
  <si>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</si>
  <si>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</si>
  <si>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</si>
  <si>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</si>
  <si>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</si>
  <si>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</si>
  <si>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</si>
  <si>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</si>
  <si>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</si>
  <si>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</si>
  <si>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</si>
  <si>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</si>
  <si>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</si>
  <si>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</si>
  <si>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</si>
  <si>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</si>
  <si>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</si>
  <si>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</si>
  <si>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</si>
  <si>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</si>
  <si>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</si>
  <si>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</si>
  <si>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</si>
  <si>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</si>
  <si>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</si>
  <si>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</si>
  <si>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</si>
  <si>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</si>
  <si>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</si>
  <si>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</si>
  <si>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</si>
  <si>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</si>
  <si>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Umair Rehman </t>
  </si>
  <si>
    <t xml:space="preserve">Address: Youna Abad </t>
  </si>
  <si>
    <t>Umair</t>
  </si>
  <si>
    <t>Abu Hashim  Store</t>
  </si>
  <si>
    <t xml:space="preserve">Grace Land </t>
  </si>
  <si>
    <t>Haroon Dipers Store</t>
  </si>
  <si>
    <t>Khatija Kareyana Store</t>
  </si>
  <si>
    <t xml:space="preserve">Kekis Bakery </t>
  </si>
  <si>
    <t>Malik Ijaz Kareyana Store</t>
  </si>
  <si>
    <t xml:space="preserve">Tahir Mart </t>
  </si>
  <si>
    <t>Address:  Qanchi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</si>
</sst>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5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518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46253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Abu Hashim 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Grace Land 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Haroon Dipers Store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Khatija Kareyana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Kekis Bakery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Malik Ijaz Kareyana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Tahir Mart </v>
      </c>
      <c r="T9" s="301">
        <f>+'7'!P35</f>
        <v>5007.533740474576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192</v>
      </c>
      <c r="I13" s="236">
        <f t="shared" si="0"/>
        <v>7532.1600000000008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376.60800000000006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263.62560000000008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384.14016000000004</v>
      </c>
      <c r="M13" s="230">
        <f t="shared" si="1"/>
        <v>6507.7862400000004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1464.4067796610161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39.860965098305087</v>
      </c>
      <c r="P13" s="311">
        <f t="shared" si="2"/>
        <v>8012.0539847593218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8.8000000000000007</v>
      </c>
      <c r="H16" s="113">
        <f t="shared" ref="H16:M16" si="3">SUM(H7:H15)</f>
        <v>352</v>
      </c>
      <c r="I16" s="114">
        <f t="shared" si="3"/>
        <v>19154.560000000001</v>
      </c>
      <c r="J16" s="274">
        <f>SUM(J7:J15)</f>
        <v>1306.4000000000001</v>
      </c>
      <c r="K16" s="275">
        <f t="shared" si="3"/>
        <v>670.40960000000007</v>
      </c>
      <c r="L16" s="276">
        <f t="shared" si="3"/>
        <v>384.14016000000004</v>
      </c>
      <c r="M16" s="232">
        <f t="shared" si="3"/>
        <v>16793.610240000002</v>
      </c>
      <c r="N16" s="233">
        <f>SUM(N7:N15)</f>
        <v>3661.0169491525417</v>
      </c>
      <c r="O16" s="101">
        <f>SUM(O7:O15)</f>
        <v>102.27313594576272</v>
      </c>
      <c r="P16" s="113">
        <f>SUM(P7:P15)</f>
        <v>20556.900325098304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19154.560000000001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1306.4000000000001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1054.5497600000001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16793.610239999998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3661.0169491525417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20454.627189152539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102.27313594576272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20556.900325098301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20556.900325098304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7.2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4707.6000000000004</v>
      </c>
      <c r="J25" s="274">
        <f>SUM(J16:J24)</f>
        <v>235.38000000000002</v>
      </c>
      <c r="K25" s="275">
        <f t="shared" si="7"/>
        <v>164.76600000000002</v>
      </c>
      <c r="L25" s="276">
        <f t="shared" si="7"/>
        <v>240.08760000000001</v>
      </c>
      <c r="M25" s="232">
        <f t="shared" si="7"/>
        <v>4067.3664000000003</v>
      </c>
      <c r="N25" s="233">
        <f>SUM(N16:N24)</f>
        <v>915.25423728813507</v>
      </c>
      <c r="O25" s="101">
        <f>SUM(O16:O24)</f>
        <v>24.913103186440676</v>
      </c>
      <c r="P25" s="113">
        <f>SUM(P16:P24)</f>
        <v>5007.533740474576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4707.6000000000004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235.38000000000002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404.85360000000003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4067.3664000000003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915.25423728813507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4982.6206372881352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24.913103186440676</v>
      </c>
    </row>
    <row r="35" spans="2:16" ht="15.75" customHeight="1" thickBot="1" x14ac:dyDescent="0.4">
      <c r="N35" s="371" t="s">
        <v>88</v>
      </c>
      <c r="O35" s="372"/>
      <c r="P35" s="297">
        <f>+P33+P34</f>
        <v>5007.533740474576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46254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46253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2026-08-19T12:23:18Z</dcterms:modified>
</cp:coreProperties>
</file>