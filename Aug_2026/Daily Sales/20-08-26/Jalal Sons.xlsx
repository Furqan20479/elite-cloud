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5D6B8C1-9FBB-4540-AEB2-67379DE4B82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<sst xmlns="http://schemas.openxmlformats.org/spreadsheetml/2006/main" count="3977" uniqueCount="517">
  <si>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</si>
  <si>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</si>
  <si>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</si>
  <si>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</si>
  <si>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</si>
  <si>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</si>
  <si>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</si>
  <si>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</si>
  <si>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</si>
  <si>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</si>
  <si>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</si>
  <si>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</si>
  <si>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</si>
  <si>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</si>
  <si>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</si>
  <si>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</si>
  <si>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</si>
  <si>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</si>
  <si>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</si>
  <si>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</si>
  <si>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</si>
  <si>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</si>
  <si>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</si>
  <si>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</si>
  <si>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</si>
  <si>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</si>
  <si>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</si>
  <si>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</si>
  <si>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</si>
  <si>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</si>
  <si>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</si>
  <si>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</si>
  <si>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</si>
  <si>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</si>
  <si>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</si>
  <si>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</si>
  <si>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</si>
  <si>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</si>
  <si>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</si>
  <si>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</si>
  <si>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</si>
  <si>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</si>
  <si>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</si>
  <si>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</si>
  <si>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</si>
  <si>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</si>
  <si>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</si>
  <si>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</si>
  <si>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</si>
  <si>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</si>
  <si>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</si>
  <si>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</si>
  <si>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</si>
  <si>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</si>
  <si>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</si>
  <si>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</si>
  <si>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</si>
  <si>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</si>
  <si>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</si>
  <si>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</si>
  <si>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</si>
  <si>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</si>
  <si>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</si>
  <si>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</si>
  <si>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</si>
  <si>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</si>
  <si>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</si>
  <si>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</si>
  <si>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</si>
  <si>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</si>
  <si>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</si>
  <si>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</si>
  <si>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</si>
  <si>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</si>
  <si>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</si>
  <si>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</si>
  <si>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</si>
  <si>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</si>
  <si>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</si>
  <si>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</si>
  <si>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</si>
  <si>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</si>
  <si>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</si>
  <si>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</si>
  <si>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</si>
  <si>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</si>
  <si>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</si>
  <si>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</si>
  <si>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</si>
  <si>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</si>
  <si>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</si>
  <si>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</si>
  <si>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</si>
  <si>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</si>
  <si>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</si>
  <si>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</si>
  <si>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</si>
  <si>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</si>
  <si>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</si>
  <si>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</si>
  <si>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</si>
  <si>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</si>
  <si>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</si>
  <si>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</si>
  <si>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</si>
  <si>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</si>
  <si>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</si>
  <si>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</si>
  <si>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</si>
  <si>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</si>
  <si>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</si>
  <si>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</si>
  <si>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</si>
  <si>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</si>
  <si>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</si>
  <si>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</si>
  <si>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</si>
  <si>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</si>
  <si>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</si>
  <si>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</si>
  <si>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</si>
  <si>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</si>
  <si>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</si>
  <si>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</si>
  <si>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</si>
  <si>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</si>
  <si>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</si>
  <si>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</si>
  <si>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</si>
  <si>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</si>
  <si>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</si>
  <si>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</si>
  <si>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</si>
  <si>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</si>
  <si>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</si>
  <si>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</si>
  <si>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</si>
  <si>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</si>
  <si>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</si>
  <si>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</si>
  <si>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</si>
  <si>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</si>
  <si>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</si>
  <si>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</si>
  <si>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</si>
  <si>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</si>
  <si>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</si>
  <si>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</si>
  <si>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</si>
  <si>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</si>
  <si>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</si>
  <si>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</si>
  <si>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</si>
  <si>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</si>
  <si>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</si>
  <si>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</si>
  <si>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</si>
  <si>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</si>
  <si>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</si>
  <si>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</si>
  <si>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</si>
  <si>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</si>
  <si>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</si>
  <si>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</si>
  <si>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</si>
  <si>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</si>
  <si>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</si>
  <si>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</si>
  <si>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</si>
  <si>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</si>
  <si>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</si>
  <si>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</si>
  <si>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</si>
  <si>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</si>
  <si>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</si>
  <si>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</si>
  <si>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</si>
  <si>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</si>
  <si>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</si>
  <si>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</si>
  <si>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</si>
  <si>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</si>
  <si>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</si>
  <si>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</si>
  <si>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</si>
  <si>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</si>
  <si>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</si>
  <si>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</si>
  <si>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</si>
  <si>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</si>
  <si>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</si>
  <si>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</si>
  <si>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</si>
  <si>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</si>
  <si>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</si>
  <si>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</si>
  <si>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</si>
  <si>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</si>
  <si>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</si>
  <si>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</si>
  <si>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</si>
  <si>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</si>
  <si>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</si>
  <si>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</si>
  <si>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</si>
  <si>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</si>
  <si>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</si>
  <si>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</si>
  <si>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</si>
  <si>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</si>
  <si>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</si>
  <si>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</si>
  <si>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</si>
  <si>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</si>
  <si>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</si>
  <si>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</si>
  <si>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</si>
  <si>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</si>
  <si>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</si>
  <si>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</si>
  <si>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</si>
  <si>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</si>
  <si>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</si>
  <si>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</si>
  <si>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</si>
  <si>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</si>
  <si>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</si>
  <si>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</si>
  <si>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</si>
  <si>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</si>
  <si>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</si>
  <si>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</si>
  <si>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</si>
  <si>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</si>
  <si>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</si>
  <si>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</si>
  <si>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</si>
  <si>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</si>
  <si>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</si>
  <si>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</si>
  <si>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</si>
  <si>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</si>
  <si>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</si>
  <si>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</si>
  <si>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</si>
  <si>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</si>
  <si>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</si>
  <si>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</si>
  <si>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</si>
  <si>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</si>
  <si>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</si>
  <si>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</si>
  <si>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</si>
  <si>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</si>
  <si>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</si>
  <si>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</si>
  <si>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</si>
  <si>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</si>
  <si>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</si>
  <si>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</si>
  <si>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</si>
  <si>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</si>
  <si>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</si>
  <si>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</si>
  <si>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</si>
  <si>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</si>
  <si>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</si>
  <si>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</si>
  <si>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</si>
  <si>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</si>
  <si>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</si>
  <si>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</si>
  <si>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</si>
  <si>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</si>
  <si>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</si>
  <si>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</si>
  <si>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</si>
  <si>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</si>
  <si>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</si>
  <si>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</si>
  <si>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</si>
  <si>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</si>
  <si>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</si>
  <si>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</si>
  <si>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</si>
  <si>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</si>
  <si>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</si>
  <si>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</si>
  <si>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</si>
  <si>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</si>
  <si>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</si>
  <si>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</si>
  <si>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</si>
  <si>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</si>
  <si>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</si>
  <si>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</si>
  <si>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</si>
  <si>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</si>
  <si>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</si>
  <si>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</si>
  <si>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</si>
  <si>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</si>
  <si>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</si>
  <si>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</si>
  <si>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</si>
  <si>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</si>
  <si>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</si>
  <si>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</si>
  <si>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</si>
  <si>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</si>
  <si>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</si>
  <si>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</si>
  <si>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</si>
  <si>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</si>
  <si>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</si>
  <si>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</si>
  <si>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</si>
  <si>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</si>
  <si>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</si>
  <si>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</si>
  <si>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</si>
  <si>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</si>
  <si>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</si>
  <si>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</si>
  <si>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</si>
  <si>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</si>
  <si>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</si>
  <si>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</si>
  <si>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</si>
  <si>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</si>
  <si>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</si>
  <si>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</si>
  <si>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</si>
  <si>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</si>
  <si>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</si>
  <si>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</si>
  <si>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</si>
  <si>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</si>
  <si>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</si>
  <si>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</si>
  <si>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</si>
  <si>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</si>
  <si>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</si>
  <si>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</si>
  <si>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</si>
  <si>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</si>
  <si>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</si>
  <si>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</si>
  <si>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</si>
  <si>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</si>
  <si>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</si>
  <si>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</si>
  <si>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</si>
  <si>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</si>
  <si>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</si>
  <si>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</si>
  <si>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</si>
  <si>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</si>
  <si>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</si>
  <si>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</si>
  <si>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</si>
  <si>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</si>
  <si>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</si>
  <si>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</si>
  <si>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</si>
  <si>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</si>
  <si>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</si>
  <si>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</si>
  <si>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</si>
  <si>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</si>
  <si>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</si>
  <si>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</si>
  <si>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</si>
  <si>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</si>
  <si>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</si>
  <si>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</si>
  <si>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</si>
  <si>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</si>
  <si>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</si>
  <si>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</si>
  <si>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</si>
  <si>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</si>
  <si>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</si>
  <si>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</si>
  <si>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</si>
  <si>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</si>
  <si>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</si>
  <si>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</si>
  <si>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</si>
  <si>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</si>
  <si>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</si>
  <si>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</si>
  <si>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</si>
  <si>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</si>
  <si>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</si>
  <si>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</si>
  <si>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</si>
  <si>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</si>
  <si>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</si>
  <si>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</si>
  <si>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</si>
  <si>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</si>
  <si>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</si>
  <si>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</si>
  <si>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</si>
  <si>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</si>
  <si>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</si>
  <si>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</si>
  <si>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</si>
  <si>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</si>
  <si>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</si>
  <si>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</si>
  <si>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</si>
  <si>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</si>
  <si>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</si>
  <si>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</si>
  <si>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</si>
  <si>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</si>
  <si>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</si>
  <si>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</si>
  <si>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</si>
  <si>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</si>
  <si>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</si>
  <si>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</si>
  <si>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</si>
  <si>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</si>
  <si>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</si>
  <si>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</si>
  <si>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</si>
  <si>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</si>
  <si>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</si>
  <si>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</si>
  <si>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</si>
  <si>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</si>
  <si>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</si>
  <si>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</si>
  <si>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</si>
  <si>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</si>
  <si>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</si>
  <si>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</si>
  <si>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</si>
  <si>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</si>
  <si>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</si>
  <si>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</si>
  <si>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</si>
  <si>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</si>
  <si>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</si>
  <si>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</si>
  <si>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</si>
  <si>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</si>
  <si>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</si>
  <si>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</si>
  <si>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</si>
  <si>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</si>
  <si>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</si>
  <si>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</si>
  <si>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</si>
  <si>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</si>
  <si>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</si>
  <si>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</si>
  <si>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</si>
  <si>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</si>
  <si>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</si>
  <si>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</si>
  <si>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</si>
  <si>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</si>
  <si>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</si>
  <si>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</si>
  <si>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</si>
  <si>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</si>
  <si>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</si>
  <si>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</si>
  <si>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</si>
  <si>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</si>
  <si>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</si>
  <si>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</si>
  <si>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</si>
  <si>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</si>
  <si>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</si>
  <si>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</si>
  <si>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</si>
  <si>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</si>
  <si>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</si>
  <si>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</si>
  <si>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</si>
  <si>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</si>
  <si>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</si>
  <si>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</si>
  <si>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</si>
  <si>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</si>
  <si>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</si>
  <si>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</si>
  <si>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</si>
  <si>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</si>
  <si>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</si>
  <si>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</si>
  <si>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</si>
  <si>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</si>
  <si>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</si>
  <si>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</si>
  <si>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</si>
  <si>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</si>
  <si>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</si>
  <si>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</si>
  <si>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</si>
  <si>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</si>
  <si>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</si>
  <si>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</si>
  <si>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</si>
  <si>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</si>
  <si>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</si>
  <si>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</si>
  <si>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Jalal Sons </t>
  </si>
  <si>
    <t xml:space="preserve">Address: Chatri Chowk </t>
  </si>
  <si>
    <t xml:space="preserve">Address: Behria </t>
  </si>
  <si>
    <t>NTN #: 1010737-1</t>
  </si>
  <si>
    <t>Invoice No # :14613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</si>
</sst>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/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46253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Jalal Sons </v>
      </c>
      <c r="T3" s="301">
        <f>+'1'!P35</f>
        <v>23943.082074025424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314.77499999999998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1710.2775000000001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10.534438347457627</v>
      </c>
      <c r="P7" s="310">
        <f>M7+N7+O7</f>
        <v>2117.4221078389828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314.77499999999998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1710.2775000000001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10.534438347457627</v>
      </c>
      <c r="P8" s="311">
        <f t="shared" ref="P8:P15" si="2">M8+N8+O8</f>
        <v>2117.4221078389828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314.77499999999998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1710.2775000000001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10.534438347457627</v>
      </c>
      <c r="P9" s="311">
        <f t="shared" si="2"/>
        <v>2117.4221078389828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871.68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4736.1279999999997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29.172165423728813</v>
      </c>
      <c r="P10" s="311">
        <f t="shared" si="2"/>
        <v>5863.6052501694912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871.68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4736.1279999999997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29.172165423728813</v>
      </c>
      <c r="P11" s="311">
        <f t="shared" si="2"/>
        <v>5863.6052501694912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871.68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4736.1279999999997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29.172165423728813</v>
      </c>
      <c r="P12" s="311">
        <f t="shared" si="2"/>
        <v>5863.6052501694912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9</v>
      </c>
      <c r="H16" s="113">
        <f t="shared" ref="H16:M16" si="3">SUM(H7:H15)</f>
        <v>360</v>
      </c>
      <c r="I16" s="114">
        <f t="shared" si="3"/>
        <v>23729.100000000002</v>
      </c>
      <c r="J16" s="274">
        <f>SUM(J7:J15)</f>
        <v>3559.3649999999998</v>
      </c>
      <c r="K16" s="275">
        <f t="shared" si="3"/>
        <v>830.51850000000013</v>
      </c>
      <c r="L16" s="276">
        <f t="shared" si="3"/>
        <v>0</v>
      </c>
      <c r="M16" s="232">
        <f t="shared" si="3"/>
        <v>19339.216500000002</v>
      </c>
      <c r="N16" s="233">
        <f>SUM(N7:N15)</f>
        <v>4484.7457627118638</v>
      </c>
      <c r="O16" s="101">
        <f>SUM(O7:O15)</f>
        <v>119.11981131355932</v>
      </c>
      <c r="P16" s="113">
        <f>SUM(P7:P15)</f>
        <v>23943.08207402542</v>
      </c>
      <c r="Q16" s="128">
        <f>SUM(Q7:Q15)</f>
        <v>0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23729.100000000002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3559.3649999999998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830.51850000000013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19339.216500000002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4484.7457627118638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23823.962262711866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119.11981131355932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23943.082074025424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23943.082074025424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7.2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500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314.77499999999998</v>
      </c>
      <c r="K16" s="127">
        <f>$I16*T16</f>
        <v>73.447500000000005</v>
      </c>
      <c r="L16" s="118">
        <f>$I16*U16</f>
        <v>0</v>
      </c>
      <c r="M16" s="229">
        <f>I16-SUM(J16:L16)</f>
        <v>1710.2775000000001</v>
      </c>
      <c r="N16" s="248">
        <f>+(G16*D16+H16)*V16</f>
        <v>396.61016949152526</v>
      </c>
      <c r="O16" s="238">
        <f>(N16+M16)*$O$15</f>
        <v>10.534438347457627</v>
      </c>
      <c r="P16" s="310">
        <f>M16+N16+O16</f>
        <v>2117.4221078389828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314.77499999999998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1710.2775000000001</v>
      </c>
      <c r="N17" s="277">
        <f t="shared" ref="N17:N24" si="3">+(G17*D17+H17)*V17</f>
        <v>396.61016949152526</v>
      </c>
      <c r="O17" s="239">
        <f t="shared" ref="O17:O24" si="4">(N17+M17)*$O$15</f>
        <v>10.534438347457627</v>
      </c>
      <c r="P17" s="311">
        <f t="shared" ref="P17:P24" si="5">M17+N17+O17</f>
        <v>2117.4221078389828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ref="I18:I21" si="7">(G18*D18)*F18+H18*F18</f>
        <v>2098.5</v>
      </c>
      <c r="J18" s="272">
        <f t="shared" si="1"/>
        <v>314.77499999999998</v>
      </c>
      <c r="K18" s="128">
        <f t="shared" si="1"/>
        <v>73.447500000000005</v>
      </c>
      <c r="L18" s="119">
        <f t="shared" si="1"/>
        <v>0</v>
      </c>
      <c r="M18" s="230">
        <f t="shared" si="2"/>
        <v>1710.2775000000001</v>
      </c>
      <c r="N18" s="277">
        <f t="shared" si="3"/>
        <v>396.61016949152526</v>
      </c>
      <c r="O18" s="239">
        <f t="shared" si="4"/>
        <v>10.534438347457627</v>
      </c>
      <c r="P18" s="311">
        <f t="shared" si="5"/>
        <v>2117.4221078389828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80</v>
      </c>
      <c r="I19" s="236">
        <f t="shared" si="7"/>
        <v>5811.2</v>
      </c>
      <c r="J19" s="272">
        <f t="shared" si="1"/>
        <v>871.68</v>
      </c>
      <c r="K19" s="128">
        <f t="shared" si="1"/>
        <v>203.39200000000002</v>
      </c>
      <c r="L19" s="119">
        <f t="shared" si="1"/>
        <v>0</v>
      </c>
      <c r="M19" s="230">
        <f t="shared" si="2"/>
        <v>4736.1279999999997</v>
      </c>
      <c r="N19" s="277">
        <f t="shared" si="3"/>
        <v>1098.3050847457628</v>
      </c>
      <c r="O19" s="239">
        <f t="shared" si="4"/>
        <v>29.172165423728813</v>
      </c>
      <c r="P19" s="311">
        <f t="shared" si="5"/>
        <v>5863.6052501694912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80</v>
      </c>
      <c r="I20" s="236">
        <f t="shared" si="7"/>
        <v>5811.2</v>
      </c>
      <c r="J20" s="272">
        <f t="shared" si="1"/>
        <v>871.68</v>
      </c>
      <c r="K20" s="128">
        <f t="shared" si="1"/>
        <v>203.39200000000002</v>
      </c>
      <c r="L20" s="119">
        <f t="shared" si="1"/>
        <v>0</v>
      </c>
      <c r="M20" s="230">
        <f t="shared" si="2"/>
        <v>4736.1279999999997</v>
      </c>
      <c r="N20" s="277">
        <f t="shared" si="3"/>
        <v>1098.3050847457628</v>
      </c>
      <c r="O20" s="239">
        <f t="shared" si="4"/>
        <v>29.172165423728813</v>
      </c>
      <c r="P20" s="311">
        <f t="shared" si="5"/>
        <v>5863.6052501694912</v>
      </c>
      <c r="Q20" s="156"/>
      <c r="R20">
        <f>P20/21</f>
        <v>279.21929762711864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80</v>
      </c>
      <c r="I21" s="236">
        <f t="shared" si="7"/>
        <v>5811.2</v>
      </c>
      <c r="J21" s="272">
        <f t="shared" si="1"/>
        <v>871.68</v>
      </c>
      <c r="K21" s="128">
        <f t="shared" si="1"/>
        <v>203.39200000000002</v>
      </c>
      <c r="L21" s="119">
        <f t="shared" si="1"/>
        <v>0</v>
      </c>
      <c r="M21" s="230">
        <f t="shared" si="2"/>
        <v>4736.1279999999997</v>
      </c>
      <c r="N21" s="277">
        <f t="shared" si="3"/>
        <v>1098.3050847457628</v>
      </c>
      <c r="O21" s="239">
        <f t="shared" si="4"/>
        <v>29.172165423728813</v>
      </c>
      <c r="P21" s="311">
        <f t="shared" si="5"/>
        <v>5863.6052501694912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360</v>
      </c>
      <c r="I25" s="114">
        <f t="shared" ref="I25:M25" si="10">SUM(I16:I24)</f>
        <v>23729.100000000002</v>
      </c>
      <c r="J25" s="274">
        <f>SUM(J16:J24)</f>
        <v>3559.3649999999998</v>
      </c>
      <c r="K25" s="275">
        <f t="shared" si="10"/>
        <v>830.51850000000013</v>
      </c>
      <c r="L25" s="276">
        <f t="shared" si="10"/>
        <v>0</v>
      </c>
      <c r="M25" s="232">
        <f t="shared" si="10"/>
        <v>19339.216500000002</v>
      </c>
      <c r="N25" s="233">
        <f>SUM(N16:N24)</f>
        <v>4484.7457627118638</v>
      </c>
      <c r="O25" s="101">
        <f>SUM(O16:O24)</f>
        <v>119.11981131355932</v>
      </c>
      <c r="P25" s="113">
        <f>SUM(P16:P24)</f>
        <v>23943.08207402542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23729.100000000002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3559.3649999999998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830.51850000000013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19339.216500000002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4484.7457627118638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23823.962262711866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119.11981131355934</v>
      </c>
    </row>
    <row r="35" spans="2:16" ht="15.75" customHeight="1" thickBot="1" x14ac:dyDescent="0.4">
      <c r="N35" s="342" t="s">
        <v>88</v>
      </c>
      <c r="O35" s="343"/>
      <c r="P35" s="297">
        <f>+P33+P34</f>
        <v>23943.082074025424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46253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2026-08-19T12:34:06Z</dcterms:modified>
</cp:coreProperties>
</file>