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56CC9D-EC53-4432-87D2-DFD2107A58E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0" l="1"/>
  <c r="O20" i="50" s="1"/>
  <c r="P20" i="50" s="1"/>
  <c r="R20" i="50" s="1"/>
  <c r="M21" i="51"/>
  <c r="M17" i="44"/>
  <c r="O17" i="44" s="1"/>
  <c r="P17" i="44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<sst xmlns="http://schemas.openxmlformats.org/spreadsheetml/2006/main" count="3978" uniqueCount="534">
  <si>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</si>
  <si>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</si>
  <si>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</si>
  <si>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</si>
  <si>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</si>
  <si>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</si>
  <si>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</si>
  <si>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</si>
  <si>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</si>
  <si>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</si>
  <si>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</si>
  <si>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</si>
  <si>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</si>
  <si>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</si>
  <si>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</si>
  <si>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</si>
  <si>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</si>
  <si>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</si>
  <si>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</si>
  <si>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</si>
  <si>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</si>
  <si>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</si>
  <si>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</si>
  <si>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</si>
  <si>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</si>
  <si>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</si>
  <si>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</si>
  <si>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</si>
  <si>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</si>
  <si>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</si>
  <si>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</si>
  <si>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</si>
  <si>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</si>
  <si>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</si>
  <si>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</si>
  <si>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</si>
  <si>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</si>
  <si>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</si>
  <si>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</si>
  <si>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</si>
  <si>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</si>
  <si>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</si>
  <si>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</si>
  <si>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</si>
  <si>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</si>
  <si>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</si>
  <si>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</si>
  <si>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</si>
  <si>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</si>
  <si>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</si>
  <si>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</si>
  <si>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</si>
  <si>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</si>
  <si>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</si>
  <si>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</si>
  <si>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</si>
  <si>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</si>
  <si>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</si>
  <si>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</si>
  <si>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</si>
  <si>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</si>
  <si>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</si>
  <si>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</si>
  <si>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</si>
  <si>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</si>
  <si>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</si>
  <si>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</si>
  <si>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</si>
  <si>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</si>
  <si>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</si>
  <si>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</si>
  <si>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</si>
  <si>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</si>
  <si>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</si>
  <si>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</si>
  <si>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</si>
  <si>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</si>
  <si>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</si>
  <si>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</si>
  <si>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</si>
  <si>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</si>
  <si>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</si>
  <si>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</si>
  <si>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</si>
  <si>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</si>
  <si>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</si>
  <si>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</si>
  <si>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</si>
  <si>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</si>
  <si>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</si>
  <si>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</si>
  <si>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</si>
  <si>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</si>
  <si>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</si>
  <si>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</si>
  <si>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</si>
  <si>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</si>
  <si>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</si>
  <si>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</si>
  <si>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</si>
  <si>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</si>
  <si>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</si>
  <si>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</si>
  <si>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</si>
  <si>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</si>
  <si>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</si>
  <si>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</si>
  <si>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</si>
  <si>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</si>
  <si>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</si>
  <si>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</si>
  <si>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</si>
  <si>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</si>
  <si>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</si>
  <si>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</si>
  <si>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</si>
  <si>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</si>
  <si>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</si>
  <si>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</si>
  <si>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</si>
  <si>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</si>
  <si>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</si>
  <si>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</si>
  <si>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</si>
  <si>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</si>
  <si>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</si>
  <si>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</si>
  <si>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</si>
  <si>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</si>
  <si>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</si>
  <si>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</si>
  <si>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</si>
  <si>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</si>
  <si>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</si>
  <si>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</si>
  <si>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</si>
  <si>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</si>
  <si>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</si>
  <si>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</si>
  <si>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</si>
  <si>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</si>
  <si>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</si>
  <si>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</si>
  <si>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</si>
  <si>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</si>
  <si>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</si>
  <si>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</si>
  <si>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</si>
  <si>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</si>
  <si>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</si>
  <si>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</si>
  <si>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</si>
  <si>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</si>
  <si>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</si>
  <si>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</si>
  <si>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</si>
  <si>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</si>
  <si>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</si>
  <si>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</si>
  <si>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</si>
  <si>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</si>
  <si>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</si>
  <si>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</si>
  <si>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</si>
  <si>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</si>
  <si>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</si>
  <si>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</si>
  <si>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</si>
  <si>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</si>
  <si>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</si>
  <si>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</si>
  <si>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</si>
  <si>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</si>
  <si>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</si>
  <si>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</si>
  <si>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</si>
  <si>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</si>
  <si>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</si>
  <si>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</si>
  <si>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</si>
  <si>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</si>
  <si>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</si>
  <si>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</si>
  <si>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</si>
  <si>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</si>
  <si>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</si>
  <si>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</si>
  <si>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</si>
  <si>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</si>
  <si>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</si>
  <si>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</si>
  <si>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</si>
  <si>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</si>
  <si>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</si>
  <si>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</si>
  <si>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</si>
  <si>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</si>
  <si>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</si>
  <si>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</si>
  <si>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</si>
  <si>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</si>
  <si>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</si>
  <si>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</si>
  <si>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</si>
  <si>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</si>
  <si>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</si>
  <si>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</si>
  <si>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</si>
  <si>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</si>
  <si>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</si>
  <si>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</si>
  <si>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</si>
  <si>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</si>
  <si>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</si>
  <si>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</si>
  <si>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</si>
  <si>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</si>
  <si>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</si>
  <si>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</si>
  <si>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</si>
  <si>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</si>
  <si>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</si>
  <si>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</si>
  <si>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</si>
  <si>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</si>
  <si>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</si>
  <si>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</si>
  <si>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</si>
  <si>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</si>
  <si>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</si>
  <si>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</si>
  <si>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</si>
  <si>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</si>
  <si>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</si>
  <si>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</si>
  <si>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</si>
  <si>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</si>
  <si>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</si>
  <si>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</si>
  <si>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</si>
  <si>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</si>
  <si>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</si>
  <si>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</si>
  <si>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</si>
  <si>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</si>
  <si>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</si>
  <si>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</si>
  <si>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</si>
  <si>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</si>
  <si>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</si>
  <si>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</si>
  <si>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</si>
  <si>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</si>
  <si>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</si>
  <si>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</si>
  <si>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</si>
  <si>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</si>
  <si>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</si>
  <si>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</si>
  <si>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</si>
  <si>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</si>
  <si>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</si>
  <si>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</si>
  <si>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</si>
  <si>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</si>
  <si>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</si>
  <si>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</si>
  <si>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</si>
  <si>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</si>
  <si>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</si>
  <si>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</si>
  <si>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</si>
  <si>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</si>
  <si>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</si>
  <si>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</si>
  <si>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</si>
  <si>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</si>
  <si>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</si>
  <si>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</si>
  <si>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</si>
  <si>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</si>
  <si>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</si>
  <si>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</si>
  <si>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</si>
  <si>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</si>
  <si>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</si>
  <si>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</si>
  <si>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</si>
  <si>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</si>
  <si>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</si>
  <si>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</si>
  <si>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</si>
  <si>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</si>
  <si>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</si>
  <si>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</si>
  <si>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</si>
  <si>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</si>
  <si>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</si>
  <si>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</si>
  <si>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</si>
  <si>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</si>
  <si>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</si>
  <si>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</si>
  <si>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</si>
  <si>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</si>
  <si>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</si>
  <si>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</si>
  <si>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</si>
  <si>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</si>
  <si>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</si>
  <si>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</si>
  <si>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</si>
  <si>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</si>
  <si>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</si>
  <si>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</si>
  <si>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</si>
  <si>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</si>
  <si>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</si>
  <si>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</si>
  <si>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</si>
  <si>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</si>
  <si>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</si>
  <si>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</si>
  <si>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</si>
  <si>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</si>
  <si>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</si>
  <si>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</si>
  <si>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</si>
  <si>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</si>
  <si>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</si>
  <si>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</si>
  <si>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</si>
  <si>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</si>
  <si>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</si>
  <si>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</si>
  <si>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</si>
  <si>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</si>
  <si>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</si>
  <si>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</si>
  <si>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</si>
  <si>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</si>
  <si>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</si>
  <si>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</si>
  <si>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</si>
  <si>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</si>
  <si>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</si>
  <si>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</si>
  <si>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</si>
  <si>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</si>
  <si>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</si>
  <si>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</si>
  <si>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</si>
  <si>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</si>
  <si>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</si>
  <si>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</si>
  <si>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</si>
  <si>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</si>
  <si>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</si>
  <si>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</si>
  <si>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</si>
  <si>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</si>
  <si>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</si>
  <si>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</si>
  <si>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</si>
  <si>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</si>
  <si>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</si>
  <si>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</si>
  <si>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</si>
  <si>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</si>
  <si>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</si>
  <si>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</si>
  <si>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</si>
  <si>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</si>
  <si>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</si>
  <si>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</si>
  <si>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</si>
  <si>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</si>
  <si>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</si>
  <si>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</si>
  <si>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</si>
  <si>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</si>
  <si>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</si>
  <si>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</si>
  <si>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</si>
  <si>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</si>
  <si>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</si>
  <si>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</si>
  <si>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</si>
  <si>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</si>
  <si>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</si>
  <si>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</si>
  <si>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</si>
  <si>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</si>
  <si>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</si>
  <si>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</si>
  <si>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</si>
  <si>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</si>
  <si>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</si>
  <si>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</si>
  <si>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</si>
  <si>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</si>
  <si>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</si>
  <si>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</si>
  <si>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</si>
  <si>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</si>
  <si>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</si>
  <si>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</si>
  <si>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</si>
  <si>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</si>
  <si>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</si>
  <si>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</si>
  <si>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</si>
  <si>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</si>
  <si>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</si>
  <si>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</si>
  <si>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</si>
  <si>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</si>
  <si>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</si>
  <si>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</si>
  <si>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</si>
  <si>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</si>
  <si>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</si>
  <si>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</si>
  <si>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</si>
  <si>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</si>
  <si>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</si>
  <si>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</si>
  <si>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</si>
  <si>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</si>
  <si>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</si>
  <si>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</si>
  <si>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</si>
  <si>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</si>
  <si>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</si>
  <si>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</si>
  <si>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</si>
  <si>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</si>
  <si>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</si>
  <si>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</si>
  <si>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</si>
  <si>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</si>
  <si>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</si>
  <si>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</si>
  <si>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</si>
  <si>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</si>
  <si>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</si>
  <si>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</si>
  <si>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</si>
  <si>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</si>
  <si>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</si>
  <si>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</si>
  <si>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</si>
  <si>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</si>
  <si>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</si>
  <si>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</si>
  <si>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</si>
  <si>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</si>
  <si>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</si>
  <si>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</si>
  <si>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</si>
  <si>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</si>
  <si>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</si>
  <si>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</si>
  <si>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</si>
  <si>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</si>
  <si>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</si>
  <si>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</si>
  <si>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</si>
  <si>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</si>
  <si>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</si>
  <si>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</si>
  <si>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</si>
  <si>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</si>
  <si>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</si>
  <si>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</si>
  <si>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</si>
  <si>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</si>
  <si>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</si>
  <si>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</si>
  <si>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</si>
  <si>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</si>
  <si>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</si>
  <si>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</si>
  <si>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</si>
  <si>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</si>
  <si>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</si>
  <si>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</si>
  <si>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</si>
  <si>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</si>
  <si>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</si>
  <si>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</si>
  <si>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</si>
  <si>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</si>
  <si>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</si>
  <si>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</si>
  <si>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</si>
  <si>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</si>
  <si>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</si>
  <si>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</si>
  <si>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</si>
  <si>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</si>
  <si>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</si>
  <si>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</si>
  <si>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</si>
  <si>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</si>
  <si>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</si>
  <si>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</si>
  <si>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</si>
  <si>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</si>
  <si>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</si>
  <si>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</si>
  <si>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</si>
  <si>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</si>
  <si>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</si>
  <si>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 xml:space="preserve">Jibran Iqbal </t>
  </si>
  <si>
    <t>Furqan</t>
  </si>
  <si>
    <t>SM Store</t>
  </si>
  <si>
    <t>Address: Ghalib Market</t>
  </si>
  <si>
    <t>Baber Sadique Store</t>
  </si>
  <si>
    <t xml:space="preserve">Address: Ghalib Market Rani Park </t>
  </si>
  <si>
    <t>Ileyas Store</t>
  </si>
  <si>
    <t>Address: Guru Mangat Road</t>
  </si>
  <si>
    <t>Chiragh Ali Store</t>
  </si>
  <si>
    <t>Address: Guru Mangat</t>
  </si>
  <si>
    <t xml:space="preserve">Address: Guru Mangat </t>
  </si>
  <si>
    <t>Madina Store</t>
  </si>
  <si>
    <t>Al Rehman Store</t>
  </si>
  <si>
    <t>Ali GS</t>
  </si>
  <si>
    <t xml:space="preserve">Ayan Pan Shop </t>
  </si>
  <si>
    <t xml:space="preserve">Address: Guru mangat </t>
  </si>
  <si>
    <t>MA Store</t>
  </si>
  <si>
    <t>6/11 Super Store</t>
  </si>
  <si>
    <t>Address: Guru mangat</t>
  </si>
  <si>
    <t>NTN  #: 6110128821443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</si>
</sst>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9" workbookViewId="0">
      <selection activeCell="U22" sqref="U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SM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Baber Sadique Store</v>
      </c>
      <c r="T4" s="301">
        <f>+'2'!P35</f>
        <v>1976.2575095402542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Ileyas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Chiragh Ali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4">
        <v>5</v>
      </c>
      <c r="S7" s="300" t="str">
        <f>+'5'!A6:A6</f>
        <v>Madina Store</v>
      </c>
      <c r="T7" s="301">
        <f>+'5'!P35</f>
        <v>500.75337404745761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22</v>
      </c>
      <c r="I8" s="236">
        <f t="shared" ref="I8:I14" si="0">(G8*D8)*F8+H8*F8</f>
        <v>1154.175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92.334000000000003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40.396124999999998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1021.4448749999999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218.13559322033888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6.1979023411016945</v>
      </c>
      <c r="P8" s="311">
        <f t="shared" ref="P8:P15" si="2">M8+N8+O8</f>
        <v>1245.7783705614406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22</v>
      </c>
      <c r="R8" s="314">
        <v>6</v>
      </c>
      <c r="S8" s="300" t="str">
        <f>+'6'!A6:A6</f>
        <v>Al Rehman Store</v>
      </c>
      <c r="T8" s="301">
        <f>+'6'!P35</f>
        <v>1180.2688488991523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>Ali GS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23</v>
      </c>
      <c r="I10" s="236">
        <f t="shared" si="0"/>
        <v>1670.72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133.6576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58.475200000000001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1478.5871999999999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315.76271186440681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8.9717495593220349</v>
      </c>
      <c r="P10" s="311">
        <f t="shared" si="2"/>
        <v>1803.3216614237288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18</v>
      </c>
      <c r="R10" s="314">
        <v>8</v>
      </c>
      <c r="S10" s="300" t="str">
        <f>+'8'!A6:A6</f>
        <v xml:space="preserve">Ayan Pan Shop </v>
      </c>
      <c r="T10" s="301">
        <f>+'8'!P35</f>
        <v>485.59255590508474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311">
        <f t="shared" si="2"/>
        <v>784.05289627118646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311">
        <f t="shared" si="2"/>
        <v>1568.1057925423729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6/11 Super Store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69</v>
      </c>
      <c r="I13" s="236">
        <f t="shared" si="0"/>
        <v>2706.8700000000003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135.34350000000003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94.74045000000001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138.05036999999999</v>
      </c>
      <c r="M13" s="230">
        <f t="shared" si="1"/>
        <v>2338.7356800000002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526.27118644067764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14.325034332203389</v>
      </c>
      <c r="P13" s="311">
        <f t="shared" si="2"/>
        <v>2879.3319007728815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58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3.6</v>
      </c>
      <c r="H16" s="113">
        <f t="shared" ref="H16:M16" si="3">SUM(H7:H15)</f>
        <v>144</v>
      </c>
      <c r="I16" s="114">
        <f t="shared" si="3"/>
        <v>7710.9650000000001</v>
      </c>
      <c r="J16" s="274">
        <f>SUM(J7:J15)</f>
        <v>535.67110000000002</v>
      </c>
      <c r="K16" s="275">
        <f t="shared" si="3"/>
        <v>269.88377500000001</v>
      </c>
      <c r="L16" s="276">
        <f t="shared" si="3"/>
        <v>138.05036999999999</v>
      </c>
      <c r="M16" s="232">
        <f t="shared" si="3"/>
        <v>6767.3597549999995</v>
      </c>
      <c r="N16" s="233">
        <f>SUM(N7:N15)</f>
        <v>1472.0338983050844</v>
      </c>
      <c r="O16" s="101">
        <f>SUM(O7:O15)</f>
        <v>41.196968266525424</v>
      </c>
      <c r="P16" s="113">
        <f>SUM(P7:P15)</f>
        <v>8280.5906215716095</v>
      </c>
      <c r="Q16" s="128">
        <f>SUM(Q7:Q15)</f>
        <v>128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7710.9650000000001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535.67110000000002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407.934145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6767.3597550000004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1472.0338983050844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8239.3936533050855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41.196968266525424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8280.5906215716113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8280.5906215716095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0" sqref="H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311">
        <f t="shared" si="5"/>
        <v>625.941717559322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35</v>
      </c>
      <c r="I25" s="114">
        <f t="shared" si="7"/>
        <v>1839.4750000000001</v>
      </c>
      <c r="J25" s="274">
        <f>SUM(J16:J24)</f>
        <v>129.50450000000001</v>
      </c>
      <c r="K25" s="275">
        <f t="shared" si="7"/>
        <v>64.381625000000014</v>
      </c>
      <c r="L25" s="276">
        <f t="shared" si="7"/>
        <v>30.010950000000001</v>
      </c>
      <c r="M25" s="232">
        <f t="shared" si="7"/>
        <v>1615.5779250000003</v>
      </c>
      <c r="N25" s="233">
        <f>SUM(N16:N24)</f>
        <v>350.8474576271185</v>
      </c>
      <c r="O25" s="101">
        <f>SUM(O16:O24)</f>
        <v>9.8321269131355926</v>
      </c>
      <c r="P25" s="113">
        <f>SUM(P16:P24)</f>
        <v>1976.2575095402544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1839.4750000000001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129.50450000000001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94.392575000000022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1615.5779250000001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350.8474576271185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1966.4253826271186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9.8321269131355926</v>
      </c>
    </row>
    <row r="35" spans="2:16" ht="15.75" customHeight="1" thickBot="1" x14ac:dyDescent="0.4">
      <c r="N35" s="342" t="s">
        <v>88</v>
      </c>
      <c r="O35" s="343"/>
      <c r="P35" s="297">
        <f>+P33+P34</f>
        <v>1976.2575095402542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2" workbookViewId="0">
      <selection activeCell="H22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521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1100.31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73.902000000000001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62.519610000000007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963.88838999999984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1174.3968645762709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2" t="s">
        <v>88</v>
      </c>
      <c r="O35" s="343"/>
      <c r="P35" s="297">
        <f>+P33+P34</f>
        <v>1180.2688488991523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9</v>
      </c>
      <c r="I25" s="114">
        <f t="shared" si="7"/>
        <v>453.30000000000007</v>
      </c>
      <c r="J25" s="274">
        <f>SUM(J16:J24)</f>
        <v>29.202600000000004</v>
      </c>
      <c r="K25" s="275">
        <f t="shared" si="7"/>
        <v>15.865500000000004</v>
      </c>
      <c r="L25" s="276">
        <f t="shared" si="7"/>
        <v>12.004380000000001</v>
      </c>
      <c r="M25" s="232">
        <f t="shared" si="7"/>
        <v>396.22752000000003</v>
      </c>
      <c r="N25" s="233">
        <f>SUM(N16:N24)</f>
        <v>86.949152542372858</v>
      </c>
      <c r="O25" s="101">
        <f>SUM(O16:O24)</f>
        <v>2.4158833627118641</v>
      </c>
      <c r="P25" s="113">
        <f>SUM(P16:P24)</f>
        <v>485.59255590508474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453.30000000000007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29.202600000000004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27.869880000000006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396.22752000000003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86.949152542372858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483.1766725423729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2.4158833627118645</v>
      </c>
    </row>
    <row r="35" spans="2:16" ht="15.75" customHeight="1" thickBot="1" x14ac:dyDescent="0.4">
      <c r="N35" s="342" t="s">
        <v>88</v>
      </c>
      <c r="O35" s="343"/>
      <c r="P35" s="297">
        <f>+P33+P34</f>
        <v>485.59255590508474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H22" sqref="H18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529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2" workbookViewId="0">
      <selection activeCell="I26" sqref="I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533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532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2026-08-21T04:16:19Z</dcterms:modified>
</cp:coreProperties>
</file>