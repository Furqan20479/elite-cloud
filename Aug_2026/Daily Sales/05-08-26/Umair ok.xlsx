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9FCCAB-B217-45F2-8246-10FE82BDF64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<sst xmlns="http://schemas.openxmlformats.org/spreadsheetml/2006/main" count="3978" uniqueCount="526">
  <si>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</si>
  <si>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</si>
  <si>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</si>
  <si>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</si>
  <si>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</si>
  <si>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</si>
  <si>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</si>
  <si>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</si>
  <si>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</si>
  <si>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</si>
  <si>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</si>
  <si>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</si>
  <si>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</si>
  <si>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</si>
  <si>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</si>
  <si>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</si>
  <si>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</si>
  <si>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</si>
  <si>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</si>
  <si>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</si>
  <si>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</si>
  <si>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</si>
  <si>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</si>
  <si>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</si>
  <si>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</si>
  <si>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</si>
  <si>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</si>
  <si>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</si>
  <si>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</si>
  <si>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</si>
  <si>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</si>
  <si>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</si>
  <si>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</si>
  <si>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</si>
  <si>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</si>
  <si>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</si>
  <si>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</si>
  <si>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</si>
  <si>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</si>
  <si>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</si>
  <si>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</si>
  <si>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</si>
  <si>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</si>
  <si>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</si>
  <si>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</si>
  <si>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</si>
  <si>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</si>
  <si>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</si>
  <si>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</si>
  <si>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</si>
  <si>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</si>
  <si>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</si>
  <si>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</si>
  <si>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</si>
  <si>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</si>
  <si>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</si>
  <si>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</si>
  <si>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</si>
  <si>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</si>
  <si>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</si>
  <si>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</si>
  <si>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</si>
  <si>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</si>
  <si>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</si>
  <si>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</si>
  <si>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</si>
  <si>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</si>
  <si>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</si>
  <si>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</si>
  <si>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</si>
  <si>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</si>
  <si>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</si>
  <si>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</si>
  <si>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</si>
  <si>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</si>
  <si>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</si>
  <si>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</si>
  <si>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</si>
  <si>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</si>
  <si>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</si>
  <si>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</si>
  <si>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</si>
  <si>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</si>
  <si>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</si>
  <si>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</si>
  <si>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</si>
  <si>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</si>
  <si>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</si>
  <si>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</si>
  <si>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</si>
  <si>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</si>
  <si>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</si>
  <si>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</si>
  <si>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</si>
  <si>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</si>
  <si>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</si>
  <si>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</si>
  <si>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</si>
  <si>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</si>
  <si>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</si>
  <si>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</si>
  <si>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</si>
  <si>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</si>
  <si>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</si>
  <si>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</si>
  <si>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</si>
  <si>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</si>
  <si>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</si>
  <si>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</si>
  <si>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</si>
  <si>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</si>
  <si>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</si>
  <si>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</si>
  <si>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</si>
  <si>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</si>
  <si>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</si>
  <si>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</si>
  <si>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</si>
  <si>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</si>
  <si>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</si>
  <si>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</si>
  <si>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</si>
  <si>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</si>
  <si>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</si>
  <si>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</si>
  <si>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</si>
  <si>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</si>
  <si>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</si>
  <si>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</si>
  <si>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</si>
  <si>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</si>
  <si>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</si>
  <si>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</si>
  <si>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</si>
  <si>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</si>
  <si>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</si>
  <si>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</si>
  <si>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</si>
  <si>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</si>
  <si>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</si>
  <si>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</si>
  <si>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</si>
  <si>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</si>
  <si>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</si>
  <si>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</si>
  <si>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</si>
  <si>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</si>
  <si>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</si>
  <si>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</si>
  <si>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</si>
  <si>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</si>
  <si>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</si>
  <si>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</si>
  <si>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</si>
  <si>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</si>
  <si>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</si>
  <si>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</si>
  <si>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</si>
  <si>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</si>
  <si>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</si>
  <si>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</si>
  <si>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</si>
  <si>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</si>
  <si>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</si>
  <si>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</si>
  <si>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</si>
  <si>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</si>
  <si>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</si>
  <si>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</si>
  <si>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</si>
  <si>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</si>
  <si>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</si>
  <si>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</si>
  <si>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</si>
  <si>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</si>
  <si>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</si>
  <si>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</si>
  <si>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</si>
  <si>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</si>
  <si>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</si>
  <si>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</si>
  <si>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</si>
  <si>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</si>
  <si>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</si>
  <si>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</si>
  <si>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</si>
  <si>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</si>
  <si>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</si>
  <si>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</si>
  <si>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</si>
  <si>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</si>
  <si>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</si>
  <si>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</si>
  <si>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</si>
  <si>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</si>
  <si>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</si>
  <si>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</si>
  <si>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</si>
  <si>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</si>
  <si>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</si>
  <si>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</si>
  <si>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</si>
  <si>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</si>
  <si>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</si>
  <si>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</si>
  <si>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</si>
  <si>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</si>
  <si>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</si>
  <si>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</si>
  <si>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</si>
  <si>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</si>
  <si>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</si>
  <si>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</si>
  <si>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</si>
  <si>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</si>
  <si>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</si>
  <si>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</si>
  <si>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</si>
  <si>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</si>
  <si>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</si>
  <si>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</si>
  <si>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</si>
  <si>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</si>
  <si>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</si>
  <si>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</si>
  <si>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</si>
  <si>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</si>
  <si>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</si>
  <si>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</si>
  <si>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</si>
  <si>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</si>
  <si>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</si>
  <si>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</si>
  <si>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</si>
  <si>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</si>
  <si>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</si>
  <si>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</si>
  <si>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</si>
  <si>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</si>
  <si>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</si>
  <si>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</si>
  <si>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</si>
  <si>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</si>
  <si>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</si>
  <si>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</si>
  <si>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</si>
  <si>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</si>
  <si>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</si>
  <si>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</si>
  <si>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</si>
  <si>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</si>
  <si>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</si>
  <si>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</si>
  <si>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</si>
  <si>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</si>
  <si>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</si>
  <si>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</si>
  <si>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</si>
  <si>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</si>
  <si>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</si>
  <si>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</si>
  <si>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</si>
  <si>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</si>
  <si>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</si>
  <si>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</si>
  <si>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</si>
  <si>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</si>
  <si>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</si>
  <si>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</si>
  <si>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</si>
  <si>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</si>
  <si>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</si>
  <si>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</si>
  <si>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</si>
  <si>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</si>
  <si>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</si>
  <si>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</si>
  <si>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</si>
  <si>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</si>
  <si>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</si>
  <si>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</si>
  <si>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</si>
  <si>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</si>
  <si>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</si>
  <si>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</si>
  <si>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</si>
  <si>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</si>
  <si>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</si>
  <si>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</si>
  <si>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</si>
  <si>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</si>
  <si>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</si>
  <si>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</si>
  <si>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</si>
  <si>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</si>
  <si>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</si>
  <si>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</si>
  <si>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</si>
  <si>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</si>
  <si>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</si>
  <si>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</si>
  <si>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</si>
  <si>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</si>
  <si>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</si>
  <si>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</si>
  <si>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</si>
  <si>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</si>
  <si>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</si>
  <si>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</si>
  <si>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</si>
  <si>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</si>
  <si>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</si>
  <si>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</si>
  <si>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</si>
  <si>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</si>
  <si>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</si>
  <si>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</si>
  <si>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</si>
  <si>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</si>
  <si>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</si>
  <si>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</si>
  <si>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</si>
  <si>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</si>
  <si>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</si>
  <si>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</si>
  <si>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</si>
  <si>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</si>
  <si>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</si>
  <si>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</si>
  <si>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</si>
  <si>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</si>
  <si>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</si>
  <si>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</si>
  <si>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</si>
  <si>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</si>
  <si>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</si>
  <si>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</si>
  <si>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</si>
  <si>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</si>
  <si>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</si>
  <si>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</si>
  <si>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</si>
  <si>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</si>
  <si>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</si>
  <si>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</si>
  <si>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</si>
  <si>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</si>
  <si>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</si>
  <si>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</si>
  <si>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</si>
  <si>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</si>
  <si>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</si>
  <si>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</si>
  <si>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</si>
  <si>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</si>
  <si>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</si>
  <si>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</si>
  <si>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</si>
  <si>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</si>
  <si>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</si>
  <si>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</si>
  <si>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</si>
  <si>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</si>
  <si>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</si>
  <si>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</si>
  <si>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</si>
  <si>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</si>
  <si>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</si>
  <si>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</si>
  <si>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</si>
  <si>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</si>
  <si>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</si>
  <si>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</si>
  <si>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</si>
  <si>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</si>
  <si>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</si>
  <si>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</si>
  <si>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</si>
  <si>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</si>
  <si>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</si>
  <si>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</si>
  <si>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</si>
  <si>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</si>
  <si>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</si>
  <si>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</si>
  <si>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</si>
  <si>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</si>
  <si>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</si>
  <si>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</si>
  <si>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</si>
  <si>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</si>
  <si>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</si>
  <si>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</si>
  <si>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</si>
  <si>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</si>
  <si>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</si>
  <si>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</si>
  <si>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</si>
  <si>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</si>
  <si>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</si>
  <si>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</si>
  <si>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</si>
  <si>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</si>
  <si>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</si>
  <si>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</si>
  <si>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</si>
  <si>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</si>
  <si>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</si>
  <si>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</si>
  <si>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</si>
  <si>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</si>
  <si>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</si>
  <si>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</si>
  <si>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</si>
  <si>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</si>
  <si>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</si>
  <si>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</si>
  <si>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</si>
  <si>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</si>
  <si>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</si>
  <si>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</si>
  <si>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</si>
  <si>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</si>
  <si>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</si>
  <si>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</si>
  <si>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</si>
  <si>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</si>
  <si>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</si>
  <si>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</si>
  <si>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</si>
  <si>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</si>
  <si>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</si>
  <si>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</si>
  <si>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</si>
  <si>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</si>
  <si>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</si>
  <si>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</si>
  <si>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</si>
  <si>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</si>
  <si>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</si>
  <si>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</si>
  <si>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</si>
  <si>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</si>
  <si>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</si>
  <si>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</si>
  <si>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</si>
  <si>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</si>
  <si>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</si>
  <si>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</si>
  <si>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</si>
  <si>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</si>
  <si>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</si>
  <si>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</si>
  <si>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</si>
  <si>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</si>
  <si>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</si>
  <si>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</si>
  <si>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</si>
  <si>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</si>
  <si>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</si>
  <si>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</si>
  <si>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</si>
  <si>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</si>
  <si>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</si>
  <si>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</si>
  <si>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</si>
  <si>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</si>
  <si>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</si>
  <si>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</si>
  <si>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</si>
  <si>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</si>
  <si>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</si>
  <si>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</si>
  <si>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</si>
  <si>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</si>
  <si>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</si>
  <si>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</si>
  <si>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</si>
  <si>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</si>
  <si>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</si>
  <si>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</si>
  <si>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</si>
  <si>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</si>
  <si>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</si>
  <si>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</si>
  <si>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</si>
  <si>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</si>
  <si>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</si>
  <si>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</si>
  <si>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</si>
  <si>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</si>
  <si>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</si>
  <si>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</si>
  <si>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</si>
  <si>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</si>
  <si>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</si>
  <si>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</si>
  <si>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</si>
  <si>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</si>
  <si>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</si>
  <si>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</si>
  <si>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</si>
  <si>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</si>
  <si>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</si>
  <si>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</si>
  <si>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</si>
  <si>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</si>
  <si>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</si>
  <si>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</si>
  <si>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</si>
  <si>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</si>
  <si>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</si>
  <si>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</si>
  <si>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</si>
  <si>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</si>
  <si>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</si>
  <si>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Umair</t>
  </si>
  <si>
    <t xml:space="preserve">KS Mart </t>
  </si>
  <si>
    <t>Address: Ghazi Road</t>
  </si>
  <si>
    <t>Dua Book Store</t>
  </si>
  <si>
    <t>Punjab Store</t>
  </si>
  <si>
    <t xml:space="preserve">Arban Mart </t>
  </si>
  <si>
    <t xml:space="preserve">Rise Store </t>
  </si>
  <si>
    <t>Marhaba Store</t>
  </si>
  <si>
    <t xml:space="preserve">DVA Mart </t>
  </si>
  <si>
    <t xml:space="preserve">Akhter 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</si>
</sst>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F35" sqref="F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KS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Dua Book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Punjab Store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Arban Mart 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Rise Store 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Marhaba Store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DVA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311">
        <f t="shared" si="2"/>
        <v>7213.286645694915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 xml:space="preserve">Akhter GS </v>
      </c>
      <c r="T10" s="301">
        <f>+'8'!P35</f>
        <v>15012.042165076271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98</v>
      </c>
      <c r="I12" s="236">
        <f t="shared" si="0"/>
        <v>7118.72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569.49760000000003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249.15520000000004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6300.0672000000004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1345.4237288135594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38.227454644067798</v>
      </c>
      <c r="P12" s="311">
        <f t="shared" si="2"/>
        <v>7683.7183834576272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172</v>
      </c>
      <c r="I13" s="236">
        <f t="shared" si="0"/>
        <v>6747.56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337.3780000000001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236.16460000000006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344.12556000000001</v>
      </c>
      <c r="M13" s="230">
        <f t="shared" si="1"/>
        <v>5829.8918400000002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1311.8644067796604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35.708781233898307</v>
      </c>
      <c r="P13" s="311">
        <f t="shared" si="2"/>
        <v>7177.4650280135593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100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12.05</v>
      </c>
      <c r="H16" s="113">
        <f t="shared" ref="H16:M16" si="3">SUM(H7:H15)</f>
        <v>482</v>
      </c>
      <c r="I16" s="114">
        <f t="shared" si="3"/>
        <v>28458.860000000004</v>
      </c>
      <c r="J16" s="274">
        <f>SUM(J7:J15)</f>
        <v>2074.2820000000002</v>
      </c>
      <c r="K16" s="275">
        <f t="shared" si="3"/>
        <v>996.06010000000015</v>
      </c>
      <c r="L16" s="276">
        <f t="shared" si="3"/>
        <v>344.12556000000001</v>
      </c>
      <c r="M16" s="232">
        <f t="shared" si="3"/>
        <v>25044.392340000002</v>
      </c>
      <c r="N16" s="233">
        <f>SUM(N7:N15)</f>
        <v>5415.2542372881353</v>
      </c>
      <c r="O16" s="101">
        <f>SUM(O7:O15)</f>
        <v>152.2982328864407</v>
      </c>
      <c r="P16" s="113">
        <f>SUM(P7:P15)</f>
        <v>30611.944810174573</v>
      </c>
      <c r="Q16" s="128">
        <f>SUM(Q7:Q15)</f>
        <v>140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28458.860000000004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2074.2820000000002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1340.1856600000001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25044.392340000006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5415.2542372881353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30459.646577288142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152.2982328864407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30611.944810174584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30611.944810174577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3138.4000000000005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156.92000000000004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269.90240000000006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2711.5776000000005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3321.7470915254239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42" t="s">
        <v>88</v>
      </c>
      <c r="O35" s="343"/>
      <c r="P35" s="297">
        <f>+P33+P34</f>
        <v>3338.355826983051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311">
        <f t="shared" si="5"/>
        <v>1411.2952132881355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11.702282033898305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2179.1999999999998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174.33600000000001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76.272000000000006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1928.5919999999999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2340.4564067796609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2" t="s">
        <v>88</v>
      </c>
      <c r="O35" s="343"/>
      <c r="P35" s="297">
        <f>+P33+P34</f>
        <v>2352.1586888135594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13953.7</v>
      </c>
      <c r="J25" s="274">
        <f>SUM(J16:J24)</f>
        <v>1022.144</v>
      </c>
      <c r="K25" s="275">
        <f t="shared" si="7"/>
        <v>488.37950000000012</v>
      </c>
      <c r="L25" s="276">
        <f t="shared" si="7"/>
        <v>160.05840000000001</v>
      </c>
      <c r="M25" s="232">
        <f t="shared" si="7"/>
        <v>12283.118100000002</v>
      </c>
      <c r="N25" s="233">
        <f>SUM(N16:N24)</f>
        <v>2654.2372881355927</v>
      </c>
      <c r="O25" s="101">
        <f>SUM(O16:O24)</f>
        <v>74.686776940677973</v>
      </c>
      <c r="P25" s="113">
        <f>SUM(P16:P24)</f>
        <v>15012.042165076273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13953.7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1022.144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648.43790000000013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12283.1181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2654.2372881355927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14937.355388135593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74.686776940677973</v>
      </c>
    </row>
    <row r="35" spans="2:16" ht="15.75" customHeight="1" thickBot="1" x14ac:dyDescent="0.4">
      <c r="N35" s="342" t="s">
        <v>88</v>
      </c>
      <c r="O35" s="343"/>
      <c r="P35" s="297">
        <f>+P33+P34</f>
        <v>15012.042165076271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2026-08-06T04:50:52Z</dcterms:modified>
</cp:coreProperties>
</file>