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55E51CE-7DC2-4242-BD30-7C3F4130B54F}" xr6:coauthVersionLast="47" xr6:coauthVersionMax="47" xr10:uidLastSave="{00000000-0000-0000-0000-000000000000}"/>
  <bookViews>
    <workbookView xWindow="-110" yWindow="-110" windowWidth="19420" windowHeight="10420" tabRatio="879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21" i="53"/>
  <c r="O21" i="53" s="1"/>
  <c r="P21" i="53" s="1"/>
  <c r="M21" i="52"/>
  <c r="O21" i="52" s="1"/>
  <c r="P21" i="52" s="1"/>
  <c r="M21" i="51"/>
  <c r="K12" i="62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<sst xmlns="http://schemas.openxmlformats.org/spreadsheetml/2006/main" count="3978" uniqueCount="537">
  <si>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</si>
  <si>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</si>
  <si>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</si>
  <si>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</si>
  <si>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</si>
  <si>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</si>
  <si>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</si>
  <si>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</si>
  <si>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</si>
  <si>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</si>
  <si>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</si>
  <si>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</si>
  <si>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</si>
  <si>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</si>
  <si>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</si>
  <si>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</si>
  <si>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</si>
  <si>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</si>
  <si>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</si>
  <si>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</si>
  <si>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</si>
  <si>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</si>
  <si>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</si>
  <si>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</si>
  <si>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</si>
  <si>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</si>
  <si>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</si>
  <si>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</si>
  <si>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</si>
  <si>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</si>
  <si>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</si>
  <si>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</si>
  <si>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</si>
  <si>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</si>
  <si>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</si>
  <si>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</si>
  <si>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</si>
  <si>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</si>
  <si>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</si>
  <si>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</si>
  <si>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</si>
  <si>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</si>
  <si>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</si>
  <si>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</si>
  <si>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</si>
  <si>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</si>
  <si>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</si>
  <si>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</si>
  <si>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</si>
  <si>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</si>
  <si>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</si>
  <si>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</si>
  <si>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</si>
  <si>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</si>
  <si>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</si>
  <si>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</si>
  <si>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</si>
  <si>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</si>
  <si>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</si>
  <si>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</si>
  <si>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</si>
  <si>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</si>
  <si>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</si>
  <si>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</si>
  <si>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</si>
  <si>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</si>
  <si>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</si>
  <si>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</si>
  <si>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</si>
  <si>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</si>
  <si>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</si>
  <si>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</si>
  <si>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</si>
  <si>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</si>
  <si>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</si>
  <si>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</si>
  <si>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</si>
  <si>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</si>
  <si>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</si>
  <si>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</si>
  <si>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</si>
  <si>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</si>
  <si>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</si>
  <si>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</si>
  <si>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</si>
  <si>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</si>
  <si>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</si>
  <si>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</si>
  <si>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</si>
  <si>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</si>
  <si>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</si>
  <si>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</si>
  <si>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</si>
  <si>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</si>
  <si>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</si>
  <si>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</si>
  <si>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</si>
  <si>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</si>
  <si>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</si>
  <si>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</si>
  <si>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</si>
  <si>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</si>
  <si>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</si>
  <si>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</si>
  <si>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</si>
  <si>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</si>
  <si>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</si>
  <si>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</si>
  <si>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</si>
  <si>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</si>
  <si>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</si>
  <si>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</si>
  <si>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</si>
  <si>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</si>
  <si>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</si>
  <si>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</si>
  <si>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</si>
  <si>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</si>
  <si>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</si>
  <si>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</si>
  <si>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</si>
  <si>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</si>
  <si>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</si>
  <si>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</si>
  <si>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</si>
  <si>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</si>
  <si>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</si>
  <si>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</si>
  <si>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</si>
  <si>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</si>
  <si>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</si>
  <si>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</si>
  <si>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</si>
  <si>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</si>
  <si>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</si>
  <si>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</si>
  <si>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</si>
  <si>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</si>
  <si>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</si>
  <si>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</si>
  <si>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</si>
  <si>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</si>
  <si>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</si>
  <si>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</si>
  <si>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</si>
  <si>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</si>
  <si>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</si>
  <si>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</si>
  <si>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</si>
  <si>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</si>
  <si>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</si>
  <si>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</si>
  <si>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</si>
  <si>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</si>
  <si>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</si>
  <si>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</si>
  <si>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</si>
  <si>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</si>
  <si>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</si>
  <si>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</si>
  <si>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</si>
  <si>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</si>
  <si>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</si>
  <si>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</si>
  <si>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</si>
  <si>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</si>
  <si>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</si>
  <si>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</si>
  <si>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</si>
  <si>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</si>
  <si>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</si>
  <si>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</si>
  <si>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</si>
  <si>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</si>
  <si>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</si>
  <si>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</si>
  <si>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</si>
  <si>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</si>
  <si>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</si>
  <si>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</si>
  <si>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</si>
  <si>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</si>
  <si>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</si>
  <si>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</si>
  <si>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</si>
  <si>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</si>
  <si>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</si>
  <si>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</si>
  <si>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</si>
  <si>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</si>
  <si>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</si>
  <si>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</si>
  <si>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</si>
  <si>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</si>
  <si>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</si>
  <si>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</si>
  <si>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</si>
  <si>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</si>
  <si>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</si>
  <si>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</si>
  <si>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</si>
  <si>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</si>
  <si>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</si>
  <si>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</si>
  <si>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</si>
  <si>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</si>
  <si>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</si>
  <si>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</si>
  <si>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</si>
  <si>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</si>
  <si>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</si>
  <si>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</si>
  <si>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</si>
  <si>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</si>
  <si>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</si>
  <si>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</si>
  <si>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</si>
  <si>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</si>
  <si>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</si>
  <si>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</si>
  <si>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</si>
  <si>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</si>
  <si>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</si>
  <si>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</si>
  <si>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</si>
  <si>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</si>
  <si>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</si>
  <si>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</si>
  <si>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</si>
  <si>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</si>
  <si>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</si>
  <si>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</si>
  <si>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</si>
  <si>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</si>
  <si>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</si>
  <si>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</si>
  <si>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</si>
  <si>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</si>
  <si>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</si>
  <si>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</si>
  <si>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</si>
  <si>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</si>
  <si>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</si>
  <si>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</si>
  <si>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</si>
  <si>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</si>
  <si>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</si>
  <si>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</si>
  <si>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</si>
  <si>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</si>
  <si>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</si>
  <si>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</si>
  <si>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</si>
  <si>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</si>
  <si>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</si>
  <si>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</si>
  <si>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</si>
  <si>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</si>
  <si>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</si>
  <si>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</si>
  <si>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</si>
  <si>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</si>
  <si>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</si>
  <si>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</si>
  <si>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</si>
  <si>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</si>
  <si>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</si>
  <si>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</si>
  <si>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</si>
  <si>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</si>
  <si>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</si>
  <si>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</si>
  <si>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</si>
  <si>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</si>
  <si>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</si>
  <si>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</si>
  <si>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</si>
  <si>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</si>
  <si>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</si>
  <si>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</si>
  <si>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</si>
  <si>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</si>
  <si>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</si>
  <si>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</si>
  <si>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</si>
  <si>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</si>
  <si>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</si>
  <si>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</si>
  <si>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</si>
  <si>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</si>
  <si>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</si>
  <si>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</si>
  <si>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</si>
  <si>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</si>
  <si>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</si>
  <si>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</si>
  <si>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</si>
  <si>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</si>
  <si>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</si>
  <si>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</si>
  <si>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</si>
  <si>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</si>
  <si>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</si>
  <si>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</si>
  <si>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</si>
  <si>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</si>
  <si>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</si>
  <si>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</si>
  <si>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</si>
  <si>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</si>
  <si>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</si>
  <si>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</si>
  <si>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</si>
  <si>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</si>
  <si>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</si>
  <si>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</si>
  <si>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</si>
  <si>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</si>
  <si>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</si>
  <si>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</si>
  <si>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</si>
  <si>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</si>
  <si>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</si>
  <si>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</si>
  <si>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</si>
  <si>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</si>
  <si>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</si>
  <si>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</si>
  <si>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</si>
  <si>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</si>
  <si>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</si>
  <si>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</si>
  <si>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</si>
  <si>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</si>
  <si>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</si>
  <si>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</si>
  <si>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</si>
  <si>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</si>
  <si>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</si>
  <si>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</si>
  <si>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</si>
  <si>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</si>
  <si>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</si>
  <si>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</si>
  <si>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</si>
  <si>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</si>
  <si>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</si>
  <si>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</si>
  <si>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</si>
  <si>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</si>
  <si>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</si>
  <si>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</si>
  <si>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</si>
  <si>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</si>
  <si>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</si>
  <si>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</si>
  <si>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</si>
  <si>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</si>
  <si>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</si>
  <si>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</si>
  <si>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</si>
  <si>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</si>
  <si>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</si>
  <si>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</si>
  <si>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</si>
  <si>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</si>
  <si>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</si>
  <si>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</si>
  <si>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</si>
  <si>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</si>
  <si>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</si>
  <si>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</si>
  <si>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</si>
  <si>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</si>
  <si>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</si>
  <si>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</si>
  <si>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</si>
  <si>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</si>
  <si>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</si>
  <si>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</si>
  <si>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</si>
  <si>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</si>
  <si>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</si>
  <si>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</si>
  <si>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</si>
  <si>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</si>
  <si>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</si>
  <si>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</si>
  <si>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</si>
  <si>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</si>
  <si>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</si>
  <si>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</si>
  <si>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</si>
  <si>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</si>
  <si>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</si>
  <si>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</si>
  <si>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</si>
  <si>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</si>
  <si>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</si>
  <si>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</si>
  <si>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</si>
  <si>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</si>
  <si>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</si>
  <si>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</si>
  <si>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</si>
  <si>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</si>
  <si>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</si>
  <si>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</si>
  <si>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</si>
  <si>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</si>
  <si>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</si>
  <si>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</si>
  <si>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</si>
  <si>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</si>
  <si>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</si>
  <si>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</si>
  <si>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</si>
  <si>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</si>
  <si>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</si>
  <si>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</si>
  <si>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</si>
  <si>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</si>
  <si>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</si>
  <si>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</si>
  <si>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</si>
  <si>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</si>
  <si>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</si>
  <si>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</si>
  <si>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</si>
  <si>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</si>
  <si>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</si>
  <si>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</si>
  <si>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</si>
  <si>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</si>
  <si>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</si>
  <si>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</si>
  <si>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</si>
  <si>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</si>
  <si>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</si>
  <si>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</si>
  <si>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</si>
  <si>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</si>
  <si>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</si>
  <si>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</si>
  <si>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</si>
  <si>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</si>
  <si>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</si>
  <si>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</si>
  <si>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</si>
  <si>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</si>
  <si>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</si>
  <si>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</si>
  <si>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</si>
  <si>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</si>
  <si>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</si>
  <si>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</si>
  <si>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</si>
  <si>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</si>
  <si>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</si>
  <si>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</si>
  <si>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</si>
  <si>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</si>
  <si>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</si>
  <si>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</si>
  <si>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</si>
  <si>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</si>
  <si>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</si>
  <si>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</si>
  <si>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</si>
  <si>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</si>
  <si>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</si>
  <si>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</si>
  <si>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</si>
  <si>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</si>
  <si>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</si>
  <si>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</si>
  <si>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</si>
  <si>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</si>
  <si>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</si>
  <si>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</si>
  <si>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</si>
  <si>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</si>
  <si>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</si>
  <si>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</si>
  <si>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</si>
  <si>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</si>
  <si>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</si>
  <si>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</si>
  <si>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</si>
  <si>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</si>
  <si>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</si>
  <si>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</si>
  <si>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</si>
  <si>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</si>
  <si>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</si>
  <si>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</si>
  <si>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</si>
  <si>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</si>
  <si>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</si>
  <si>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</si>
  <si>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</si>
  <si>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</si>
  <si>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</si>
  <si>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</si>
  <si>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</si>
  <si>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</si>
  <si>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</si>
  <si>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</si>
  <si>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</si>
  <si>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</si>
  <si>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</si>
  <si>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</si>
  <si>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</si>
  <si>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 Nishat Road</t>
  </si>
  <si>
    <t>Nishter Store</t>
  </si>
  <si>
    <t>Rana Store</t>
  </si>
  <si>
    <t>786 Store</t>
  </si>
  <si>
    <t xml:space="preserve">Sharif Mart </t>
  </si>
  <si>
    <t>Chudry Store</t>
  </si>
  <si>
    <t>Ms Store</t>
  </si>
  <si>
    <t xml:space="preserve">D Mart </t>
  </si>
  <si>
    <t>Al Sharif Store</t>
  </si>
  <si>
    <t>Mian Store</t>
  </si>
  <si>
    <t xml:space="preserve">Value Mart </t>
  </si>
  <si>
    <t xml:space="preserve">Ibrahim Mart </t>
  </si>
  <si>
    <t>Sheikh Store</t>
  </si>
  <si>
    <t xml:space="preserve">Khan Brother </t>
  </si>
  <si>
    <t>Bilal Store</t>
  </si>
  <si>
    <t>Lal Store</t>
  </si>
  <si>
    <t>Imran Store</t>
  </si>
  <si>
    <t>Faizan Store</t>
  </si>
  <si>
    <t>Adel Store</t>
  </si>
  <si>
    <t>Usman Store</t>
  </si>
  <si>
    <t>Ghosia Store</t>
  </si>
  <si>
    <t xml:space="preserve">Delsia Bakers </t>
  </si>
  <si>
    <t>Qadri Store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</si>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</sst>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536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509</v>
      </c>
      <c r="F3" s="387"/>
      <c r="G3" s="387"/>
      <c r="H3" s="384">
        <f ca="1">TODAY()</f>
        <v>46239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Nishter Store</v>
      </c>
      <c r="T3" s="301">
        <f>+'1'!P35</f>
        <v>3934.229496330508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Rana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508</v>
      </c>
      <c r="R5" s="314">
        <v>3</v>
      </c>
      <c r="S5" s="300" t="str">
        <f>+'3'!A6:A6</f>
        <v>786 Store</v>
      </c>
      <c r="T5" s="301">
        <f>+'3'!P35</f>
        <v>7070.4410814152552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507</v>
      </c>
      <c r="R6" s="314">
        <v>4</v>
      </c>
      <c r="S6" s="300" t="str">
        <f>+'4'!A6:A6</f>
        <v xml:space="preserve">Sharif Mart </v>
      </c>
      <c r="T6" s="301">
        <f>+'4'!P35</f>
        <v>5937.9152899957626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70</v>
      </c>
      <c r="I7" s="235">
        <f>(G7*D7)*F7+H7*F7</f>
        <v>3672.375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293.78999999999996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128.53312500000001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3250.0518750000001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694.06779661016913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19.720598358050847</v>
      </c>
      <c r="P7" s="310">
        <f>M7+N7+O7</f>
        <v>3963.8402699682201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Chudry Store</v>
      </c>
      <c r="T7" s="301">
        <f>+'5'!P35</f>
        <v>1132.5257914194915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786 Store</v>
      </c>
      <c r="T9" s="301">
        <f>+'7'!P35</f>
        <v>25089.692680677967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230</v>
      </c>
      <c r="I10" s="236">
        <f t="shared" si="0"/>
        <v>16707.2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1336.576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584.75200000000007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14785.872000000001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3157.6271186440681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89.717495593220335</v>
      </c>
      <c r="P10" s="311">
        <f t="shared" si="2"/>
        <v>18033.216614237288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D Mart </v>
      </c>
      <c r="T10" s="301">
        <f>+'8'!P35</f>
        <v>9408.6347552542375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250</v>
      </c>
      <c r="I11" s="236">
        <f t="shared" si="0"/>
        <v>18160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635.6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16071.6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3432.203389830509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97.519016949152558</v>
      </c>
      <c r="P11" s="311">
        <f t="shared" si="2"/>
        <v>19601.322406779662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Al Sharif Store</v>
      </c>
      <c r="T11" s="301">
        <f>+'9'!P35</f>
        <v>14214.024253830506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500</v>
      </c>
      <c r="I12" s="236">
        <f t="shared" si="0"/>
        <v>36320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2905.6000000000008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1271.2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32143.199999999997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6864.4067796610179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195.03803389830512</v>
      </c>
      <c r="P12" s="311">
        <f t="shared" si="2"/>
        <v>39202.644813559324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Mian Store</v>
      </c>
      <c r="T12" s="301">
        <f>+'10'!P35</f>
        <v>6272.4231701694916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41.521838644067799</v>
      </c>
      <c r="P13" s="311">
        <f t="shared" si="2"/>
        <v>8345.889567457627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Value Mart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Ibrahim Mart 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Sheikh Store</v>
      </c>
      <c r="T15" s="301">
        <f>+'13'!P35</f>
        <v>784.05289627118646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32.5</v>
      </c>
      <c r="H16" s="113">
        <f t="shared" ref="H16:M16" si="3">SUM(H7:H15)</f>
        <v>1300</v>
      </c>
      <c r="I16" s="114">
        <f t="shared" si="3"/>
        <v>85328.7</v>
      </c>
      <c r="J16" s="274">
        <f>SUM(J7:J15)</f>
        <v>6590.9160000000011</v>
      </c>
      <c r="K16" s="275">
        <f t="shared" si="3"/>
        <v>2986.5045000000005</v>
      </c>
      <c r="L16" s="276">
        <f t="shared" si="3"/>
        <v>400.14600000000002</v>
      </c>
      <c r="M16" s="232">
        <f t="shared" si="3"/>
        <v>75351.133500000011</v>
      </c>
      <c r="N16" s="233">
        <f>SUM(N7:N15)</f>
        <v>16169.491525423729</v>
      </c>
      <c r="O16" s="101">
        <f>SUM(O7:O15)</f>
        <v>457.60312512711869</v>
      </c>
      <c r="P16" s="113">
        <f>SUM(P7:P15)</f>
        <v>91978.228150550858</v>
      </c>
      <c r="Q16" s="128">
        <f>SUM(Q7:Q15)</f>
        <v>0</v>
      </c>
      <c r="R16" s="314">
        <v>14</v>
      </c>
      <c r="S16" s="300" t="str">
        <f>+'14'!A6:A6</f>
        <v xml:space="preserve">Khan Brother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Lal Store</v>
      </c>
      <c r="T18" s="301">
        <f>+'16'!P35</f>
        <v>1669.1779134915255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85328.7</v>
      </c>
      <c r="R19" s="299">
        <v>17</v>
      </c>
      <c r="S19" s="300" t="str">
        <f>+'17'!A6:A6</f>
        <v>Imran Store</v>
      </c>
      <c r="T19" s="301">
        <f>+'17'!P35</f>
        <v>784.05289627118646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6590.9160000000011</v>
      </c>
      <c r="R20" s="299">
        <v>18</v>
      </c>
      <c r="S20" s="300" t="str">
        <f>+'18'!A6:A6</f>
        <v>Faizan Store</v>
      </c>
      <c r="T20" s="301">
        <f>+'18'!P35</f>
        <v>784.05289627118646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3386.6505000000006</v>
      </c>
      <c r="R21" s="299">
        <v>19</v>
      </c>
      <c r="S21" s="300" t="str">
        <f>+'19'!A6:A6</f>
        <v>Adel Store</v>
      </c>
      <c r="T21" s="301">
        <f>+'19'!P35</f>
        <v>784.05289627118646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75351.133499999996</v>
      </c>
      <c r="R22" s="299">
        <v>20</v>
      </c>
      <c r="S22" s="300" t="str">
        <f>+'20'!A6:A6</f>
        <v>Usman Store</v>
      </c>
      <c r="T22" s="301">
        <f>+'20'!P35</f>
        <v>784.05289627118646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16169.491525423729</v>
      </c>
      <c r="R23" s="299">
        <v>21</v>
      </c>
      <c r="S23" s="300" t="str">
        <f>+'21'!A6:A6</f>
        <v>Ghosia Store</v>
      </c>
      <c r="T23" s="301">
        <f>+'21'!P35</f>
        <v>784.05289627118646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91520.625025423724</v>
      </c>
      <c r="R24" s="299">
        <v>22</v>
      </c>
      <c r="S24" s="300" t="str">
        <f>+'22'!A6:A6</f>
        <v xml:space="preserve">Delsia Bakers </v>
      </c>
      <c r="T24" s="301">
        <f>+'22'!P35</f>
        <v>1568.1057925423729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457.60312512711869</v>
      </c>
      <c r="R25" s="299">
        <v>23</v>
      </c>
      <c r="S25" s="300" t="str">
        <f>+'23'!A6:A6</f>
        <v>Qadri Store</v>
      </c>
      <c r="T25" s="301">
        <f>+'23'!P35</f>
        <v>1568.1057925423729</v>
      </c>
    </row>
    <row r="26" spans="1:20" ht="21.75" customHeight="1" thickBot="1" x14ac:dyDescent="0.4">
      <c r="N26" s="371" t="s">
        <v>88</v>
      </c>
      <c r="O26" s="372"/>
      <c r="P26" s="297">
        <f>+P24+P25</f>
        <v>91978.228150550844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91978.2281505508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  <row r="49" spans="2:2" x14ac:dyDescent="0.35">
      <c r="B49" t="s">
        <v>510</v>
      </c>
    </row>
    <row r="50" spans="2:2" x14ac:dyDescent="0.35">
      <c r="B50" t="s">
        <v>511</v>
      </c>
    </row>
    <row r="51" spans="2:2" x14ac:dyDescent="0.35">
      <c r="B51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3667.7000000000003</v>
      </c>
      <c r="J25" s="274">
        <f>SUM(J16:J24)</f>
        <v>246.34000000000003</v>
      </c>
      <c r="K25" s="275">
        <f t="shared" si="10"/>
        <v>128.36950000000002</v>
      </c>
      <c r="L25" s="276">
        <f t="shared" si="10"/>
        <v>80.029200000000003</v>
      </c>
      <c r="M25" s="232">
        <f t="shared" si="10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3667.7000000000003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246.34000000000003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208.39870000000002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3212.9612999999999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3914.6562152542369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71" t="s">
        <v>88</v>
      </c>
      <c r="O35" s="372"/>
      <c r="P35" s="297">
        <f>+P33+P34</f>
        <v>3934.229496330508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515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6573.3000000000011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478.78800000000007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310.09470000000005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5784.417300000001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7035.2647576271193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1" t="s">
        <v>88</v>
      </c>
      <c r="O35" s="372"/>
      <c r="P35" s="297">
        <f>+P33+P34</f>
        <v>7070.4410814152552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100</v>
      </c>
      <c r="I25" s="114">
        <f t="shared" si="7"/>
        <v>5524.05</v>
      </c>
      <c r="J25" s="274">
        <f>SUM(J16:J24)</f>
        <v>394.84800000000001</v>
      </c>
      <c r="K25" s="275">
        <f t="shared" si="7"/>
        <v>193.34175000000005</v>
      </c>
      <c r="L25" s="276">
        <f t="shared" si="7"/>
        <v>80.029200000000003</v>
      </c>
      <c r="M25" s="232">
        <f t="shared" si="7"/>
        <v>4855.8310500000007</v>
      </c>
      <c r="N25" s="233">
        <f>SUM(N16:N24)</f>
        <v>1052.5423728813557</v>
      </c>
      <c r="O25" s="101">
        <f>SUM(O16:O24)</f>
        <v>29.541867114406781</v>
      </c>
      <c r="P25" s="113">
        <f>SUM(P16:P24)</f>
        <v>5937.9152899957626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5524.05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394.84800000000001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273.37095000000005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4855.8310499999998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1052.5423728813557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5908.3734228813555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29.541867114406777</v>
      </c>
    </row>
    <row r="35" spans="2:16" ht="15.75" customHeight="1" thickBot="1" x14ac:dyDescent="0.4">
      <c r="N35" s="371" t="s">
        <v>88</v>
      </c>
      <c r="O35" s="372"/>
      <c r="P35" s="297">
        <f>+P33+P34</f>
        <v>5937.9152899957626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113">
        <f>SUM(P16:P24)</f>
        <v>1132.5257914194915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1049.25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83.94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36.723750000000003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928.58624999999995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1126.8913347457626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1" t="s">
        <v>88</v>
      </c>
      <c r="O35" s="372"/>
      <c r="P35" s="297">
        <f>+P33+P34</f>
        <v>1132.5257914194915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311">
        <f t="shared" si="5"/>
        <v>9408.6347552542375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697.34399999999994</v>
      </c>
      <c r="K21" s="128">
        <f t="shared" si="1"/>
        <v>305.08800000000002</v>
      </c>
      <c r="L21" s="119">
        <f t="shared" si="1"/>
        <v>0</v>
      </c>
      <c r="M21" s="230">
        <f t="shared" si="2"/>
        <v>7714.3679999999995</v>
      </c>
      <c r="N21" s="277">
        <f t="shared" si="3"/>
        <v>1647.4576271186443</v>
      </c>
      <c r="O21" s="239">
        <f t="shared" si="4"/>
        <v>46.80912813559322</v>
      </c>
      <c r="P21" s="311">
        <f t="shared" si="5"/>
        <v>9408.6347552542375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320</v>
      </c>
      <c r="I25" s="114">
        <f t="shared" si="7"/>
        <v>23244.799999999999</v>
      </c>
      <c r="J25" s="274">
        <f>SUM(J16:J24)</f>
        <v>1859.5839999999998</v>
      </c>
      <c r="K25" s="275">
        <f t="shared" si="7"/>
        <v>813.56799999999998</v>
      </c>
      <c r="L25" s="276">
        <f t="shared" si="7"/>
        <v>0</v>
      </c>
      <c r="M25" s="232">
        <f t="shared" si="7"/>
        <v>20571.647999999997</v>
      </c>
      <c r="N25" s="233">
        <f>SUM(N16:N24)</f>
        <v>4393.2203389830511</v>
      </c>
      <c r="O25" s="101">
        <f>SUM(O16:O24)</f>
        <v>124.82434169491526</v>
      </c>
      <c r="P25" s="113">
        <f>SUM(P16:P24)</f>
        <v>25089.692680677967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23244.799999999999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1859.5839999999998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813.56799999999998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20571.648000000001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4393.2203389830511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24964.868338983051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124.82434169491526</v>
      </c>
    </row>
    <row r="35" spans="2:16" ht="15.75" customHeight="1" thickBot="1" x14ac:dyDescent="0.4">
      <c r="N35" s="371" t="s">
        <v>88</v>
      </c>
      <c r="O35" s="372"/>
      <c r="P35" s="297">
        <f>+P33+P34</f>
        <v>25089.692680677967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200</v>
      </c>
      <c r="I25" s="114">
        <f t="shared" si="7"/>
        <v>13191.6</v>
      </c>
      <c r="J25" s="274">
        <f>SUM(J16:J24)</f>
        <v>1008.2520000000001</v>
      </c>
      <c r="K25" s="275">
        <f t="shared" si="7"/>
        <v>461.70600000000007</v>
      </c>
      <c r="L25" s="276">
        <f t="shared" si="7"/>
        <v>80.029200000000003</v>
      </c>
      <c r="M25" s="232">
        <f t="shared" si="7"/>
        <v>11641.612800000001</v>
      </c>
      <c r="N25" s="233">
        <f>SUM(N16:N24)</f>
        <v>2501.6949152542375</v>
      </c>
      <c r="O25" s="101">
        <f>SUM(O16:O24)</f>
        <v>70.716538576271191</v>
      </c>
      <c r="P25" s="113">
        <f>SUM(P16:P24)</f>
        <v>14214.024253830508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13191.6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1008.2520000000001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541.73520000000008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11641.612799999999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2501.6949152542375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14143.307715254236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70.716538576271176</v>
      </c>
    </row>
    <row r="35" spans="2:16" ht="15.75" customHeight="1" thickBot="1" x14ac:dyDescent="0.4">
      <c r="N35" s="371" t="s">
        <v>88</v>
      </c>
      <c r="O35" s="372"/>
      <c r="P35" s="297">
        <f>+P33+P34</f>
        <v>14214.024253830506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532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534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116.224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50.848000000000006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1285.7280000000001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1560.3042711864407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1" t="s">
        <v>88</v>
      </c>
      <c r="O35" s="372"/>
      <c r="P35" s="297">
        <f>+P33+P34</f>
        <v>1568.1057925423729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1452.8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116.224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50.848000000000006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1285.7280000000001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1560.3042711864407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1" t="s">
        <v>88</v>
      </c>
      <c r="O35" s="372"/>
      <c r="P35" s="297">
        <f>+P33+P34</f>
        <v>1568.1057925423729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500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506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506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508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507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46240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46239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2026-08-05T04:56:30Z</dcterms:modified>
</cp:coreProperties>
</file>