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00C8AA9-CAD8-4E1C-BA36-E23CF2E71E9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<sst xmlns="http://schemas.openxmlformats.org/spreadsheetml/2006/main" count="3947" uniqueCount="515">
  <si>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</si>
  <si>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</si>
  <si>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</si>
  <si>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</si>
  <si>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</si>
  <si>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</si>
  <si>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</si>
  <si>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</si>
  <si>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</si>
  <si>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</si>
  <si>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</si>
  <si>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</si>
  <si>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</si>
  <si>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</si>
  <si>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</si>
  <si>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</si>
  <si>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</si>
  <si>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</si>
  <si>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</si>
  <si>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</si>
  <si>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</si>
  <si>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</si>
  <si>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</si>
  <si>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</si>
  <si>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</si>
  <si>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</si>
  <si>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</si>
  <si>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</si>
  <si>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</si>
  <si>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</si>
  <si>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</si>
  <si>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</si>
  <si>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</si>
  <si>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</si>
  <si>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</si>
  <si>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</si>
  <si>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</si>
  <si>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</si>
  <si>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</si>
  <si>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</si>
  <si>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</si>
  <si>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</si>
  <si>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</si>
  <si>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</si>
  <si>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</si>
  <si>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</si>
  <si>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</si>
  <si>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</si>
  <si>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</si>
  <si>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</si>
  <si>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</si>
  <si>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</si>
  <si>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</si>
  <si>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</si>
  <si>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</si>
  <si>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</si>
  <si>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</si>
  <si>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</si>
  <si>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</si>
  <si>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</si>
  <si>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</si>
  <si>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</si>
  <si>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</si>
  <si>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</si>
  <si>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</si>
  <si>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</si>
  <si>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</si>
  <si>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</si>
  <si>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</si>
  <si>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</si>
  <si>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</si>
  <si>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</si>
  <si>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</si>
  <si>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</si>
  <si>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</si>
  <si>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</si>
  <si>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</si>
  <si>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</si>
  <si>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</si>
  <si>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</si>
  <si>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</si>
  <si>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</si>
  <si>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</si>
  <si>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</si>
  <si>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</si>
  <si>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</si>
  <si>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</si>
  <si>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</si>
  <si>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</si>
  <si>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</si>
  <si>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</si>
  <si>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</si>
  <si>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</si>
  <si>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</si>
  <si>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</si>
  <si>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</si>
  <si>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</si>
  <si>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</si>
  <si>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</si>
  <si>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</si>
  <si>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</si>
  <si>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</si>
  <si>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</si>
  <si>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</si>
  <si>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</si>
  <si>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</si>
  <si>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</si>
  <si>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</si>
  <si>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</si>
  <si>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</si>
  <si>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</si>
  <si>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</si>
  <si>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</si>
  <si>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</si>
  <si>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</si>
  <si>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</si>
  <si>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</si>
  <si>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</si>
  <si>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</si>
  <si>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</si>
  <si>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</si>
  <si>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</si>
  <si>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</si>
  <si>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</si>
  <si>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</si>
  <si>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</si>
  <si>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</si>
  <si>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</si>
  <si>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</si>
  <si>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</si>
  <si>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</si>
  <si>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</si>
  <si>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</si>
  <si>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</si>
  <si>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</si>
  <si>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</si>
  <si>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</si>
  <si>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</si>
  <si>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</si>
  <si>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</si>
  <si>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</si>
  <si>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</si>
  <si>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</si>
  <si>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</si>
  <si>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</si>
  <si>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</si>
  <si>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</si>
  <si>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</si>
  <si>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</si>
  <si>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</si>
  <si>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</si>
  <si>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</si>
  <si>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</si>
  <si>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</si>
  <si>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</si>
  <si>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</si>
  <si>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</si>
  <si>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</si>
  <si>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</si>
  <si>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</si>
  <si>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</si>
  <si>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</si>
  <si>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</si>
  <si>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</si>
  <si>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</si>
  <si>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</si>
  <si>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</si>
  <si>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</si>
  <si>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</si>
  <si>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</si>
  <si>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</si>
  <si>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</si>
  <si>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</si>
  <si>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</si>
  <si>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</si>
  <si>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</si>
  <si>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</si>
  <si>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</si>
  <si>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</si>
  <si>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</si>
  <si>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</si>
  <si>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</si>
  <si>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</si>
  <si>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</si>
  <si>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</si>
  <si>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</si>
  <si>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</si>
  <si>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</si>
  <si>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</si>
  <si>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</si>
  <si>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</si>
  <si>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</si>
  <si>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</si>
  <si>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</si>
  <si>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</si>
  <si>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</si>
  <si>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</si>
  <si>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</si>
  <si>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</si>
  <si>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</si>
  <si>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</si>
  <si>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</si>
  <si>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</si>
  <si>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</si>
  <si>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</si>
  <si>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</si>
  <si>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</si>
  <si>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</si>
  <si>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</si>
  <si>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</si>
  <si>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</si>
  <si>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</si>
  <si>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</si>
  <si>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</si>
  <si>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</si>
  <si>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</si>
  <si>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</si>
  <si>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</si>
  <si>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</si>
  <si>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</si>
  <si>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</si>
  <si>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</si>
  <si>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</si>
  <si>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</si>
  <si>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</si>
  <si>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</si>
  <si>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</si>
  <si>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</si>
  <si>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</si>
  <si>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</si>
  <si>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</si>
  <si>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</si>
  <si>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</si>
  <si>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</si>
  <si>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</si>
  <si>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</si>
  <si>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</si>
  <si>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</si>
  <si>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</si>
  <si>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</si>
  <si>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</si>
  <si>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</si>
  <si>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</si>
  <si>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</si>
  <si>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</si>
  <si>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</si>
  <si>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</si>
  <si>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</si>
  <si>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</si>
  <si>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</si>
  <si>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</si>
  <si>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</si>
  <si>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</si>
  <si>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</si>
  <si>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</si>
  <si>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</si>
  <si>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</si>
  <si>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</si>
  <si>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</si>
  <si>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</si>
  <si>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</si>
  <si>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</si>
  <si>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</si>
  <si>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</si>
  <si>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</si>
  <si>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</si>
  <si>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</si>
  <si>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</si>
  <si>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</si>
  <si>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</si>
  <si>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</si>
  <si>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</si>
  <si>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</si>
  <si>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</si>
  <si>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</si>
  <si>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</si>
  <si>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</si>
  <si>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</si>
  <si>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</si>
  <si>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</si>
  <si>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</si>
  <si>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</si>
  <si>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</si>
  <si>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</si>
  <si>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</si>
  <si>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</si>
  <si>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</si>
  <si>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</si>
  <si>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</si>
  <si>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</si>
  <si>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</si>
  <si>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</si>
  <si>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</si>
  <si>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</si>
  <si>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</si>
  <si>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</si>
  <si>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</si>
  <si>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</si>
  <si>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</si>
  <si>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</si>
  <si>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</si>
  <si>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</si>
  <si>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</si>
  <si>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</si>
  <si>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</si>
  <si>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</si>
  <si>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</si>
  <si>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</si>
  <si>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</si>
  <si>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</si>
  <si>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</si>
  <si>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</si>
  <si>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</si>
  <si>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</si>
  <si>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</si>
  <si>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</si>
  <si>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</si>
  <si>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</si>
  <si>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</si>
  <si>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</si>
  <si>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</si>
  <si>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</si>
  <si>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</si>
  <si>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</si>
  <si>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</si>
  <si>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</si>
  <si>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</si>
  <si>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</si>
  <si>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</si>
  <si>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</si>
  <si>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</si>
  <si>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</si>
  <si>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</si>
  <si>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</si>
  <si>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</si>
  <si>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</si>
  <si>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</si>
  <si>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</si>
  <si>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</si>
  <si>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</si>
  <si>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</si>
  <si>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</si>
  <si>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</si>
  <si>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</si>
  <si>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</si>
  <si>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</si>
  <si>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</si>
  <si>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</si>
  <si>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</si>
  <si>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</si>
  <si>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</si>
  <si>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</si>
  <si>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</si>
  <si>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</si>
  <si>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</si>
  <si>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</si>
  <si>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</si>
  <si>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</si>
  <si>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</si>
  <si>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</si>
  <si>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</si>
  <si>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</si>
  <si>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</si>
  <si>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</si>
  <si>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</si>
  <si>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</si>
  <si>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</si>
  <si>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</si>
  <si>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</si>
  <si>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</si>
  <si>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</si>
  <si>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</si>
  <si>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</si>
  <si>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</si>
  <si>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</si>
  <si>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</si>
  <si>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</si>
  <si>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</si>
  <si>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</si>
  <si>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</si>
  <si>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</si>
  <si>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</si>
  <si>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</si>
  <si>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</si>
  <si>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</si>
  <si>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</si>
  <si>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</si>
  <si>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</si>
  <si>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</si>
  <si>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</si>
  <si>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</si>
  <si>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</si>
  <si>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</si>
  <si>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</si>
  <si>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</si>
  <si>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</si>
  <si>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</si>
  <si>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</si>
  <si>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</si>
  <si>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</si>
  <si>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</si>
  <si>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</si>
  <si>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</si>
  <si>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</si>
  <si>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</si>
  <si>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</si>
  <si>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</si>
  <si>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</si>
  <si>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</si>
  <si>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</si>
  <si>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</si>
  <si>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</si>
  <si>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</si>
  <si>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</si>
  <si>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</si>
  <si>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</si>
  <si>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</si>
  <si>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</si>
  <si>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</si>
  <si>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</si>
  <si>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</si>
  <si>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</si>
  <si>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</si>
  <si>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</si>
  <si>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</si>
  <si>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</si>
  <si>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</si>
  <si>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</si>
  <si>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</si>
  <si>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</si>
  <si>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</si>
  <si>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</si>
  <si>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</si>
  <si>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</si>
  <si>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</si>
  <si>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</si>
  <si>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</si>
  <si>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</si>
  <si>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</si>
  <si>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</si>
  <si>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</si>
  <si>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</si>
  <si>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</si>
  <si>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</si>
  <si>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</si>
  <si>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</si>
  <si>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</si>
  <si>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</si>
  <si>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</si>
  <si>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</si>
  <si>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</si>
  <si>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</si>
  <si>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</si>
  <si>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</si>
  <si>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</si>
  <si>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</si>
  <si>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</si>
  <si>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</si>
  <si>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</si>
  <si>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</si>
  <si>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</si>
  <si>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</si>
  <si>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</si>
  <si>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</si>
  <si>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</si>
  <si>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</si>
  <si>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</si>
  <si>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</si>
  <si>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</si>
  <si>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</si>
  <si>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</si>
  <si>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</si>
  <si>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</si>
  <si>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</si>
  <si>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</si>
  <si>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</si>
  <si>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</si>
  <si>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</si>
  <si>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</si>
  <si>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</si>
  <si>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</si>
  <si>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</si>
  <si>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</si>
  <si>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</si>
  <si>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</si>
  <si>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</si>
  <si>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</si>
  <si>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</si>
  <si>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</si>
  <si>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</si>
  <si>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</si>
  <si>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</si>
  <si>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</si>
  <si>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</si>
  <si>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</si>
  <si>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</si>
  <si>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</si>
  <si>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</si>
  <si>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</si>
  <si>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</si>
  <si>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</si>
  <si>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</si>
  <si>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</si>
  <si>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</si>
  <si>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</si>
  <si>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</si>
  <si>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</si>
  <si>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</si>
  <si>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</si>
  <si>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</si>
  <si>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</si>
  <si>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</si>
  <si>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LUTF Mart </t>
  </si>
  <si>
    <t>Address: Ranger Head Quarter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</si>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</sst>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19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46239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LUTF Mart </v>
      </c>
      <c r="T3" s="301">
        <f>+'1'!P35</f>
        <v>66172.980971822035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LUTF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LUTF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LUTF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LUTF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629.55000000000007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5445.6075000000001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33.177190042372878</v>
      </c>
      <c r="P8" s="311">
        <f t="shared" ref="P8:P15" si="2">M8+N8+O8</f>
        <v>6668.6151985169481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LUTF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LUTF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1452.8000000000002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12566.72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76.562413559322039</v>
      </c>
      <c r="P10" s="311">
        <f t="shared" si="2"/>
        <v>15389.045125423729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LUTF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12566.72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76.562413559322039</v>
      </c>
      <c r="P11" s="311">
        <f t="shared" si="2"/>
        <v>15389.045125423729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LUTF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12566.72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76.562413559322039</v>
      </c>
      <c r="P12" s="311">
        <f t="shared" si="2"/>
        <v>15389.045125423729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LUTF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LUTF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LUTF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LUTF Mart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24</v>
      </c>
      <c r="H16" s="113">
        <f t="shared" ref="H16:M16" si="3">SUM(H7:H15)</f>
        <v>960</v>
      </c>
      <c r="I16" s="114">
        <f t="shared" si="3"/>
        <v>62470.5</v>
      </c>
      <c r="J16" s="274">
        <f>SUM(J7:J15)</f>
        <v>6247.05</v>
      </c>
      <c r="K16" s="275">
        <f t="shared" si="3"/>
        <v>2186.4675000000002</v>
      </c>
      <c r="L16" s="276">
        <f t="shared" si="3"/>
        <v>0</v>
      </c>
      <c r="M16" s="232">
        <f t="shared" si="3"/>
        <v>54036.982499999998</v>
      </c>
      <c r="N16" s="233">
        <f>SUM(N7:N15)</f>
        <v>11806.779661016948</v>
      </c>
      <c r="O16" s="101">
        <f>SUM(O7:O15)</f>
        <v>329.21881080508479</v>
      </c>
      <c r="P16" s="113">
        <f>SUM(P7:P15)</f>
        <v>66172.980971822035</v>
      </c>
      <c r="Q16" s="128">
        <f>SUM(Q7:Q15)</f>
        <v>0</v>
      </c>
      <c r="R16" s="314">
        <v>14</v>
      </c>
      <c r="S16" s="300" t="str">
        <f>+'14'!A6:A6</f>
        <v xml:space="preserve">LUTF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LUTF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LUTF Mart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62470.5</v>
      </c>
      <c r="R19" s="299">
        <v>17</v>
      </c>
      <c r="S19" s="300" t="str">
        <f>+'17'!A6:A6</f>
        <v xml:space="preserve">LUTF Mart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6247.05</v>
      </c>
      <c r="R20" s="299">
        <v>18</v>
      </c>
      <c r="S20" s="300" t="str">
        <f>+'18'!A6:A6</f>
        <v xml:space="preserve">LUTF Mart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2186.4675000000002</v>
      </c>
      <c r="R21" s="299">
        <v>19</v>
      </c>
      <c r="S21" s="300" t="str">
        <f>+'19'!A6:A6</f>
        <v xml:space="preserve">LUTF Mart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54036.982499999998</v>
      </c>
      <c r="R22" s="299">
        <v>20</v>
      </c>
      <c r="S22" s="300" t="str">
        <f>+'20'!A6:A6</f>
        <v xml:space="preserve">LUTF Mart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11806.779661016948</v>
      </c>
      <c r="R23" s="299">
        <v>21</v>
      </c>
      <c r="S23" s="300" t="str">
        <f>+'21'!A6:A6</f>
        <v xml:space="preserve">LUTF Mart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65843.762161016944</v>
      </c>
      <c r="R24" s="299">
        <v>22</v>
      </c>
      <c r="S24" s="300" t="str">
        <f>+'22'!A6:A6</f>
        <v xml:space="preserve">LUTF Mart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329.21881080508479</v>
      </c>
      <c r="R25" s="299">
        <v>23</v>
      </c>
      <c r="S25" s="300" t="str">
        <f>+'23'!A6:A6</f>
        <v xml:space="preserve">LUTF Mart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66172.980971822035</v>
      </c>
      <c r="R26" s="299">
        <v>24</v>
      </c>
      <c r="S26" s="300" t="str">
        <f>+'24'!A6:A6</f>
        <v xml:space="preserve">LUTF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LUTF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LUTF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LUTF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LUTF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LUTF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LUTF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66172.980971822035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3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629.55000000000007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5445.6075000000001</v>
      </c>
      <c r="N17" s="277">
        <f t="shared" ref="N17:N24" si="3">+(G17*D17+H17)*V17</f>
        <v>1189.8305084745757</v>
      </c>
      <c r="O17" s="239">
        <f t="shared" ref="O17:O24" si="4">(N17+M17)*$O$15</f>
        <v>33.177190042372878</v>
      </c>
      <c r="P17" s="311">
        <f t="shared" ref="P17:P24" si="5">M17+N17+O17</f>
        <v>6668.6151985169481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311">
        <f t="shared" si="5"/>
        <v>6668.6151985169481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1452.8000000000002</v>
      </c>
      <c r="K19" s="128">
        <f t="shared" si="1"/>
        <v>508.48000000000008</v>
      </c>
      <c r="L19" s="119">
        <f t="shared" si="1"/>
        <v>0</v>
      </c>
      <c r="M19" s="230">
        <f t="shared" si="2"/>
        <v>12566.72</v>
      </c>
      <c r="N19" s="277">
        <f t="shared" si="3"/>
        <v>2745.7627118644068</v>
      </c>
      <c r="O19" s="239">
        <f t="shared" si="4"/>
        <v>76.562413559322039</v>
      </c>
      <c r="P19" s="311">
        <f t="shared" si="5"/>
        <v>15389.045125423729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1452.8000000000002</v>
      </c>
      <c r="K20" s="128">
        <f t="shared" si="1"/>
        <v>508.48000000000008</v>
      </c>
      <c r="L20" s="119">
        <f t="shared" si="1"/>
        <v>0</v>
      </c>
      <c r="M20" s="230">
        <f t="shared" si="2"/>
        <v>12566.72</v>
      </c>
      <c r="N20" s="277">
        <f t="shared" si="3"/>
        <v>2745.7627118644068</v>
      </c>
      <c r="O20" s="239">
        <f t="shared" si="4"/>
        <v>76.562413559322039</v>
      </c>
      <c r="P20" s="311">
        <f t="shared" si="5"/>
        <v>15389.045125423729</v>
      </c>
      <c r="Q20" s="156"/>
      <c r="R20">
        <f>P20/21</f>
        <v>732.81167263922521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311">
        <f t="shared" si="5"/>
        <v>15389.045125423729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960</v>
      </c>
      <c r="I25" s="114">
        <f t="shared" ref="I25:M25" si="10">SUM(I16:I24)</f>
        <v>62470.5</v>
      </c>
      <c r="J25" s="274">
        <f>SUM(J16:J24)</f>
        <v>6247.05</v>
      </c>
      <c r="K25" s="275">
        <f t="shared" si="10"/>
        <v>2186.4675000000002</v>
      </c>
      <c r="L25" s="276">
        <f t="shared" si="10"/>
        <v>0</v>
      </c>
      <c r="M25" s="232">
        <f t="shared" si="10"/>
        <v>54036.982499999998</v>
      </c>
      <c r="N25" s="233">
        <f>SUM(N16:N24)</f>
        <v>11806.779661016948</v>
      </c>
      <c r="O25" s="101">
        <f>SUM(O16:O24)</f>
        <v>329.21881080508479</v>
      </c>
      <c r="P25" s="113">
        <f>SUM(P16:P24)</f>
        <v>66172.980971822035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62470.5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6247.05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2186.4675000000002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54036.982499999998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11806.779661016948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65843.762161016944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329.21881080508473</v>
      </c>
    </row>
    <row r="35" spans="2:16" ht="15.75" customHeight="1" thickBot="1" x14ac:dyDescent="0.4">
      <c r="N35" s="343" t="s">
        <v>88</v>
      </c>
      <c r="O35" s="344"/>
      <c r="P35" s="297">
        <f>+P33+P34</f>
        <v>66172.980971822035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46240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46239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2026-08-05T12:13:34Z</dcterms:modified>
</cp:coreProperties>
</file>