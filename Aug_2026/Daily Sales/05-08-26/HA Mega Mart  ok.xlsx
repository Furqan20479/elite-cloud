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9130692-F1E4-4A3F-9A43-3009D7381AD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59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<sst xmlns="http://schemas.openxmlformats.org/spreadsheetml/2006/main" count="3976" uniqueCount="517">
  <si>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</si>
  <si>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</si>
  <si>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</si>
  <si>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</si>
  <si>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</si>
  <si>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</si>
  <si>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</si>
  <si>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</si>
  <si>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</si>
  <si>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</si>
  <si>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</si>
  <si>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</si>
  <si>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</si>
  <si>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</si>
  <si>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</si>
  <si>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</si>
  <si>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</si>
  <si>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</si>
  <si>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</si>
  <si>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</si>
  <si>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</si>
  <si>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</si>
  <si>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</si>
  <si>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</si>
  <si>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</si>
  <si>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</si>
  <si>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</si>
  <si>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</si>
  <si>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</si>
  <si>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</si>
  <si>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</si>
  <si>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</si>
  <si>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</si>
  <si>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</si>
  <si>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</si>
  <si>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</si>
  <si>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</si>
  <si>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</si>
  <si>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</si>
  <si>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</si>
  <si>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</si>
  <si>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</si>
  <si>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</si>
  <si>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</si>
  <si>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</si>
  <si>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</si>
  <si>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</si>
  <si>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</si>
  <si>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</si>
  <si>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</si>
  <si>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</si>
  <si>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</si>
  <si>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</si>
  <si>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</si>
  <si>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</si>
  <si>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</si>
  <si>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</si>
  <si>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</si>
  <si>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</si>
  <si>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</si>
  <si>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</si>
  <si>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</si>
  <si>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</si>
  <si>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</si>
  <si>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</si>
  <si>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</si>
  <si>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</si>
  <si>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</si>
  <si>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</si>
  <si>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</si>
  <si>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</si>
  <si>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</si>
  <si>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</si>
  <si>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</si>
  <si>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</si>
  <si>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</si>
  <si>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</si>
  <si>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</si>
  <si>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</si>
  <si>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</si>
  <si>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</si>
  <si>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</si>
  <si>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</si>
  <si>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</si>
  <si>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</si>
  <si>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</si>
  <si>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</si>
  <si>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</si>
  <si>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</si>
  <si>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</si>
  <si>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</si>
  <si>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</si>
  <si>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</si>
  <si>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</si>
  <si>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</si>
  <si>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</si>
  <si>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</si>
  <si>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</si>
  <si>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</si>
  <si>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</si>
  <si>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</si>
  <si>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</si>
  <si>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</si>
  <si>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</si>
  <si>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</si>
  <si>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</si>
  <si>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</si>
  <si>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</si>
  <si>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</si>
  <si>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</si>
  <si>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</si>
  <si>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</si>
  <si>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</si>
  <si>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</si>
  <si>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</si>
  <si>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</si>
  <si>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</si>
  <si>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</si>
  <si>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</si>
  <si>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</si>
  <si>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</si>
  <si>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</si>
  <si>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</si>
  <si>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</si>
  <si>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</si>
  <si>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</si>
  <si>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</si>
  <si>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</si>
  <si>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</si>
  <si>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</si>
  <si>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</si>
  <si>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</si>
  <si>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</si>
  <si>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</si>
  <si>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</si>
  <si>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</si>
  <si>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</si>
  <si>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</si>
  <si>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</si>
  <si>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</si>
  <si>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</si>
  <si>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</si>
  <si>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</si>
  <si>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</si>
  <si>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</si>
  <si>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</si>
  <si>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</si>
  <si>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</si>
  <si>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</si>
  <si>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</si>
  <si>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</si>
  <si>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</si>
  <si>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</si>
  <si>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</si>
  <si>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</si>
  <si>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</si>
  <si>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</si>
  <si>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</si>
  <si>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</si>
  <si>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</si>
  <si>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</si>
  <si>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</si>
  <si>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</si>
  <si>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</si>
  <si>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</si>
  <si>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</si>
  <si>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</si>
  <si>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</si>
  <si>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</si>
  <si>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</si>
  <si>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</si>
  <si>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</si>
  <si>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</si>
  <si>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</si>
  <si>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</si>
  <si>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</si>
  <si>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</si>
  <si>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</si>
  <si>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</si>
  <si>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</si>
  <si>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</si>
  <si>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</si>
  <si>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</si>
  <si>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</si>
  <si>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</si>
  <si>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</si>
  <si>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</si>
  <si>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</si>
  <si>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</si>
  <si>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</si>
  <si>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</si>
  <si>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</si>
  <si>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</si>
  <si>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</si>
  <si>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</si>
  <si>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</si>
  <si>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</si>
  <si>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</si>
  <si>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</si>
  <si>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</si>
  <si>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</si>
  <si>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</si>
  <si>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</si>
  <si>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</si>
  <si>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</si>
  <si>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</si>
  <si>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</si>
  <si>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</si>
  <si>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</si>
  <si>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</si>
  <si>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</si>
  <si>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</si>
  <si>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</si>
  <si>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</si>
  <si>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</si>
  <si>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</si>
  <si>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</si>
  <si>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</si>
  <si>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</si>
  <si>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</si>
  <si>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</si>
  <si>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</si>
  <si>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</si>
  <si>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</si>
  <si>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</si>
  <si>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</si>
  <si>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</si>
  <si>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</si>
  <si>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</si>
  <si>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</si>
  <si>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</si>
  <si>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</si>
  <si>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</si>
  <si>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</si>
  <si>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</si>
  <si>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</si>
  <si>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</si>
  <si>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</si>
  <si>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</si>
  <si>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</si>
  <si>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</si>
  <si>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</si>
  <si>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</si>
  <si>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</si>
  <si>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</si>
  <si>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</si>
  <si>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</si>
  <si>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</si>
  <si>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</si>
  <si>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</si>
  <si>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</si>
  <si>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</si>
  <si>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</si>
  <si>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</si>
  <si>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</si>
  <si>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</si>
  <si>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</si>
  <si>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</si>
  <si>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</si>
  <si>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</si>
  <si>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</si>
  <si>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</si>
  <si>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</si>
  <si>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</si>
  <si>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</si>
  <si>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</si>
  <si>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</si>
  <si>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</si>
  <si>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</si>
  <si>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</si>
  <si>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</si>
  <si>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</si>
  <si>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</si>
  <si>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</si>
  <si>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</si>
  <si>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</si>
  <si>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</si>
  <si>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</si>
  <si>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</si>
  <si>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</si>
  <si>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</si>
  <si>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</si>
  <si>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</si>
  <si>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</si>
  <si>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</si>
  <si>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</si>
  <si>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</si>
  <si>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</si>
  <si>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</si>
  <si>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</si>
  <si>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</si>
  <si>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</si>
  <si>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</si>
  <si>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</si>
  <si>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</si>
  <si>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</si>
  <si>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</si>
  <si>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</si>
  <si>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</si>
  <si>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</si>
  <si>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</si>
  <si>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</si>
  <si>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</si>
  <si>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</si>
  <si>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</si>
  <si>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</si>
  <si>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</si>
  <si>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</si>
  <si>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</si>
  <si>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</si>
  <si>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</si>
  <si>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</si>
  <si>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</si>
  <si>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</si>
  <si>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</si>
  <si>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</si>
  <si>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</si>
  <si>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</si>
  <si>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</si>
  <si>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</si>
  <si>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</si>
  <si>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</si>
  <si>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</si>
  <si>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</si>
  <si>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</si>
  <si>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</si>
  <si>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</si>
  <si>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</si>
  <si>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</si>
  <si>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</si>
  <si>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</si>
  <si>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</si>
  <si>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</si>
  <si>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</si>
  <si>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</si>
  <si>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</si>
  <si>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</si>
  <si>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</si>
  <si>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</si>
  <si>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</si>
  <si>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</si>
  <si>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</si>
  <si>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</si>
  <si>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</si>
  <si>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</si>
  <si>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</si>
  <si>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</si>
  <si>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</si>
  <si>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</si>
  <si>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</si>
  <si>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</si>
  <si>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</si>
  <si>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</si>
  <si>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</si>
  <si>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</si>
  <si>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</si>
  <si>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</si>
  <si>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</si>
  <si>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</si>
  <si>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</si>
  <si>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</si>
  <si>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</si>
  <si>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</si>
  <si>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</si>
  <si>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</si>
  <si>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</si>
  <si>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</si>
  <si>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</si>
  <si>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</si>
  <si>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</si>
  <si>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</si>
  <si>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</si>
  <si>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</si>
  <si>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</si>
  <si>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</si>
  <si>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</si>
  <si>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</si>
  <si>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</si>
  <si>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</si>
  <si>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</si>
  <si>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</si>
  <si>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</si>
  <si>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</si>
  <si>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</si>
  <si>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</si>
  <si>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</si>
  <si>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</si>
  <si>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</si>
  <si>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</si>
  <si>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</si>
  <si>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</si>
  <si>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</si>
  <si>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</si>
  <si>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</si>
  <si>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</si>
  <si>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</si>
  <si>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</si>
  <si>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</si>
  <si>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</si>
  <si>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</si>
  <si>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</si>
  <si>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</si>
  <si>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</si>
  <si>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</si>
  <si>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</si>
  <si>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</si>
  <si>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</si>
  <si>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</si>
  <si>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</si>
  <si>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</si>
  <si>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</si>
  <si>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</si>
  <si>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</si>
  <si>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</si>
  <si>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</si>
  <si>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</si>
  <si>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</si>
  <si>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</si>
  <si>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</si>
  <si>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</si>
  <si>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</si>
  <si>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</si>
  <si>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</si>
  <si>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</si>
  <si>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</si>
  <si>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</si>
  <si>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</si>
  <si>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</si>
  <si>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</si>
  <si>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</si>
  <si>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</si>
  <si>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</si>
  <si>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</si>
  <si>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</si>
  <si>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</si>
  <si>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</si>
  <si>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</si>
  <si>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</si>
  <si>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</si>
  <si>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</si>
  <si>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</si>
  <si>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</si>
  <si>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</si>
  <si>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</si>
  <si>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</si>
  <si>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</si>
  <si>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</si>
  <si>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</si>
  <si>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</si>
  <si>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</si>
  <si>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</si>
  <si>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</si>
  <si>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</si>
  <si>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</si>
  <si>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</si>
  <si>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</si>
  <si>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</si>
  <si>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</si>
  <si>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</si>
  <si>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</si>
  <si>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</si>
  <si>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</si>
  <si>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</si>
  <si>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</si>
  <si>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</si>
  <si>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</si>
  <si>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</si>
  <si>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</si>
  <si>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</si>
  <si>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</si>
  <si>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</si>
  <si>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</si>
  <si>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</si>
  <si>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</si>
  <si>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</si>
  <si>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</si>
  <si>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</si>
  <si>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</si>
  <si>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</si>
  <si>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</si>
  <si>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</si>
  <si>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</si>
  <si>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</si>
  <si>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</si>
  <si>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</si>
  <si>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</si>
  <si>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</si>
  <si>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</si>
  <si>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</si>
  <si>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</si>
  <si>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</si>
  <si>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</si>
  <si>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</si>
  <si>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</si>
  <si>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</si>
  <si>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</si>
  <si>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</si>
  <si>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</si>
  <si>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</si>
  <si>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</si>
  <si>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</si>
  <si>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</si>
  <si>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</si>
  <si>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</si>
  <si>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</si>
  <si>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</si>
  <si>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</si>
  <si>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</si>
  <si>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</si>
  <si>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</si>
  <si>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</si>
  <si>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</si>
  <si>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Address: Fateh Gher </t>
  </si>
  <si>
    <t xml:space="preserve">Ha Mega Mart </t>
  </si>
  <si>
    <t>NTN://  B132902-8</t>
  </si>
  <si>
    <t xml:space="preserve">HA Mega Mart </t>
  </si>
  <si>
    <t>Invoice No # :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</si>
</sst>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46239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HA Mega Mart </v>
      </c>
      <c r="T3" s="301">
        <f>+'1'!P35</f>
        <v>12580.888578686441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 Mega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 Mega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 Mega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 Mega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Ha Mega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 Mega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Ha Mega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 Mega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Ha Mega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Ha Mega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 Mega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Ha Mega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5</v>
      </c>
      <c r="H16" s="113">
        <f t="shared" ref="H16:M16" si="3">SUM(H7:H15)</f>
        <v>200</v>
      </c>
      <c r="I16" s="114">
        <f t="shared" si="3"/>
        <v>12106.7</v>
      </c>
      <c r="J16" s="274">
        <f>SUM(J7:J15)</f>
        <v>1452.8039999999999</v>
      </c>
      <c r="K16" s="275">
        <f t="shared" si="3"/>
        <v>423.73450000000008</v>
      </c>
      <c r="L16" s="276">
        <f t="shared" si="3"/>
        <v>0</v>
      </c>
      <c r="M16" s="232">
        <f t="shared" si="3"/>
        <v>10230.1615</v>
      </c>
      <c r="N16" s="233">
        <f>SUM(N7:N15)</f>
        <v>2288.1355932203383</v>
      </c>
      <c r="O16" s="101">
        <f>SUM(O7:O15)</f>
        <v>62.591485466101688</v>
      </c>
      <c r="P16" s="113">
        <f>SUM(P7:P15)</f>
        <v>12580.888578686441</v>
      </c>
      <c r="Q16" s="128">
        <f>SUM(Q7:Q15)</f>
        <v>0</v>
      </c>
      <c r="R16" s="314">
        <v>14</v>
      </c>
      <c r="S16" s="300" t="str">
        <f>+'14'!A6:A6</f>
        <v xml:space="preserve">Ha Mega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 Mega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Ha Mega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12106.7</v>
      </c>
      <c r="R19" s="299">
        <v>17</v>
      </c>
      <c r="S19" s="300" t="str">
        <f>+'17'!A6:A6</f>
        <v xml:space="preserve">Ha Mega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1452.8039999999999</v>
      </c>
      <c r="R20" s="299">
        <v>18</v>
      </c>
      <c r="S20" s="300" t="str">
        <f>+'18'!A6:A6</f>
        <v xml:space="preserve">Ha Mega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423.73450000000008</v>
      </c>
      <c r="R21" s="299">
        <v>19</v>
      </c>
      <c r="S21" s="300" t="str">
        <f>+'19'!A6:A6</f>
        <v xml:space="preserve">Ha Mega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10230.1615</v>
      </c>
      <c r="R22" s="299">
        <v>20</v>
      </c>
      <c r="S22" s="300" t="str">
        <f>+'20'!A6:A6</f>
        <v xml:space="preserve">Ha Mega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2288.1355932203383</v>
      </c>
      <c r="R23" s="299">
        <v>21</v>
      </c>
      <c r="S23" s="300" t="str">
        <f>+'21'!A6:A6</f>
        <v xml:space="preserve">Ha Mega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12518.297093220339</v>
      </c>
      <c r="R24" s="299">
        <v>22</v>
      </c>
      <c r="S24" s="300" t="str">
        <f>+'22'!A6:A6</f>
        <v xml:space="preserve">Ha Mega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62.591485466101688</v>
      </c>
      <c r="R25" s="299">
        <v>23</v>
      </c>
      <c r="S25" s="300" t="str">
        <f>+'23'!A6:A6</f>
        <v xml:space="preserve">Ha Mega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12580.888578686441</v>
      </c>
      <c r="R26" s="299">
        <v>24</v>
      </c>
      <c r="S26" s="300" t="str">
        <f>+'24'!A6:A6</f>
        <v xml:space="preserve">Ha Mega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Ha Mega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Ha Mega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 Mega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Ha Mega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Ha Mega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Ha Mega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12580.888578686441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9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311">
        <f t="shared" si="5"/>
        <v>6542.0756485169486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12106.7</v>
      </c>
      <c r="J25" s="274">
        <f>SUM(J16:J24)</f>
        <v>1452.8039999999999</v>
      </c>
      <c r="K25" s="275">
        <f t="shared" si="10"/>
        <v>423.73450000000008</v>
      </c>
      <c r="L25" s="276">
        <f t="shared" si="10"/>
        <v>0</v>
      </c>
      <c r="M25" s="232">
        <f t="shared" si="10"/>
        <v>10230.1615</v>
      </c>
      <c r="N25" s="233">
        <f>SUM(N16:N24)</f>
        <v>2288.1355932203383</v>
      </c>
      <c r="O25" s="101">
        <f>SUM(O16:O24)</f>
        <v>62.591485466101688</v>
      </c>
      <c r="P25" s="113">
        <f>SUM(P16:P24)</f>
        <v>12580.888578686441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12106.7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1452.8039999999999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423.73450000000008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10230.1615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12518.297093220339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62.591485466101695</v>
      </c>
    </row>
    <row r="35" spans="2:16" ht="15.75" customHeight="1" thickBot="1" x14ac:dyDescent="0.4">
      <c r="N35" s="343" t="s">
        <v>88</v>
      </c>
      <c r="O35" s="344"/>
      <c r="P35" s="297">
        <f>+P33+P34</f>
        <v>12580.888578686441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46240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46239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2026-08-05T12:12:09Z</dcterms:modified>
</cp:coreProperties>
</file>