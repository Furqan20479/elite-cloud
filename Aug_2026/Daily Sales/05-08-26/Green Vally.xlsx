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676B179-8FB9-49A0-9B5D-F94DDE70A121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56" l="1"/>
  <c r="O17" i="56" s="1"/>
  <c r="P17" i="56" s="1"/>
  <c r="M20" i="57"/>
  <c r="O20" i="57" s="1"/>
  <c r="P20" i="57" s="1"/>
  <c r="R20" i="57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16" i="59"/>
  <c r="O16" i="59" s="1"/>
  <c r="P16" i="59" s="1"/>
  <c r="M16" i="66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<sst xmlns="http://schemas.openxmlformats.org/spreadsheetml/2006/main" count="3976" uniqueCount="515">
  <si>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</si>
  <si>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</si>
  <si>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</si>
  <si>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</si>
  <si>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</si>
  <si>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</si>
  <si>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</si>
  <si>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</si>
  <si>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</si>
  <si>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</si>
  <si>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</si>
  <si>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</si>
  <si>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</si>
  <si>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</si>
  <si>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</si>
  <si>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</si>
  <si>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</si>
  <si>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</si>
  <si>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</si>
  <si>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</si>
  <si>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</si>
  <si>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</si>
  <si>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</si>
  <si>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</si>
  <si>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</si>
  <si>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</si>
  <si>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</si>
  <si>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</si>
  <si>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</si>
  <si>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</si>
  <si>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</si>
  <si>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</si>
  <si>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</si>
  <si>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</si>
  <si>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</si>
  <si>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</si>
  <si>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</si>
  <si>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</si>
  <si>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</si>
  <si>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</si>
  <si>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</si>
  <si>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</si>
  <si>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</si>
  <si>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</si>
  <si>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</si>
  <si>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</si>
  <si>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</si>
  <si>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</si>
  <si>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</si>
  <si>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</si>
  <si>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</si>
  <si>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</si>
  <si>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</si>
  <si>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</si>
  <si>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</si>
  <si>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</si>
  <si>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</si>
  <si>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</si>
  <si>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</si>
  <si>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</si>
  <si>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</si>
  <si>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</si>
  <si>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</si>
  <si>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</si>
  <si>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</si>
  <si>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</si>
  <si>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</si>
  <si>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</si>
  <si>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</si>
  <si>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</si>
  <si>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</si>
  <si>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</si>
  <si>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</si>
  <si>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</si>
  <si>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</si>
  <si>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</si>
  <si>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</si>
  <si>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</si>
  <si>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</si>
  <si>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</si>
  <si>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</si>
  <si>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</si>
  <si>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</si>
  <si>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</si>
  <si>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</si>
  <si>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</si>
  <si>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</si>
  <si>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</si>
  <si>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</si>
  <si>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</si>
  <si>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</si>
  <si>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</si>
  <si>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</si>
  <si>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</si>
  <si>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</si>
  <si>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</si>
  <si>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</si>
  <si>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</si>
  <si>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</si>
  <si>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</si>
  <si>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</si>
  <si>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</si>
  <si>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</si>
  <si>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</si>
  <si>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</si>
  <si>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</si>
  <si>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</si>
  <si>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</si>
  <si>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</si>
  <si>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</si>
  <si>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</si>
  <si>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</si>
  <si>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</si>
  <si>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</si>
  <si>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</si>
  <si>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</si>
  <si>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</si>
  <si>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</si>
  <si>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</si>
  <si>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</si>
  <si>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</si>
  <si>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</si>
  <si>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</si>
  <si>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</si>
  <si>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</si>
  <si>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</si>
  <si>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</si>
  <si>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</si>
  <si>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</si>
  <si>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</si>
  <si>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</si>
  <si>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</si>
  <si>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</si>
  <si>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</si>
  <si>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</si>
  <si>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</si>
  <si>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</si>
  <si>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</si>
  <si>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</si>
  <si>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</si>
  <si>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</si>
  <si>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</si>
  <si>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</si>
  <si>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</si>
  <si>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</si>
  <si>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</si>
  <si>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</si>
  <si>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</si>
  <si>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</si>
  <si>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</si>
  <si>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</si>
  <si>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</si>
  <si>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</si>
  <si>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</si>
  <si>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</si>
  <si>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</si>
  <si>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</si>
  <si>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</si>
  <si>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</si>
  <si>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</si>
  <si>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</si>
  <si>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</si>
  <si>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</si>
  <si>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</si>
  <si>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</si>
  <si>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</si>
  <si>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</si>
  <si>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</si>
  <si>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</si>
  <si>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</si>
  <si>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</si>
  <si>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</si>
  <si>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</si>
  <si>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</si>
  <si>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</si>
  <si>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</si>
  <si>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</si>
  <si>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</si>
  <si>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</si>
  <si>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</si>
  <si>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</si>
  <si>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</si>
  <si>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</si>
  <si>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</si>
  <si>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</si>
  <si>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</si>
  <si>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</si>
  <si>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</si>
  <si>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</si>
  <si>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</si>
  <si>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</si>
  <si>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</si>
  <si>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</si>
  <si>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</si>
  <si>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</si>
  <si>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</si>
  <si>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</si>
  <si>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</si>
  <si>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</si>
  <si>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</si>
  <si>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</si>
  <si>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</si>
  <si>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</si>
  <si>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</si>
  <si>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</si>
  <si>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</si>
  <si>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</si>
  <si>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</si>
  <si>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</si>
  <si>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</si>
  <si>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</si>
  <si>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</si>
  <si>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</si>
  <si>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</si>
  <si>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</si>
  <si>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</si>
  <si>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</si>
  <si>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</si>
  <si>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</si>
  <si>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</si>
  <si>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</si>
  <si>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</si>
  <si>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</si>
  <si>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</si>
  <si>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</si>
  <si>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</si>
  <si>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</si>
  <si>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</si>
  <si>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</si>
  <si>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</si>
  <si>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</si>
  <si>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</si>
  <si>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</si>
  <si>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</si>
  <si>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</si>
  <si>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</si>
  <si>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</si>
  <si>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</si>
  <si>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</si>
  <si>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</si>
  <si>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</si>
  <si>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</si>
  <si>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</si>
  <si>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</si>
  <si>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</si>
  <si>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</si>
  <si>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</si>
  <si>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</si>
  <si>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</si>
  <si>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</si>
  <si>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</si>
  <si>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</si>
  <si>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</si>
  <si>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</si>
  <si>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</si>
  <si>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</si>
  <si>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</si>
  <si>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</si>
  <si>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</si>
  <si>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</si>
  <si>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</si>
  <si>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</si>
  <si>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</si>
  <si>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</si>
  <si>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</si>
  <si>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</si>
  <si>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</si>
  <si>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</si>
  <si>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</si>
  <si>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</si>
  <si>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</si>
  <si>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</si>
  <si>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</si>
  <si>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</si>
  <si>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</si>
  <si>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</si>
  <si>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</si>
  <si>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</si>
  <si>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</si>
  <si>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</si>
  <si>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</si>
  <si>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</si>
  <si>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</si>
  <si>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</si>
  <si>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</si>
  <si>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</si>
  <si>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</si>
  <si>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</si>
  <si>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</si>
  <si>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</si>
  <si>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</si>
  <si>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</si>
  <si>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</si>
  <si>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</si>
  <si>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</si>
  <si>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</si>
  <si>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</si>
  <si>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</si>
  <si>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</si>
  <si>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</si>
  <si>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</si>
  <si>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</si>
  <si>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</si>
  <si>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</si>
  <si>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</si>
  <si>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</si>
  <si>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</si>
  <si>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</si>
  <si>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</si>
  <si>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</si>
  <si>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</si>
  <si>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</si>
  <si>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</si>
  <si>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</si>
  <si>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</si>
  <si>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</si>
  <si>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</si>
  <si>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</si>
  <si>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</si>
  <si>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</si>
  <si>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</si>
  <si>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</si>
  <si>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</si>
  <si>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</si>
  <si>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</si>
  <si>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</si>
  <si>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</si>
  <si>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</si>
  <si>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</si>
  <si>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</si>
  <si>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</si>
  <si>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</si>
  <si>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</si>
  <si>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</si>
  <si>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</si>
  <si>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</si>
  <si>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</si>
  <si>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</si>
  <si>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</si>
  <si>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</si>
  <si>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</si>
  <si>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</si>
  <si>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</si>
  <si>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</si>
  <si>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</si>
  <si>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</si>
  <si>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</si>
  <si>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</si>
  <si>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</si>
  <si>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</si>
  <si>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</si>
  <si>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</si>
  <si>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</si>
  <si>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</si>
  <si>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</si>
  <si>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</si>
  <si>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</si>
  <si>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</si>
  <si>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</si>
  <si>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</si>
  <si>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</si>
  <si>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</si>
  <si>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</si>
  <si>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</si>
  <si>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</si>
  <si>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</si>
  <si>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</si>
  <si>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</si>
  <si>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</si>
  <si>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</si>
  <si>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</si>
  <si>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</si>
  <si>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</si>
  <si>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</si>
  <si>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</si>
  <si>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</si>
  <si>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</si>
  <si>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</si>
  <si>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</si>
  <si>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</si>
  <si>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</si>
  <si>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</si>
  <si>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</si>
  <si>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</si>
  <si>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</si>
  <si>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</si>
  <si>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</si>
  <si>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</si>
  <si>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</si>
  <si>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</si>
  <si>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</si>
  <si>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</si>
  <si>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</si>
  <si>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</si>
  <si>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</si>
  <si>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</si>
  <si>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</si>
  <si>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</si>
  <si>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</si>
  <si>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</si>
  <si>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</si>
  <si>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</si>
  <si>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</si>
  <si>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</si>
  <si>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</si>
  <si>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</si>
  <si>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</si>
  <si>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</si>
  <si>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</si>
  <si>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</si>
  <si>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</si>
  <si>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</si>
  <si>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</si>
  <si>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</si>
  <si>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</si>
  <si>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</si>
  <si>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</si>
  <si>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</si>
  <si>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</si>
  <si>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</si>
  <si>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</si>
  <si>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</si>
  <si>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</si>
  <si>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</si>
  <si>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</si>
  <si>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</si>
  <si>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</si>
  <si>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</si>
  <si>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</si>
  <si>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</si>
  <si>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</si>
  <si>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</si>
  <si>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</si>
  <si>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</si>
  <si>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</si>
  <si>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</si>
  <si>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</si>
  <si>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</si>
  <si>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</si>
  <si>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</si>
  <si>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</si>
  <si>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</si>
  <si>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</si>
  <si>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</si>
  <si>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</si>
  <si>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</si>
  <si>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</si>
  <si>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</si>
  <si>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</si>
  <si>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</si>
  <si>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</si>
  <si>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</si>
  <si>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</si>
  <si>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</si>
  <si>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</si>
  <si>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</si>
  <si>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</si>
  <si>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</si>
  <si>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</si>
  <si>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</si>
  <si>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</si>
  <si>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</si>
  <si>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</si>
  <si>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</si>
  <si>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</si>
  <si>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</si>
  <si>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</si>
  <si>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</si>
  <si>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</si>
  <si>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</si>
  <si>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</si>
  <si>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</si>
  <si>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</si>
  <si>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</si>
  <si>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</si>
  <si>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</si>
  <si>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</si>
  <si>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</si>
  <si>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</si>
  <si>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</si>
  <si>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</si>
  <si>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</si>
  <si>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</si>
  <si>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</si>
  <si>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</si>
  <si>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</si>
  <si>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</si>
  <si>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</si>
  <si>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</si>
  <si>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</si>
  <si>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</si>
  <si>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</si>
  <si>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</si>
  <si>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</si>
  <si>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</si>
  <si>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</si>
  <si>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</si>
  <si>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</si>
  <si>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</si>
  <si>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</si>
  <si>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</si>
  <si>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</si>
  <si>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</si>
  <si>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</si>
  <si>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</si>
  <si>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</si>
  <si>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</si>
  <si>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</si>
  <si>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</si>
  <si>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</si>
  <si>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</si>
  <si>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</si>
  <si>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 xml:space="preserve">Green Vally </t>
  </si>
  <si>
    <t>Address: Cant</t>
  </si>
  <si>
    <t>Invoice No # : 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</si>
</sst>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opLeftCell="A40" workbookViewId="0">
      <selection activeCell="D6" sqref="D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498</v>
      </c>
      <c r="F2" s="384"/>
      <c r="G2" s="384"/>
      <c r="H2" s="381"/>
      <c r="I2" s="381"/>
      <c r="J2" s="382"/>
      <c r="R2" s="378" t="s">
        <v>497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508</v>
      </c>
      <c r="F3" s="388"/>
      <c r="G3" s="388"/>
      <c r="H3" s="385">
        <f ca="1">TODAY()</f>
        <v>46239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 xml:space="preserve">Green Vally </v>
      </c>
      <c r="T3" s="301">
        <f>+'1'!P35</f>
        <v>38472.699746059327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Green Vally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Green Vally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Green Vally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629.55000000000007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5445.6075000000001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33.177190042372878</v>
      </c>
      <c r="P7" s="310">
        <f>M7+N7+O7</f>
        <v>6668.6151985169481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Green Vally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629.55000000000007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5445.6075000000001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33.177190042372878</v>
      </c>
      <c r="P8" s="311">
        <f t="shared" ref="P8:P15" si="2">M8+N8+O8</f>
        <v>6668.6151985169481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Green Vally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629.55000000000007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5445.6075000000001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33.177190042372878</v>
      </c>
      <c r="P9" s="311">
        <f t="shared" si="2"/>
        <v>6668.6151985169481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Green Vally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80</v>
      </c>
      <c r="I10" s="236">
        <f t="shared" si="0"/>
        <v>5811.2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581.12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203.39200000000002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5026.6880000000001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1098.3050847457628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30.624965423728813</v>
      </c>
      <c r="P10" s="311">
        <f t="shared" si="2"/>
        <v>6155.6180501694917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Green Vally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581.12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5026.6880000000001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30.624965423728813</v>
      </c>
      <c r="P11" s="311">
        <f t="shared" si="2"/>
        <v>6155.6180501694917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Green Vally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Green Vally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Green Vally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Green Vally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Green Vally 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15</v>
      </c>
      <c r="H16" s="113">
        <f t="shared" ref="H16:M16" si="3">SUM(H7:H15)</f>
        <v>600</v>
      </c>
      <c r="I16" s="114">
        <f t="shared" si="3"/>
        <v>36320.1</v>
      </c>
      <c r="J16" s="274">
        <f>SUM(J7:J15)</f>
        <v>3632.0099999999998</v>
      </c>
      <c r="K16" s="275">
        <f t="shared" si="3"/>
        <v>1271.2035000000003</v>
      </c>
      <c r="L16" s="276">
        <f t="shared" si="3"/>
        <v>0</v>
      </c>
      <c r="M16" s="232">
        <f t="shared" si="3"/>
        <v>31416.886500000001</v>
      </c>
      <c r="N16" s="233">
        <f>SUM(N7:N15)</f>
        <v>6864.4067796610152</v>
      </c>
      <c r="O16" s="101">
        <f>SUM(O7:O15)</f>
        <v>191.40646639830507</v>
      </c>
      <c r="P16" s="113">
        <f>SUM(P7:P15)</f>
        <v>38472.699746059319</v>
      </c>
      <c r="Q16" s="128">
        <f>SUM(Q7:Q15)</f>
        <v>0</v>
      </c>
      <c r="R16" s="314">
        <v>14</v>
      </c>
      <c r="S16" s="300" t="str">
        <f>+'14'!A6:A6</f>
        <v xml:space="preserve">Green Vally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Green Vally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Green Vally 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36320.1</v>
      </c>
      <c r="R19" s="299">
        <v>17</v>
      </c>
      <c r="S19" s="300" t="str">
        <f>+'17'!A6:A6</f>
        <v xml:space="preserve">Green Vally 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3632.0099999999998</v>
      </c>
      <c r="R20" s="299">
        <v>18</v>
      </c>
      <c r="S20" s="300" t="str">
        <f>+'18'!A6:A6</f>
        <v xml:space="preserve">Green Vally 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1271.2035000000003</v>
      </c>
      <c r="R21" s="299">
        <v>19</v>
      </c>
      <c r="S21" s="300" t="str">
        <f>+'19'!A6:A6</f>
        <v xml:space="preserve">Green Vally 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31416.886500000001</v>
      </c>
      <c r="R22" s="299">
        <v>20</v>
      </c>
      <c r="S22" s="300" t="str">
        <f>+'20'!A6:A6</f>
        <v xml:space="preserve">Green Vally 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6864.4067796610152</v>
      </c>
      <c r="R23" s="299">
        <v>21</v>
      </c>
      <c r="S23" s="300" t="str">
        <f>+'21'!A6:A6</f>
        <v xml:space="preserve">Green Vally 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38281.293279661018</v>
      </c>
      <c r="R24" s="299">
        <v>22</v>
      </c>
      <c r="S24" s="300" t="str">
        <f>+'22'!A6:A6</f>
        <v xml:space="preserve">Green Vally 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191.40646639830507</v>
      </c>
      <c r="R25" s="299">
        <v>23</v>
      </c>
      <c r="S25" s="300" t="str">
        <f>+'23'!A6:A6</f>
        <v xml:space="preserve">Green Vally 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38472.699746059327</v>
      </c>
      <c r="R26" s="299">
        <v>24</v>
      </c>
      <c r="S26" s="300" t="str">
        <f>+'24'!A6:A6</f>
        <v xml:space="preserve">Green Vally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 xml:space="preserve">Green Vally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Green Vally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Green Vally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Green Vally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Green Vally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Green Vally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38472.699746059327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zoomScale="85" zoomScaleNormal="85" workbookViewId="0">
      <selection activeCell="I9" sqref="I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816406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514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7.2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500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629.55000000000007</v>
      </c>
      <c r="K16" s="127">
        <f>$I16*T16</f>
        <v>220.34250000000003</v>
      </c>
      <c r="L16" s="118">
        <f>$I16*U16</f>
        <v>0</v>
      </c>
      <c r="M16" s="229">
        <f>I16-SUM(J16:L16)</f>
        <v>5445.6075000000001</v>
      </c>
      <c r="N16" s="248">
        <f>+(G16*D16+H16)*V16</f>
        <v>1189.8305084745757</v>
      </c>
      <c r="O16" s="238">
        <f>(N16+M16)*$O$15</f>
        <v>33.177190042372878</v>
      </c>
      <c r="P16" s="310">
        <f>M16+N16+O16</f>
        <v>6668.6151985169481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629.55000000000007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5445.6075000000001</v>
      </c>
      <c r="N17" s="277">
        <f t="shared" ref="N17:N24" si="3">+(G17*D17+H17)*V17</f>
        <v>1189.8305084745757</v>
      </c>
      <c r="O17" s="239">
        <f t="shared" ref="O17:O24" si="4">(N17+M17)*$O$15</f>
        <v>33.177190042372878</v>
      </c>
      <c r="P17" s="311">
        <f t="shared" ref="P17:P24" si="5">M17+N17+O17</f>
        <v>6668.6151985169481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629.55000000000007</v>
      </c>
      <c r="K18" s="128">
        <f t="shared" si="1"/>
        <v>220.34250000000003</v>
      </c>
      <c r="L18" s="119">
        <f t="shared" si="1"/>
        <v>0</v>
      </c>
      <c r="M18" s="230">
        <f t="shared" si="2"/>
        <v>5445.6075000000001</v>
      </c>
      <c r="N18" s="277">
        <f t="shared" si="3"/>
        <v>1189.8305084745757</v>
      </c>
      <c r="O18" s="239">
        <f t="shared" si="4"/>
        <v>33.177190042372878</v>
      </c>
      <c r="P18" s="311">
        <f t="shared" si="5"/>
        <v>6668.6151985169481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7"/>
        <v>5811.2</v>
      </c>
      <c r="J19" s="272">
        <f t="shared" si="1"/>
        <v>581.12</v>
      </c>
      <c r="K19" s="128">
        <f t="shared" si="1"/>
        <v>203.39200000000002</v>
      </c>
      <c r="L19" s="119">
        <f t="shared" si="1"/>
        <v>0</v>
      </c>
      <c r="M19" s="230">
        <f t="shared" si="2"/>
        <v>5026.6880000000001</v>
      </c>
      <c r="N19" s="277">
        <f t="shared" si="3"/>
        <v>1098.3050847457628</v>
      </c>
      <c r="O19" s="239">
        <f t="shared" si="4"/>
        <v>30.624965423728813</v>
      </c>
      <c r="P19" s="311">
        <f t="shared" si="5"/>
        <v>6155.6180501694917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581.12</v>
      </c>
      <c r="K20" s="128">
        <f t="shared" si="1"/>
        <v>203.39200000000002</v>
      </c>
      <c r="L20" s="119">
        <f t="shared" si="1"/>
        <v>0</v>
      </c>
      <c r="M20" s="230">
        <f t="shared" si="2"/>
        <v>5026.6880000000001</v>
      </c>
      <c r="N20" s="277">
        <f t="shared" si="3"/>
        <v>1098.3050847457628</v>
      </c>
      <c r="O20" s="239">
        <f t="shared" si="4"/>
        <v>30.624965423728813</v>
      </c>
      <c r="P20" s="311">
        <f t="shared" si="5"/>
        <v>6155.6180501694917</v>
      </c>
      <c r="Q20" s="156"/>
      <c r="R20">
        <f>P20/21</f>
        <v>293.12466905569011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311">
        <f t="shared" si="5"/>
        <v>6155.6180501694917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600</v>
      </c>
      <c r="I25" s="114">
        <f t="shared" ref="I25:M25" si="10">SUM(I16:I24)</f>
        <v>36320.1</v>
      </c>
      <c r="J25" s="274">
        <f>SUM(J16:J24)</f>
        <v>3632.0099999999998</v>
      </c>
      <c r="K25" s="275">
        <f t="shared" si="10"/>
        <v>1271.2035000000003</v>
      </c>
      <c r="L25" s="276">
        <f t="shared" si="10"/>
        <v>0</v>
      </c>
      <c r="M25" s="232">
        <f t="shared" si="10"/>
        <v>31416.886500000001</v>
      </c>
      <c r="N25" s="233">
        <f>SUM(N16:N24)</f>
        <v>6864.4067796610152</v>
      </c>
      <c r="O25" s="101">
        <f>SUM(O16:O24)</f>
        <v>191.40646639830507</v>
      </c>
      <c r="P25" s="113">
        <f>SUM(P16:P24)</f>
        <v>38472.699746059319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36320.1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3632.0099999999998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1271.2035000000003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31416.886500000001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6864.4067796610152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38281.293279661018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191.4064663983051</v>
      </c>
    </row>
    <row r="35" spans="2:16" ht="15.75" customHeight="1" thickBot="1" x14ac:dyDescent="0.4">
      <c r="N35" s="372" t="s">
        <v>88</v>
      </c>
      <c r="O35" s="373"/>
      <c r="P35" s="297">
        <f>+P33+P34</f>
        <v>38472.699746059327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502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C14" sqref="C14:C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499</v>
      </c>
      <c r="B4" s="392"/>
      <c r="C4" s="392"/>
      <c r="F4" s="85"/>
      <c r="G4" s="1"/>
      <c r="K4" s="393" t="s">
        <v>44</v>
      </c>
      <c r="L4" s="393"/>
      <c r="M4" s="393"/>
      <c r="N4" s="396">
        <v>46239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46238</v>
      </c>
      <c r="O5" s="392"/>
      <c r="P5" s="392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73</v>
      </c>
      <c r="B7" s="393"/>
      <c r="C7" s="393"/>
      <c r="F7" s="85"/>
      <c r="G7" s="86"/>
      <c r="K7" s="393" t="s">
        <v>66</v>
      </c>
      <c r="L7" s="393"/>
      <c r="M7" s="393"/>
      <c r="N7" s="395" t="s">
        <v>505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513</v>
      </c>
      <c r="B8" s="399"/>
      <c r="C8" s="399"/>
      <c r="F8" s="85"/>
      <c r="G8" s="86"/>
      <c r="K8" s="393" t="s">
        <v>67</v>
      </c>
      <c r="L8" s="393"/>
      <c r="M8" s="393"/>
      <c r="N8" s="395" t="s">
        <v>505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46240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46239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2026-08-05T07:05:22Z</dcterms:modified>
</cp:coreProperties>
</file>