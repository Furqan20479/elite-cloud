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78858FE-7084-40B5-A315-A9F3DEF5068D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56" l="1"/>
  <c r="O17" i="56" s="1"/>
  <c r="P17" i="56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6" i="59"/>
  <c r="O16" i="59" s="1"/>
  <c r="P16" i="59" s="1"/>
  <c r="M16" i="66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<sst xmlns="http://schemas.openxmlformats.org/spreadsheetml/2006/main" count="3976" uniqueCount="514">
  <si>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</si>
  <si>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</si>
  <si>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</si>
  <si>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</si>
  <si>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</si>
  <si>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</si>
  <si>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</si>
  <si>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</si>
  <si>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</si>
  <si>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</si>
  <si>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</si>
  <si>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</si>
  <si>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</si>
  <si>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</si>
  <si>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</si>
  <si>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</si>
  <si>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</si>
  <si>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</si>
  <si>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</si>
  <si>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</si>
  <si>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</si>
  <si>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</si>
  <si>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</si>
  <si>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</si>
  <si>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</si>
  <si>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</si>
  <si>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</si>
  <si>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</si>
  <si>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</si>
  <si>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</si>
  <si>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</si>
  <si>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</si>
  <si>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</si>
  <si>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</si>
  <si>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</si>
  <si>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</si>
  <si>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</si>
  <si>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</si>
  <si>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</si>
  <si>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</si>
  <si>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</si>
  <si>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</si>
  <si>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</si>
  <si>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</si>
  <si>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</si>
  <si>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</si>
  <si>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</si>
  <si>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</si>
  <si>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</si>
  <si>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</si>
  <si>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</si>
  <si>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</si>
  <si>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</si>
  <si>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</si>
  <si>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</si>
  <si>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</si>
  <si>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</si>
  <si>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</si>
  <si>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</si>
  <si>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</si>
  <si>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</si>
  <si>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</si>
  <si>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</si>
  <si>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</si>
  <si>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</si>
  <si>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</si>
  <si>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</si>
  <si>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</si>
  <si>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</si>
  <si>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</si>
  <si>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</si>
  <si>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</si>
  <si>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</si>
  <si>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</si>
  <si>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</si>
  <si>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</si>
  <si>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</si>
  <si>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</si>
  <si>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</si>
  <si>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</si>
  <si>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</si>
  <si>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</si>
  <si>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</si>
  <si>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</si>
  <si>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</si>
  <si>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</si>
  <si>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</si>
  <si>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</si>
  <si>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</si>
  <si>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</si>
  <si>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</si>
  <si>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</si>
  <si>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</si>
  <si>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</si>
  <si>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</si>
  <si>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</si>
  <si>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</si>
  <si>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</si>
  <si>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</si>
  <si>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</si>
  <si>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</si>
  <si>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</si>
  <si>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</si>
  <si>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</si>
  <si>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</si>
  <si>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</si>
  <si>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</si>
  <si>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</si>
  <si>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</si>
  <si>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</si>
  <si>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</si>
  <si>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</si>
  <si>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</si>
  <si>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</si>
  <si>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</si>
  <si>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</si>
  <si>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</si>
  <si>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</si>
  <si>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</si>
  <si>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</si>
  <si>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</si>
  <si>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</si>
  <si>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</si>
  <si>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</si>
  <si>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</si>
  <si>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</si>
  <si>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</si>
  <si>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</si>
  <si>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</si>
  <si>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</si>
  <si>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</si>
  <si>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</si>
  <si>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</si>
  <si>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</si>
  <si>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</si>
  <si>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</si>
  <si>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</si>
  <si>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</si>
  <si>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</si>
  <si>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</si>
  <si>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</si>
  <si>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</si>
  <si>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</si>
  <si>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</si>
  <si>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</si>
  <si>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</si>
  <si>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</si>
  <si>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</si>
  <si>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</si>
  <si>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</si>
  <si>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</si>
  <si>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</si>
  <si>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</si>
  <si>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</si>
  <si>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</si>
  <si>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</si>
  <si>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</si>
  <si>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</si>
  <si>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</si>
  <si>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</si>
  <si>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</si>
  <si>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</si>
  <si>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</si>
  <si>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</si>
  <si>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</si>
  <si>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</si>
  <si>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</si>
  <si>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</si>
  <si>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</si>
  <si>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</si>
  <si>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</si>
  <si>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</si>
  <si>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</si>
  <si>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</si>
  <si>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</si>
  <si>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</si>
  <si>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</si>
  <si>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</si>
  <si>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</si>
  <si>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</si>
  <si>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</si>
  <si>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</si>
  <si>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</si>
  <si>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</si>
  <si>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</si>
  <si>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</si>
  <si>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</si>
  <si>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</si>
  <si>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</si>
  <si>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</si>
  <si>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</si>
  <si>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</si>
  <si>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</si>
  <si>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</si>
  <si>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</si>
  <si>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</si>
  <si>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</si>
  <si>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</si>
  <si>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</si>
  <si>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</si>
  <si>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</si>
  <si>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</si>
  <si>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</si>
  <si>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</si>
  <si>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</si>
  <si>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</si>
  <si>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</si>
  <si>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</si>
  <si>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</si>
  <si>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</si>
  <si>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</si>
  <si>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</si>
  <si>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</si>
  <si>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</si>
  <si>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</si>
  <si>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</si>
  <si>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</si>
  <si>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</si>
  <si>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</si>
  <si>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</si>
  <si>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</si>
  <si>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</si>
  <si>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</si>
  <si>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</si>
  <si>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</si>
  <si>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</si>
  <si>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</si>
  <si>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</si>
  <si>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</si>
  <si>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</si>
  <si>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</si>
  <si>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</si>
  <si>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</si>
  <si>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</si>
  <si>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</si>
  <si>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</si>
  <si>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</si>
  <si>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</si>
  <si>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</si>
  <si>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</si>
  <si>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</si>
  <si>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</si>
  <si>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</si>
  <si>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</si>
  <si>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</si>
  <si>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</si>
  <si>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</si>
  <si>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</si>
  <si>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</si>
  <si>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</si>
  <si>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</si>
  <si>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</si>
  <si>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</si>
  <si>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</si>
  <si>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</si>
  <si>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</si>
  <si>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</si>
  <si>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</si>
  <si>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</si>
  <si>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</si>
  <si>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</si>
  <si>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</si>
  <si>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</si>
  <si>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</si>
  <si>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</si>
  <si>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</si>
  <si>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</si>
  <si>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</si>
  <si>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</si>
  <si>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</si>
  <si>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</si>
  <si>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</si>
  <si>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</si>
  <si>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</si>
  <si>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</si>
  <si>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</si>
  <si>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</si>
  <si>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</si>
  <si>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</si>
  <si>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</si>
  <si>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</si>
  <si>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</si>
  <si>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</si>
  <si>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</si>
  <si>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</si>
  <si>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</si>
  <si>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</si>
  <si>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</si>
  <si>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</si>
  <si>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</si>
  <si>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</si>
  <si>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</si>
  <si>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</si>
  <si>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</si>
  <si>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</si>
  <si>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</si>
  <si>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</si>
  <si>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</si>
  <si>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</si>
  <si>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</si>
  <si>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</si>
  <si>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</si>
  <si>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</si>
  <si>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</si>
  <si>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</si>
  <si>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</si>
  <si>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</si>
  <si>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</si>
  <si>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</si>
  <si>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</si>
  <si>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</si>
  <si>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</si>
  <si>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</si>
  <si>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</si>
  <si>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</si>
  <si>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</si>
  <si>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</si>
  <si>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</si>
  <si>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</si>
  <si>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</si>
  <si>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</si>
  <si>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</si>
  <si>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</si>
  <si>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</si>
  <si>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</si>
  <si>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</si>
  <si>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</si>
  <si>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</si>
  <si>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</si>
  <si>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</si>
  <si>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</si>
  <si>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</si>
  <si>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</si>
  <si>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</si>
  <si>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</si>
  <si>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</si>
  <si>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</si>
  <si>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</si>
  <si>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</si>
  <si>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</si>
  <si>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</si>
  <si>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</si>
  <si>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</si>
  <si>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</si>
  <si>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</si>
  <si>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</si>
  <si>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</si>
  <si>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</si>
  <si>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</si>
  <si>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</si>
  <si>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</si>
  <si>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</si>
  <si>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</si>
  <si>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</si>
  <si>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</si>
  <si>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</si>
  <si>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</si>
  <si>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</si>
  <si>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</si>
  <si>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</si>
  <si>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</si>
  <si>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</si>
  <si>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</si>
  <si>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</si>
  <si>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</si>
  <si>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</si>
  <si>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</si>
  <si>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</si>
  <si>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</si>
  <si>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</si>
  <si>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</si>
  <si>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</si>
  <si>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</si>
  <si>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</si>
  <si>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</si>
  <si>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</si>
  <si>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</si>
  <si>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</si>
  <si>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</si>
  <si>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</si>
  <si>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</si>
  <si>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</si>
  <si>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</si>
  <si>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</si>
  <si>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</si>
  <si>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</si>
  <si>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</si>
  <si>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</si>
  <si>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</si>
  <si>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</si>
  <si>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</si>
  <si>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</si>
  <si>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</si>
  <si>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</si>
  <si>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</si>
  <si>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</si>
  <si>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</si>
  <si>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</si>
  <si>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</si>
  <si>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</si>
  <si>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</si>
  <si>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</si>
  <si>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</si>
  <si>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</si>
  <si>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</si>
  <si>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</si>
  <si>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</si>
  <si>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</si>
  <si>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</si>
  <si>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</si>
  <si>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</si>
  <si>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</si>
  <si>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</si>
  <si>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</si>
  <si>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</si>
  <si>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</si>
  <si>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</si>
  <si>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</si>
  <si>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</si>
  <si>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</si>
  <si>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</si>
  <si>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</si>
  <si>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</si>
  <si>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</si>
  <si>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</si>
  <si>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</si>
  <si>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</si>
  <si>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</si>
  <si>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</si>
  <si>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</si>
  <si>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</si>
  <si>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</si>
  <si>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</si>
  <si>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</si>
  <si>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</si>
  <si>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</si>
  <si>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</si>
  <si>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</si>
  <si>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</si>
  <si>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</si>
  <si>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</si>
  <si>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</si>
  <si>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</si>
  <si>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</si>
  <si>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</si>
  <si>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</si>
  <si>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</si>
  <si>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</si>
  <si>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</si>
  <si>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</si>
  <si>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</si>
  <si>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</si>
  <si>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</si>
  <si>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</si>
  <si>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</si>
  <si>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</si>
  <si>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</si>
  <si>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</si>
  <si>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</si>
  <si>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</si>
  <si>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</si>
  <si>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</si>
  <si>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</si>
  <si>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</si>
  <si>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</si>
  <si>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</si>
  <si>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</si>
  <si>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</si>
  <si>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</si>
  <si>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</si>
  <si>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</si>
  <si>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</si>
  <si>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</si>
  <si>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</si>
  <si>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</si>
  <si>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</si>
  <si>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</si>
  <si>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</si>
  <si>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</si>
  <si>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</si>
  <si>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</si>
  <si>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</si>
  <si>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</si>
  <si>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</si>
  <si>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</si>
  <si>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</si>
  <si>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</si>
  <si>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</si>
  <si>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</si>
  <si>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</si>
  <si>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</si>
  <si>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</si>
  <si>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</si>
  <si>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</si>
  <si>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</si>
  <si>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</si>
  <si>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</si>
  <si>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</si>
  <si>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</si>
  <si>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</si>
  <si>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</si>
  <si>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</si>
  <si>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</si>
  <si>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</si>
  <si>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</si>
  <si>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</si>
  <si>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</si>
  <si>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</si>
  <si>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</si>
  <si>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</si>
  <si>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</si>
  <si>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</si>
  <si>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Green Vally </t>
  </si>
  <si>
    <t>Address: 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</si>
</sst>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D6" sqref="D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46239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Green Vally </v>
      </c>
      <c r="T3" s="301">
        <f>+'1'!P35</f>
        <v>38472.699746059327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Green Vally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Green Vally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Green Vally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629.55000000000007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5445.6075000000001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33.177190042372878</v>
      </c>
      <c r="P7" s="310">
        <f>M7+N7+O7</f>
        <v>6668.6151985169481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Green Vally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629.55000000000007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5445.6075000000001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33.177190042372878</v>
      </c>
      <c r="P8" s="311">
        <f t="shared" ref="P8:P15" si="2">M8+N8+O8</f>
        <v>6668.6151985169481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Green Vally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629.55000000000007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5445.6075000000001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33.177190042372878</v>
      </c>
      <c r="P9" s="311">
        <f t="shared" si="2"/>
        <v>6668.6151985169481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Green Vally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5026.6880000000001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30.624965423728813</v>
      </c>
      <c r="P10" s="311">
        <f t="shared" si="2"/>
        <v>6155.6180501694917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Green Vally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Green Vally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Green Vally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Green Vally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Green Vally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Green Vally 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15</v>
      </c>
      <c r="H16" s="113">
        <f t="shared" ref="H16:M16" si="3">SUM(H7:H15)</f>
        <v>600</v>
      </c>
      <c r="I16" s="114">
        <f t="shared" si="3"/>
        <v>36320.1</v>
      </c>
      <c r="J16" s="274">
        <f>SUM(J7:J15)</f>
        <v>3632.0099999999998</v>
      </c>
      <c r="K16" s="275">
        <f t="shared" si="3"/>
        <v>1271.2035000000003</v>
      </c>
      <c r="L16" s="276">
        <f t="shared" si="3"/>
        <v>0</v>
      </c>
      <c r="M16" s="232">
        <f t="shared" si="3"/>
        <v>31416.886500000001</v>
      </c>
      <c r="N16" s="233">
        <f>SUM(N7:N15)</f>
        <v>6864.4067796610152</v>
      </c>
      <c r="O16" s="101">
        <f>SUM(O7:O15)</f>
        <v>191.40646639830507</v>
      </c>
      <c r="P16" s="113">
        <f>SUM(P7:P15)</f>
        <v>38472.699746059319</v>
      </c>
      <c r="Q16" s="128">
        <f>SUM(Q7:Q15)</f>
        <v>0</v>
      </c>
      <c r="R16" s="314">
        <v>14</v>
      </c>
      <c r="S16" s="300" t="str">
        <f>+'14'!A6:A6</f>
        <v xml:space="preserve">Green Vally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Green Vally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Green Vally 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36320.1</v>
      </c>
      <c r="R19" s="299">
        <v>17</v>
      </c>
      <c r="S19" s="300" t="str">
        <f>+'17'!A6:A6</f>
        <v xml:space="preserve">Green Vally 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3632.0099999999998</v>
      </c>
      <c r="R20" s="299">
        <v>18</v>
      </c>
      <c r="S20" s="300" t="str">
        <f>+'18'!A6:A6</f>
        <v xml:space="preserve">Green Vally 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1271.2035000000003</v>
      </c>
      <c r="R21" s="299">
        <v>19</v>
      </c>
      <c r="S21" s="300" t="str">
        <f>+'19'!A6:A6</f>
        <v xml:space="preserve">Green Vally 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31416.886500000001</v>
      </c>
      <c r="R22" s="299">
        <v>20</v>
      </c>
      <c r="S22" s="300" t="str">
        <f>+'20'!A6:A6</f>
        <v xml:space="preserve">Green Vally 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6864.4067796610152</v>
      </c>
      <c r="R23" s="299">
        <v>21</v>
      </c>
      <c r="S23" s="300" t="str">
        <f>+'21'!A6:A6</f>
        <v xml:space="preserve">Green Vally 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38281.293279661018</v>
      </c>
      <c r="R24" s="299">
        <v>22</v>
      </c>
      <c r="S24" s="300" t="str">
        <f>+'22'!A6:A6</f>
        <v xml:space="preserve">Green Vally 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191.40646639830507</v>
      </c>
      <c r="R25" s="299">
        <v>23</v>
      </c>
      <c r="S25" s="300" t="str">
        <f>+'23'!A6:A6</f>
        <v xml:space="preserve">Green Vally 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38472.699746059327</v>
      </c>
      <c r="R26" s="299">
        <v>24</v>
      </c>
      <c r="S26" s="300" t="str">
        <f>+'24'!A6:A6</f>
        <v xml:space="preserve">Green Vally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 xml:space="preserve">Green Vally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Green Vally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Green Vally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Green Vally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Green Vally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Green Vally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38472.699746059327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zoomScale="85" zoomScaleNormal="85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816406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7.2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629.55000000000007</v>
      </c>
      <c r="K16" s="127">
        <f>$I16*T16</f>
        <v>220.34250000000003</v>
      </c>
      <c r="L16" s="118">
        <f>$I16*U16</f>
        <v>0</v>
      </c>
      <c r="M16" s="229">
        <f>I16-SUM(J16:L16)</f>
        <v>5445.6075000000001</v>
      </c>
      <c r="N16" s="248">
        <f>+(G16*D16+H16)*V16</f>
        <v>1189.8305084745757</v>
      </c>
      <c r="O16" s="238">
        <f>(N16+M16)*$O$15</f>
        <v>33.177190042372878</v>
      </c>
      <c r="P16" s="310">
        <f>M16+N16+O16</f>
        <v>6668.6151985169481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629.55000000000007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5445.6075000000001</v>
      </c>
      <c r="N17" s="277">
        <f t="shared" ref="N17:N24" si="3">+(G17*D17+H17)*V17</f>
        <v>1189.8305084745757</v>
      </c>
      <c r="O17" s="239">
        <f t="shared" ref="O17:O24" si="4">(N17+M17)*$O$15</f>
        <v>33.177190042372878</v>
      </c>
      <c r="P17" s="311">
        <f t="shared" ref="P17:P24" si="5">M17+N17+O17</f>
        <v>6668.6151985169481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629.55000000000007</v>
      </c>
      <c r="K18" s="128">
        <f t="shared" si="1"/>
        <v>220.34250000000003</v>
      </c>
      <c r="L18" s="119">
        <f t="shared" si="1"/>
        <v>0</v>
      </c>
      <c r="M18" s="230">
        <f t="shared" si="2"/>
        <v>5445.6075000000001</v>
      </c>
      <c r="N18" s="277">
        <f t="shared" si="3"/>
        <v>1189.8305084745757</v>
      </c>
      <c r="O18" s="239">
        <f t="shared" si="4"/>
        <v>33.177190042372878</v>
      </c>
      <c r="P18" s="311">
        <f t="shared" si="5"/>
        <v>6668.6151985169481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311">
        <f t="shared" si="5"/>
        <v>6155.6180501694917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311">
        <f t="shared" si="5"/>
        <v>6155.6180501694917</v>
      </c>
      <c r="Q20" s="156"/>
      <c r="R20">
        <f>P20/21</f>
        <v>293.12466905569011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36320.1</v>
      </c>
      <c r="J25" s="274">
        <f>SUM(J16:J24)</f>
        <v>3632.0099999999998</v>
      </c>
      <c r="K25" s="275">
        <f t="shared" si="10"/>
        <v>1271.2035000000003</v>
      </c>
      <c r="L25" s="276">
        <f t="shared" si="10"/>
        <v>0</v>
      </c>
      <c r="M25" s="232">
        <f t="shared" si="10"/>
        <v>31416.886500000001</v>
      </c>
      <c r="N25" s="233">
        <f>SUM(N16:N24)</f>
        <v>6864.4067796610152</v>
      </c>
      <c r="O25" s="101">
        <f>SUM(O16:O24)</f>
        <v>191.40646639830507</v>
      </c>
      <c r="P25" s="113">
        <f>SUM(P16:P24)</f>
        <v>38472.699746059319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36320.1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3632.0099999999998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1271.2035000000003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31416.886500000001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6864.4067796610152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38281.293279661018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191.4064663983051</v>
      </c>
    </row>
    <row r="35" spans="2:16" ht="15.75" customHeight="1" thickBot="1" x14ac:dyDescent="0.4">
      <c r="N35" s="342" t="s">
        <v>88</v>
      </c>
      <c r="O35" s="343"/>
      <c r="P35" s="297">
        <f>+P33+P34</f>
        <v>38472.699746059327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46239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2026-08-05T06:42:43Z</dcterms:modified>
</cp:coreProperties>
</file>