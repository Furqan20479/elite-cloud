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2B3EA5-DA7A-48E0-8F2D-FE1AC93B53A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1" i="51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<sst xmlns="http://schemas.openxmlformats.org/spreadsheetml/2006/main" count="3978" uniqueCount="528">
  <si>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</si>
  <si>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</si>
  <si>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</si>
  <si>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</si>
  <si>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</si>
  <si>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</si>
  <si>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</si>
  <si>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</si>
  <si>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</si>
  <si>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</si>
  <si>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</si>
  <si>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</si>
  <si>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</si>
  <si>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</si>
  <si>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</si>
  <si>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</si>
  <si>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</si>
  <si>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</si>
  <si>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</si>
  <si>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</si>
  <si>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</si>
  <si>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</si>
  <si>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</si>
  <si>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</si>
  <si>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</si>
  <si>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</si>
  <si>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</si>
  <si>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</si>
  <si>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</si>
  <si>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</si>
  <si>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</si>
  <si>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</si>
  <si>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</si>
  <si>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</si>
  <si>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</si>
  <si>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</si>
  <si>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</si>
  <si>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</si>
  <si>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</si>
  <si>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</si>
  <si>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</si>
  <si>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</si>
  <si>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</si>
  <si>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</si>
  <si>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</si>
  <si>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</si>
  <si>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</si>
  <si>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</si>
  <si>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</si>
  <si>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</si>
  <si>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</si>
  <si>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</si>
  <si>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</si>
  <si>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</si>
  <si>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</si>
  <si>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</si>
  <si>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</si>
  <si>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</si>
  <si>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</si>
  <si>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</si>
  <si>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</si>
  <si>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</si>
  <si>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</si>
  <si>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</si>
  <si>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</si>
  <si>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</si>
  <si>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</si>
  <si>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</si>
  <si>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</si>
  <si>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</si>
  <si>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</si>
  <si>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</si>
  <si>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</si>
  <si>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</si>
  <si>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</si>
  <si>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</si>
  <si>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</si>
  <si>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</si>
  <si>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</si>
  <si>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</si>
  <si>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</si>
  <si>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</si>
  <si>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</si>
  <si>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</si>
  <si>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</si>
  <si>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</si>
  <si>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</si>
  <si>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</si>
  <si>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</si>
  <si>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</si>
  <si>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</si>
  <si>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</si>
  <si>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</si>
  <si>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</si>
  <si>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</si>
  <si>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</si>
  <si>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</si>
  <si>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</si>
  <si>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</si>
  <si>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</si>
  <si>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</si>
  <si>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</si>
  <si>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</si>
  <si>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</si>
  <si>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</si>
  <si>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</si>
  <si>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</si>
  <si>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</si>
  <si>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</si>
  <si>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</si>
  <si>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</si>
  <si>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</si>
  <si>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</si>
  <si>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</si>
  <si>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</si>
  <si>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</si>
  <si>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</si>
  <si>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</si>
  <si>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</si>
  <si>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</si>
  <si>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</si>
  <si>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</si>
  <si>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</si>
  <si>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</si>
  <si>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</si>
  <si>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</si>
  <si>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</si>
  <si>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</si>
  <si>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</si>
  <si>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</si>
  <si>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</si>
  <si>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</si>
  <si>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</si>
  <si>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</si>
  <si>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</si>
  <si>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</si>
  <si>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</si>
  <si>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</si>
  <si>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</si>
  <si>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</si>
  <si>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</si>
  <si>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</si>
  <si>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</si>
  <si>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</si>
  <si>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</si>
  <si>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</si>
  <si>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</si>
  <si>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</si>
  <si>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</si>
  <si>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</si>
  <si>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</si>
  <si>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</si>
  <si>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</si>
  <si>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</si>
  <si>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</si>
  <si>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</si>
  <si>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</si>
  <si>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</si>
  <si>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</si>
  <si>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</si>
  <si>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</si>
  <si>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</si>
  <si>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</si>
  <si>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</si>
  <si>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</si>
  <si>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</si>
  <si>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</si>
  <si>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</si>
  <si>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</si>
  <si>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</si>
  <si>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</si>
  <si>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</si>
  <si>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</si>
  <si>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</si>
  <si>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</si>
  <si>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</si>
  <si>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</si>
  <si>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</si>
  <si>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</si>
  <si>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</si>
  <si>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</si>
  <si>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</si>
  <si>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</si>
  <si>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</si>
  <si>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</si>
  <si>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</si>
  <si>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</si>
  <si>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</si>
  <si>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</si>
  <si>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</si>
  <si>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</si>
  <si>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</si>
  <si>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</si>
  <si>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</si>
  <si>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</si>
  <si>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</si>
  <si>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</si>
  <si>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</si>
  <si>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</si>
  <si>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</si>
  <si>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</si>
  <si>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</si>
  <si>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</si>
  <si>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</si>
  <si>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</si>
  <si>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</si>
  <si>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</si>
  <si>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</si>
  <si>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</si>
  <si>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</si>
  <si>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</si>
  <si>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</si>
  <si>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</si>
  <si>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</si>
  <si>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</si>
  <si>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</si>
  <si>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</si>
  <si>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</si>
  <si>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</si>
  <si>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</si>
  <si>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</si>
  <si>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</si>
  <si>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</si>
  <si>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</si>
  <si>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</si>
  <si>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</si>
  <si>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</si>
  <si>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</si>
  <si>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</si>
  <si>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</si>
  <si>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</si>
  <si>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</si>
  <si>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</si>
  <si>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</si>
  <si>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</si>
  <si>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</si>
  <si>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</si>
  <si>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</si>
  <si>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</si>
  <si>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</si>
  <si>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</si>
  <si>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</si>
  <si>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</si>
  <si>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</si>
  <si>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</si>
  <si>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</si>
  <si>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</si>
  <si>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</si>
  <si>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</si>
  <si>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</si>
  <si>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</si>
  <si>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</si>
  <si>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</si>
  <si>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</si>
  <si>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</si>
  <si>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</si>
  <si>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</si>
  <si>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</si>
  <si>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</si>
  <si>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</si>
  <si>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</si>
  <si>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</si>
  <si>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</si>
  <si>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</si>
  <si>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</si>
  <si>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</si>
  <si>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</si>
  <si>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</si>
  <si>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</si>
  <si>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</si>
  <si>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</si>
  <si>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</si>
  <si>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</si>
  <si>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</si>
  <si>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</si>
  <si>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</si>
  <si>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</si>
  <si>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</si>
  <si>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</si>
  <si>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</si>
  <si>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</si>
  <si>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</si>
  <si>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</si>
  <si>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</si>
  <si>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</si>
  <si>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</si>
  <si>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</si>
  <si>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</si>
  <si>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</si>
  <si>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</si>
  <si>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</si>
  <si>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</si>
  <si>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</si>
  <si>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</si>
  <si>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</si>
  <si>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</si>
  <si>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</si>
  <si>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</si>
  <si>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</si>
  <si>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</si>
  <si>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</si>
  <si>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</si>
  <si>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</si>
  <si>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</si>
  <si>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</si>
  <si>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</si>
  <si>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</si>
  <si>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</si>
  <si>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</si>
  <si>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</si>
  <si>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</si>
  <si>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</si>
  <si>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</si>
  <si>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</si>
  <si>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</si>
  <si>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</si>
  <si>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</si>
  <si>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</si>
  <si>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</si>
  <si>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</si>
  <si>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</si>
  <si>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</si>
  <si>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</si>
  <si>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</si>
  <si>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</si>
  <si>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</si>
  <si>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</si>
  <si>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</si>
  <si>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</si>
  <si>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</si>
  <si>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</si>
  <si>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</si>
  <si>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</si>
  <si>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</si>
  <si>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</si>
  <si>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</si>
  <si>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</si>
  <si>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</si>
  <si>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</si>
  <si>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</si>
  <si>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</si>
  <si>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</si>
  <si>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</si>
  <si>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</si>
  <si>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</si>
  <si>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</si>
  <si>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</si>
  <si>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</si>
  <si>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</si>
  <si>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</si>
  <si>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</si>
  <si>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</si>
  <si>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</si>
  <si>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</si>
  <si>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</si>
  <si>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</si>
  <si>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</si>
  <si>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</si>
  <si>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</si>
  <si>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</si>
  <si>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</si>
  <si>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</si>
  <si>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</si>
  <si>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</si>
  <si>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</si>
  <si>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</si>
  <si>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</si>
  <si>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</si>
  <si>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</si>
  <si>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</si>
  <si>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</si>
  <si>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</si>
  <si>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</si>
  <si>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</si>
  <si>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</si>
  <si>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</si>
  <si>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</si>
  <si>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</si>
  <si>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</si>
  <si>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</si>
  <si>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</si>
  <si>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</si>
  <si>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</si>
  <si>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</si>
  <si>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</si>
  <si>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</si>
  <si>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</si>
  <si>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</si>
  <si>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</si>
  <si>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</si>
  <si>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</si>
  <si>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</si>
  <si>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</si>
  <si>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</si>
  <si>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</si>
  <si>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</si>
  <si>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</si>
  <si>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</si>
  <si>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</si>
  <si>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</si>
  <si>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</si>
  <si>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</si>
  <si>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</si>
  <si>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</si>
  <si>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</si>
  <si>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</si>
  <si>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</si>
  <si>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</si>
  <si>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</si>
  <si>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</si>
  <si>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</si>
  <si>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</si>
  <si>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</si>
  <si>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</si>
  <si>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</si>
  <si>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</si>
  <si>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</si>
  <si>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</si>
  <si>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</si>
  <si>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</si>
  <si>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</si>
  <si>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</si>
  <si>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</si>
  <si>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</si>
  <si>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</si>
  <si>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</si>
  <si>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</si>
  <si>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</si>
  <si>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</si>
  <si>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</si>
  <si>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</si>
  <si>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</si>
  <si>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</si>
  <si>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</si>
  <si>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</si>
  <si>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</si>
  <si>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</si>
  <si>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</si>
  <si>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</si>
  <si>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</si>
  <si>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</si>
  <si>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</si>
  <si>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</si>
  <si>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</si>
  <si>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</si>
  <si>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</si>
  <si>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</si>
  <si>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</si>
  <si>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</si>
  <si>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</si>
  <si>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</si>
  <si>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</si>
  <si>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</si>
  <si>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</si>
  <si>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</si>
  <si>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</si>
  <si>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</si>
  <si>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</si>
  <si>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</si>
  <si>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</si>
  <si>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</si>
  <si>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</si>
  <si>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</si>
  <si>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</si>
  <si>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</si>
  <si>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</si>
  <si>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</si>
  <si>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</si>
  <si>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</si>
  <si>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</si>
  <si>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</si>
  <si>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</si>
  <si>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</si>
  <si>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</si>
  <si>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</si>
  <si>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</si>
  <si>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</si>
  <si>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</si>
  <si>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</si>
  <si>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</si>
  <si>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</si>
  <si>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</si>
  <si>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</si>
  <si>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</si>
  <si>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</si>
  <si>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</si>
  <si>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</si>
  <si>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</si>
  <si>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</si>
  <si>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</si>
  <si>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</si>
  <si>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</si>
  <si>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</si>
  <si>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</si>
  <si>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</si>
  <si>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</si>
  <si>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</si>
  <si>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</si>
  <si>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</si>
  <si>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</si>
  <si>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</si>
  <si>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</si>
  <si>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</si>
  <si>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</si>
  <si>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</si>
  <si>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</si>
  <si>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</si>
  <si>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</si>
  <si>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</si>
  <si>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</si>
  <si>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</si>
  <si>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</si>
  <si>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</si>
  <si>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</si>
  <si>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</si>
  <si>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Madina Baker  GS</t>
  </si>
  <si>
    <t>Address: Tajpura</t>
  </si>
  <si>
    <t>Baba Welfair</t>
  </si>
  <si>
    <t xml:space="preserve">Adil Bakers </t>
  </si>
  <si>
    <t xml:space="preserve">W Mart </t>
  </si>
  <si>
    <t xml:space="preserve">AH Mart </t>
  </si>
  <si>
    <t>Faisal Store</t>
  </si>
  <si>
    <t>Makkah Store</t>
  </si>
  <si>
    <t xml:space="preserve">MG Mart </t>
  </si>
  <si>
    <t>Kashif Super Store</t>
  </si>
  <si>
    <t>Umar GS</t>
  </si>
  <si>
    <t>Kashmeer Store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</si>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</sst>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10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527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Madina Baker  GS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Baba Welfair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Adil Bakers </v>
      </c>
      <c r="T5" s="301">
        <f>+'3'!P35</f>
        <v>1967.114748165254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W Mart </v>
      </c>
      <c r="T6" s="301">
        <f>+'4'!P35</f>
        <v>18817.269510508475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AH Mart 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91.809375000000017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Faisal Store</v>
      </c>
      <c r="T8" s="301">
        <f>+'6'!P35</f>
        <v>1568.1057925423731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Makkah Store</v>
      </c>
      <c r="T9" s="301">
        <f>+'7'!P35</f>
        <v>625.941717559322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231</v>
      </c>
      <c r="I10" s="236">
        <f t="shared" si="0"/>
        <v>16779.84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1342.3872000000001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587.29440000000011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14850.1584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3171.3559322033902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90.107571661016948</v>
      </c>
      <c r="P10" s="311">
        <f t="shared" si="2"/>
        <v>18111.621903864409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MG Mart </v>
      </c>
      <c r="T10" s="301">
        <f>+'8'!P35</f>
        <v>7070.4410814152534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216</v>
      </c>
      <c r="I11" s="236">
        <f t="shared" si="0"/>
        <v>15690.24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1255.2192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549.15840000000003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13885.8624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2965.42372881356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84.256430644067805</v>
      </c>
      <c r="P11" s="311">
        <f t="shared" si="2"/>
        <v>16935.54255945763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Kashif Super Store</v>
      </c>
      <c r="T11" s="301">
        <f>+'9'!P35</f>
        <v>5401.2631679237284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273</v>
      </c>
      <c r="I12" s="236">
        <f t="shared" si="0"/>
        <v>19830.72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1586.4575999999997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694.07520000000011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17550.1872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3747.9661016949158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106.49076650847459</v>
      </c>
      <c r="P12" s="311">
        <f t="shared" si="2"/>
        <v>21404.644068203394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Makkah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75</v>
      </c>
      <c r="I13" s="236">
        <f t="shared" si="0"/>
        <v>2942.2500000000005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147.11250000000004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102.97875000000002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150.05475000000001</v>
      </c>
      <c r="M13" s="230">
        <f t="shared" si="1"/>
        <v>2542.1040000000003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572.03389830508445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15.570689491525425</v>
      </c>
      <c r="P13" s="311">
        <f t="shared" si="2"/>
        <v>3129.7085877966101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Umar GS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Kashmeer Store</v>
      </c>
      <c r="T14" s="301">
        <f>+'12'!P35</f>
        <v>4704.3173776271187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Makkah Store</v>
      </c>
      <c r="T15" s="301">
        <f>+'13'!P35</f>
        <v>3136.2115850847458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22.375</v>
      </c>
      <c r="H16" s="113">
        <f t="shared" ref="H16:M16" si="3">SUM(H7:H15)</f>
        <v>895</v>
      </c>
      <c r="I16" s="114">
        <f t="shared" si="3"/>
        <v>60489.3</v>
      </c>
      <c r="J16" s="274">
        <f>SUM(J7:J15)</f>
        <v>4750.8765000000003</v>
      </c>
      <c r="K16" s="275">
        <f t="shared" si="3"/>
        <v>2117.1255000000006</v>
      </c>
      <c r="L16" s="276">
        <f t="shared" si="3"/>
        <v>150.05475000000001</v>
      </c>
      <c r="M16" s="232">
        <f t="shared" si="3"/>
        <v>53471.24325</v>
      </c>
      <c r="N16" s="233">
        <f>SUM(N7:N15)</f>
        <v>11448.305084745763</v>
      </c>
      <c r="O16" s="101">
        <f>SUM(O7:O15)</f>
        <v>324.59774167372882</v>
      </c>
      <c r="P16" s="113">
        <f>SUM(P7:P15)</f>
        <v>65244.1460764195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60489.3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4750.8765000000003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2267.1802500000003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53471.243250000007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11448.305084745763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64919.54833474577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324.59774167372882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65244.1460764195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65244.146076419493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</v>
      </c>
      <c r="L25" s="276">
        <f t="shared" si="7"/>
        <v>0</v>
      </c>
      <c r="M25" s="232">
        <f t="shared" si="7"/>
        <v>5142.9119999999994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464.89599999999996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1833.8500000000001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123.17000000000002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104.19935000000001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1606.48065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1957.3281076271185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2" t="s">
        <v>88</v>
      </c>
      <c r="O35" s="343"/>
      <c r="P35" s="297">
        <f>+P33+P34</f>
        <v>1967.114748165254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113">
        <f>SUM(P16:P24)</f>
        <v>18817.269510508475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17433.599999999999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1394.6880000000001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610.17600000000004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15428.735999999999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18723.651254237288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42" t="s">
        <v>88</v>
      </c>
      <c r="O35" s="343"/>
      <c r="P35" s="297">
        <f>+P33+P34</f>
        <v>18817.269510508475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1568.1057925423731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15</v>
      </c>
      <c r="I25" s="114">
        <f t="shared" si="7"/>
        <v>588.45000000000005</v>
      </c>
      <c r="J25" s="274">
        <f>SUM(J16:J24)</f>
        <v>29.422500000000003</v>
      </c>
      <c r="K25" s="275">
        <f t="shared" si="7"/>
        <v>20.595750000000002</v>
      </c>
      <c r="L25" s="276">
        <f t="shared" si="7"/>
        <v>30.010950000000001</v>
      </c>
      <c r="M25" s="232">
        <f t="shared" si="7"/>
        <v>508.42080000000004</v>
      </c>
      <c r="N25" s="233">
        <f>SUM(N16:N24)</f>
        <v>114.40677966101688</v>
      </c>
      <c r="O25" s="101">
        <f>SUM(O16:O24)</f>
        <v>3.1141378983050845</v>
      </c>
      <c r="P25" s="113">
        <f>SUM(P16:P24)</f>
        <v>625.941717559322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588.45000000000005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29.422500000000003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50.606700000000004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508.42080000000004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622.8275796610169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42" t="s">
        <v>88</v>
      </c>
      <c r="O35" s="343"/>
      <c r="P35" s="297">
        <f>+P33+P34</f>
        <v>625.941717559322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6573.2999999999993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6573.2999999999993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5784.4172999999992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35.176323788135591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7070.4410814152534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4" sqref="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0" workbookViewId="0">
      <selection activeCell="I13" sqref="I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348.67200000000003</v>
      </c>
      <c r="K25" s="275">
        <f t="shared" si="7"/>
        <v>152.54400000000001</v>
      </c>
      <c r="L25" s="276">
        <f t="shared" si="7"/>
        <v>0</v>
      </c>
      <c r="M25" s="232">
        <f t="shared" si="7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4358.3999999999996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348.67200000000003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152.54400000000001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3857.1839999999997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4680.9128135593219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2" t="s">
        <v>88</v>
      </c>
      <c r="O35" s="343"/>
      <c r="P35" s="297">
        <f>+P33+P34</f>
        <v>4704.3173776271187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2026-08-04T12:16:27Z</dcterms:modified>
</cp:coreProperties>
</file>