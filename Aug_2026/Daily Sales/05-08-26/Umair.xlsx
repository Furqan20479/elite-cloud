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C56C01-7138-42D9-A8F9-4F8E9B49C44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<sst xmlns="http://schemas.openxmlformats.org/spreadsheetml/2006/main" count="3978" uniqueCount="526">
  <si>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</si>
  <si>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</si>
  <si>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</si>
  <si>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</si>
  <si>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</si>
  <si>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</si>
  <si>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</si>
  <si>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</si>
  <si>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</si>
  <si>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</si>
  <si>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</si>
  <si>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</si>
  <si>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</si>
  <si>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</si>
  <si>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</si>
  <si>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</si>
  <si>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</si>
  <si>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</si>
  <si>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</si>
  <si>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</si>
  <si>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</si>
  <si>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</si>
  <si>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</si>
  <si>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</si>
  <si>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</si>
  <si>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</si>
  <si>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</si>
  <si>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</si>
  <si>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</si>
  <si>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</si>
  <si>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</si>
  <si>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</si>
  <si>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</si>
  <si>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</si>
  <si>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</si>
  <si>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</si>
  <si>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</si>
  <si>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</si>
  <si>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</si>
  <si>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</si>
  <si>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</si>
  <si>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</si>
  <si>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</si>
  <si>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</si>
  <si>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</si>
  <si>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</si>
  <si>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</si>
  <si>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</si>
  <si>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</si>
  <si>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</si>
  <si>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</si>
  <si>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</si>
  <si>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</si>
  <si>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</si>
  <si>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</si>
  <si>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</si>
  <si>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</si>
  <si>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</si>
  <si>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</si>
  <si>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</si>
  <si>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</si>
  <si>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</si>
  <si>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</si>
  <si>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</si>
  <si>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</si>
  <si>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</si>
  <si>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</si>
  <si>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</si>
  <si>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</si>
  <si>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</si>
  <si>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</si>
  <si>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</si>
  <si>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</si>
  <si>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</si>
  <si>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</si>
  <si>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</si>
  <si>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</si>
  <si>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</si>
  <si>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</si>
  <si>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</si>
  <si>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</si>
  <si>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</si>
  <si>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</si>
  <si>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</si>
  <si>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</si>
  <si>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</si>
  <si>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</si>
  <si>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</si>
  <si>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</si>
  <si>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</si>
  <si>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</si>
  <si>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</si>
  <si>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</si>
  <si>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</si>
  <si>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</si>
  <si>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</si>
  <si>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</si>
  <si>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</si>
  <si>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</si>
  <si>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</si>
  <si>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</si>
  <si>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</si>
  <si>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</si>
  <si>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</si>
  <si>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</si>
  <si>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</si>
  <si>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</si>
  <si>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</si>
  <si>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</si>
  <si>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</si>
  <si>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</si>
  <si>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</si>
  <si>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</si>
  <si>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</si>
  <si>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</si>
  <si>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</si>
  <si>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</si>
  <si>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</si>
  <si>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</si>
  <si>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</si>
  <si>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</si>
  <si>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</si>
  <si>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</si>
  <si>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</si>
  <si>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</si>
  <si>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</si>
  <si>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</si>
  <si>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</si>
  <si>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</si>
  <si>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</si>
  <si>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</si>
  <si>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</si>
  <si>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</si>
  <si>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</si>
  <si>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</si>
  <si>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</si>
  <si>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</si>
  <si>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</si>
  <si>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</si>
  <si>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</si>
  <si>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</si>
  <si>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</si>
  <si>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</si>
  <si>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</si>
  <si>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</si>
  <si>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</si>
  <si>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</si>
  <si>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</si>
  <si>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</si>
  <si>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</si>
  <si>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</si>
  <si>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</si>
  <si>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</si>
  <si>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</si>
  <si>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</si>
  <si>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</si>
  <si>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</si>
  <si>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</si>
  <si>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</si>
  <si>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</si>
  <si>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</si>
  <si>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</si>
  <si>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</si>
  <si>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</si>
  <si>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</si>
  <si>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</si>
  <si>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</si>
  <si>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</si>
  <si>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</si>
  <si>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</si>
  <si>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</si>
  <si>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</si>
  <si>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</si>
  <si>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</si>
  <si>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</si>
  <si>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</si>
  <si>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</si>
  <si>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</si>
  <si>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</si>
  <si>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</si>
  <si>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</si>
  <si>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</si>
  <si>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</si>
  <si>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</si>
  <si>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</si>
  <si>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</si>
  <si>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</si>
  <si>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</si>
  <si>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</si>
  <si>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</si>
  <si>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</si>
  <si>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</si>
  <si>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</si>
  <si>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</si>
  <si>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</si>
  <si>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</si>
  <si>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</si>
  <si>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</si>
  <si>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</si>
  <si>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</si>
  <si>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</si>
  <si>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</si>
  <si>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</si>
  <si>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</si>
  <si>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</si>
  <si>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</si>
  <si>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</si>
  <si>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</si>
  <si>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</si>
  <si>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</si>
  <si>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</si>
  <si>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</si>
  <si>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</si>
  <si>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</si>
  <si>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</si>
  <si>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</si>
  <si>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</si>
  <si>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</si>
  <si>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</si>
  <si>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</si>
  <si>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</si>
  <si>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</si>
  <si>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</si>
  <si>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</si>
  <si>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</si>
  <si>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</si>
  <si>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</si>
  <si>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</si>
  <si>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</si>
  <si>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</si>
  <si>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</si>
  <si>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</si>
  <si>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</si>
  <si>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</si>
  <si>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</si>
  <si>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</si>
  <si>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</si>
  <si>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</si>
  <si>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</si>
  <si>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</si>
  <si>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</si>
  <si>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</si>
  <si>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</si>
  <si>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</si>
  <si>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</si>
  <si>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</si>
  <si>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</si>
  <si>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</si>
  <si>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</si>
  <si>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</si>
  <si>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</si>
  <si>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</si>
  <si>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</si>
  <si>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</si>
  <si>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</si>
  <si>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</si>
  <si>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</si>
  <si>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</si>
  <si>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</si>
  <si>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</si>
  <si>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</si>
  <si>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</si>
  <si>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</si>
  <si>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</si>
  <si>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</si>
  <si>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</si>
  <si>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</si>
  <si>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</si>
  <si>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</si>
  <si>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</si>
  <si>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</si>
  <si>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</si>
  <si>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</si>
  <si>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</si>
  <si>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</si>
  <si>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</si>
  <si>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</si>
  <si>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</si>
  <si>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</si>
  <si>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</si>
  <si>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</si>
  <si>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</si>
  <si>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</si>
  <si>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</si>
  <si>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</si>
  <si>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</si>
  <si>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</si>
  <si>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</si>
  <si>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</si>
  <si>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</si>
  <si>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</si>
  <si>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</si>
  <si>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</si>
  <si>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</si>
  <si>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</si>
  <si>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</si>
  <si>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</si>
  <si>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</si>
  <si>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</si>
  <si>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</si>
  <si>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</si>
  <si>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</si>
  <si>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</si>
  <si>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</si>
  <si>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</si>
  <si>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</si>
  <si>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</si>
  <si>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</si>
  <si>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</si>
  <si>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</si>
  <si>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</si>
  <si>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</si>
  <si>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</si>
  <si>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</si>
  <si>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</si>
  <si>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</si>
  <si>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</si>
  <si>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</si>
  <si>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</si>
  <si>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</si>
  <si>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</si>
  <si>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</si>
  <si>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</si>
  <si>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</si>
  <si>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</si>
  <si>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</si>
  <si>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</si>
  <si>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</si>
  <si>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</si>
  <si>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</si>
  <si>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</si>
  <si>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</si>
  <si>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</si>
  <si>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</si>
  <si>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</si>
  <si>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</si>
  <si>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</si>
  <si>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</si>
  <si>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</si>
  <si>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</si>
  <si>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</si>
  <si>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</si>
  <si>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</si>
  <si>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</si>
  <si>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</si>
  <si>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</si>
  <si>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</si>
  <si>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</si>
  <si>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</si>
  <si>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</si>
  <si>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</si>
  <si>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</si>
  <si>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</si>
  <si>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</si>
  <si>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</si>
  <si>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</si>
  <si>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</si>
  <si>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</si>
  <si>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</si>
  <si>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</si>
  <si>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</si>
  <si>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</si>
  <si>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</si>
  <si>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</si>
  <si>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</si>
  <si>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</si>
  <si>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</si>
  <si>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</si>
  <si>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</si>
  <si>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</si>
  <si>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</si>
  <si>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</si>
  <si>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</si>
  <si>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</si>
  <si>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</si>
  <si>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</si>
  <si>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</si>
  <si>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</si>
  <si>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</si>
  <si>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</si>
  <si>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</si>
  <si>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</si>
  <si>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</si>
  <si>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</si>
  <si>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</si>
  <si>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</si>
  <si>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</si>
  <si>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</si>
  <si>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</si>
  <si>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</si>
  <si>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</si>
  <si>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</si>
  <si>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</si>
  <si>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</si>
  <si>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</si>
  <si>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</si>
  <si>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</si>
  <si>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</si>
  <si>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</si>
  <si>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</si>
  <si>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</si>
  <si>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</si>
  <si>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</si>
  <si>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</si>
  <si>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</si>
  <si>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</si>
  <si>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</si>
  <si>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</si>
  <si>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</si>
  <si>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</si>
  <si>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</si>
  <si>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</si>
  <si>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</si>
  <si>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</si>
  <si>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</si>
  <si>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</si>
  <si>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</si>
  <si>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</si>
  <si>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</si>
  <si>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</si>
  <si>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</si>
  <si>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</si>
  <si>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</si>
  <si>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</si>
  <si>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</si>
  <si>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</si>
  <si>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</si>
  <si>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</si>
  <si>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</si>
  <si>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</si>
  <si>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</si>
  <si>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</si>
  <si>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</si>
  <si>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</si>
  <si>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</si>
  <si>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</si>
  <si>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</si>
  <si>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</si>
  <si>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</si>
  <si>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</si>
  <si>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</si>
  <si>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</si>
  <si>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</si>
  <si>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</si>
  <si>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</si>
  <si>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</si>
  <si>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</si>
  <si>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</si>
  <si>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</si>
  <si>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</si>
  <si>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</si>
  <si>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</si>
  <si>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</si>
  <si>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</si>
  <si>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</si>
  <si>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</si>
  <si>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</si>
  <si>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</si>
  <si>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</si>
  <si>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</si>
  <si>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</si>
  <si>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</si>
  <si>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</si>
  <si>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</si>
  <si>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</si>
  <si>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</si>
  <si>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</si>
  <si>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</si>
  <si>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</si>
  <si>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</si>
  <si>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</si>
  <si>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</si>
  <si>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</si>
  <si>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</si>
  <si>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</si>
  <si>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</si>
  <si>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</si>
  <si>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</si>
  <si>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</si>
  <si>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</si>
  <si>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</si>
  <si>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</si>
  <si>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</si>
  <si>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</si>
  <si>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</si>
  <si>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</si>
  <si>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</si>
  <si>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</si>
  <si>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</si>
  <si>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</si>
  <si>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</si>
  <si>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</si>
  <si>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</si>
  <si>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</si>
  <si>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</si>
  <si>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</si>
  <si>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</si>
  <si>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</si>
  <si>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</si>
  <si>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</si>
  <si>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</si>
  <si>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</si>
  <si>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</si>
  <si>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</si>
  <si>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</si>
  <si>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</si>
  <si>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</si>
  <si>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</si>
  <si>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</si>
  <si>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</si>
  <si>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</si>
  <si>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</si>
  <si>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</si>
  <si>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</si>
  <si>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</si>
  <si>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</si>
  <si>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</si>
  <si>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KS Mart </t>
  </si>
  <si>
    <t>Address: Ghazi Road</t>
  </si>
  <si>
    <t>Dua Book Store</t>
  </si>
  <si>
    <t>Punjab Store</t>
  </si>
  <si>
    <t xml:space="preserve">Arban Mart </t>
  </si>
  <si>
    <t xml:space="preserve">Rise Store </t>
  </si>
  <si>
    <t>Marhaba Store</t>
  </si>
  <si>
    <t xml:space="preserve">DVA Mart </t>
  </si>
  <si>
    <t xml:space="preserve">Akhter 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</si>
</sst>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KS Mart 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Dua Book Store</v>
      </c>
      <c r="T4" s="301">
        <f>+'2'!P35</f>
        <v>834.58895674576274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Punjab Store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Arban Mart 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Rise Store 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Marhaba Store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DVA Mart 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107</v>
      </c>
      <c r="I10" s="236">
        <f t="shared" si="0"/>
        <v>7772.4800000000005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621.79840000000002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272.03680000000003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6878.6448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1468.9830508474577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41.738139254237289</v>
      </c>
      <c r="P10" s="311">
        <f t="shared" si="2"/>
        <v>8389.3659901016945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Akhter GS </v>
      </c>
      <c r="T10" s="301">
        <f>+'8'!P35</f>
        <v>15012.042165076271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5785.7759999999998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35.106846101694913</v>
      </c>
      <c r="P11" s="311">
        <f t="shared" si="2"/>
        <v>7056.4760664406776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113</v>
      </c>
      <c r="I12" s="236">
        <f t="shared" si="0"/>
        <v>8208.32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656.66560000000004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287.2912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7264.3631999999998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1551.3559322033898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44.078595661016948</v>
      </c>
      <c r="P12" s="311">
        <f t="shared" si="2"/>
        <v>8859.7977278644066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272</v>
      </c>
      <c r="I13" s="236">
        <f t="shared" si="0"/>
        <v>10670.560000000001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533.52800000000013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373.46960000000013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544.19856000000004</v>
      </c>
      <c r="M13" s="230">
        <f t="shared" si="1"/>
        <v>9219.3638400000018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2074.57627118644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56.469700555932206</v>
      </c>
      <c r="P13" s="311">
        <f t="shared" si="2"/>
        <v>11350.409811742375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15.55</v>
      </c>
      <c r="H16" s="113">
        <f t="shared" ref="H16:M16" si="3">SUM(H7:H15)</f>
        <v>622</v>
      </c>
      <c r="I16" s="114">
        <f t="shared" si="3"/>
        <v>35287.460000000006</v>
      </c>
      <c r="J16" s="274">
        <f>SUM(J7:J15)</f>
        <v>2502.88</v>
      </c>
      <c r="K16" s="275">
        <f t="shared" si="3"/>
        <v>1235.0611000000004</v>
      </c>
      <c r="L16" s="276">
        <f t="shared" si="3"/>
        <v>544.19856000000004</v>
      </c>
      <c r="M16" s="232">
        <f t="shared" si="3"/>
        <v>31005.320340000002</v>
      </c>
      <c r="N16" s="233">
        <f>SUM(N7:N15)</f>
        <v>6727.1186440677957</v>
      </c>
      <c r="O16" s="101">
        <f>SUM(O7:O15)</f>
        <v>188.66219492033898</v>
      </c>
      <c r="P16" s="113">
        <f>SUM(P7:P15)</f>
        <v>37921.101178988138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35287.460000000006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2502.88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1779.2596600000004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31005.320340000009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6727.1186440677957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37732.438984067805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188.66219492033898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37921.101178988145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37921.101178988138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3138.4000000000005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156.92000000000004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269.90240000000006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2711.5776000000005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3321.7470915254239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2" t="s">
        <v>88</v>
      </c>
      <c r="O35" s="343"/>
      <c r="P35" s="297">
        <f>+P33+P34</f>
        <v>3338.355826983051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311">
        <f t="shared" si="5"/>
        <v>1411.2952132881355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11.702282033898305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2179.1999999999998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174.33600000000001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76.272000000000006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1928.5919999999999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2340.4564067796609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2" t="s">
        <v>88</v>
      </c>
      <c r="O35" s="343"/>
      <c r="P35" s="297">
        <f>+P33+P34</f>
        <v>2352.1586888135594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13953.7</v>
      </c>
      <c r="J25" s="274">
        <f>SUM(J16:J24)</f>
        <v>1022.144</v>
      </c>
      <c r="K25" s="275">
        <f t="shared" si="7"/>
        <v>488.37950000000012</v>
      </c>
      <c r="L25" s="276">
        <f t="shared" si="7"/>
        <v>160.05840000000001</v>
      </c>
      <c r="M25" s="232">
        <f t="shared" si="7"/>
        <v>12283.118100000002</v>
      </c>
      <c r="N25" s="233">
        <f>SUM(N16:N24)</f>
        <v>2654.2372881355927</v>
      </c>
      <c r="O25" s="101">
        <f>SUM(O16:O24)</f>
        <v>74.686776940677973</v>
      </c>
      <c r="P25" s="113">
        <f>SUM(P16:P24)</f>
        <v>15012.042165076273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13953.7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1022.144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648.43790000000013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12283.1181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2654.2372881355927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14937.355388135593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74.686776940677973</v>
      </c>
    </row>
    <row r="35" spans="2:16" ht="15.75" customHeight="1" thickBot="1" x14ac:dyDescent="0.4">
      <c r="N35" s="342" t="s">
        <v>88</v>
      </c>
      <c r="O35" s="343"/>
      <c r="P35" s="297">
        <f>+P33+P34</f>
        <v>15012.042165076271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2026-08-04T11:54:25Z</dcterms:modified>
</cp:coreProperties>
</file>