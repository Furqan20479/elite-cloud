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1E190CE-CEA9-488C-BD21-26ABC7505D98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J16" i="11" l="1"/>
  <c r="H3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7" i="62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16" i="59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<sst xmlns="http://schemas.openxmlformats.org/spreadsheetml/2006/main" count="3948" uniqueCount="517">
  <si>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</si>
  <si>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</si>
  <si>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</si>
  <si>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</si>
  <si>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</si>
  <si>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</si>
  <si>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</si>
  <si>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</si>
  <si>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</si>
  <si>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</si>
  <si>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</si>
  <si>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</si>
  <si>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</si>
  <si>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</si>
  <si>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</si>
  <si>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</si>
  <si>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</si>
  <si>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</si>
  <si>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</si>
  <si>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</si>
  <si>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</si>
  <si>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</si>
  <si>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</si>
  <si>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</si>
  <si>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</si>
  <si>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</si>
  <si>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</si>
  <si>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</si>
  <si>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</si>
  <si>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</si>
  <si>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</si>
  <si>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</si>
  <si>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</si>
  <si>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</si>
  <si>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</si>
  <si>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</si>
  <si>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</si>
  <si>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</si>
  <si>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</si>
  <si>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</si>
  <si>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</si>
  <si>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</si>
  <si>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</si>
  <si>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</si>
  <si>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</si>
  <si>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</si>
  <si>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</si>
  <si>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</si>
  <si>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</si>
  <si>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</si>
  <si>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</si>
  <si>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</si>
  <si>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</si>
  <si>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</si>
  <si>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</si>
  <si>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</si>
  <si>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</si>
  <si>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</si>
  <si>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</si>
  <si>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</si>
  <si>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</si>
  <si>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</si>
  <si>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</si>
  <si>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</si>
  <si>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</si>
  <si>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</si>
  <si>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</si>
  <si>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</si>
  <si>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</si>
  <si>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</si>
  <si>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</si>
  <si>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</si>
  <si>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</si>
  <si>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</si>
  <si>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</si>
  <si>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</si>
  <si>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</si>
  <si>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</si>
  <si>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</si>
  <si>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</si>
  <si>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</si>
  <si>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</si>
  <si>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</si>
  <si>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</si>
  <si>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</si>
  <si>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</si>
  <si>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</si>
  <si>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</si>
  <si>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</si>
  <si>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</si>
  <si>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</si>
  <si>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</si>
  <si>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</si>
  <si>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</si>
  <si>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</si>
  <si>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</si>
  <si>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</si>
  <si>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</si>
  <si>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</si>
  <si>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</si>
  <si>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</si>
  <si>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</si>
  <si>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</si>
  <si>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</si>
  <si>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</si>
  <si>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</si>
  <si>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</si>
  <si>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</si>
  <si>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</si>
  <si>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</si>
  <si>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</si>
  <si>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</si>
  <si>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</si>
  <si>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</si>
  <si>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</si>
  <si>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</si>
  <si>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</si>
  <si>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</si>
  <si>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</si>
  <si>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</si>
  <si>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</si>
  <si>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</si>
  <si>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</si>
  <si>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</si>
  <si>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</si>
  <si>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</si>
  <si>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</si>
  <si>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</si>
  <si>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</si>
  <si>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</si>
  <si>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</si>
  <si>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</si>
  <si>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</si>
  <si>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</si>
  <si>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</si>
  <si>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</si>
  <si>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</si>
  <si>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</si>
  <si>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</si>
  <si>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</si>
  <si>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</si>
  <si>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</si>
  <si>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</si>
  <si>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</si>
  <si>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</si>
  <si>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</si>
  <si>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</si>
  <si>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</si>
  <si>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</si>
  <si>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</si>
  <si>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</si>
  <si>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</si>
  <si>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</si>
  <si>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</si>
  <si>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</si>
  <si>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</si>
  <si>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</si>
  <si>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</si>
  <si>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</si>
  <si>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</si>
  <si>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</si>
  <si>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</si>
  <si>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</si>
  <si>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</si>
  <si>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</si>
  <si>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</si>
  <si>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</si>
  <si>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</si>
  <si>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</si>
  <si>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</si>
  <si>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</si>
  <si>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</si>
  <si>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</si>
  <si>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</si>
  <si>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</si>
  <si>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</si>
  <si>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</si>
  <si>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</si>
  <si>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</si>
  <si>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</si>
  <si>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</si>
  <si>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</si>
  <si>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</si>
  <si>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</si>
  <si>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</si>
  <si>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</si>
  <si>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</si>
  <si>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</si>
  <si>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</si>
  <si>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</si>
  <si>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</si>
  <si>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</si>
  <si>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</si>
  <si>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</si>
  <si>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</si>
  <si>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</si>
  <si>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</si>
  <si>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</si>
  <si>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</si>
  <si>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</si>
  <si>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</si>
  <si>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</si>
  <si>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</si>
  <si>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</si>
  <si>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</si>
  <si>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</si>
  <si>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</si>
  <si>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</si>
  <si>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</si>
  <si>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</si>
  <si>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</si>
  <si>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</si>
  <si>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</si>
  <si>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</si>
  <si>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</si>
  <si>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</si>
  <si>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</si>
  <si>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</si>
  <si>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</si>
  <si>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</si>
  <si>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</si>
  <si>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</si>
  <si>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</si>
  <si>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</si>
  <si>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</si>
  <si>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</si>
  <si>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</si>
  <si>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</si>
  <si>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</si>
  <si>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</si>
  <si>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</si>
  <si>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</si>
  <si>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</si>
  <si>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</si>
  <si>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</si>
  <si>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</si>
  <si>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</si>
  <si>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</si>
  <si>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</si>
  <si>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</si>
  <si>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</si>
  <si>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</si>
  <si>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</si>
  <si>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</si>
  <si>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</si>
  <si>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</si>
  <si>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</si>
  <si>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</si>
  <si>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</si>
  <si>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</si>
  <si>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</si>
  <si>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</si>
  <si>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</si>
  <si>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</si>
  <si>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</si>
  <si>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</si>
  <si>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</si>
  <si>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</si>
  <si>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</si>
  <si>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</si>
  <si>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</si>
  <si>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</si>
  <si>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</si>
  <si>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</si>
  <si>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</si>
  <si>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</si>
  <si>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</si>
  <si>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</si>
  <si>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</si>
  <si>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</si>
  <si>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</si>
  <si>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</si>
  <si>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</si>
  <si>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</si>
  <si>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</si>
  <si>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</si>
  <si>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</si>
  <si>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</si>
  <si>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</si>
  <si>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</si>
  <si>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</si>
  <si>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</si>
  <si>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</si>
  <si>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</si>
  <si>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</si>
  <si>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</si>
  <si>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</si>
  <si>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</si>
  <si>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</si>
  <si>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</si>
  <si>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</si>
  <si>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</si>
  <si>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</si>
  <si>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</si>
  <si>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</si>
  <si>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</si>
  <si>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</si>
  <si>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</si>
  <si>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</si>
  <si>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</si>
  <si>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</si>
  <si>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</si>
  <si>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</si>
  <si>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</si>
  <si>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</si>
  <si>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</si>
  <si>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</si>
  <si>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</si>
  <si>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</si>
  <si>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</si>
  <si>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</si>
  <si>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</si>
  <si>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</si>
  <si>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</si>
  <si>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</si>
  <si>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</si>
  <si>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</si>
  <si>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</si>
  <si>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</si>
  <si>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</si>
  <si>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</si>
  <si>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</si>
  <si>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</si>
  <si>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</si>
  <si>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</si>
  <si>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</si>
  <si>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</si>
  <si>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</si>
  <si>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</si>
  <si>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</si>
  <si>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</si>
  <si>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</si>
  <si>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</si>
  <si>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</si>
  <si>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</si>
  <si>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</si>
  <si>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</si>
  <si>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</si>
  <si>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</si>
  <si>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</si>
  <si>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</si>
  <si>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</si>
  <si>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</si>
  <si>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</si>
  <si>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</si>
  <si>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</si>
  <si>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</si>
  <si>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</si>
  <si>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</si>
  <si>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</si>
  <si>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</si>
  <si>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</si>
  <si>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</si>
  <si>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</si>
  <si>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</si>
  <si>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</si>
  <si>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</si>
  <si>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</si>
  <si>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</si>
  <si>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</si>
  <si>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</si>
  <si>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</si>
  <si>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</si>
  <si>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</si>
  <si>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</si>
  <si>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</si>
  <si>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</si>
  <si>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</si>
  <si>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</si>
  <si>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</si>
  <si>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</si>
  <si>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</si>
  <si>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</si>
  <si>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</si>
  <si>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</si>
  <si>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</si>
  <si>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</si>
  <si>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</si>
  <si>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</si>
  <si>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</si>
  <si>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</si>
  <si>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</si>
  <si>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</si>
  <si>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</si>
  <si>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</si>
  <si>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</si>
  <si>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</si>
  <si>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</si>
  <si>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</si>
  <si>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</si>
  <si>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</si>
  <si>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</si>
  <si>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</si>
  <si>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</si>
  <si>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</si>
  <si>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</si>
  <si>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</si>
  <si>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</si>
  <si>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</si>
  <si>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</si>
  <si>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</si>
  <si>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</si>
  <si>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</si>
  <si>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</si>
  <si>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</si>
  <si>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</si>
  <si>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</si>
  <si>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</si>
  <si>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</si>
  <si>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</si>
  <si>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</si>
  <si>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</si>
  <si>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</si>
  <si>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</si>
  <si>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</si>
  <si>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</si>
  <si>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</si>
  <si>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</si>
  <si>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</si>
  <si>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</si>
  <si>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</si>
  <si>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</si>
  <si>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</si>
  <si>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</si>
  <si>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</si>
  <si>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</si>
  <si>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</si>
  <si>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</si>
  <si>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</si>
  <si>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</si>
  <si>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</si>
  <si>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</si>
  <si>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</si>
  <si>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</si>
  <si>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</si>
  <si>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</si>
  <si>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</si>
  <si>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</si>
  <si>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</si>
  <si>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</si>
  <si>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</si>
  <si>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</si>
  <si>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</si>
  <si>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</si>
  <si>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</si>
  <si>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</si>
  <si>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</si>
  <si>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</si>
  <si>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</si>
  <si>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</si>
  <si>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</si>
  <si>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</si>
  <si>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</si>
  <si>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</si>
  <si>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</si>
  <si>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</si>
  <si>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</si>
  <si>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</si>
  <si>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</si>
  <si>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</si>
  <si>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</si>
  <si>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</si>
  <si>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</si>
  <si>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</si>
  <si>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</si>
  <si>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</si>
  <si>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</si>
  <si>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</si>
  <si>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</si>
  <si>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</si>
  <si>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</si>
  <si>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</si>
  <si>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</si>
  <si>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</si>
  <si>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</si>
  <si>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</si>
  <si>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</si>
  <si>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</si>
  <si>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</si>
  <si>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</si>
  <si>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</si>
  <si>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</si>
  <si>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</si>
  <si>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</si>
  <si>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</si>
  <si>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</si>
  <si>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</si>
  <si>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</si>
  <si>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</si>
  <si>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</si>
  <si>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</si>
  <si>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</si>
  <si>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</si>
  <si>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</si>
  <si>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</si>
  <si>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</si>
  <si>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</si>
  <si>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</si>
  <si>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</si>
  <si>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</si>
  <si>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</si>
  <si>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</si>
  <si>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</si>
  <si>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</si>
  <si>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</si>
  <si>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</si>
  <si>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</si>
  <si>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</si>
  <si>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</si>
  <si>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</si>
  <si>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</si>
  <si>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</si>
  <si>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Raheem</t>
  </si>
  <si>
    <t>Raheem Store</t>
  </si>
  <si>
    <t xml:space="preserve">Address: Iqbal Town </t>
  </si>
  <si>
    <t>Invoice No # : 72621</t>
  </si>
  <si>
    <t xml:space="preserve">NTN : // : A244322-8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</si>
</sst>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9" fontId="18" fillId="0" borderId="48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U3" sqref="U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498</v>
      </c>
      <c r="F2" s="354"/>
      <c r="G2" s="354"/>
      <c r="H2" s="351" t="s">
        <v>512</v>
      </c>
      <c r="I2" s="351"/>
      <c r="J2" s="352"/>
      <c r="R2" s="348" t="s">
        <v>497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508</v>
      </c>
      <c r="F3" s="358"/>
      <c r="G3" s="358"/>
      <c r="H3" s="355">
        <f ca="1">TODAY()</f>
        <v>46239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Raheem Store</v>
      </c>
      <c r="T3" s="301">
        <f>+'1'!P35</f>
        <v>128145.82561588984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Raheem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Raheem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Raheem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200</v>
      </c>
      <c r="I7" s="235">
        <f>(G7*D7)*F7+H7*F7</f>
        <v>10492.5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1468.95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367.23750000000001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8656.3125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1983.0508474576263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53.196816737288138</v>
      </c>
      <c r="P7" s="310">
        <f>M7+N7+O7</f>
        <v>10692.560164194916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Raheem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240</v>
      </c>
      <c r="I8" s="236">
        <f t="shared" ref="I8:I14" si="0">(G8*D8)*F8+H8*F8</f>
        <v>12591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1762.7400000000002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440.68500000000006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10387.575000000001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2379.6610169491514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63.836180084745756</v>
      </c>
      <c r="P8" s="311">
        <f t="shared" ref="P8:P15" si="2">M8+N8+O8</f>
        <v>12831.072197033896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Raheem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240</v>
      </c>
      <c r="I9" s="236">
        <f t="shared" si="0"/>
        <v>12591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1762.7400000000002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440.68500000000006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10387.575000000001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2379.6610169491514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63.836180084745756</v>
      </c>
      <c r="P9" s="311">
        <f t="shared" si="2"/>
        <v>12831.072197033896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Raheem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320</v>
      </c>
      <c r="I10" s="236">
        <f t="shared" si="0"/>
        <v>23244.799999999999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3254.2720000000004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813.5680000000001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19176.96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4393.2203389830511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117.85090169491525</v>
      </c>
      <c r="P10" s="311">
        <f t="shared" si="2"/>
        <v>23688.031240677963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Raheem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320</v>
      </c>
      <c r="I11" s="236">
        <f t="shared" si="0"/>
        <v>23244.799999999999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3254.2720000000004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813.5680000000001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19176.96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4393.2203389830511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117.85090169491525</v>
      </c>
      <c r="P11" s="311">
        <f t="shared" si="2"/>
        <v>23688.031240677963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Raheem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600</v>
      </c>
      <c r="I12" s="236">
        <f t="shared" si="0"/>
        <v>43584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6101.76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1525.44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35956.800000000003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8237.2881355932204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220.97044067796611</v>
      </c>
      <c r="P12" s="311">
        <f t="shared" si="2"/>
        <v>44415.058576271185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Raheem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Raheem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Raheem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Raheem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48</v>
      </c>
      <c r="H16" s="113">
        <f t="shared" ref="H16:M16" si="3">SUM(H7:H15)</f>
        <v>1920</v>
      </c>
      <c r="I16" s="114">
        <f t="shared" si="3"/>
        <v>125748.1</v>
      </c>
      <c r="J16" s="274">
        <f>SUM(J7:J15)</f>
        <v>17604.734000000004</v>
      </c>
      <c r="K16" s="275">
        <f t="shared" si="3"/>
        <v>4401.183500000001</v>
      </c>
      <c r="L16" s="276">
        <f t="shared" si="3"/>
        <v>0</v>
      </c>
      <c r="M16" s="232">
        <f t="shared" si="3"/>
        <v>103742.18250000001</v>
      </c>
      <c r="N16" s="233">
        <f>SUM(N7:N15)</f>
        <v>23766.101694915254</v>
      </c>
      <c r="O16" s="101">
        <f>SUM(O7:O15)</f>
        <v>637.54142097457634</v>
      </c>
      <c r="P16" s="113">
        <f>SUM(P7:P15)</f>
        <v>128145.82561588981</v>
      </c>
      <c r="Q16" s="128">
        <f>SUM(Q7:Q15)</f>
        <v>0</v>
      </c>
      <c r="R16" s="314">
        <v>14</v>
      </c>
      <c r="S16" s="300" t="str">
        <f>+'14'!A6:A6</f>
        <v>Raheem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Raheem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Raheem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125748.1</v>
      </c>
      <c r="R19" s="299">
        <v>17</v>
      </c>
      <c r="S19" s="300" t="str">
        <f>+'17'!A6:A6</f>
        <v>Raheem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17604.734000000004</v>
      </c>
      <c r="R20" s="299">
        <v>18</v>
      </c>
      <c r="S20" s="300" t="str">
        <f>+'18'!A6:A6</f>
        <v>Raheem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4401.183500000001</v>
      </c>
      <c r="R21" s="299">
        <v>19</v>
      </c>
      <c r="S21" s="300" t="str">
        <f>+'19'!A6:A6</f>
        <v>Raheem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103742.18250000001</v>
      </c>
      <c r="R22" s="299">
        <v>20</v>
      </c>
      <c r="S22" s="300" t="str">
        <f>+'20'!A6:A6</f>
        <v>Raheem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23766.101694915254</v>
      </c>
      <c r="R23" s="299">
        <v>21</v>
      </c>
      <c r="S23" s="300" t="str">
        <f>+'21'!A6:A6</f>
        <v>Raheem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127508.28419491526</v>
      </c>
      <c r="R24" s="299">
        <v>22</v>
      </c>
      <c r="S24" s="300" t="str">
        <f>+'22'!A6:A6</f>
        <v>Raheem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637.54142097457634</v>
      </c>
      <c r="R25" s="299">
        <v>23</v>
      </c>
      <c r="S25" s="300" t="str">
        <f>+'23'!A6:A6</f>
        <v>Raheem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128145.82561588984</v>
      </c>
      <c r="R26" s="299">
        <v>24</v>
      </c>
      <c r="S26" s="300" t="str">
        <f>+'24'!A6:A6</f>
        <v>Raheem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Raheem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Raheem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Raheem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Raheem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Raheem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Raheem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128145.82561588984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F1" sqref="F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515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7.2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500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516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200</v>
      </c>
      <c r="I16" s="235">
        <f>(G16*D16)*F16+H16*F16</f>
        <v>10492.5</v>
      </c>
      <c r="J16" s="271">
        <f>$I16*S16</f>
        <v>1468.95</v>
      </c>
      <c r="K16" s="127">
        <f>$I16*T16</f>
        <v>367.23750000000001</v>
      </c>
      <c r="L16" s="118">
        <f>$I16*U16</f>
        <v>0</v>
      </c>
      <c r="M16" s="229">
        <f>I16-SUM(J16:L16)</f>
        <v>8656.3125</v>
      </c>
      <c r="N16" s="248">
        <f>+(G16*D16+H16)*V16</f>
        <v>1983.0508474576263</v>
      </c>
      <c r="O16" s="238">
        <f>(N16+M16)*$O$15</f>
        <v>53.196816737288138</v>
      </c>
      <c r="P16" s="310">
        <f>M16+N16+O16</f>
        <v>10692.560164194916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240</v>
      </c>
      <c r="I17" s="236">
        <f t="shared" ref="I17:I23" si="0">(G17*D17)*F17+H17*F17</f>
        <v>12591</v>
      </c>
      <c r="J17" s="272">
        <f t="shared" ref="J17:L24" si="1">$I17*S17</f>
        <v>1762.7400000000002</v>
      </c>
      <c r="K17" s="128">
        <f>$I17*T17</f>
        <v>440.68500000000006</v>
      </c>
      <c r="L17" s="119">
        <f>$I17*U17</f>
        <v>0</v>
      </c>
      <c r="M17" s="230">
        <f t="shared" ref="M17:M24" si="2">I17-SUM(J17:L17)</f>
        <v>10387.575000000001</v>
      </c>
      <c r="N17" s="277">
        <f t="shared" ref="N17:N24" si="3">+(G17*D17+H17)*V17</f>
        <v>2379.6610169491514</v>
      </c>
      <c r="O17" s="239">
        <f t="shared" ref="O17:O24" si="4">(N17+M17)*$O$15</f>
        <v>63.836180084745756</v>
      </c>
      <c r="P17" s="311">
        <f t="shared" ref="P17:P24" si="5">M17+N17+O17</f>
        <v>12831.072197033896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240</v>
      </c>
      <c r="I18" s="236">
        <f t="shared" ref="I18:I21" si="7">(G18*D18)*F18+H18*F18</f>
        <v>12591</v>
      </c>
      <c r="J18" s="272">
        <f t="shared" si="1"/>
        <v>1762.7400000000002</v>
      </c>
      <c r="K18" s="128">
        <f t="shared" si="1"/>
        <v>440.68500000000006</v>
      </c>
      <c r="L18" s="119">
        <f t="shared" si="1"/>
        <v>0</v>
      </c>
      <c r="M18" s="230">
        <f t="shared" si="2"/>
        <v>10387.575000000001</v>
      </c>
      <c r="N18" s="277">
        <f t="shared" si="3"/>
        <v>2379.6610169491514</v>
      </c>
      <c r="O18" s="239">
        <f t="shared" si="4"/>
        <v>63.836180084745756</v>
      </c>
      <c r="P18" s="311">
        <f t="shared" si="5"/>
        <v>12831.072197033896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320</v>
      </c>
      <c r="I19" s="236">
        <f t="shared" si="7"/>
        <v>23244.799999999999</v>
      </c>
      <c r="J19" s="272">
        <f t="shared" si="1"/>
        <v>3254.2720000000004</v>
      </c>
      <c r="K19" s="128">
        <f t="shared" si="1"/>
        <v>813.5680000000001</v>
      </c>
      <c r="L19" s="119">
        <f t="shared" si="1"/>
        <v>0</v>
      </c>
      <c r="M19" s="230">
        <f t="shared" si="2"/>
        <v>19176.96</v>
      </c>
      <c r="N19" s="277">
        <f t="shared" si="3"/>
        <v>4393.2203389830511</v>
      </c>
      <c r="O19" s="239">
        <f t="shared" si="4"/>
        <v>117.85090169491525</v>
      </c>
      <c r="P19" s="311">
        <f t="shared" si="5"/>
        <v>23688.031240677963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320</v>
      </c>
      <c r="I20" s="236">
        <f t="shared" si="7"/>
        <v>23244.799999999999</v>
      </c>
      <c r="J20" s="272">
        <f t="shared" si="1"/>
        <v>3254.2720000000004</v>
      </c>
      <c r="K20" s="128">
        <f t="shared" si="1"/>
        <v>813.5680000000001</v>
      </c>
      <c r="L20" s="119">
        <f t="shared" si="1"/>
        <v>0</v>
      </c>
      <c r="M20" s="230">
        <f t="shared" si="2"/>
        <v>19176.96</v>
      </c>
      <c r="N20" s="277">
        <f t="shared" si="3"/>
        <v>4393.2203389830511</v>
      </c>
      <c r="O20" s="239">
        <f t="shared" si="4"/>
        <v>117.85090169491525</v>
      </c>
      <c r="P20" s="311">
        <f t="shared" si="5"/>
        <v>23688.031240677963</v>
      </c>
      <c r="Q20" s="156"/>
      <c r="R20">
        <f>P20/21</f>
        <v>1128.0014876513317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600</v>
      </c>
      <c r="I21" s="236">
        <f t="shared" si="7"/>
        <v>43584</v>
      </c>
      <c r="J21" s="272">
        <f t="shared" si="1"/>
        <v>6101.76</v>
      </c>
      <c r="K21" s="128">
        <f t="shared" si="1"/>
        <v>1525.44</v>
      </c>
      <c r="L21" s="119">
        <f t="shared" si="1"/>
        <v>0</v>
      </c>
      <c r="M21" s="230">
        <f t="shared" si="2"/>
        <v>35956.800000000003</v>
      </c>
      <c r="N21" s="277">
        <f t="shared" si="3"/>
        <v>8237.2881355932204</v>
      </c>
      <c r="O21" s="239">
        <f t="shared" si="4"/>
        <v>220.97044067796611</v>
      </c>
      <c r="P21" s="311">
        <f t="shared" si="5"/>
        <v>44415.058576271185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1920</v>
      </c>
      <c r="I25" s="114">
        <f t="shared" ref="I25:M25" si="10">SUM(I16:I24)</f>
        <v>125748.1</v>
      </c>
      <c r="J25" s="274">
        <f>SUM(J16:J24)</f>
        <v>17604.734000000004</v>
      </c>
      <c r="K25" s="275">
        <f t="shared" si="10"/>
        <v>4401.183500000001</v>
      </c>
      <c r="L25" s="276">
        <f t="shared" si="10"/>
        <v>0</v>
      </c>
      <c r="M25" s="232">
        <f t="shared" si="10"/>
        <v>103742.18250000001</v>
      </c>
      <c r="N25" s="233">
        <f>SUM(N16:N24)</f>
        <v>23766.101694915254</v>
      </c>
      <c r="O25" s="101">
        <f>SUM(O16:O24)</f>
        <v>637.54142097457634</v>
      </c>
      <c r="P25" s="113">
        <f>SUM(P16:P24)</f>
        <v>128145.82561588981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125748.1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17604.734000000004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4401.183500000001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103742.18250000001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23766.101694915254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127508.28419491526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637.54142097457634</v>
      </c>
    </row>
    <row r="35" spans="2:16" ht="15.75" customHeight="1" thickBot="1" x14ac:dyDescent="0.4">
      <c r="N35" s="342" t="s">
        <v>88</v>
      </c>
      <c r="O35" s="343"/>
      <c r="P35" s="297">
        <f>+P33+P34</f>
        <v>128145.82561588984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516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8.7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516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516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516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516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516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516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516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516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516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516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516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516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516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516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516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516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516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8.7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516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516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516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516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516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516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516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516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516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516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516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46240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46239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2026-08-05T06:43:33Z</dcterms:modified>
</cp:coreProperties>
</file>