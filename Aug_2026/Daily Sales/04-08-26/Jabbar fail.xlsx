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2F1DC72-5328-4230-A1F6-9488C995CFF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O34" i="11"/>
  <c r="C11" i="11" s="1"/>
  <c r="M20" i="46" l="1"/>
  <c r="O20" i="46" s="1"/>
  <c r="P20" i="46" s="1"/>
  <c r="R20" i="46" s="1"/>
  <c r="K12" i="62"/>
  <c r="M21" i="44"/>
  <c r="O21" i="44" s="1"/>
  <c r="P21" i="44" s="1"/>
  <c r="M16" i="44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<sst xmlns="http://schemas.openxmlformats.org/spreadsheetml/2006/main" count="3979" uniqueCount="529">
  <si>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</si>
  <si>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</si>
  <si>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</si>
  <si>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</si>
  <si>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</si>
  <si>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</si>
  <si>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</si>
  <si>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</si>
  <si>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</si>
  <si>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</si>
  <si>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</si>
  <si>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</si>
  <si>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</si>
  <si>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</si>
  <si>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</si>
  <si>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</si>
  <si>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</si>
  <si>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</si>
  <si>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</si>
  <si>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</si>
  <si>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</si>
  <si>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</si>
  <si>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</si>
  <si>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</si>
  <si>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</si>
  <si>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</si>
  <si>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</si>
  <si>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</si>
  <si>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</si>
  <si>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</si>
  <si>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</si>
  <si>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</si>
  <si>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</si>
  <si>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</si>
  <si>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</si>
  <si>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</si>
  <si>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</si>
  <si>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</si>
  <si>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</si>
  <si>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</si>
  <si>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</si>
  <si>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</si>
  <si>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</si>
  <si>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</si>
  <si>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</si>
  <si>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</si>
  <si>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</si>
  <si>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</si>
  <si>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</si>
  <si>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</si>
  <si>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</si>
  <si>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</si>
  <si>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</si>
  <si>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</si>
  <si>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</si>
  <si>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</si>
  <si>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</si>
  <si>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</si>
  <si>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</si>
  <si>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</si>
  <si>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</si>
  <si>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</si>
  <si>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</si>
  <si>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</si>
  <si>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</si>
  <si>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</si>
  <si>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</si>
  <si>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</si>
  <si>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</si>
  <si>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</si>
  <si>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</si>
  <si>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</si>
  <si>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</si>
  <si>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</si>
  <si>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</si>
  <si>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</si>
  <si>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</si>
  <si>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</si>
  <si>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</si>
  <si>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</si>
  <si>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</si>
  <si>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</si>
  <si>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</si>
  <si>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</si>
  <si>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</si>
  <si>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</si>
  <si>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</si>
  <si>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</si>
  <si>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</si>
  <si>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</si>
  <si>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</si>
  <si>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</si>
  <si>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</si>
  <si>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</si>
  <si>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</si>
  <si>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</si>
  <si>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</si>
  <si>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</si>
  <si>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</si>
  <si>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</si>
  <si>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</si>
  <si>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</si>
  <si>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</si>
  <si>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</si>
  <si>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</si>
  <si>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</si>
  <si>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</si>
  <si>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</si>
  <si>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</si>
  <si>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</si>
  <si>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</si>
  <si>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</si>
  <si>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</si>
  <si>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</si>
  <si>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</si>
  <si>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</si>
  <si>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</si>
  <si>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</si>
  <si>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</si>
  <si>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</si>
  <si>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</si>
  <si>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</si>
  <si>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</si>
  <si>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</si>
  <si>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</si>
  <si>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</si>
  <si>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</si>
  <si>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</si>
  <si>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</si>
  <si>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</si>
  <si>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</si>
  <si>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</si>
  <si>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</si>
  <si>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</si>
  <si>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</si>
  <si>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</si>
  <si>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</si>
  <si>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</si>
  <si>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</si>
  <si>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</si>
  <si>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</si>
  <si>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</si>
  <si>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</si>
  <si>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</si>
  <si>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</si>
  <si>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</si>
  <si>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</si>
  <si>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</si>
  <si>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</si>
  <si>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</si>
  <si>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</si>
  <si>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</si>
  <si>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</si>
  <si>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</si>
  <si>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</si>
  <si>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</si>
  <si>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</si>
  <si>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</si>
  <si>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</si>
  <si>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</si>
  <si>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</si>
  <si>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</si>
  <si>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</si>
  <si>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</si>
  <si>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</si>
  <si>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</si>
  <si>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</si>
  <si>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</si>
  <si>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</si>
  <si>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</si>
  <si>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</si>
  <si>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</si>
  <si>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</si>
  <si>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</si>
  <si>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</si>
  <si>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</si>
  <si>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</si>
  <si>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</si>
  <si>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</si>
  <si>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</si>
  <si>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</si>
  <si>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</si>
  <si>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</si>
  <si>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</si>
  <si>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</si>
  <si>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</si>
  <si>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</si>
  <si>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</si>
  <si>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</si>
  <si>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</si>
  <si>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</si>
  <si>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</si>
  <si>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</si>
  <si>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</si>
  <si>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</si>
  <si>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</si>
  <si>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</si>
  <si>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</si>
  <si>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</si>
  <si>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</si>
  <si>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</si>
  <si>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</si>
  <si>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</si>
  <si>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</si>
  <si>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</si>
  <si>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</si>
  <si>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</si>
  <si>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</si>
  <si>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</si>
  <si>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</si>
  <si>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</si>
  <si>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</si>
  <si>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</si>
  <si>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</si>
  <si>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</si>
  <si>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</si>
  <si>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</si>
  <si>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</si>
  <si>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</si>
  <si>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</si>
  <si>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</si>
  <si>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</si>
  <si>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</si>
  <si>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</si>
  <si>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</si>
  <si>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</si>
  <si>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</si>
  <si>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</si>
  <si>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</si>
  <si>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</si>
  <si>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</si>
  <si>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</si>
  <si>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</si>
  <si>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</si>
  <si>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</si>
  <si>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</si>
  <si>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</si>
  <si>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</si>
  <si>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</si>
  <si>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</si>
  <si>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</si>
  <si>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</si>
  <si>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</si>
  <si>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</si>
  <si>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</si>
  <si>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</si>
  <si>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</si>
  <si>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</si>
  <si>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</si>
  <si>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</si>
  <si>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</si>
  <si>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</si>
  <si>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</si>
  <si>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</si>
  <si>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</si>
  <si>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</si>
  <si>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</si>
  <si>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</si>
  <si>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</si>
  <si>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</si>
  <si>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</si>
  <si>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</si>
  <si>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</si>
  <si>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</si>
  <si>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</si>
  <si>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</si>
  <si>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</si>
  <si>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</si>
  <si>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</si>
  <si>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</si>
  <si>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</si>
  <si>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</si>
  <si>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</si>
  <si>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</si>
  <si>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</si>
  <si>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</si>
  <si>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</si>
  <si>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</si>
  <si>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</si>
  <si>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</si>
  <si>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</si>
  <si>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</si>
  <si>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</si>
  <si>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</si>
  <si>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</si>
  <si>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</si>
  <si>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</si>
  <si>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</si>
  <si>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</si>
  <si>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</si>
  <si>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</si>
  <si>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</si>
  <si>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</si>
  <si>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</si>
  <si>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</si>
  <si>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</si>
  <si>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</si>
  <si>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</si>
  <si>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</si>
  <si>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</si>
  <si>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</si>
  <si>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</si>
  <si>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</si>
  <si>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</si>
  <si>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</si>
  <si>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</si>
  <si>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</si>
  <si>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</si>
  <si>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</si>
  <si>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</si>
  <si>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</si>
  <si>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</si>
  <si>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</si>
  <si>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</si>
  <si>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</si>
  <si>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</si>
  <si>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</si>
  <si>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</si>
  <si>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</si>
  <si>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</si>
  <si>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</si>
  <si>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</si>
  <si>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</si>
  <si>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</si>
  <si>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</si>
  <si>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</si>
  <si>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</si>
  <si>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</si>
  <si>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</si>
  <si>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</si>
  <si>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</si>
  <si>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</si>
  <si>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</si>
  <si>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</si>
  <si>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</si>
  <si>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</si>
  <si>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</si>
  <si>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</si>
  <si>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</si>
  <si>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</si>
  <si>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</si>
  <si>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</si>
  <si>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</si>
  <si>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</si>
  <si>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</si>
  <si>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</si>
  <si>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</si>
  <si>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</si>
  <si>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</si>
  <si>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</si>
  <si>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</si>
  <si>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</si>
  <si>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</si>
  <si>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</si>
  <si>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</si>
  <si>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</si>
  <si>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</si>
  <si>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</si>
  <si>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</si>
  <si>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</si>
  <si>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</si>
  <si>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</si>
  <si>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</si>
  <si>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</si>
  <si>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</si>
  <si>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</si>
  <si>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</si>
  <si>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</si>
  <si>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</si>
  <si>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</si>
  <si>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</si>
  <si>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</si>
  <si>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</si>
  <si>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</si>
  <si>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</si>
  <si>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</si>
  <si>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</si>
  <si>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</si>
  <si>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</si>
  <si>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</si>
  <si>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</si>
  <si>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</si>
  <si>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</si>
  <si>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</si>
  <si>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</si>
  <si>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</si>
  <si>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</si>
  <si>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</si>
  <si>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</si>
  <si>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</si>
  <si>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</si>
  <si>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</si>
  <si>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</si>
  <si>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</si>
  <si>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</si>
  <si>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</si>
  <si>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</si>
  <si>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</si>
  <si>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</si>
  <si>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</si>
  <si>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</si>
  <si>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</si>
  <si>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</si>
  <si>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</si>
  <si>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</si>
  <si>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</si>
  <si>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</si>
  <si>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</si>
  <si>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</si>
  <si>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</si>
  <si>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</si>
  <si>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</si>
  <si>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</si>
  <si>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</si>
  <si>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</si>
  <si>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</si>
  <si>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</si>
  <si>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</si>
  <si>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</si>
  <si>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</si>
  <si>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</si>
  <si>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</si>
  <si>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</si>
  <si>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</si>
  <si>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</si>
  <si>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</si>
  <si>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</si>
  <si>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</si>
  <si>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</si>
  <si>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</si>
  <si>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</si>
  <si>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</si>
  <si>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</si>
  <si>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</si>
  <si>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</si>
  <si>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</si>
  <si>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</si>
  <si>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</si>
  <si>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</si>
  <si>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</si>
  <si>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</si>
  <si>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</si>
  <si>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</si>
  <si>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</si>
  <si>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</si>
  <si>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</si>
  <si>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</si>
  <si>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</si>
  <si>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</si>
  <si>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</si>
  <si>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</si>
  <si>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</si>
  <si>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</si>
  <si>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</si>
  <si>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</si>
  <si>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</si>
  <si>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</si>
  <si>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</si>
  <si>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</si>
  <si>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</si>
  <si>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</si>
  <si>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</si>
  <si>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</si>
  <si>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</si>
  <si>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</si>
  <si>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</si>
  <si>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</si>
  <si>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</si>
  <si>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</si>
  <si>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</si>
  <si>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</si>
  <si>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</si>
  <si>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</si>
  <si>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</si>
  <si>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</si>
  <si>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</si>
  <si>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</si>
  <si>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</si>
  <si>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</si>
  <si>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</si>
  <si>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</si>
  <si>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</si>
  <si>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</si>
  <si>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</si>
  <si>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</si>
  <si>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</si>
  <si>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</si>
  <si>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</si>
  <si>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</si>
  <si>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</si>
  <si>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</si>
  <si>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</si>
  <si>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</si>
  <si>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</si>
  <si>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</si>
  <si>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</si>
  <si>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</si>
  <si>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</si>
  <si>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</si>
  <si>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</si>
  <si>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</si>
  <si>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</si>
  <si>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</si>
  <si>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</si>
  <si>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</si>
  <si>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</si>
  <si>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</si>
  <si>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</si>
  <si>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</si>
  <si>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</si>
  <si>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</si>
  <si>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</si>
  <si>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</si>
  <si>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</si>
  <si>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</si>
  <si>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</si>
  <si>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Jabbar</t>
  </si>
  <si>
    <t xml:space="preserve">Bismilla Chaki </t>
  </si>
  <si>
    <t>Address: NizamaAbad</t>
  </si>
  <si>
    <t>Moiz Store</t>
  </si>
  <si>
    <t>Address: Nizamaabad</t>
  </si>
  <si>
    <t>Bismillah Store</t>
  </si>
  <si>
    <t>Ali Con Icecream</t>
  </si>
  <si>
    <t xml:space="preserve">Rehman Bakery </t>
  </si>
  <si>
    <t>Al Noor Store</t>
  </si>
  <si>
    <t>Irfan Store</t>
  </si>
  <si>
    <t>Address:Nizamabad</t>
  </si>
  <si>
    <t>Manan Store</t>
  </si>
  <si>
    <t xml:space="preserve">Address: Dry 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</si>
</sst>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46238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Bismilla Chaki </v>
      </c>
      <c r="T3" s="301">
        <f>+'1'!P35</f>
        <v>464.94608093771183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Moiz Store</v>
      </c>
      <c r="T4" s="301">
        <f>+'2'!P35</f>
        <v>929.89216187542365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Bismillah Store</v>
      </c>
      <c r="T5" s="301">
        <f>+'3'!P35</f>
        <v>2874.868031536017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Ali Con Icecream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209.84999999999997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310">
        <f>M7+N7+O7</f>
        <v>2831.3144785487284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Rehman Bakery </v>
      </c>
      <c r="T7" s="301">
        <f>+'5'!P35</f>
        <v>5401.2631679237284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51</v>
      </c>
      <c r="I8" s="236">
        <f t="shared" ref="I8:I14" si="0">(G8*D8)*F8+H8*F8</f>
        <v>2675.5875000000001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214.047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93.645562500000011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2367.8949375000002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505.67796610169472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14.367864518008474</v>
      </c>
      <c r="P8" s="311">
        <f t="shared" ref="P8:P15" si="2">M8+N8+O8</f>
        <v>2887.9407681197035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Al Noor Store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</v>
      </c>
      <c r="I9" s="236">
        <f t="shared" si="0"/>
        <v>1416.4875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113.31899999999999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49.577062500000004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1253.5914375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267.71186440677957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7.6065165095338978</v>
      </c>
      <c r="P9" s="311">
        <f t="shared" si="2"/>
        <v>1528.9098184163136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Irfan Store</v>
      </c>
      <c r="T9" s="301">
        <f>+'7'!P35</f>
        <v>250.37668702372881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33</v>
      </c>
      <c r="I10" s="236">
        <f t="shared" si="0"/>
        <v>2397.12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191.76959999999997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83.899200000000008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2121.4512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453.05084745762719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12.872510237288136</v>
      </c>
      <c r="P10" s="311">
        <f t="shared" si="2"/>
        <v>2587.3745576949154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Manan Store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</v>
      </c>
      <c r="I12" s="236">
        <f t="shared" si="0"/>
        <v>2615.04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209.20319999999998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91.52640000000001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2314.3103999999998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494.2372881355933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14.042738440677965</v>
      </c>
      <c r="P12" s="311">
        <f t="shared" si="2"/>
        <v>2822.5904265762711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37</v>
      </c>
      <c r="I13" s="236">
        <f t="shared" si="0"/>
        <v>1451.5100000000002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72.575500000000005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50.802850000000014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74.027010000000018</v>
      </c>
      <c r="M13" s="230">
        <f t="shared" si="1"/>
        <v>1254.1046400000002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282.20338983050829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7.681540149152541</v>
      </c>
      <c r="P13" s="311">
        <f t="shared" si="2"/>
        <v>1543.9895699796612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6.5</v>
      </c>
      <c r="H16" s="113">
        <f t="shared" ref="H16:M16" si="3">SUM(H7:H15)</f>
        <v>260</v>
      </c>
      <c r="I16" s="114">
        <f t="shared" si="3"/>
        <v>15067.51</v>
      </c>
      <c r="J16" s="274">
        <f>SUM(J7:J15)</f>
        <v>1161.8554999999997</v>
      </c>
      <c r="K16" s="275">
        <f t="shared" si="3"/>
        <v>527.36285000000009</v>
      </c>
      <c r="L16" s="276">
        <f t="shared" si="3"/>
        <v>74.027010000000018</v>
      </c>
      <c r="M16" s="232">
        <f t="shared" si="3"/>
        <v>13304.264640000001</v>
      </c>
      <c r="N16" s="233">
        <f>SUM(N7:N15)</f>
        <v>2855.5932203389821</v>
      </c>
      <c r="O16" s="101">
        <f>SUM(O7:O15)</f>
        <v>80.799289301694913</v>
      </c>
      <c r="P16" s="113">
        <f>SUM(P7:P15)</f>
        <v>16240.657149640678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15067.51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1161.8554999999997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601.38986000000011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13304.264640000001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2855.5932203389821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16159.857860338983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80.799289301694913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16240.657149640678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16240.657149640678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">
        <v>49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9</v>
      </c>
      <c r="I25" s="114">
        <f t="shared" ref="I25:M25" si="10">SUM(I16:I24)</f>
        <v>432.46499999999997</v>
      </c>
      <c r="J25" s="274">
        <f>SUM(J16:J24)</f>
        <v>31.066499999999998</v>
      </c>
      <c r="K25" s="275">
        <f t="shared" si="10"/>
        <v>15.136275000000001</v>
      </c>
      <c r="L25" s="276">
        <f t="shared" si="10"/>
        <v>6.0021900000000006</v>
      </c>
      <c r="M25" s="232">
        <f t="shared" si="10"/>
        <v>380.26003500000002</v>
      </c>
      <c r="N25" s="233">
        <f>SUM(N16:N24)</f>
        <v>82.372881355932165</v>
      </c>
      <c r="O25" s="101">
        <f>SUM(O16:O24)</f>
        <v>2.3131645817796609</v>
      </c>
      <c r="P25" s="113">
        <f>SUM(P16:P24)</f>
        <v>464.94608093771183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432.46499999999997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31.066499999999998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21.138465000000004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380.26003499999996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82.372881355932165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462.63291635593214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2.3131645817796609</v>
      </c>
    </row>
    <row r="35" spans="2:16" ht="15.75" customHeight="1" thickBot="1" x14ac:dyDescent="0.4">
      <c r="N35" s="342" t="s">
        <v>88</v>
      </c>
      <c r="O35" s="343"/>
      <c r="P35" s="297">
        <f>+P33+P34</f>
        <v>464.94608093771183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18</v>
      </c>
      <c r="I25" s="114">
        <f t="shared" si="7"/>
        <v>864.93</v>
      </c>
      <c r="J25" s="274">
        <f>SUM(J16:J24)</f>
        <v>62.132999999999996</v>
      </c>
      <c r="K25" s="275">
        <f t="shared" si="7"/>
        <v>30.272550000000003</v>
      </c>
      <c r="L25" s="276">
        <f t="shared" si="7"/>
        <v>12.004380000000001</v>
      </c>
      <c r="M25" s="232">
        <f t="shared" si="7"/>
        <v>760.52007000000003</v>
      </c>
      <c r="N25" s="233">
        <f>SUM(N16:N24)</f>
        <v>164.74576271186433</v>
      </c>
      <c r="O25" s="101">
        <f>SUM(O16:O24)</f>
        <v>4.6263291635593218</v>
      </c>
      <c r="P25" s="113">
        <f>SUM(P16:P24)</f>
        <v>929.89216187542365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864.93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62.132999999999996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42.276930000000007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760.52006999999992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164.74576271186433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925.26583271186428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4.6263291635593218</v>
      </c>
    </row>
    <row r="35" spans="2:16" ht="15.75" customHeight="1" thickBot="1" x14ac:dyDescent="0.4">
      <c r="N35" s="342" t="s">
        <v>88</v>
      </c>
      <c r="O35" s="343"/>
      <c r="P35" s="297">
        <f>+P33+P34</f>
        <v>929.89216187542365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45</v>
      </c>
      <c r="I25" s="114">
        <f t="shared" si="7"/>
        <v>2663.4750000000004</v>
      </c>
      <c r="J25" s="274">
        <f>SUM(J16:J24)</f>
        <v>213.078</v>
      </c>
      <c r="K25" s="275">
        <f t="shared" si="7"/>
        <v>93.221625000000003</v>
      </c>
      <c r="L25" s="276">
        <f t="shared" si="7"/>
        <v>0</v>
      </c>
      <c r="M25" s="232">
        <f t="shared" si="7"/>
        <v>2357.1753750000003</v>
      </c>
      <c r="N25" s="233">
        <f>SUM(N16:N24)</f>
        <v>503.38983050847446</v>
      </c>
      <c r="O25" s="101">
        <f>SUM(O16:O24)</f>
        <v>14.302826027542373</v>
      </c>
      <c r="P25" s="113">
        <f>SUM(P16:P24)</f>
        <v>2874.8680315360166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2663.4750000000004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213.078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93.221625000000003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2357.1753750000003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503.38983050847446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2860.5652055084747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14.302826027542373</v>
      </c>
    </row>
    <row r="35" spans="2:16" ht="15.75" customHeight="1" thickBot="1" x14ac:dyDescent="0.4">
      <c r="N35" s="342" t="s">
        <v>88</v>
      </c>
      <c r="O35" s="343"/>
      <c r="P35" s="297">
        <f>+P33+P34</f>
        <v>2874.868031536017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235.38000000000002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11.769000000000002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20.242680000000004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203.36832000000001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249.13103186440676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2" t="s">
        <v>88</v>
      </c>
      <c r="O35" s="343"/>
      <c r="P35" s="297">
        <f>+P33+P34</f>
        <v>250.37668702372881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513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46238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2026-08-04T08:14:31Z</dcterms:modified>
</cp:coreProperties>
</file>