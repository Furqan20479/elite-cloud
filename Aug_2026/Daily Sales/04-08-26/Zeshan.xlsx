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FF135C9-ADEF-4AE4-9C65-0B5528C6E760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8" l="1"/>
  <c r="M21" i="53"/>
  <c r="O21" i="53" s="1"/>
  <c r="P21" i="53" s="1"/>
  <c r="K12" i="62"/>
  <c r="M21" i="51"/>
  <c r="M21" i="47"/>
  <c r="O21" i="47" s="1"/>
  <c r="P21" i="47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<sst xmlns="http://schemas.openxmlformats.org/spreadsheetml/2006/main" count="3975" uniqueCount="536">
  <si>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</si>
  <si>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</si>
  <si>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</si>
  <si>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</si>
  <si>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</si>
  <si>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</si>
  <si>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</si>
  <si>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</si>
  <si>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</si>
  <si>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</si>
  <si>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</si>
  <si>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</si>
  <si>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</si>
  <si>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</si>
  <si>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</si>
  <si>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</si>
  <si>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</si>
  <si>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</si>
  <si>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</si>
  <si>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</si>
  <si>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</si>
  <si>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</si>
  <si>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</si>
  <si>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</si>
  <si>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</si>
  <si>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</si>
  <si>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</si>
  <si>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</si>
  <si>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</si>
  <si>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</si>
  <si>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</si>
  <si>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</si>
  <si>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</si>
  <si>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</si>
  <si>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</si>
  <si>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</si>
  <si>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</si>
  <si>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</si>
  <si>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</si>
  <si>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</si>
  <si>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</si>
  <si>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</si>
  <si>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</si>
  <si>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</si>
  <si>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</si>
  <si>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</si>
  <si>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</si>
  <si>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</si>
  <si>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</si>
  <si>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</si>
  <si>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</si>
  <si>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</si>
  <si>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</si>
  <si>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</si>
  <si>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</si>
  <si>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</si>
  <si>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</si>
  <si>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</si>
  <si>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</si>
  <si>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</si>
  <si>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</si>
  <si>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</si>
  <si>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</si>
  <si>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</si>
  <si>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</si>
  <si>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</si>
  <si>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</si>
  <si>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</si>
  <si>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</si>
  <si>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</si>
  <si>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</si>
  <si>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</si>
  <si>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</si>
  <si>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</si>
  <si>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</si>
  <si>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</si>
  <si>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</si>
  <si>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</si>
  <si>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</si>
  <si>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</si>
  <si>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</si>
  <si>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</si>
  <si>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</si>
  <si>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</si>
  <si>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</si>
  <si>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</si>
  <si>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</si>
  <si>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</si>
  <si>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</si>
  <si>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</si>
  <si>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</si>
  <si>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</si>
  <si>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</si>
  <si>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</si>
  <si>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</si>
  <si>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</si>
  <si>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</si>
  <si>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</si>
  <si>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</si>
  <si>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</si>
  <si>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</si>
  <si>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</si>
  <si>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</si>
  <si>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</si>
  <si>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</si>
  <si>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</si>
  <si>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</si>
  <si>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</si>
  <si>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</si>
  <si>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</si>
  <si>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</si>
  <si>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</si>
  <si>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</si>
  <si>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</si>
  <si>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</si>
  <si>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</si>
  <si>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</si>
  <si>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</si>
  <si>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</si>
  <si>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</si>
  <si>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</si>
  <si>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</si>
  <si>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</si>
  <si>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</si>
  <si>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</si>
  <si>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</si>
  <si>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</si>
  <si>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</si>
  <si>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</si>
  <si>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</si>
  <si>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</si>
  <si>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</si>
  <si>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</si>
  <si>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</si>
  <si>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</si>
  <si>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</si>
  <si>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</si>
  <si>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</si>
  <si>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</si>
  <si>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</si>
  <si>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</si>
  <si>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</si>
  <si>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</si>
  <si>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</si>
  <si>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</si>
  <si>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</si>
  <si>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</si>
  <si>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</si>
  <si>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</si>
  <si>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</si>
  <si>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</si>
  <si>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</si>
  <si>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</si>
  <si>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</si>
  <si>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</si>
  <si>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</si>
  <si>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</si>
  <si>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</si>
  <si>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</si>
  <si>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</si>
  <si>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</si>
  <si>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</si>
  <si>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</si>
  <si>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</si>
  <si>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</si>
  <si>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</si>
  <si>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</si>
  <si>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</si>
  <si>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</si>
  <si>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</si>
  <si>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</si>
  <si>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</si>
  <si>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</si>
  <si>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</si>
  <si>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</si>
  <si>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</si>
  <si>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</si>
  <si>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</si>
  <si>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</si>
  <si>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</si>
  <si>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</si>
  <si>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</si>
  <si>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</si>
  <si>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</si>
  <si>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</si>
  <si>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</si>
  <si>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</si>
  <si>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</si>
  <si>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</si>
  <si>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</si>
  <si>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</si>
  <si>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</si>
  <si>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</si>
  <si>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</si>
  <si>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</si>
  <si>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</si>
  <si>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</si>
  <si>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</si>
  <si>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</si>
  <si>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</si>
  <si>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</si>
  <si>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</si>
  <si>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</si>
  <si>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</si>
  <si>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</si>
  <si>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</si>
  <si>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</si>
  <si>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</si>
  <si>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</si>
  <si>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</si>
  <si>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</si>
  <si>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</si>
  <si>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</si>
  <si>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</si>
  <si>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</si>
  <si>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</si>
  <si>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</si>
  <si>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</si>
  <si>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</si>
  <si>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</si>
  <si>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</si>
  <si>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</si>
  <si>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</si>
  <si>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</si>
  <si>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</si>
  <si>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</si>
  <si>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</si>
  <si>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</si>
  <si>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</si>
  <si>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</si>
  <si>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</si>
  <si>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</si>
  <si>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</si>
  <si>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</si>
  <si>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</si>
  <si>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</si>
  <si>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</si>
  <si>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</si>
  <si>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</si>
  <si>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</si>
  <si>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</si>
  <si>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</si>
  <si>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</si>
  <si>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</si>
  <si>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</si>
  <si>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</si>
  <si>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</si>
  <si>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</si>
  <si>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</si>
  <si>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</si>
  <si>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</si>
  <si>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</si>
  <si>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</si>
  <si>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</si>
  <si>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</si>
  <si>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</si>
  <si>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</si>
  <si>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</si>
  <si>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</si>
  <si>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</si>
  <si>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</si>
  <si>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</si>
  <si>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</si>
  <si>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</si>
  <si>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</si>
  <si>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</si>
  <si>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</si>
  <si>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</si>
  <si>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</si>
  <si>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</si>
  <si>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</si>
  <si>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</si>
  <si>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</si>
  <si>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</si>
  <si>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</si>
  <si>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</si>
  <si>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</si>
  <si>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</si>
  <si>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</si>
  <si>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</si>
  <si>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</si>
  <si>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</si>
  <si>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</si>
  <si>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</si>
  <si>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</si>
  <si>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</si>
  <si>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</si>
  <si>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</si>
  <si>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</si>
  <si>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</si>
  <si>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</si>
  <si>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</si>
  <si>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</si>
  <si>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</si>
  <si>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</si>
  <si>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</si>
  <si>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</si>
  <si>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</si>
  <si>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</si>
  <si>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</si>
  <si>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</si>
  <si>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</si>
  <si>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</si>
  <si>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</si>
  <si>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</si>
  <si>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</si>
  <si>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</si>
  <si>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</si>
  <si>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</si>
  <si>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</si>
  <si>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</si>
  <si>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</si>
  <si>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</si>
  <si>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</si>
  <si>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</si>
  <si>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</si>
  <si>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</si>
  <si>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</si>
  <si>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</si>
  <si>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</si>
  <si>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</si>
  <si>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</si>
  <si>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</si>
  <si>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</si>
  <si>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</si>
  <si>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</si>
  <si>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</si>
  <si>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</si>
  <si>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</si>
  <si>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</si>
  <si>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</si>
  <si>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</si>
  <si>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</si>
  <si>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</si>
  <si>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</si>
  <si>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</si>
  <si>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</si>
  <si>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</si>
  <si>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</si>
  <si>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</si>
  <si>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</si>
  <si>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</si>
  <si>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</si>
  <si>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</si>
  <si>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</si>
  <si>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</si>
  <si>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</si>
  <si>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</si>
  <si>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</si>
  <si>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</si>
  <si>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</si>
  <si>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</si>
  <si>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</si>
  <si>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</si>
  <si>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</si>
  <si>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</si>
  <si>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</si>
  <si>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</si>
  <si>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</si>
  <si>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</si>
  <si>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</si>
  <si>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</si>
  <si>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</si>
  <si>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</si>
  <si>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</si>
  <si>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</si>
  <si>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</si>
  <si>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</si>
  <si>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</si>
  <si>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</si>
  <si>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</si>
  <si>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</si>
  <si>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</si>
  <si>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</si>
  <si>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</si>
  <si>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</si>
  <si>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</si>
  <si>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</si>
  <si>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</si>
  <si>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</si>
  <si>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</si>
  <si>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</si>
  <si>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</si>
  <si>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</si>
  <si>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</si>
  <si>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</si>
  <si>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</si>
  <si>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</si>
  <si>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</si>
  <si>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</si>
  <si>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</si>
  <si>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</si>
  <si>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</si>
  <si>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</si>
  <si>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</si>
  <si>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</si>
  <si>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</si>
  <si>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</si>
  <si>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</si>
  <si>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</si>
  <si>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</si>
  <si>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</si>
  <si>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</si>
  <si>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</si>
  <si>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</si>
  <si>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</si>
  <si>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</si>
  <si>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</si>
  <si>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</si>
  <si>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</si>
  <si>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</si>
  <si>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</si>
  <si>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</si>
  <si>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</si>
  <si>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</si>
  <si>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</si>
  <si>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</si>
  <si>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</si>
  <si>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</si>
  <si>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</si>
  <si>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</si>
  <si>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</si>
  <si>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</si>
  <si>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</si>
  <si>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</si>
  <si>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</si>
  <si>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</si>
  <si>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</si>
  <si>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</si>
  <si>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</si>
  <si>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</si>
  <si>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</si>
  <si>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</si>
  <si>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</si>
  <si>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</si>
  <si>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</si>
  <si>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</si>
  <si>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</si>
  <si>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</si>
  <si>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</si>
  <si>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</si>
  <si>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</si>
  <si>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</si>
  <si>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</si>
  <si>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</si>
  <si>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</si>
  <si>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</si>
  <si>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</si>
  <si>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</si>
  <si>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</si>
  <si>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</si>
  <si>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</si>
  <si>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</si>
  <si>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</si>
  <si>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</si>
  <si>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</si>
  <si>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</si>
  <si>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</si>
  <si>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</si>
  <si>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</si>
  <si>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</si>
  <si>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</si>
  <si>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</si>
  <si>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</si>
  <si>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</si>
  <si>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</si>
  <si>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</si>
  <si>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</si>
  <si>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</si>
  <si>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</si>
  <si>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</si>
  <si>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</si>
  <si>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</si>
  <si>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</si>
  <si>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</si>
  <si>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</si>
  <si>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</si>
  <si>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</si>
  <si>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</si>
  <si>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</si>
  <si>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</si>
  <si>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</si>
  <si>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</si>
  <si>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</si>
  <si>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</si>
  <si>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</si>
  <si>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</si>
  <si>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</si>
  <si>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</si>
  <si>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</si>
  <si>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</si>
  <si>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</si>
  <si>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</si>
  <si>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</si>
  <si>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</si>
  <si>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</si>
  <si>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</si>
  <si>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</si>
  <si>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</si>
  <si>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</si>
  <si>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</si>
  <si>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</si>
  <si>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</si>
  <si>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</si>
  <si>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</si>
  <si>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</si>
  <si>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</si>
  <si>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</si>
  <si>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</si>
  <si>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</si>
  <si>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 xml:space="preserve">Zeshan </t>
  </si>
  <si>
    <t>Al Ghani Store</t>
  </si>
  <si>
    <t>Address: Statelife</t>
  </si>
  <si>
    <t>Groccer Mart 1</t>
  </si>
  <si>
    <t xml:space="preserve">My Choice </t>
  </si>
  <si>
    <t>Address:  Statelife</t>
  </si>
  <si>
    <t>Hafiz Store</t>
  </si>
  <si>
    <t>Address: statelife</t>
  </si>
  <si>
    <t>Smart Store</t>
  </si>
  <si>
    <t xml:space="preserve">Groccer Mart </t>
  </si>
  <si>
    <t xml:space="preserve">Captain Mart </t>
  </si>
  <si>
    <t xml:space="preserve">Afzal Mart </t>
  </si>
  <si>
    <t>Fresh Store</t>
  </si>
  <si>
    <t xml:space="preserve">Shell Pump </t>
  </si>
  <si>
    <t xml:space="preserve">Al Rehmat Mart </t>
  </si>
  <si>
    <t xml:space="preserve">Ajwa Bakers </t>
  </si>
  <si>
    <t>Sadiq Store</t>
  </si>
  <si>
    <t>Jalil Store</t>
  </si>
  <si>
    <t>Address:Statelife</t>
  </si>
  <si>
    <t>Marwa Store</t>
  </si>
  <si>
    <t>Noor Store</t>
  </si>
  <si>
    <t xml:space="preserve">Omega Mart </t>
  </si>
  <si>
    <t xml:space="preserve">S Mart </t>
  </si>
  <si>
    <t xml:space="preserve">24 Mart </t>
  </si>
  <si>
    <t xml:space="preserve">Ali Mart </t>
  </si>
  <si>
    <t xml:space="preserve">D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</si>
</sst>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workbookViewId="0">
      <selection activeCell="U2" sqref="U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510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509</v>
      </c>
      <c r="F3" s="358"/>
      <c r="G3" s="358"/>
      <c r="H3" s="355">
        <f ca="1">TODAY()</f>
        <v>46237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Al Ghani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Groccer Mart 1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508</v>
      </c>
      <c r="R5" s="314">
        <v>3</v>
      </c>
      <c r="S5" s="300" t="str">
        <f>+'3'!A6:A6</f>
        <v xml:space="preserve">My Choice 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507</v>
      </c>
      <c r="R6" s="314">
        <v>4</v>
      </c>
      <c r="S6" s="300" t="str">
        <f>+'4'!A6:A6</f>
        <v>Hafiz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92</v>
      </c>
      <c r="I7" s="235">
        <f>(G7*D7)*F7+H7*F7</f>
        <v>4826.55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386.12399999999997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168.92925000000002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4271.4967500000002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912.20338983050806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25.918500699152542</v>
      </c>
      <c r="P7" s="310">
        <f>M7+N7+O7</f>
        <v>5209.6186405296612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Smart Store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102</v>
      </c>
      <c r="I8" s="236">
        <f t="shared" ref="I8:I14" si="0">(G8*D8)*F8+H8*F8</f>
        <v>5351.1750000000002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428.09399999999994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187.29112500000002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4735.7898750000004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1011.3559322033893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28.735729036016949</v>
      </c>
      <c r="P8" s="311">
        <f t="shared" ref="P8:P15" si="2">M8+N8+O8</f>
        <v>5775.8815362394062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Groccer Mart </v>
      </c>
      <c r="T8" s="301">
        <f>+'6'!P35</f>
        <v>7070.4410814152552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Captain Mart 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195</v>
      </c>
      <c r="I10" s="236">
        <f t="shared" si="0"/>
        <v>14164.8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1133.184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495.76800000000014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12535.847999999998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2677.118644067797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76.064833220338983</v>
      </c>
      <c r="P10" s="311">
        <f t="shared" si="2"/>
        <v>15289.031477288134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Afzal Mart 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929.7919999999998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406.78399999999993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10285.824000000001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62.412170847457645</v>
      </c>
      <c r="P11" s="311">
        <f t="shared" si="2"/>
        <v>12544.846340338985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Fresh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195</v>
      </c>
      <c r="I12" s="236">
        <f t="shared" si="0"/>
        <v>14164.8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1133.1839999999997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495.76800000000014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12535.848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2677.118644067797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76.064833220338983</v>
      </c>
      <c r="P12" s="311">
        <f t="shared" si="2"/>
        <v>15289.031477288136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Shell Pump </v>
      </c>
      <c r="T12" s="301">
        <f>+'10'!P35</f>
        <v>9408.6347552542375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212</v>
      </c>
      <c r="I13" s="236">
        <f t="shared" si="0"/>
        <v>8316.76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415.83800000000014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291.08660000000009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424.15476000000001</v>
      </c>
      <c r="M13" s="230">
        <f t="shared" si="1"/>
        <v>7185.6806400000005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1616.9491525423721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44.013148962711867</v>
      </c>
      <c r="P13" s="311">
        <f t="shared" si="2"/>
        <v>8846.6429415050843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Al Rehmat Mart </v>
      </c>
      <c r="T13" s="301">
        <f>+'11'!P35</f>
        <v>15607.915834423729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Ajwa Bakers </v>
      </c>
      <c r="T14" s="301">
        <f>+'12'!P35</f>
        <v>3136.2115850847458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Sadiq Store</v>
      </c>
      <c r="T15" s="301">
        <f>+'13'!P35</f>
        <v>566.26289570974575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23.9</v>
      </c>
      <c r="H16" s="113">
        <f t="shared" ref="H16:M16" si="3">SUM(H7:H15)</f>
        <v>956</v>
      </c>
      <c r="I16" s="114">
        <f t="shared" si="3"/>
        <v>58446.485000000008</v>
      </c>
      <c r="J16" s="274">
        <f>SUM(J7:J15)</f>
        <v>4426.2159999999994</v>
      </c>
      <c r="K16" s="275">
        <f t="shared" si="3"/>
        <v>2045.6269750000001</v>
      </c>
      <c r="L16" s="276">
        <f t="shared" si="3"/>
        <v>424.15476000000001</v>
      </c>
      <c r="M16" s="232">
        <f t="shared" si="3"/>
        <v>51550.487264999996</v>
      </c>
      <c r="N16" s="233">
        <f>SUM(N7:N15)</f>
        <v>11091.355932203391</v>
      </c>
      <c r="O16" s="101">
        <f>SUM(O7:O15)</f>
        <v>313.20921598601694</v>
      </c>
      <c r="P16" s="113">
        <f>SUM(P7:P15)</f>
        <v>62955.052413189405</v>
      </c>
      <c r="Q16" s="128">
        <f>SUM(Q7:Q15)</f>
        <v>0</v>
      </c>
      <c r="R16" s="314">
        <v>14</v>
      </c>
      <c r="S16" s="300" t="str">
        <f>+'14'!A6:A6</f>
        <v>Jalil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Marwa Store</v>
      </c>
      <c r="T17" s="301">
        <f>+'15'!P35</f>
        <v>4805.3894985762709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Noor Store</v>
      </c>
      <c r="T18" s="301">
        <f>+'16'!P35</f>
        <v>784.05289627118646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58446.485000000008</v>
      </c>
      <c r="R19" s="299">
        <v>17</v>
      </c>
      <c r="S19" s="300" t="str">
        <f>+'17'!A6:A6</f>
        <v xml:space="preserve">Omega Mart </v>
      </c>
      <c r="T19" s="301">
        <f>+'17'!P35</f>
        <v>1859.7843237508473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4426.2159999999994</v>
      </c>
      <c r="R20" s="299">
        <v>18</v>
      </c>
      <c r="S20" s="300" t="str">
        <f>+'18'!A6:A6</f>
        <v xml:space="preserve">S Mart </v>
      </c>
      <c r="T20" s="301">
        <f>+'18'!P35</f>
        <v>3136.2115850847458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2469.781735</v>
      </c>
      <c r="R21" s="299">
        <v>19</v>
      </c>
      <c r="S21" s="300" t="str">
        <f>+'19'!A6:A6</f>
        <v xml:space="preserve">24 Mart </v>
      </c>
      <c r="T21" s="301">
        <f>+'19'!P35</f>
        <v>3136.2115850847458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51550.487265000011</v>
      </c>
      <c r="R22" s="299">
        <v>20</v>
      </c>
      <c r="S22" s="300" t="str">
        <f>+'20'!A6:A6</f>
        <v xml:space="preserve">Ali Mart </v>
      </c>
      <c r="T22" s="301">
        <f>+'20'!P35</f>
        <v>3934.229496330508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11091.355932203391</v>
      </c>
      <c r="R23" s="299">
        <v>21</v>
      </c>
      <c r="S23" s="300" t="str">
        <f>+'21'!A6:A6</f>
        <v xml:space="preserve">D Mart </v>
      </c>
      <c r="T23" s="301">
        <f>+'21'!P35</f>
        <v>1568.1057925423729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62641.843197203401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313.20921598601694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62955.05241318942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62955.05241318942</v>
      </c>
    </row>
    <row r="44" spans="2:20" x14ac:dyDescent="0.35">
      <c r="B44" t="s">
        <v>501</v>
      </c>
    </row>
    <row r="45" spans="2:20" x14ac:dyDescent="0.35">
      <c r="B45" t="s">
        <v>502</v>
      </c>
    </row>
    <row r="46" spans="2:20" x14ac:dyDescent="0.35">
      <c r="B46" t="s">
        <v>503</v>
      </c>
    </row>
    <row r="47" spans="2:20" x14ac:dyDescent="0.35">
      <c r="B47" t="s">
        <v>504</v>
      </c>
    </row>
    <row r="48" spans="2:20" x14ac:dyDescent="0.35">
      <c r="B48" t="s">
        <v>505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7.25" customHeight="1" x14ac:dyDescent="0.4">
      <c r="A6" s="396" t="s">
        <v>511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6573.3000000000011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478.78800000000007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310.09470000000005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5784.417300000001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7035.2647576271193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42" t="s">
        <v>88</v>
      </c>
      <c r="O35" s="343"/>
      <c r="P35" s="297">
        <f>+P33+P34</f>
        <v>7070.4410814152552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8716.7999999999993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697.34400000000005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305.08800000000002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7714.3679999999995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9361.8256271186438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2" t="s">
        <v>88</v>
      </c>
      <c r="O35" s="343"/>
      <c r="P35" s="297">
        <f>+P33+P34</f>
        <v>9408.6347552542375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>
        <v>0</v>
      </c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240</v>
      </c>
      <c r="I25" s="114">
        <f t="shared" si="7"/>
        <v>14483.000000000002</v>
      </c>
      <c r="J25" s="274">
        <f>SUM(J16:J24)</f>
        <v>1111.5640000000001</v>
      </c>
      <c r="K25" s="275">
        <f t="shared" si="7"/>
        <v>506.90500000000009</v>
      </c>
      <c r="L25" s="276">
        <f t="shared" si="7"/>
        <v>80.029200000000003</v>
      </c>
      <c r="M25" s="232">
        <f t="shared" si="7"/>
        <v>12784.501800000002</v>
      </c>
      <c r="N25" s="233">
        <f>SUM(N16:N24)</f>
        <v>2745.7627118644059</v>
      </c>
      <c r="O25" s="101">
        <f>SUM(O16:O24)</f>
        <v>77.651322559322026</v>
      </c>
      <c r="P25" s="113">
        <f>SUM(P16:P24)</f>
        <v>15607.915834423729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14483.000000000002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1111.5640000000001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586.93420000000015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12784.501800000002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2745.7627118644059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15530.264511864407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77.65132255932204</v>
      </c>
    </row>
    <row r="35" spans="2:16" ht="15.75" customHeight="1" thickBot="1" x14ac:dyDescent="0.4">
      <c r="N35" s="342" t="s">
        <v>88</v>
      </c>
      <c r="O35" s="343"/>
      <c r="P35" s="297">
        <f>+P33+P34</f>
        <v>15607.915834423729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524.625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41.97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18.361875000000001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464.29312499999997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563.4456673728813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2" t="s">
        <v>88</v>
      </c>
      <c r="O35" s="343"/>
      <c r="P35" s="297">
        <f>+P33+P34</f>
        <v>566.26289570974575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6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528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6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531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528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1729.86</v>
      </c>
      <c r="J25" s="274">
        <f>SUM(J16:J24)</f>
        <v>124.26599999999999</v>
      </c>
      <c r="K25" s="275">
        <f t="shared" si="7"/>
        <v>60.545100000000005</v>
      </c>
      <c r="L25" s="276">
        <f t="shared" si="7"/>
        <v>24.008760000000002</v>
      </c>
      <c r="M25" s="232">
        <f t="shared" si="7"/>
        <v>1521.0401400000001</v>
      </c>
      <c r="N25" s="233">
        <f>SUM(N16:N24)</f>
        <v>329.49152542372866</v>
      </c>
      <c r="O25" s="101">
        <f>SUM(O16:O24)</f>
        <v>9.2526583271186436</v>
      </c>
      <c r="P25" s="113">
        <f>SUM(P16:P24)</f>
        <v>1859.7843237508473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1729.86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124.26599999999999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84.553860000000014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1521.0401399999998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329.49152542372866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1850.5316654237286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9.2526583271186436</v>
      </c>
    </row>
    <row r="35" spans="2:16" ht="15.75" customHeight="1" thickBot="1" x14ac:dyDescent="0.4">
      <c r="N35" s="342" t="s">
        <v>88</v>
      </c>
      <c r="O35" s="343"/>
      <c r="P35" s="297">
        <f>+P33+P34</f>
        <v>1859.7843237508473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532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533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534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3667.7000000000003</v>
      </c>
      <c r="J25" s="274">
        <f>SUM(J16:J24)</f>
        <v>246.34000000000003</v>
      </c>
      <c r="K25" s="275">
        <f t="shared" si="7"/>
        <v>128.36950000000002</v>
      </c>
      <c r="L25" s="276">
        <f t="shared" si="7"/>
        <v>80.029200000000003</v>
      </c>
      <c r="M25" s="232">
        <f t="shared" si="7"/>
        <v>3212.9613000000004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3667.7000000000003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246.34000000000003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208.39870000000002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3212.9612999999999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3914.6562152542369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42" t="s">
        <v>88</v>
      </c>
      <c r="O35" s="343"/>
      <c r="P35" s="297">
        <f>+P33+P34</f>
        <v>3934.229496330508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535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512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116.224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50.848000000000006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1285.7280000000001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1560.3042711864407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2" t="s">
        <v>88</v>
      </c>
      <c r="O35" s="343"/>
      <c r="P35" s="297">
        <f>+P33+P34</f>
        <v>1568.1057925423729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500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506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506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46237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2026-08-03T12:17:24Z</dcterms:modified>
</cp:coreProperties>
</file>