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94B5842E-87EE-4483-A1A8-32FD8EF6870F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N6" i="43" l="1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N4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44" l="1"/>
  <c r="N4" i="48"/>
  <c r="N4" i="52"/>
  <c r="N4" i="56"/>
  <c r="N4" i="60"/>
  <c r="N4" i="65"/>
  <c r="N4" i="69"/>
  <c r="N5" i="69" s="1"/>
  <c r="N4" i="43"/>
  <c r="N4" i="47"/>
  <c r="N4" i="55"/>
  <c r="N4" i="68"/>
  <c r="N4" i="45"/>
  <c r="N4" i="49"/>
  <c r="N4" i="53"/>
  <c r="N4" i="57"/>
  <c r="N4" i="61"/>
  <c r="N4" i="66"/>
  <c r="N4" i="70"/>
  <c r="N4" i="46"/>
  <c r="N4" i="50"/>
  <c r="N4" i="54"/>
  <c r="N4" i="58"/>
  <c r="N4" i="63"/>
  <c r="N4" i="67"/>
  <c r="N5" i="67" s="1"/>
  <c r="N4" i="71"/>
  <c r="N4" i="51"/>
  <c r="N4" i="59"/>
  <c r="N4" i="64"/>
  <c r="N5" i="64" s="1"/>
  <c r="N4" i="72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6" i="44" l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<sst xmlns="http://schemas.openxmlformats.org/spreadsheetml/2006/main" count="3947" uniqueCount="520">
  <si>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</si>
  <si>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</si>
  <si>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</si>
  <si>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</si>
  <si>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</si>
  <si>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</si>
  <si>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</si>
  <si>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</si>
  <si>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</si>
  <si>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</si>
  <si>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</si>
  <si>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</si>
  <si>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</si>
  <si>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</si>
  <si>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</si>
  <si>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</si>
  <si>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</si>
  <si>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</si>
  <si>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</si>
  <si>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</si>
  <si>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</si>
  <si>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</si>
  <si>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</si>
  <si>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</si>
  <si>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</si>
  <si>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</si>
  <si>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</si>
  <si>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</si>
  <si>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</si>
  <si>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</si>
  <si>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</si>
  <si>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</si>
  <si>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</si>
  <si>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</si>
  <si>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</si>
  <si>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</si>
  <si>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</si>
  <si>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</si>
  <si>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</si>
  <si>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</si>
  <si>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</si>
  <si>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</si>
  <si>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</si>
  <si>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</si>
  <si>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</si>
  <si>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</si>
  <si>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</si>
  <si>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</si>
  <si>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</si>
  <si>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</si>
  <si>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</si>
  <si>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</si>
  <si>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</si>
  <si>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</si>
  <si>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</si>
  <si>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</si>
  <si>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</si>
  <si>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</si>
  <si>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</si>
  <si>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</si>
  <si>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</si>
  <si>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</si>
  <si>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</si>
  <si>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</si>
  <si>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</si>
  <si>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</si>
  <si>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</si>
  <si>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</si>
  <si>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</si>
  <si>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</si>
  <si>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</si>
  <si>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</si>
  <si>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</si>
  <si>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</si>
  <si>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</si>
  <si>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</si>
  <si>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</si>
  <si>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</si>
  <si>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</si>
  <si>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</si>
  <si>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</si>
  <si>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</si>
  <si>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</si>
  <si>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</si>
  <si>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</si>
  <si>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</si>
  <si>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</si>
  <si>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</si>
  <si>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</si>
  <si>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</si>
  <si>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</si>
  <si>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</si>
  <si>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</si>
  <si>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</si>
  <si>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</si>
  <si>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</si>
  <si>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</si>
  <si>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</si>
  <si>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</si>
  <si>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</si>
  <si>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</si>
  <si>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</si>
  <si>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</si>
  <si>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</si>
  <si>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</si>
  <si>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</si>
  <si>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</si>
  <si>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</si>
  <si>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</si>
  <si>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</si>
  <si>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</si>
  <si>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</si>
  <si>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</si>
  <si>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</si>
  <si>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</si>
  <si>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</si>
  <si>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</si>
  <si>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</si>
  <si>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</si>
  <si>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</si>
  <si>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</si>
  <si>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</si>
  <si>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</si>
  <si>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</si>
  <si>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</si>
  <si>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</si>
  <si>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</si>
  <si>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</si>
  <si>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</si>
  <si>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</si>
  <si>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</si>
  <si>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</si>
  <si>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</si>
  <si>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</si>
  <si>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</si>
  <si>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</si>
  <si>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</si>
  <si>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</si>
  <si>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</si>
  <si>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</si>
  <si>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</si>
  <si>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</si>
  <si>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</si>
  <si>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</si>
  <si>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</si>
  <si>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</si>
  <si>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</si>
  <si>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</si>
  <si>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</si>
  <si>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</si>
  <si>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</si>
  <si>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</si>
  <si>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</si>
  <si>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</si>
  <si>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</si>
  <si>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</si>
  <si>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</si>
  <si>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</si>
  <si>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</si>
  <si>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</si>
  <si>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</si>
  <si>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</si>
  <si>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</si>
  <si>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</si>
  <si>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</si>
  <si>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</si>
  <si>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</si>
  <si>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</si>
  <si>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</si>
  <si>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</si>
  <si>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</si>
  <si>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</si>
  <si>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</si>
  <si>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</si>
  <si>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</si>
  <si>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</si>
  <si>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</si>
  <si>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</si>
  <si>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</si>
  <si>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</si>
  <si>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</si>
  <si>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</si>
  <si>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</si>
  <si>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</si>
  <si>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</si>
  <si>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</si>
  <si>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</si>
  <si>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</si>
  <si>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</si>
  <si>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</si>
  <si>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</si>
  <si>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</si>
  <si>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</si>
  <si>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</si>
  <si>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</si>
  <si>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</si>
  <si>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</si>
  <si>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</si>
  <si>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</si>
  <si>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</si>
  <si>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</si>
  <si>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</si>
  <si>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</si>
  <si>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</si>
  <si>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</si>
  <si>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</si>
  <si>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</si>
  <si>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</si>
  <si>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</si>
  <si>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</si>
  <si>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</si>
  <si>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</si>
  <si>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</si>
  <si>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</si>
  <si>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</si>
  <si>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</si>
  <si>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</si>
  <si>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</si>
  <si>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</si>
  <si>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</si>
  <si>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</si>
  <si>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</si>
  <si>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</si>
  <si>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</si>
  <si>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</si>
  <si>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</si>
  <si>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</si>
  <si>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</si>
  <si>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</si>
  <si>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</si>
  <si>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</si>
  <si>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</si>
  <si>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</si>
  <si>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</si>
  <si>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</si>
  <si>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</si>
  <si>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</si>
  <si>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</si>
  <si>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</si>
  <si>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</si>
  <si>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</si>
  <si>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</si>
  <si>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</si>
  <si>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</si>
  <si>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</si>
  <si>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</si>
  <si>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</si>
  <si>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</si>
  <si>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</si>
  <si>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</si>
  <si>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</si>
  <si>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</si>
  <si>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</si>
  <si>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</si>
  <si>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</si>
  <si>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</si>
  <si>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</si>
  <si>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</si>
  <si>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</si>
  <si>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</si>
  <si>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</si>
  <si>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</si>
  <si>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</si>
  <si>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</si>
  <si>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</si>
  <si>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</si>
  <si>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</si>
  <si>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</si>
  <si>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</si>
  <si>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</si>
  <si>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</si>
  <si>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</si>
  <si>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</si>
  <si>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</si>
  <si>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</si>
  <si>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</si>
  <si>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</si>
  <si>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</si>
  <si>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</si>
  <si>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</si>
  <si>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</si>
  <si>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</si>
  <si>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</si>
  <si>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</si>
  <si>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</si>
  <si>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</si>
  <si>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</si>
  <si>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</si>
  <si>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</si>
  <si>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</si>
  <si>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</si>
  <si>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</si>
  <si>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</si>
  <si>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</si>
  <si>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</si>
  <si>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</si>
  <si>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</si>
  <si>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</si>
  <si>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</si>
  <si>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</si>
  <si>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</si>
  <si>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</si>
  <si>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</si>
  <si>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</si>
  <si>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</si>
  <si>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</si>
  <si>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</si>
  <si>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</si>
  <si>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</si>
  <si>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</si>
  <si>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</si>
  <si>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</si>
  <si>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</si>
  <si>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</si>
  <si>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</si>
  <si>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</si>
  <si>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</si>
  <si>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</si>
  <si>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</si>
  <si>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</si>
  <si>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</si>
  <si>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</si>
  <si>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</si>
  <si>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</si>
  <si>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</si>
  <si>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</si>
  <si>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</si>
  <si>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</si>
  <si>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</si>
  <si>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</si>
  <si>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</si>
  <si>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</si>
  <si>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</si>
  <si>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</si>
  <si>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</si>
  <si>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</si>
  <si>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</si>
  <si>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</si>
  <si>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</si>
  <si>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</si>
  <si>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</si>
  <si>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</si>
  <si>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</si>
  <si>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</si>
  <si>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</si>
  <si>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</si>
  <si>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</si>
  <si>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</si>
  <si>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</si>
  <si>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</si>
  <si>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</si>
  <si>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</si>
  <si>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</si>
  <si>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</si>
  <si>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</si>
  <si>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</si>
  <si>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</si>
  <si>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</si>
  <si>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</si>
  <si>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</si>
  <si>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</si>
  <si>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</si>
  <si>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</si>
  <si>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</si>
  <si>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</si>
  <si>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</si>
  <si>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</si>
  <si>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</si>
  <si>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</si>
  <si>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</si>
  <si>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</si>
  <si>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</si>
  <si>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</si>
  <si>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</si>
  <si>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</si>
  <si>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</si>
  <si>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</si>
  <si>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</si>
  <si>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</si>
  <si>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</si>
  <si>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</si>
  <si>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</si>
  <si>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</si>
  <si>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</si>
  <si>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</si>
  <si>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</si>
  <si>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</si>
  <si>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</si>
  <si>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</si>
  <si>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</si>
  <si>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</si>
  <si>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</si>
  <si>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</si>
  <si>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</si>
  <si>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</si>
  <si>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</si>
  <si>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</si>
  <si>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</si>
  <si>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</si>
  <si>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</si>
  <si>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</si>
  <si>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</si>
  <si>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</si>
  <si>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</si>
  <si>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</si>
  <si>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</si>
  <si>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</si>
  <si>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</si>
  <si>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</si>
  <si>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</si>
  <si>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</si>
  <si>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</si>
  <si>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</si>
  <si>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</si>
  <si>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</si>
  <si>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</si>
  <si>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</si>
  <si>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</si>
  <si>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</si>
  <si>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</si>
  <si>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</si>
  <si>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</si>
  <si>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</si>
  <si>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</si>
  <si>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</si>
  <si>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</si>
  <si>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</si>
  <si>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</si>
  <si>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</si>
  <si>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</si>
  <si>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</si>
  <si>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</si>
  <si>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</si>
  <si>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</si>
  <si>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</si>
  <si>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</si>
  <si>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</si>
  <si>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</si>
  <si>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</si>
  <si>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</si>
  <si>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</si>
  <si>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</si>
  <si>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</si>
  <si>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</si>
  <si>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</si>
  <si>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</si>
  <si>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</si>
  <si>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</si>
  <si>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</si>
  <si>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</si>
  <si>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</si>
  <si>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</si>
  <si>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</si>
  <si>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</si>
  <si>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</si>
  <si>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</si>
  <si>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</si>
  <si>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</si>
  <si>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</si>
  <si>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</si>
  <si>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</si>
  <si>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</si>
  <si>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</si>
  <si>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</si>
  <si>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</si>
  <si>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</si>
  <si>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</si>
  <si>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</si>
  <si>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</si>
  <si>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</si>
  <si>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</si>
  <si>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</si>
  <si>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</si>
  <si>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</si>
  <si>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</si>
  <si>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</si>
  <si>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</si>
  <si>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</si>
  <si>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</si>
  <si>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</si>
  <si>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</si>
  <si>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</si>
  <si>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</si>
  <si>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</si>
  <si>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</si>
  <si>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</si>
  <si>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</si>
  <si>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</si>
  <si>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</si>
  <si>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</si>
  <si>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</si>
  <si>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</si>
  <si>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</si>
  <si>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</si>
  <si>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</si>
  <si>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</si>
  <si>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</si>
  <si>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</si>
  <si>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</si>
  <si>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</si>
  <si>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</si>
  <si>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</si>
  <si>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</si>
  <si>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</si>
  <si>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</si>
  <si>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</si>
  <si>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</si>
  <si>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</si>
  <si>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</si>
  <si>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</si>
  <si>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</si>
  <si>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</si>
  <si>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</si>
  <si>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</si>
  <si>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Jabbar</t>
  </si>
  <si>
    <t>Sahulat Bazar 34</t>
  </si>
  <si>
    <t xml:space="preserve">Address: Shadman </t>
  </si>
  <si>
    <t>Sahulat Bazar 33</t>
  </si>
  <si>
    <t>Address: Lawrrance Raod</t>
  </si>
  <si>
    <t>Lawrance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</si>
</sst>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28" workbookViewId="0">
      <selection activeCell="G38" sqref="G3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514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v>46265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>Sahulat Bazar 34</v>
      </c>
      <c r="T3" s="301">
        <f>+'1'!P35</f>
        <v>5401.2631679237293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9">
        <v>46258</v>
      </c>
      <c r="R4" s="299">
        <v>2</v>
      </c>
      <c r="S4" s="300" t="str">
        <f>+'2'!A6:A6</f>
        <v>Sahulat Bazar 33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Lawrance Store</v>
      </c>
      <c r="T5" s="301">
        <f>+'3'!P35</f>
        <v>10560.664844847457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Shop Name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95</v>
      </c>
      <c r="I7" s="235">
        <f>(G7*D7)*F7+H7*F7</f>
        <v>4983.9375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482.65500000000003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174.43781250000001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4326.8446875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941.94915254237253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26.343969200211859</v>
      </c>
      <c r="P7" s="310">
        <f>M7+N7+O7</f>
        <v>5295.1378092425848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Shop Name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90</v>
      </c>
      <c r="I8" s="236">
        <f t="shared" ref="I8:I14" si="0">(G8*D8)*F8+H8*F8</f>
        <v>4721.625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461.67000000000007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165.25687500000001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4094.6981249999999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892.37288135593178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24.935355031779658</v>
      </c>
      <c r="P8" s="311">
        <f t="shared" ref="P8:P15" si="2">M8+N8+O8</f>
        <v>5012.0063613877119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Shop Name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15</v>
      </c>
      <c r="I9" s="236">
        <f t="shared" si="0"/>
        <v>786.9375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62.954999999999998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27.542812500000004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696.43968749999999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148.72881355932196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4.22584250529661</v>
      </c>
      <c r="P9" s="311">
        <f t="shared" si="2"/>
        <v>849.39434356461845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10</v>
      </c>
      <c r="I10" s="236">
        <f t="shared" si="0"/>
        <v>726.4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58.112000000000002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25.424000000000003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642.86400000000003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137.28813559322035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3.9007606779661019</v>
      </c>
      <c r="P10" s="311">
        <f t="shared" si="2"/>
        <v>784.05289627118646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15</v>
      </c>
      <c r="R10" s="314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15</v>
      </c>
      <c r="I11" s="236">
        <f t="shared" si="0"/>
        <v>1089.5999999999999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87.167999999999992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38.136000000000003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964.29599999999994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205.93220338983053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5.8511410169491525</v>
      </c>
      <c r="P11" s="311">
        <f t="shared" si="2"/>
        <v>1176.0793444067797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10</v>
      </c>
      <c r="R11" s="314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15</v>
      </c>
      <c r="I12" s="236">
        <f t="shared" si="0"/>
        <v>1089.5999999999999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87.167999999999992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38.136000000000003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964.29599999999994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205.93220338983053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5.8511410169491525</v>
      </c>
      <c r="P12" s="311">
        <f t="shared" si="2"/>
        <v>1176.0793444067797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15</v>
      </c>
      <c r="R12" s="314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40</v>
      </c>
      <c r="I13" s="236">
        <f t="shared" si="0"/>
        <v>1569.2000000000003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78.460000000000022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54.922000000000011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80.029200000000003</v>
      </c>
      <c r="M13" s="230">
        <f t="shared" si="1"/>
        <v>1355.7888000000003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305.08474576271169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8.3043677288135598</v>
      </c>
      <c r="P13" s="311">
        <f t="shared" si="2"/>
        <v>1669.1779134915255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7</v>
      </c>
      <c r="H16" s="113">
        <f t="shared" ref="H16:M16" si="3">SUM(H7:H15)</f>
        <v>280</v>
      </c>
      <c r="I16" s="114">
        <f t="shared" si="3"/>
        <v>14967.300000000001</v>
      </c>
      <c r="J16" s="274">
        <f>SUM(J7:J15)</f>
        <v>1318.1879999999999</v>
      </c>
      <c r="K16" s="275">
        <f t="shared" si="3"/>
        <v>523.85550000000001</v>
      </c>
      <c r="L16" s="276">
        <f t="shared" si="3"/>
        <v>80.029200000000003</v>
      </c>
      <c r="M16" s="232">
        <f t="shared" si="3"/>
        <v>13045.2273</v>
      </c>
      <c r="N16" s="233">
        <f>SUM(N7:N15)</f>
        <v>2837.2881355932195</v>
      </c>
      <c r="O16" s="101">
        <f>SUM(O7:O15)</f>
        <v>79.412577177966099</v>
      </c>
      <c r="P16" s="113">
        <f>SUM(P7:P15)</f>
        <v>15961.928012771188</v>
      </c>
      <c r="Q16" s="128">
        <f>SUM(Q7:Q15)</f>
        <v>40</v>
      </c>
      <c r="R16" s="314">
        <v>14</v>
      </c>
      <c r="S16" s="318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14967.300000000001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1318.1879999999999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603.88470000000007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13045.2273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2837.2881355932195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15882.515435593221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79.412577177966099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15961.928012771186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15961.928012771186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20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Summary!H3</f>
        <v>46265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46264</v>
      </c>
      <c r="O5" s="370"/>
      <c r="P5" s="370"/>
      <c r="R5" s="85"/>
      <c r="S5" s="266"/>
    </row>
    <row r="6" spans="1:22 16383:16384" ht="17.25" customHeight="1" x14ac:dyDescent="0.4">
      <c r="A6" s="399" t="s">
        <v>515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15</v>
      </c>
      <c r="I16" s="235">
        <f>(G16*D16)*F16+H16*F16</f>
        <v>786.9375</v>
      </c>
      <c r="J16" s="271">
        <f>$I16*S16</f>
        <v>62.954999999999998</v>
      </c>
      <c r="K16" s="127">
        <f>$I16*T16</f>
        <v>27.542812500000004</v>
      </c>
      <c r="L16" s="118">
        <f>$I16*U16</f>
        <v>0</v>
      </c>
      <c r="M16" s="229">
        <f>I16-SUM(J16:L16)</f>
        <v>696.43968749999999</v>
      </c>
      <c r="N16" s="248">
        <f>+(G16*D16+H16)*V16</f>
        <v>148.72881355932196</v>
      </c>
      <c r="O16" s="238">
        <f>(N16+M16)*$O$15</f>
        <v>4.22584250529661</v>
      </c>
      <c r="P16" s="310">
        <f>M16+N16+O16</f>
        <v>849.39434356461845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311">
        <f t="shared" ref="P17:P24" si="5">M17+N17+O17</f>
        <v>566.26289570974575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15</v>
      </c>
      <c r="I18" s="236">
        <f t="shared" ref="I18:I21" si="7">(G18*D18)*F18+H18*F18</f>
        <v>786.9375</v>
      </c>
      <c r="J18" s="272">
        <f t="shared" si="1"/>
        <v>62.954999999999998</v>
      </c>
      <c r="K18" s="128">
        <f t="shared" si="1"/>
        <v>27.542812500000004</v>
      </c>
      <c r="L18" s="119">
        <f t="shared" si="1"/>
        <v>0</v>
      </c>
      <c r="M18" s="230">
        <f t="shared" si="2"/>
        <v>696.43968749999999</v>
      </c>
      <c r="N18" s="277">
        <f t="shared" si="3"/>
        <v>148.72881355932196</v>
      </c>
      <c r="O18" s="239">
        <f t="shared" si="4"/>
        <v>4.22584250529661</v>
      </c>
      <c r="P18" s="311">
        <f t="shared" si="5"/>
        <v>849.39434356461845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7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311">
        <f t="shared" si="5"/>
        <v>784.05289627118646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15</v>
      </c>
      <c r="I20" s="236">
        <f t="shared" si="7"/>
        <v>1089.5999999999999</v>
      </c>
      <c r="J20" s="272">
        <f t="shared" si="1"/>
        <v>87.167999999999992</v>
      </c>
      <c r="K20" s="128">
        <f t="shared" si="1"/>
        <v>38.136000000000003</v>
      </c>
      <c r="L20" s="119">
        <f t="shared" si="1"/>
        <v>0</v>
      </c>
      <c r="M20" s="230">
        <f t="shared" si="2"/>
        <v>964.29599999999994</v>
      </c>
      <c r="N20" s="277">
        <f t="shared" si="3"/>
        <v>205.93220338983053</v>
      </c>
      <c r="O20" s="239">
        <f t="shared" si="4"/>
        <v>5.8511410169491525</v>
      </c>
      <c r="P20" s="311">
        <f t="shared" si="5"/>
        <v>1176.0793444067797</v>
      </c>
      <c r="Q20" s="156"/>
      <c r="R20">
        <f>P20/21</f>
        <v>56.003778305084744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7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311">
        <f t="shared" si="5"/>
        <v>1176.0793444067797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80</v>
      </c>
      <c r="I25" s="114">
        <f t="shared" ref="I25:M25" si="10">SUM(I16:I24)</f>
        <v>5004.1000000000004</v>
      </c>
      <c r="J25" s="274">
        <f>SUM(J16:J24)</f>
        <v>400.32799999999997</v>
      </c>
      <c r="K25" s="275">
        <f t="shared" si="10"/>
        <v>175.14350000000002</v>
      </c>
      <c r="L25" s="276">
        <f t="shared" si="10"/>
        <v>0</v>
      </c>
      <c r="M25" s="232">
        <f t="shared" si="10"/>
        <v>4428.6284999999998</v>
      </c>
      <c r="N25" s="233">
        <f>SUM(N16:N24)</f>
        <v>945.7627118644067</v>
      </c>
      <c r="O25" s="101">
        <f>SUM(O16:O24)</f>
        <v>26.871956059322034</v>
      </c>
      <c r="P25" s="113">
        <f>SUM(P16:P24)</f>
        <v>5401.2631679237284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5004.1000000000004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400.32799999999997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175.14350000000002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4428.6285000000007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945.7627118644067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5374.3912118644075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26.871956059322038</v>
      </c>
    </row>
    <row r="35" spans="2:16" ht="15.75" customHeight="1" thickBot="1" x14ac:dyDescent="0.4">
      <c r="N35" s="345" t="s">
        <v>88</v>
      </c>
      <c r="O35" s="346"/>
      <c r="P35" s="297">
        <f>+P33+P34</f>
        <v>5401.2631679237293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disablePrompts="1"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5" workbookViewId="0">
      <selection activeCell="H17" sqref="H17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46265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46264</v>
      </c>
      <c r="O5" s="370"/>
      <c r="P5" s="370"/>
      <c r="R5" s="85"/>
      <c r="S5" s="266"/>
    </row>
    <row r="6" spans="1:22 16383:16384" ht="15" customHeight="1" x14ac:dyDescent="0.4">
      <c r="A6" s="399" t="s">
        <v>517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>
        <v>15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>
        <v>10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>
        <v>15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19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46265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46264</v>
      </c>
      <c r="O5" s="370"/>
      <c r="P5" s="370"/>
      <c r="R5" s="85"/>
      <c r="S5" s="266"/>
    </row>
    <row r="6" spans="1:22 16383:16384" ht="18.75" customHeight="1" x14ac:dyDescent="0.4">
      <c r="A6" s="399" t="s">
        <v>519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518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20">
        <v>0.1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80</v>
      </c>
      <c r="I16" s="235">
        <f>(G16*D16)*F16+H16*F16</f>
        <v>4197</v>
      </c>
      <c r="J16" s="271">
        <f>$I16*S16</f>
        <v>419.70000000000005</v>
      </c>
      <c r="K16" s="127">
        <f>$I16*T16</f>
        <v>146.89500000000001</v>
      </c>
      <c r="L16" s="118">
        <f>$I16*U16</f>
        <v>0</v>
      </c>
      <c r="M16" s="229">
        <f>I16-SUM(J16:L16)</f>
        <v>3630.4049999999997</v>
      </c>
      <c r="N16" s="248">
        <f>+(G16*D16+H16)*V16</f>
        <v>793.22033898305051</v>
      </c>
      <c r="O16" s="238">
        <f>(N16+M16)*$O$15</f>
        <v>22.118126694915251</v>
      </c>
      <c r="P16" s="310">
        <f>M16+N16+O16</f>
        <v>4445.7434656779651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80</v>
      </c>
      <c r="I17" s="236">
        <f t="shared" ref="I17:I23" si="0">(G17*D17)*F17+H17*F17</f>
        <v>4197</v>
      </c>
      <c r="J17" s="272">
        <f t="shared" ref="J17:L24" si="1">$I17*S17</f>
        <v>419.70000000000005</v>
      </c>
      <c r="K17" s="128">
        <f>$I17*T17</f>
        <v>146.89500000000001</v>
      </c>
      <c r="L17" s="119">
        <f>$I17*U17</f>
        <v>0</v>
      </c>
      <c r="M17" s="230">
        <f t="shared" ref="M17:M24" si="2">I17-SUM(J17:L17)</f>
        <v>3630.4049999999997</v>
      </c>
      <c r="N17" s="277">
        <f t="shared" ref="N17:N24" si="3">+(G17*D17+H17)*V17</f>
        <v>793.22033898305051</v>
      </c>
      <c r="O17" s="239">
        <f t="shared" ref="O17:O24" si="4">(N17+M17)*$O$15</f>
        <v>22.118126694915251</v>
      </c>
      <c r="P17" s="311">
        <f t="shared" ref="P17:P24" si="5">M17+N17+O17</f>
        <v>4445.7434656779651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200</v>
      </c>
      <c r="I25" s="114">
        <f t="shared" si="7"/>
        <v>9963.2000000000007</v>
      </c>
      <c r="J25" s="274">
        <f>SUM(J16:J24)</f>
        <v>917.86000000000013</v>
      </c>
      <c r="K25" s="275">
        <f t="shared" si="7"/>
        <v>348.71200000000005</v>
      </c>
      <c r="L25" s="276">
        <f t="shared" si="7"/>
        <v>80.029200000000003</v>
      </c>
      <c r="M25" s="232">
        <f t="shared" si="7"/>
        <v>8616.5987999999998</v>
      </c>
      <c r="N25" s="233">
        <f>SUM(N16:N24)</f>
        <v>1891.5254237288127</v>
      </c>
      <c r="O25" s="101">
        <f>SUM(O16:O24)</f>
        <v>52.540621118644061</v>
      </c>
      <c r="P25" s="113">
        <f>SUM(P16:P24)</f>
        <v>10560.664844847455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9963.2000000000007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917.86000000000013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428.74120000000005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8616.5987999999998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1891.5254237288127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10508.124223728813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52.540621118644069</v>
      </c>
    </row>
    <row r="35" spans="2:16" ht="15.75" customHeight="1" thickBot="1" x14ac:dyDescent="0.4">
      <c r="N35" s="345" t="s">
        <v>88</v>
      </c>
      <c r="O35" s="346"/>
      <c r="P35" s="297">
        <f>+P33+P34</f>
        <v>10560.664844847457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46265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46264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46265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46264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46265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46264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46265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46264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46265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46264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46265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46264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46265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46264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46265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46264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46265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46264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46265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46264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46265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46264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46265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46264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46265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46264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46265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46264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46265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46264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46265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46264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46265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46264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46265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46264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46265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46264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46265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46264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46265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46264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46265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46264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46265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46264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46265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46264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46265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46264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46265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46264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46265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46264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46267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46266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2026-09-01T05:21:23Z</dcterms:modified>
</cp:coreProperties>
</file>