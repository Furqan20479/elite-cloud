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ECB4EC3-F829-4E71-8A8B-5F66A3368AF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2" l="1"/>
  <c r="O21" i="52" s="1"/>
  <c r="P21" i="52" s="1"/>
  <c r="M21" i="51"/>
  <c r="K12" i="62"/>
  <c r="J7" i="62"/>
  <c r="M20" i="47"/>
  <c r="O20" i="47" s="1"/>
  <c r="P20" i="47" s="1"/>
  <c r="R20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<sst xmlns="http://schemas.openxmlformats.org/spreadsheetml/2006/main" count="3948" uniqueCount="530">
  <si>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</si>
  <si>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</si>
  <si>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</si>
  <si>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</si>
  <si>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</si>
  <si>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</si>
  <si>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</si>
  <si>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</si>
  <si>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</si>
  <si>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</si>
  <si>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</si>
  <si>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</si>
  <si>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</si>
  <si>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</si>
  <si>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</si>
  <si>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</si>
  <si>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</si>
  <si>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</si>
  <si>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</si>
  <si>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</si>
  <si>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</si>
  <si>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</si>
  <si>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</si>
  <si>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</si>
  <si>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</si>
  <si>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</si>
  <si>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</si>
  <si>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</si>
  <si>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</si>
  <si>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</si>
  <si>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</si>
  <si>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</si>
  <si>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</si>
  <si>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</si>
  <si>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</si>
  <si>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</si>
  <si>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</si>
  <si>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</si>
  <si>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</si>
  <si>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</si>
  <si>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</si>
  <si>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</si>
  <si>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</si>
  <si>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</si>
  <si>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</si>
  <si>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</si>
  <si>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</si>
  <si>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</si>
  <si>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</si>
  <si>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</si>
  <si>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</si>
  <si>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</si>
  <si>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</si>
  <si>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</si>
  <si>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</si>
  <si>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</si>
  <si>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</si>
  <si>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</si>
  <si>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</si>
  <si>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</si>
  <si>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</si>
  <si>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</si>
  <si>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</si>
  <si>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</si>
  <si>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</si>
  <si>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</si>
  <si>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</si>
  <si>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</si>
  <si>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</si>
  <si>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</si>
  <si>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</si>
  <si>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</si>
  <si>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</si>
  <si>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</si>
  <si>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</si>
  <si>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</si>
  <si>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</si>
  <si>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</si>
  <si>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</si>
  <si>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</si>
  <si>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</si>
  <si>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</si>
  <si>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</si>
  <si>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</si>
  <si>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</si>
  <si>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</si>
  <si>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</si>
  <si>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</si>
  <si>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</si>
  <si>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</si>
  <si>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</si>
  <si>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</si>
  <si>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</si>
  <si>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</si>
  <si>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</si>
  <si>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</si>
  <si>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</si>
  <si>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</si>
  <si>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</si>
  <si>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</si>
  <si>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</si>
  <si>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</si>
  <si>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</si>
  <si>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</si>
  <si>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</si>
  <si>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</si>
  <si>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</si>
  <si>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</si>
  <si>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</si>
  <si>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</si>
  <si>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</si>
  <si>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</si>
  <si>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</si>
  <si>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</si>
  <si>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</si>
  <si>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</si>
  <si>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</si>
  <si>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</si>
  <si>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</si>
  <si>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</si>
  <si>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</si>
  <si>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</si>
  <si>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</si>
  <si>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</si>
  <si>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</si>
  <si>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</si>
  <si>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</si>
  <si>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</si>
  <si>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</si>
  <si>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</si>
  <si>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</si>
  <si>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</si>
  <si>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</si>
  <si>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</si>
  <si>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</si>
  <si>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</si>
  <si>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</si>
  <si>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</si>
  <si>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</si>
  <si>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</si>
  <si>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</si>
  <si>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</si>
  <si>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</si>
  <si>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</si>
  <si>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</si>
  <si>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</si>
  <si>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</si>
  <si>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</si>
  <si>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</si>
  <si>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</si>
  <si>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</si>
  <si>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</si>
  <si>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</si>
  <si>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</si>
  <si>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</si>
  <si>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</si>
  <si>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</si>
  <si>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</si>
  <si>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</si>
  <si>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</si>
  <si>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</si>
  <si>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</si>
  <si>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</si>
  <si>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</si>
  <si>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</si>
  <si>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</si>
  <si>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</si>
  <si>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</si>
  <si>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</si>
  <si>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</si>
  <si>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</si>
  <si>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</si>
  <si>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</si>
  <si>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</si>
  <si>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</si>
  <si>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</si>
  <si>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</si>
  <si>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</si>
  <si>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</si>
  <si>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</si>
  <si>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</si>
  <si>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</si>
  <si>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</si>
  <si>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</si>
  <si>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</si>
  <si>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</si>
  <si>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</si>
  <si>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</si>
  <si>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</si>
  <si>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</si>
  <si>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</si>
  <si>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</si>
  <si>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</si>
  <si>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</si>
  <si>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</si>
  <si>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</si>
  <si>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</si>
  <si>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</si>
  <si>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</si>
  <si>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</si>
  <si>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</si>
  <si>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</si>
  <si>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</si>
  <si>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</si>
  <si>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</si>
  <si>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</si>
  <si>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</si>
  <si>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</si>
  <si>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</si>
  <si>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</si>
  <si>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</si>
  <si>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</si>
  <si>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</si>
  <si>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</si>
  <si>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</si>
  <si>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</si>
  <si>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</si>
  <si>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</si>
  <si>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</si>
  <si>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</si>
  <si>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</si>
  <si>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</si>
  <si>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</si>
  <si>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</si>
  <si>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</si>
  <si>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</si>
  <si>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</si>
  <si>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</si>
  <si>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</si>
  <si>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</si>
  <si>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</si>
  <si>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</si>
  <si>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</si>
  <si>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</si>
  <si>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</si>
  <si>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</si>
  <si>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</si>
  <si>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</si>
  <si>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</si>
  <si>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</si>
  <si>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</si>
  <si>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</si>
  <si>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</si>
  <si>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</si>
  <si>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</si>
  <si>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</si>
  <si>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</si>
  <si>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</si>
  <si>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</si>
  <si>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</si>
  <si>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</si>
  <si>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</si>
  <si>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</si>
  <si>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</si>
  <si>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</si>
  <si>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</si>
  <si>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</si>
  <si>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</si>
  <si>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</si>
  <si>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</si>
  <si>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</si>
  <si>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</si>
  <si>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</si>
  <si>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</si>
  <si>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</si>
  <si>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</si>
  <si>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</si>
  <si>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</si>
  <si>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</si>
  <si>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</si>
  <si>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</si>
  <si>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</si>
  <si>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</si>
  <si>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</si>
  <si>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</si>
  <si>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</si>
  <si>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</si>
  <si>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</si>
  <si>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</si>
  <si>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</si>
  <si>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</si>
  <si>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</si>
  <si>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</si>
  <si>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</si>
  <si>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</si>
  <si>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</si>
  <si>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</si>
  <si>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</si>
  <si>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</si>
  <si>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</si>
  <si>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</si>
  <si>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</si>
  <si>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</si>
  <si>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</si>
  <si>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</si>
  <si>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</si>
  <si>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</si>
  <si>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</si>
  <si>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</si>
  <si>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</si>
  <si>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</si>
  <si>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</si>
  <si>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</si>
  <si>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</si>
  <si>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</si>
  <si>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</si>
  <si>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</si>
  <si>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</si>
  <si>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</si>
  <si>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</si>
  <si>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</si>
  <si>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</si>
  <si>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</si>
  <si>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</si>
  <si>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</si>
  <si>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</si>
  <si>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</si>
  <si>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</si>
  <si>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</si>
  <si>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</si>
  <si>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</si>
  <si>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</si>
  <si>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</si>
  <si>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</si>
  <si>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</si>
  <si>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</si>
  <si>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</si>
  <si>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</si>
  <si>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</si>
  <si>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</si>
  <si>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</si>
  <si>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</si>
  <si>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</si>
  <si>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</si>
  <si>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</si>
  <si>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</si>
  <si>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</si>
  <si>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</si>
  <si>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</si>
  <si>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</si>
  <si>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</si>
  <si>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</si>
  <si>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</si>
  <si>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</si>
  <si>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</si>
  <si>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</si>
  <si>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</si>
  <si>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</si>
  <si>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</si>
  <si>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</si>
  <si>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</si>
  <si>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</si>
  <si>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</si>
  <si>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</si>
  <si>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</si>
  <si>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</si>
  <si>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</si>
  <si>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</si>
  <si>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</si>
  <si>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</si>
  <si>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</si>
  <si>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</si>
  <si>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</si>
  <si>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</si>
  <si>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</si>
  <si>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</si>
  <si>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</si>
  <si>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</si>
  <si>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</si>
  <si>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</si>
  <si>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</si>
  <si>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</si>
  <si>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</si>
  <si>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</si>
  <si>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</si>
  <si>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</si>
  <si>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</si>
  <si>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</si>
  <si>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</si>
  <si>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</si>
  <si>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</si>
  <si>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</si>
  <si>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</si>
  <si>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</si>
  <si>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</si>
  <si>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</si>
  <si>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</si>
  <si>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</si>
  <si>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</si>
  <si>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</si>
  <si>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</si>
  <si>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</si>
  <si>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</si>
  <si>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</si>
  <si>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</si>
  <si>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</si>
  <si>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</si>
  <si>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</si>
  <si>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</si>
  <si>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</si>
  <si>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</si>
  <si>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</si>
  <si>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</si>
  <si>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</si>
  <si>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</si>
  <si>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</si>
  <si>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</si>
  <si>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</si>
  <si>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</si>
  <si>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</si>
  <si>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</si>
  <si>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</si>
  <si>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</si>
  <si>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</si>
  <si>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</si>
  <si>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</si>
  <si>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</si>
  <si>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</si>
  <si>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</si>
  <si>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</si>
  <si>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</si>
  <si>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</si>
  <si>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</si>
  <si>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</si>
  <si>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</si>
  <si>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</si>
  <si>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</si>
  <si>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</si>
  <si>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</si>
  <si>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</si>
  <si>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</si>
  <si>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</si>
  <si>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</si>
  <si>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</si>
  <si>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</si>
  <si>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</si>
  <si>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</si>
  <si>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</si>
  <si>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</si>
  <si>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</si>
  <si>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</si>
  <si>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</si>
  <si>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</si>
  <si>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</si>
  <si>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</si>
  <si>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</si>
  <si>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</si>
  <si>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</si>
  <si>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</si>
  <si>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</si>
  <si>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</si>
  <si>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</si>
  <si>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</si>
  <si>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</si>
  <si>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</si>
  <si>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</si>
  <si>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</si>
  <si>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</si>
  <si>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</si>
  <si>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</si>
  <si>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</si>
  <si>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</si>
  <si>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</si>
  <si>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</si>
  <si>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</si>
  <si>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</si>
  <si>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</si>
  <si>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</si>
  <si>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</si>
  <si>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</si>
  <si>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</si>
  <si>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</si>
  <si>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</si>
  <si>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</si>
  <si>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</si>
  <si>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</si>
  <si>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</si>
  <si>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</si>
  <si>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</si>
  <si>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</si>
  <si>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</si>
  <si>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</si>
  <si>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</si>
  <si>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</si>
  <si>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</si>
  <si>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</si>
  <si>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</si>
  <si>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</si>
  <si>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</si>
  <si>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</si>
  <si>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</si>
  <si>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</si>
  <si>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</si>
  <si>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</si>
  <si>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</si>
  <si>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</si>
  <si>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</si>
  <si>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</si>
  <si>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</si>
  <si>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</si>
  <si>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</si>
  <si>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</si>
  <si>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</si>
  <si>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</si>
  <si>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</si>
  <si>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</si>
  <si>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</si>
  <si>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</si>
  <si>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</si>
  <si>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</si>
  <si>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</si>
  <si>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</si>
  <si>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</si>
  <si>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</si>
  <si>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 xml:space="preserve">Al faisal Mart </t>
  </si>
  <si>
    <t xml:space="preserve">Address:  Behriya Nasheman </t>
  </si>
  <si>
    <t xml:space="preserve">Bajwa Mart </t>
  </si>
  <si>
    <t xml:space="preserve">MA Mart </t>
  </si>
  <si>
    <t xml:space="preserve">As Cash &amp; Carry </t>
  </si>
  <si>
    <t xml:space="preserve">D Mart </t>
  </si>
  <si>
    <t xml:space="preserve">Address:  Central Park </t>
  </si>
  <si>
    <t xml:space="preserve">Khan Mart </t>
  </si>
  <si>
    <t xml:space="preserve">Bently Farmacy </t>
  </si>
  <si>
    <t>Address: Central Park</t>
  </si>
  <si>
    <t xml:space="preserve">Safa Cash &amp; Carry </t>
  </si>
  <si>
    <t xml:space="preserve">Sufyan Mart </t>
  </si>
  <si>
    <t xml:space="preserve">Bibi Fatima Cash &amp; Carry </t>
  </si>
  <si>
    <t xml:space="preserve">Address: Central Park </t>
  </si>
  <si>
    <t xml:space="preserve">Chaudry Cash &amp; Carry </t>
  </si>
  <si>
    <t>Address:  Bank 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</si>
</sst>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46265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Al faisal Mart </v>
      </c>
      <c r="T3" s="301">
        <f>+'1'!P35</f>
        <v>13067.57791868644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Bajwa Mart </v>
      </c>
      <c r="T4" s="301">
        <f>+'2'!P35</f>
        <v>2038.5464245550845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MA Mart </v>
      </c>
      <c r="T5" s="301">
        <f>+'3'!P35</f>
        <v>834.58895674576274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As Cash &amp; Carry </v>
      </c>
      <c r="T6" s="301">
        <f>+'4'!P35</f>
        <v>3397.5773742584738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272</v>
      </c>
      <c r="I7" s="235">
        <f>(G7*D7)*F7+H7*F7</f>
        <v>14269.8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1141.5839999999998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499.44300000000004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12628.772999999999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2696.9491525423718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76.628610762711858</v>
      </c>
      <c r="P7" s="310">
        <f>M7+N7+O7</f>
        <v>15402.350763305081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20</v>
      </c>
      <c r="R7" s="314">
        <v>5</v>
      </c>
      <c r="S7" s="300" t="str">
        <f>+'5'!A6:A6</f>
        <v xml:space="preserve">D Mart </v>
      </c>
      <c r="T7" s="301">
        <f>+'5'!P35</f>
        <v>9610.7789971525417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272</v>
      </c>
      <c r="I8" s="236">
        <f t="shared" ref="I8:I14" si="0">(G8*D8)*F8+H8*F8</f>
        <v>14269.8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1141.5839999999998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499.44300000000004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12628.772999999999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2696.9491525423718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76.628610762711858</v>
      </c>
      <c r="P8" s="311">
        <f t="shared" ref="P8:P15" si="2">M8+N8+O8</f>
        <v>15402.350763305081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20</v>
      </c>
      <c r="R8" s="314">
        <v>6</v>
      </c>
      <c r="S8" s="300" t="str">
        <f>+'6'!A6:A6</f>
        <v xml:space="preserve">Khan Mart </v>
      </c>
      <c r="T8" s="301">
        <f>+'6'!P35</f>
        <v>4805.3894985762709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272</v>
      </c>
      <c r="I9" s="236">
        <f t="shared" si="0"/>
        <v>14269.8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1141.5839999999998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499.44300000000004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12628.772999999999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2696.9491525423718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76.628610762711858</v>
      </c>
      <c r="P9" s="311">
        <f t="shared" si="2"/>
        <v>15402.350763305081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20</v>
      </c>
      <c r="R9" s="314">
        <v>7</v>
      </c>
      <c r="S9" s="300" t="str">
        <f>+'7'!A6:A6</f>
        <v xml:space="preserve">Bently Farmacy </v>
      </c>
      <c r="T9" s="301">
        <f>+'7'!P35</f>
        <v>1669.1779134915255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255</v>
      </c>
      <c r="I10" s="236">
        <f t="shared" si="0"/>
        <v>18523.2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1481.856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648.31200000000001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16393.031999999999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3500.8474576271187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99.469397288135596</v>
      </c>
      <c r="P10" s="311">
        <f t="shared" si="2"/>
        <v>19993.348854915253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4">
        <v>8</v>
      </c>
      <c r="S10" s="300" t="str">
        <f>+'8'!A6:A6</f>
        <v xml:space="preserve">Safa Cash &amp; Carry </v>
      </c>
      <c r="T10" s="301">
        <f>+'8'!P35</f>
        <v>16203.789503771184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215</v>
      </c>
      <c r="I11" s="236">
        <f t="shared" si="0"/>
        <v>15617.6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1249.4079999999999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546.6160000000001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13821.576000000001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2951.6949152542375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83.866354576271192</v>
      </c>
      <c r="P11" s="311">
        <f t="shared" si="2"/>
        <v>16857.137269830509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4">
        <v>9</v>
      </c>
      <c r="S11" s="300" t="str">
        <f>+'9'!A6:A6</f>
        <v xml:space="preserve">Sufyan Mart </v>
      </c>
      <c r="T11" s="301">
        <f>+'9'!P35</f>
        <v>7666.3147507627118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250</v>
      </c>
      <c r="I12" s="236">
        <f t="shared" si="0"/>
        <v>18160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1452.8000000000002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635.60000000000014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16071.599999999999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3432.2033898305085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97.519016949152544</v>
      </c>
      <c r="P12" s="311">
        <f t="shared" si="2"/>
        <v>19601.322406779662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80</v>
      </c>
      <c r="R12" s="314">
        <v>10</v>
      </c>
      <c r="S12" s="300" t="str">
        <f>+'10'!A6:A6</f>
        <v xml:space="preserve">Bibi Fatima Cash &amp; Carry </v>
      </c>
      <c r="T12" s="301">
        <f>+'10'!P35</f>
        <v>50684.83490860169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420</v>
      </c>
      <c r="I13" s="236">
        <f t="shared" si="0"/>
        <v>16476.600000000002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823.83000000000015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576.68100000000015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840.30660000000012</v>
      </c>
      <c r="M13" s="230">
        <f t="shared" si="1"/>
        <v>14235.782400000002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3203.3898305084731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87.195861152542392</v>
      </c>
      <c r="P13" s="311">
        <f t="shared" si="2"/>
        <v>17526.368091661017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80</v>
      </c>
      <c r="R13" s="314">
        <v>11</v>
      </c>
      <c r="S13" s="300" t="str">
        <f>+'11'!A6:A6</f>
        <v xml:space="preserve">Chaudry Cash &amp; Carry </v>
      </c>
      <c r="T13" s="301">
        <f>+'11'!P35</f>
        <v>10206.652666500002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48.9</v>
      </c>
      <c r="H16" s="113">
        <f t="shared" ref="H16:M16" si="3">SUM(H7:H15)</f>
        <v>1956</v>
      </c>
      <c r="I16" s="114">
        <f t="shared" si="3"/>
        <v>111586.8</v>
      </c>
      <c r="J16" s="274">
        <f>SUM(J7:J15)</f>
        <v>8432.6460000000006</v>
      </c>
      <c r="K16" s="275">
        <f t="shared" si="3"/>
        <v>3905.538</v>
      </c>
      <c r="L16" s="276">
        <f t="shared" si="3"/>
        <v>840.30660000000012</v>
      </c>
      <c r="M16" s="232">
        <f t="shared" si="3"/>
        <v>98408.309399999998</v>
      </c>
      <c r="N16" s="233">
        <f>SUM(N7:N15)</f>
        <v>21178.983050847455</v>
      </c>
      <c r="O16" s="101">
        <f>SUM(O7:O15)</f>
        <v>597.93646225423731</v>
      </c>
      <c r="P16" s="113">
        <f>SUM(P7:P15)</f>
        <v>120185.22891310169</v>
      </c>
      <c r="Q16" s="128">
        <f>SUM(Q7:Q15)</f>
        <v>300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111586.8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8432.6460000000006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4745.8446000000004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98408.309400000013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21178.983050847455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119587.29245084747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597.93646225423731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120185.2289131017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120185.2289131017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1" workbookViewId="0">
      <selection activeCell="H21" sqref="H21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12106.7</v>
      </c>
      <c r="J25" s="274">
        <f>SUM(J16:J24)</f>
        <v>968.53599999999994</v>
      </c>
      <c r="K25" s="275">
        <f t="shared" si="10"/>
        <v>423.73450000000008</v>
      </c>
      <c r="L25" s="276">
        <f t="shared" si="10"/>
        <v>0</v>
      </c>
      <c r="M25" s="232">
        <f t="shared" si="10"/>
        <v>10714.4295</v>
      </c>
      <c r="N25" s="233">
        <f>SUM(N16:N24)</f>
        <v>2288.1355932203383</v>
      </c>
      <c r="O25" s="101">
        <f>SUM(O16:O24)</f>
        <v>65.012825466101688</v>
      </c>
      <c r="P25" s="113">
        <f>SUM(P16:P24)</f>
        <v>13067.57791868644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12106.7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968.53599999999994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423.73450000000008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10714.4295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13002.565093220339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65.012825466101702</v>
      </c>
    </row>
    <row r="35" spans="2:16" ht="15.75" customHeight="1" thickBot="1" x14ac:dyDescent="0.4">
      <c r="N35" s="344" t="s">
        <v>88</v>
      </c>
      <c r="O35" s="345"/>
      <c r="P35" s="297">
        <f>+P33+P34</f>
        <v>13067.57791868644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36</v>
      </c>
      <c r="I25" s="114">
        <f t="shared" si="7"/>
        <v>1888.6499999999999</v>
      </c>
      <c r="J25" s="274">
        <f>SUM(J16:J24)</f>
        <v>151.09199999999998</v>
      </c>
      <c r="K25" s="275">
        <f t="shared" si="7"/>
        <v>66.10275</v>
      </c>
      <c r="L25" s="276">
        <f t="shared" si="7"/>
        <v>0</v>
      </c>
      <c r="M25" s="232">
        <f t="shared" si="7"/>
        <v>1671.45525</v>
      </c>
      <c r="N25" s="233">
        <f>SUM(N16:N24)</f>
        <v>356.94915254237276</v>
      </c>
      <c r="O25" s="101">
        <f>SUM(O16:O24)</f>
        <v>10.142022012711863</v>
      </c>
      <c r="P25" s="113">
        <f>SUM(P16:P24)</f>
        <v>2038.5464245550847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1888.6499999999999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151.09199999999998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66.10275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1671.45525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356.94915254237276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2028.4044025423727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10.142022012711864</v>
      </c>
    </row>
    <row r="35" spans="2:16" ht="15.75" customHeight="1" thickBot="1" x14ac:dyDescent="0.4">
      <c r="N35" s="344" t="s">
        <v>88</v>
      </c>
      <c r="O35" s="345"/>
      <c r="P35" s="297">
        <f>+P33+P34</f>
        <v>2038.5464245550845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784.60000000000014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39.230000000000011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67.475600000000014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677.89440000000013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830.43677288135598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44" t="s">
        <v>88</v>
      </c>
      <c r="O35" s="345"/>
      <c r="P35" s="297">
        <f>+P33+P34</f>
        <v>834.58895674576274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Q23" sqref="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>
        <v>20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>
        <v>20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>
        <v>20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0</v>
      </c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60</v>
      </c>
      <c r="I25" s="114">
        <f t="shared" si="7"/>
        <v>3147.75</v>
      </c>
      <c r="J25" s="274">
        <f>SUM(J16:J24)</f>
        <v>251.82</v>
      </c>
      <c r="K25" s="275">
        <f t="shared" si="7"/>
        <v>110.17125000000001</v>
      </c>
      <c r="L25" s="276">
        <f t="shared" si="7"/>
        <v>0</v>
      </c>
      <c r="M25" s="232">
        <f t="shared" si="7"/>
        <v>2785.75875</v>
      </c>
      <c r="N25" s="233">
        <f>SUM(N16:N24)</f>
        <v>594.91525423728785</v>
      </c>
      <c r="O25" s="101">
        <f>SUM(O16:O24)</f>
        <v>16.90337002118644</v>
      </c>
      <c r="P25" s="113">
        <f>SUM(P16:P24)</f>
        <v>3397.5773742584743</v>
      </c>
      <c r="Q25" s="128">
        <f>SUM(Q16:Q24)</f>
        <v>100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3147.75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251.82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110.17125000000001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2785.75875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594.91525423728785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3380.6740042372876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16.90337002118644</v>
      </c>
    </row>
    <row r="35" spans="2:16" ht="15.75" customHeight="1" thickBot="1" x14ac:dyDescent="0.4">
      <c r="N35" s="344" t="s">
        <v>88</v>
      </c>
      <c r="O35" s="345"/>
      <c r="P35" s="297">
        <f>+P33+P34</f>
        <v>3397.5773742584738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8949.6</v>
      </c>
      <c r="J25" s="274">
        <f>SUM(J16:J24)</f>
        <v>621.81600000000003</v>
      </c>
      <c r="K25" s="275">
        <f t="shared" si="7"/>
        <v>313.23600000000005</v>
      </c>
      <c r="L25" s="276">
        <f t="shared" si="7"/>
        <v>160.05840000000001</v>
      </c>
      <c r="M25" s="232">
        <f t="shared" si="7"/>
        <v>7854.4896000000008</v>
      </c>
      <c r="N25" s="233">
        <f>SUM(N16:N24)</f>
        <v>1708.4745762711862</v>
      </c>
      <c r="O25" s="101">
        <f>SUM(O16:O24)</f>
        <v>47.814820881355935</v>
      </c>
      <c r="P25" s="113">
        <f>SUM(P16:P24)</f>
        <v>9610.7789971525417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8949.6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621.81600000000003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473.29440000000005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7854.4895999999999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1708.4745762711862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9562.9641762711854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47.814820881355928</v>
      </c>
    </row>
    <row r="35" spans="2:16" ht="15.75" customHeight="1" thickBot="1" x14ac:dyDescent="0.4">
      <c r="N35" s="344" t="s">
        <v>88</v>
      </c>
      <c r="O35" s="345"/>
      <c r="P35" s="297">
        <f>+P33+P34</f>
        <v>9610.7789971525417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4474.8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310.90800000000002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236.64720000000003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3927.2447999999999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4781.4820881355927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4" t="s">
        <v>88</v>
      </c>
      <c r="O35" s="345"/>
      <c r="P35" s="297">
        <f>+P33+P34</f>
        <v>4805.3894985762709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1200.9839999999999</v>
      </c>
      <c r="K25" s="275">
        <f t="shared" si="7"/>
        <v>525.43050000000005</v>
      </c>
      <c r="L25" s="276">
        <f t="shared" si="7"/>
        <v>0</v>
      </c>
      <c r="M25" s="232">
        <f t="shared" si="7"/>
        <v>13285.8855</v>
      </c>
      <c r="N25" s="233">
        <f>SUM(N16:N24)</f>
        <v>2837.2881355932195</v>
      </c>
      <c r="O25" s="101">
        <f>SUM(O16:O24)</f>
        <v>80.615868177966092</v>
      </c>
      <c r="P25" s="113">
        <f>SUM(P16:P24)</f>
        <v>16203.789503771186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15012.300000000001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1200.9839999999999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525.43050000000005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13285.8855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16123.173635593219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80.615868177966092</v>
      </c>
    </row>
    <row r="35" spans="2:16" ht="15.75" customHeight="1" thickBot="1" x14ac:dyDescent="0.4">
      <c r="N35" s="344" t="s">
        <v>88</v>
      </c>
      <c r="O35" s="345"/>
      <c r="P35" s="297">
        <f>+P33+P34</f>
        <v>16203.789503771184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568.20799999999997</v>
      </c>
      <c r="K25" s="275">
        <f t="shared" si="7"/>
        <v>248.59100000000001</v>
      </c>
      <c r="L25" s="276">
        <f t="shared" si="7"/>
        <v>0</v>
      </c>
      <c r="M25" s="232">
        <f t="shared" si="7"/>
        <v>6285.8010000000004</v>
      </c>
      <c r="N25" s="233">
        <f>SUM(N16:N24)</f>
        <v>1342.3728813559319</v>
      </c>
      <c r="O25" s="101">
        <f>SUM(O16:O24)</f>
        <v>38.140869406779657</v>
      </c>
      <c r="P25" s="113">
        <f>SUM(P16:P24)</f>
        <v>7666.3147507627118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7102.6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568.20799999999997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248.59100000000001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6285.8010000000004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7628.1738813559323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38.140869406779665</v>
      </c>
    </row>
    <row r="35" spans="2:16" ht="15.75" customHeight="1" thickBot="1" x14ac:dyDescent="0.4">
      <c r="N35" s="344" t="s">
        <v>88</v>
      </c>
      <c r="O35" s="345"/>
      <c r="P35" s="297">
        <f>+P33+P34</f>
        <v>7666.3147507627118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503.64</v>
      </c>
      <c r="K16" s="127">
        <f>$I16*T16</f>
        <v>220.34250000000003</v>
      </c>
      <c r="L16" s="118">
        <f>$I16*U16</f>
        <v>0</v>
      </c>
      <c r="M16" s="229">
        <f>I16-SUM(J16:L16)</f>
        <v>5571.5174999999999</v>
      </c>
      <c r="N16" s="248">
        <f>+(G16*D16+H16)*V16</f>
        <v>1189.8305084745757</v>
      </c>
      <c r="O16" s="238">
        <f>(N16+M16)*$O$15</f>
        <v>33.80674004237288</v>
      </c>
      <c r="P16" s="310">
        <f>M16+N16+O16</f>
        <v>6795.1547485169476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120</v>
      </c>
      <c r="I17" s="236">
        <f t="shared" ref="I17:I23" si="0">(G17*D17)*F17+H17*F17</f>
        <v>6295.5</v>
      </c>
      <c r="J17" s="272">
        <f t="shared" ref="J17:L24" si="1">$I17*S17</f>
        <v>503.64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5571.5174999999999</v>
      </c>
      <c r="N17" s="277">
        <f t="shared" ref="N17:N24" si="3">+(G17*D17+H17)*V17</f>
        <v>1189.8305084745757</v>
      </c>
      <c r="O17" s="239">
        <f t="shared" ref="O17:O24" si="4">(N17+M17)*$O$15</f>
        <v>33.80674004237288</v>
      </c>
      <c r="P17" s="311">
        <f t="shared" ref="P17:P24" si="5">M17+N17+O17</f>
        <v>6795.1547485169476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120</v>
      </c>
      <c r="I18" s="236">
        <f t="shared" si="0"/>
        <v>6295.5</v>
      </c>
      <c r="J18" s="272">
        <f t="shared" si="1"/>
        <v>503.64</v>
      </c>
      <c r="K18" s="128">
        <f t="shared" si="1"/>
        <v>220.34250000000003</v>
      </c>
      <c r="L18" s="119">
        <f t="shared" si="1"/>
        <v>0</v>
      </c>
      <c r="M18" s="230">
        <f t="shared" si="2"/>
        <v>5571.5174999999999</v>
      </c>
      <c r="N18" s="277">
        <f t="shared" si="3"/>
        <v>1189.8305084745757</v>
      </c>
      <c r="O18" s="239">
        <f t="shared" si="4"/>
        <v>33.80674004237288</v>
      </c>
      <c r="P18" s="311">
        <f t="shared" si="5"/>
        <v>6795.1547485169476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120</v>
      </c>
      <c r="I19" s="236">
        <f t="shared" si="0"/>
        <v>8716.7999999999993</v>
      </c>
      <c r="J19" s="272">
        <f t="shared" si="1"/>
        <v>697.34399999999994</v>
      </c>
      <c r="K19" s="128">
        <f t="shared" si="1"/>
        <v>305.08800000000002</v>
      </c>
      <c r="L19" s="119">
        <f t="shared" si="1"/>
        <v>0</v>
      </c>
      <c r="M19" s="230">
        <f t="shared" si="2"/>
        <v>7714.3679999999995</v>
      </c>
      <c r="N19" s="277">
        <f t="shared" si="3"/>
        <v>1647.4576271186443</v>
      </c>
      <c r="O19" s="239">
        <f t="shared" si="4"/>
        <v>46.80912813559322</v>
      </c>
      <c r="P19" s="311">
        <f t="shared" si="5"/>
        <v>9408.6347552542375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311">
        <f t="shared" si="5"/>
        <v>6272.4231701694916</v>
      </c>
      <c r="Q20" s="156">
        <v>40</v>
      </c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200</v>
      </c>
      <c r="I22" s="236">
        <f t="shared" si="0"/>
        <v>7846.0000000000009</v>
      </c>
      <c r="J22" s="272">
        <f t="shared" si="1"/>
        <v>392.30000000000007</v>
      </c>
      <c r="K22" s="128">
        <f t="shared" si="1"/>
        <v>274.61000000000007</v>
      </c>
      <c r="L22" s="119">
        <f t="shared" si="1"/>
        <v>400.14600000000002</v>
      </c>
      <c r="M22" s="230">
        <f t="shared" si="2"/>
        <v>6778.9440000000013</v>
      </c>
      <c r="N22" s="277">
        <f t="shared" si="3"/>
        <v>1525.4237288135585</v>
      </c>
      <c r="O22" s="239">
        <f t="shared" si="4"/>
        <v>41.521838644067806</v>
      </c>
      <c r="P22" s="311">
        <f t="shared" si="5"/>
        <v>8345.8895674576288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840</v>
      </c>
      <c r="I25" s="114">
        <f t="shared" si="7"/>
        <v>47071.7</v>
      </c>
      <c r="J25" s="274">
        <f>SUM(J16:J24)</f>
        <v>3530.3560000000007</v>
      </c>
      <c r="K25" s="275">
        <f t="shared" si="7"/>
        <v>1647.5095000000003</v>
      </c>
      <c r="L25" s="276">
        <f t="shared" si="7"/>
        <v>400.14600000000002</v>
      </c>
      <c r="M25" s="232">
        <f t="shared" si="7"/>
        <v>41493.688500000004</v>
      </c>
      <c r="N25" s="233">
        <f>SUM(N16:N24)</f>
        <v>8938.9830508474552</v>
      </c>
      <c r="O25" s="101">
        <f>SUM(O16:O24)</f>
        <v>252.16335775423727</v>
      </c>
      <c r="P25" s="113">
        <f>SUM(P16:P24)</f>
        <v>50684.83490860169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47071.7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3530.3560000000007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2047.6555000000003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41493.688499999997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8938.9830508474552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50432.671550847452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252.16335775423727</v>
      </c>
    </row>
    <row r="35" spans="2:16" ht="15.75" customHeight="1" thickBot="1" x14ac:dyDescent="0.4">
      <c r="N35" s="344" t="s">
        <v>88</v>
      </c>
      <c r="O35" s="345"/>
      <c r="P35" s="297">
        <f>+P33+P34</f>
        <v>50684.83490860169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9478.9000000000015</v>
      </c>
      <c r="J25" s="274">
        <f>SUM(J16:J24)</f>
        <v>711.23599999999999</v>
      </c>
      <c r="K25" s="275">
        <f t="shared" si="7"/>
        <v>331.76150000000007</v>
      </c>
      <c r="L25" s="276">
        <f t="shared" si="7"/>
        <v>80.029200000000003</v>
      </c>
      <c r="M25" s="232">
        <f t="shared" si="7"/>
        <v>8355.8733000000011</v>
      </c>
      <c r="N25" s="233">
        <f>SUM(N16:N24)</f>
        <v>1799.9999999999998</v>
      </c>
      <c r="O25" s="101">
        <f>SUM(O16:O24)</f>
        <v>50.779366500000002</v>
      </c>
      <c r="P25" s="113">
        <f>SUM(P16:P24)</f>
        <v>10206.6526665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9478.9000000000015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711.23599999999999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411.79070000000007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8355.8733000000011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1799.9999999999998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10155.873300000001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50.779366500000009</v>
      </c>
    </row>
    <row r="35" spans="2:16" ht="15.75" customHeight="1" thickBot="1" x14ac:dyDescent="0.4">
      <c r="N35" s="344" t="s">
        <v>88</v>
      </c>
      <c r="O35" s="345"/>
      <c r="P35" s="297">
        <f>+P33+P34</f>
        <v>10206.652666500002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46267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46266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2026-09-01T05:20:48Z</dcterms:modified>
</cp:coreProperties>
</file>