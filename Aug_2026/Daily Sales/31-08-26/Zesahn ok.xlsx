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2C7B3ED-2F4F-450D-A5FF-2A6A2CC599B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3" i="59"/>
  <c r="M16" i="58"/>
  <c r="M21" i="52"/>
  <c r="O21" i="52" s="1"/>
  <c r="P21" i="52" s="1"/>
  <c r="M22" i="52"/>
  <c r="O22" i="52" s="1"/>
  <c r="P22" i="52" s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<sst xmlns="http://schemas.openxmlformats.org/spreadsheetml/2006/main" count="3948" uniqueCount="533">
  <si>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</si>
  <si>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</si>
  <si>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</si>
  <si>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</si>
  <si>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</si>
  <si>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</si>
  <si>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</si>
  <si>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</si>
  <si>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</si>
  <si>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</si>
  <si>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</si>
  <si>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</si>
  <si>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</si>
  <si>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</si>
  <si>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</si>
  <si>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</si>
  <si>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</si>
  <si>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</si>
  <si>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</si>
  <si>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</si>
  <si>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</si>
  <si>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</si>
  <si>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</si>
  <si>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</si>
  <si>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</si>
  <si>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</si>
  <si>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</si>
  <si>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</si>
  <si>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</si>
  <si>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</si>
  <si>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</si>
  <si>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</si>
  <si>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</si>
  <si>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</si>
  <si>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</si>
  <si>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</si>
  <si>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</si>
  <si>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</si>
  <si>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</si>
  <si>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</si>
  <si>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</si>
  <si>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</si>
  <si>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</si>
  <si>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</si>
  <si>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</si>
  <si>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</si>
  <si>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</si>
  <si>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</si>
  <si>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</si>
  <si>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</si>
  <si>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</si>
  <si>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</si>
  <si>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</si>
  <si>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</si>
  <si>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</si>
  <si>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</si>
  <si>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</si>
  <si>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</si>
  <si>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</si>
  <si>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</si>
  <si>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</si>
  <si>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</si>
  <si>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</si>
  <si>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</si>
  <si>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</si>
  <si>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</si>
  <si>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</si>
  <si>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</si>
  <si>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</si>
  <si>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</si>
  <si>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</si>
  <si>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</si>
  <si>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</si>
  <si>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</si>
  <si>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</si>
  <si>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</si>
  <si>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</si>
  <si>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</si>
  <si>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</si>
  <si>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</si>
  <si>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</si>
  <si>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</si>
  <si>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</si>
  <si>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</si>
  <si>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</si>
  <si>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</si>
  <si>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</si>
  <si>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</si>
  <si>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</si>
  <si>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</si>
  <si>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</si>
  <si>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</si>
  <si>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</si>
  <si>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</si>
  <si>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</si>
  <si>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</si>
  <si>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</si>
  <si>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</si>
  <si>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</si>
  <si>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</si>
  <si>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</si>
  <si>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</si>
  <si>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</si>
  <si>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</si>
  <si>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</si>
  <si>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</si>
  <si>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</si>
  <si>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</si>
  <si>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</si>
  <si>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</si>
  <si>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</si>
  <si>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</si>
  <si>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</si>
  <si>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</si>
  <si>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</si>
  <si>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</si>
  <si>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</si>
  <si>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</si>
  <si>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</si>
  <si>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</si>
  <si>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</si>
  <si>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</si>
  <si>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</si>
  <si>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</si>
  <si>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</si>
  <si>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</si>
  <si>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</si>
  <si>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</si>
  <si>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</si>
  <si>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</si>
  <si>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</si>
  <si>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</si>
  <si>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</si>
  <si>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</si>
  <si>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</si>
  <si>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</si>
  <si>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</si>
  <si>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</si>
  <si>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</si>
  <si>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</si>
  <si>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</si>
  <si>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</si>
  <si>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</si>
  <si>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</si>
  <si>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</si>
  <si>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</si>
  <si>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</si>
  <si>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</si>
  <si>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</si>
  <si>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</si>
  <si>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</si>
  <si>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</si>
  <si>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</si>
  <si>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</si>
  <si>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</si>
  <si>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</si>
  <si>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</si>
  <si>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</si>
  <si>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</si>
  <si>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</si>
  <si>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</si>
  <si>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</si>
  <si>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</si>
  <si>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</si>
  <si>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</si>
  <si>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</si>
  <si>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</si>
  <si>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</si>
  <si>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</si>
  <si>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</si>
  <si>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</si>
  <si>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</si>
  <si>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</si>
  <si>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</si>
  <si>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</si>
  <si>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</si>
  <si>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</si>
  <si>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</si>
  <si>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</si>
  <si>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</si>
  <si>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</si>
  <si>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</si>
  <si>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</si>
  <si>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</si>
  <si>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</si>
  <si>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</si>
  <si>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</si>
  <si>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</si>
  <si>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</si>
  <si>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</si>
  <si>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</si>
  <si>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</si>
  <si>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</si>
  <si>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</si>
  <si>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</si>
  <si>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</si>
  <si>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</si>
  <si>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</si>
  <si>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</si>
  <si>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</si>
  <si>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</si>
  <si>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</si>
  <si>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</si>
  <si>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</si>
  <si>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</si>
  <si>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</si>
  <si>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</si>
  <si>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</si>
  <si>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</si>
  <si>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</si>
  <si>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</si>
  <si>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</si>
  <si>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</si>
  <si>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</si>
  <si>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</si>
  <si>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</si>
  <si>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</si>
  <si>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</si>
  <si>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</si>
  <si>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</si>
  <si>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</si>
  <si>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</si>
  <si>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</si>
  <si>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</si>
  <si>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</si>
  <si>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</si>
  <si>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</si>
  <si>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</si>
  <si>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</si>
  <si>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</si>
  <si>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</si>
  <si>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</si>
  <si>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</si>
  <si>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</si>
  <si>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</si>
  <si>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</si>
  <si>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</si>
  <si>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</si>
  <si>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</si>
  <si>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</si>
  <si>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</si>
  <si>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</si>
  <si>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</si>
  <si>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</si>
  <si>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</si>
  <si>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</si>
  <si>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</si>
  <si>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</si>
  <si>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</si>
  <si>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</si>
  <si>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</si>
  <si>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</si>
  <si>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</si>
  <si>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</si>
  <si>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</si>
  <si>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</si>
  <si>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</si>
  <si>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</si>
  <si>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</si>
  <si>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</si>
  <si>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</si>
  <si>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</si>
  <si>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</si>
  <si>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</si>
  <si>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</si>
  <si>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</si>
  <si>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</si>
  <si>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</si>
  <si>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</si>
  <si>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</si>
  <si>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</si>
  <si>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</si>
  <si>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</si>
  <si>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</si>
  <si>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</si>
  <si>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</si>
  <si>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</si>
  <si>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</si>
  <si>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</si>
  <si>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</si>
  <si>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</si>
  <si>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</si>
  <si>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</si>
  <si>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</si>
  <si>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</si>
  <si>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</si>
  <si>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</si>
  <si>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</si>
  <si>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</si>
  <si>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</si>
  <si>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</si>
  <si>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</si>
  <si>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</si>
  <si>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</si>
  <si>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</si>
  <si>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</si>
  <si>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</si>
  <si>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</si>
  <si>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</si>
  <si>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</si>
  <si>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</si>
  <si>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</si>
  <si>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</si>
  <si>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</si>
  <si>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</si>
  <si>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</si>
  <si>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</si>
  <si>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</si>
  <si>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</si>
  <si>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</si>
  <si>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</si>
  <si>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</si>
  <si>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</si>
  <si>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</si>
  <si>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</si>
  <si>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</si>
  <si>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</si>
  <si>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</si>
  <si>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</si>
  <si>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</si>
  <si>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</si>
  <si>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</si>
  <si>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</si>
  <si>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</si>
  <si>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</si>
  <si>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</si>
  <si>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</si>
  <si>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</si>
  <si>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</si>
  <si>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</si>
  <si>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</si>
  <si>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</si>
  <si>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</si>
  <si>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</si>
  <si>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</si>
  <si>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</si>
  <si>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</si>
  <si>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</si>
  <si>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</si>
  <si>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</si>
  <si>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</si>
  <si>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</si>
  <si>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</si>
  <si>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</si>
  <si>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</si>
  <si>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</si>
  <si>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</si>
  <si>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</si>
  <si>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</si>
  <si>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</si>
  <si>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</si>
  <si>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</si>
  <si>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</si>
  <si>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</si>
  <si>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</si>
  <si>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</si>
  <si>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</si>
  <si>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</si>
  <si>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</si>
  <si>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</si>
  <si>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</si>
  <si>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</si>
  <si>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</si>
  <si>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</si>
  <si>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</si>
  <si>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</si>
  <si>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</si>
  <si>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</si>
  <si>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</si>
  <si>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</si>
  <si>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</si>
  <si>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</si>
  <si>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</si>
  <si>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</si>
  <si>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</si>
  <si>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</si>
  <si>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</si>
  <si>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</si>
  <si>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</si>
  <si>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</si>
  <si>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</si>
  <si>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</si>
  <si>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</si>
  <si>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</si>
  <si>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</si>
  <si>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</si>
  <si>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</si>
  <si>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</si>
  <si>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</si>
  <si>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</si>
  <si>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</si>
  <si>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</si>
  <si>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</si>
  <si>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</si>
  <si>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</si>
  <si>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</si>
  <si>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</si>
  <si>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</si>
  <si>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</si>
  <si>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</si>
  <si>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</si>
  <si>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</si>
  <si>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</si>
  <si>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</si>
  <si>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</si>
  <si>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</si>
  <si>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</si>
  <si>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</si>
  <si>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</si>
  <si>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</si>
  <si>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</si>
  <si>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</si>
  <si>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</si>
  <si>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</si>
  <si>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</si>
  <si>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</si>
  <si>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</si>
  <si>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</si>
  <si>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</si>
  <si>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</si>
  <si>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</si>
  <si>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</si>
  <si>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</si>
  <si>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</si>
  <si>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</si>
  <si>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</si>
  <si>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</si>
  <si>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</si>
  <si>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</si>
  <si>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</si>
  <si>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</si>
  <si>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</si>
  <si>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</si>
  <si>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</si>
  <si>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</si>
  <si>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</si>
  <si>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</si>
  <si>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</si>
  <si>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</si>
  <si>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</si>
  <si>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</si>
  <si>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</si>
  <si>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</si>
  <si>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</si>
  <si>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</si>
  <si>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</si>
  <si>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</si>
  <si>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</si>
  <si>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</si>
  <si>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</si>
  <si>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</si>
  <si>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</si>
  <si>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</si>
  <si>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</si>
  <si>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</si>
  <si>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</si>
  <si>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</si>
  <si>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</si>
  <si>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</si>
  <si>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</si>
  <si>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</si>
  <si>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</si>
  <si>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</si>
  <si>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</si>
  <si>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</si>
  <si>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</si>
  <si>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</si>
  <si>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</si>
  <si>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</si>
  <si>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</si>
  <si>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</si>
  <si>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</si>
  <si>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</si>
  <si>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</si>
  <si>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</si>
  <si>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</si>
  <si>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</si>
  <si>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</si>
  <si>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</si>
  <si>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</si>
  <si>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</si>
  <si>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</si>
  <si>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</si>
  <si>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</si>
  <si>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</si>
  <si>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</si>
  <si>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</si>
  <si>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</si>
  <si>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</si>
  <si>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</si>
  <si>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</si>
  <si>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</si>
  <si>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</si>
  <si>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</si>
  <si>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</si>
  <si>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</si>
  <si>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</si>
  <si>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</si>
  <si>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</si>
  <si>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</si>
  <si>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</si>
  <si>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</si>
  <si>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</si>
  <si>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</si>
  <si>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</si>
  <si>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</si>
  <si>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</si>
  <si>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</si>
  <si>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</si>
  <si>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</si>
  <si>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</si>
  <si>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</si>
  <si>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</si>
  <si>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Zesahn </t>
  </si>
  <si>
    <t>Mian Store</t>
  </si>
  <si>
    <t>Address: Bedian Road</t>
  </si>
  <si>
    <t>Fakhir Store</t>
  </si>
  <si>
    <t>Chaudry Store</t>
  </si>
  <si>
    <t>HR Store</t>
  </si>
  <si>
    <t>Saleem Store</t>
  </si>
  <si>
    <t>Malik Store</t>
  </si>
  <si>
    <t xml:space="preserve">Khalil Bakers </t>
  </si>
  <si>
    <t>Yasin Store</t>
  </si>
  <si>
    <t xml:space="preserve">Luqman Bakers </t>
  </si>
  <si>
    <t xml:space="preserve">D Mart </t>
  </si>
  <si>
    <t>Urban Mart \</t>
  </si>
  <si>
    <t xml:space="preserve">Shery Mart </t>
  </si>
  <si>
    <t>Bilal Stroe</t>
  </si>
  <si>
    <t xml:space="preserve">Bin Hadi </t>
  </si>
  <si>
    <t>Khan Store</t>
  </si>
  <si>
    <t xml:space="preserve">MM Cash &amp; Carry </t>
  </si>
  <si>
    <t>Hikma Store</t>
  </si>
  <si>
    <t>Address: BB Askari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</si>
</sst>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Mian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Fakhir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Chaudry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HR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140</v>
      </c>
      <c r="I7" s="235">
        <f>(G7*D7)*F7+H7*F7</f>
        <v>7344.75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587.57999999999993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257.06625000000003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6500.1037500000002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1388.1355932203385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39.441196716101693</v>
      </c>
      <c r="P7" s="310">
        <f>M7+N7+O7</f>
        <v>7927.6805399364403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Saleem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140</v>
      </c>
      <c r="I8" s="236">
        <f t="shared" ref="I8:I14" si="0">(G8*D8)*F8+H8*F8</f>
        <v>7344.75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587.57999999999993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257.06625000000003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6500.1037500000002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1388.1355932203385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39.441196716101693</v>
      </c>
      <c r="P8" s="311">
        <f t="shared" ref="P8:P15" si="2">M8+N8+O8</f>
        <v>7927.6805399364403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Malik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839.4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9285.8624999999993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56.344566737288133</v>
      </c>
      <c r="P9" s="311">
        <f t="shared" si="2"/>
        <v>11325.257914194915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Khalil Bakers 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175</v>
      </c>
      <c r="I10" s="236">
        <f t="shared" si="0"/>
        <v>12712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1016.9599999999999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444.92000000000007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11250.119999999999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2402.5423728813557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68.263311864406774</v>
      </c>
      <c r="P10" s="311">
        <f t="shared" si="2"/>
        <v>13720.92568474576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Yasin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210</v>
      </c>
      <c r="I11" s="236">
        <f t="shared" si="0"/>
        <v>15254.4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533.904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13500.144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2883.0508474576272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81.91597423728814</v>
      </c>
      <c r="P11" s="311">
        <f t="shared" si="2"/>
        <v>16465.110821694914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Luqman Bakers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255</v>
      </c>
      <c r="I12" s="236">
        <f t="shared" si="0"/>
        <v>18523.2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1481.8560000000002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648.31200000000013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16393.031999999999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3500.8474576271187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99.469397288135596</v>
      </c>
      <c r="P12" s="311">
        <f t="shared" si="2"/>
        <v>19993.348854915253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D Mart </v>
      </c>
      <c r="T12" s="301">
        <f>+'10'!P35</f>
        <v>15883.202167322032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660</v>
      </c>
      <c r="I13" s="236">
        <f t="shared" si="0"/>
        <v>25891.800000000003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1294.5900000000004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906.21300000000031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1320.4818</v>
      </c>
      <c r="M13" s="230">
        <f t="shared" si="1"/>
        <v>22370.515200000002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5033.8983050847419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137.02206752542375</v>
      </c>
      <c r="P13" s="311">
        <f t="shared" si="2"/>
        <v>27541.435572610168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>Urban Mart \</v>
      </c>
      <c r="T13" s="301">
        <f>+'11'!P35</f>
        <v>30630.517055847457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Shery Mart </v>
      </c>
      <c r="T14" s="301">
        <f>+'12'!P35</f>
        <v>566.26289570974575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Bilal Stroe</v>
      </c>
      <c r="T15" s="301">
        <f>+'13'!P35</f>
        <v>566.26289570974575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44.5</v>
      </c>
      <c r="H16" s="113">
        <f t="shared" ref="H16:M16" si="3">SUM(H7:H15)</f>
        <v>1780</v>
      </c>
      <c r="I16" s="114">
        <f t="shared" si="3"/>
        <v>97563.400000000009</v>
      </c>
      <c r="J16" s="274">
        <f>SUM(J7:J15)</f>
        <v>7028.3180000000011</v>
      </c>
      <c r="K16" s="275">
        <f t="shared" si="3"/>
        <v>3414.7190000000005</v>
      </c>
      <c r="L16" s="276">
        <f t="shared" si="3"/>
        <v>1320.4818</v>
      </c>
      <c r="M16" s="232">
        <f t="shared" si="3"/>
        <v>85799.881200000003</v>
      </c>
      <c r="N16" s="233">
        <f>SUM(N7:N15)</f>
        <v>18579.661016949147</v>
      </c>
      <c r="O16" s="101">
        <f>SUM(O7:O15)</f>
        <v>521.89771108474577</v>
      </c>
      <c r="P16" s="113">
        <f>SUM(P7:P15)</f>
        <v>104901.43992803388</v>
      </c>
      <c r="Q16" s="128">
        <f>SUM(Q7:Q15)</f>
        <v>40</v>
      </c>
      <c r="R16" s="314">
        <v>14</v>
      </c>
      <c r="S16" s="318" t="str">
        <f>+'14'!A6:A6</f>
        <v xml:space="preserve">Bin Hadi </v>
      </c>
      <c r="T16" s="301">
        <f>+'14'!P35</f>
        <v>566.26289570974575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Khan Store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MM Cash &amp; Carry </v>
      </c>
      <c r="T18" s="301">
        <f>+'16'!P35</f>
        <v>6235.8521246694918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97563.400000000009</v>
      </c>
      <c r="R19" s="299">
        <v>17</v>
      </c>
      <c r="S19" s="300" t="str">
        <f>+'17'!A6:A6</f>
        <v>Hikma Store</v>
      </c>
      <c r="T19" s="301">
        <f>+'17'!P35</f>
        <v>21807.19691359322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7028.3180000000011</v>
      </c>
      <c r="R20" s="299">
        <v>18</v>
      </c>
      <c r="S20" s="300" t="str">
        <f>+'18'!A6:A6</f>
        <v>Hikma Store</v>
      </c>
      <c r="T20" s="301">
        <f>+'18'!P35</f>
        <v>21807.19691359322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4735.2008000000005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85799.881200000003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18579.661016949147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104379.54221694915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521.89771108474577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104901.4399280339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104901.4399280339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14760.8</v>
      </c>
      <c r="J25" s="274">
        <f>SUM(J16:J24)</f>
        <v>1086.712</v>
      </c>
      <c r="K25" s="275">
        <f t="shared" si="7"/>
        <v>516.62800000000004</v>
      </c>
      <c r="L25" s="276">
        <f t="shared" si="7"/>
        <v>160.05840000000001</v>
      </c>
      <c r="M25" s="232">
        <f t="shared" si="7"/>
        <v>12997.401600000001</v>
      </c>
      <c r="N25" s="233">
        <f>SUM(N16:N24)</f>
        <v>2806.7796610169489</v>
      </c>
      <c r="O25" s="101">
        <f>SUM(O16:O24)</f>
        <v>79.02090630508475</v>
      </c>
      <c r="P25" s="113">
        <f>SUM(P16:P24)</f>
        <v>15883.202167322033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14760.8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1086.712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676.68640000000005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12997.401599999999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2806.7796610169489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15804.181261016947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79.020906305084736</v>
      </c>
    </row>
    <row r="35" spans="2:16" ht="15.75" customHeight="1" thickBot="1" x14ac:dyDescent="0.4">
      <c r="N35" s="344" t="s">
        <v>88</v>
      </c>
      <c r="O35" s="345"/>
      <c r="P35" s="297">
        <f>+P33+P34</f>
        <v>15883.202167322032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400</v>
      </c>
      <c r="I22" s="236">
        <f t="shared" si="0"/>
        <v>15692.000000000002</v>
      </c>
      <c r="J22" s="272">
        <f t="shared" si="1"/>
        <v>784.60000000000014</v>
      </c>
      <c r="K22" s="128">
        <f t="shared" si="1"/>
        <v>549.22000000000014</v>
      </c>
      <c r="L22" s="119">
        <f t="shared" si="1"/>
        <v>800.29200000000003</v>
      </c>
      <c r="M22" s="230">
        <f t="shared" si="2"/>
        <v>13557.888000000003</v>
      </c>
      <c r="N22" s="277">
        <f t="shared" si="3"/>
        <v>3050.8474576271169</v>
      </c>
      <c r="O22" s="239">
        <f t="shared" si="4"/>
        <v>83.043677288135612</v>
      </c>
      <c r="P22" s="311">
        <f t="shared" si="5"/>
        <v>16691.779134915258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600</v>
      </c>
      <c r="I25" s="114">
        <f t="shared" si="7"/>
        <v>28605.800000000003</v>
      </c>
      <c r="J25" s="274">
        <f>SUM(J16:J24)</f>
        <v>1817.7040000000002</v>
      </c>
      <c r="K25" s="275">
        <f t="shared" si="7"/>
        <v>1001.2030000000002</v>
      </c>
      <c r="L25" s="276">
        <f t="shared" si="7"/>
        <v>800.29200000000003</v>
      </c>
      <c r="M25" s="232">
        <f t="shared" si="7"/>
        <v>24986.601000000002</v>
      </c>
      <c r="N25" s="233">
        <f>SUM(N16:N24)</f>
        <v>5491.5254237288118</v>
      </c>
      <c r="O25" s="101">
        <f>SUM(O16:O24)</f>
        <v>152.39063211864408</v>
      </c>
      <c r="P25" s="113">
        <f>SUM(P16:P24)</f>
        <v>30630.517055847464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28605.800000000003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1817.7040000000002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1801.4950000000003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24986.601000000002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5491.5254237288118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30478.126423728812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152.39063211864408</v>
      </c>
    </row>
    <row r="35" spans="2:16" ht="15.75" customHeight="1" thickBot="1" x14ac:dyDescent="0.4">
      <c r="N35" s="344" t="s">
        <v>88</v>
      </c>
      <c r="O35" s="345"/>
      <c r="P35" s="297">
        <f>+P33+P34</f>
        <v>30630.517055847457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100</v>
      </c>
      <c r="I25" s="114">
        <f t="shared" si="7"/>
        <v>5788.7000000000007</v>
      </c>
      <c r="J25" s="274">
        <f>SUM(J16:J24)</f>
        <v>439.55800000000005</v>
      </c>
      <c r="K25" s="275">
        <f t="shared" si="7"/>
        <v>202.60450000000003</v>
      </c>
      <c r="L25" s="276">
        <f t="shared" si="7"/>
        <v>40.014600000000002</v>
      </c>
      <c r="M25" s="232">
        <f t="shared" si="7"/>
        <v>5106.5228999999999</v>
      </c>
      <c r="N25" s="233">
        <f>SUM(N16:N24)</f>
        <v>1098.3050847457625</v>
      </c>
      <c r="O25" s="101">
        <f>SUM(O16:O24)</f>
        <v>31.024139923728814</v>
      </c>
      <c r="P25" s="113">
        <f>SUM(P16:P24)</f>
        <v>6235.8521246694909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5788.7000000000007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439.55800000000005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242.61910000000003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5106.5229000000008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6204.8279847457634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31.024139923728818</v>
      </c>
    </row>
    <row r="35" spans="2:16" ht="15.75" customHeight="1" thickBot="1" x14ac:dyDescent="0.4">
      <c r="N35" s="344" t="s">
        <v>88</v>
      </c>
      <c r="O35" s="345"/>
      <c r="P35" s="297">
        <f>+P33+P34</f>
        <v>6235.8521246694918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311">
        <f t="shared" si="5"/>
        <v>4530.103165677966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360</v>
      </c>
      <c r="I25" s="114">
        <f t="shared" si="7"/>
        <v>20249.2</v>
      </c>
      <c r="J25" s="274">
        <f>SUM(J16:J24)</f>
        <v>1525.7840000000001</v>
      </c>
      <c r="K25" s="275">
        <f t="shared" si="7"/>
        <v>708.72200000000009</v>
      </c>
      <c r="L25" s="276">
        <f t="shared" si="7"/>
        <v>160.05840000000001</v>
      </c>
      <c r="M25" s="232">
        <f t="shared" si="7"/>
        <v>17854.635600000001</v>
      </c>
      <c r="N25" s="233">
        <f>SUM(N16:N24)</f>
        <v>3844.0677966101684</v>
      </c>
      <c r="O25" s="101">
        <f>SUM(O16:O24)</f>
        <v>108.49351698305084</v>
      </c>
      <c r="P25" s="113">
        <f>SUM(P16:P24)</f>
        <v>21807.19691359322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20249.2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1525.7840000000001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868.7804000000001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17854.635600000001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3844.0677966101684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21698.70339661017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108.49351698305085</v>
      </c>
    </row>
    <row r="35" spans="2:16" ht="15.75" customHeight="1" thickBot="1" x14ac:dyDescent="0.4">
      <c r="N35" s="344" t="s">
        <v>88</v>
      </c>
      <c r="O35" s="345"/>
      <c r="P35" s="297">
        <f>+P33+P34</f>
        <v>21807.19691359322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311">
        <f t="shared" si="5"/>
        <v>4530.103165677966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360</v>
      </c>
      <c r="I25" s="114">
        <f t="shared" si="7"/>
        <v>20249.2</v>
      </c>
      <c r="J25" s="274">
        <f>SUM(J16:J24)</f>
        <v>1525.7840000000001</v>
      </c>
      <c r="K25" s="275">
        <f t="shared" si="7"/>
        <v>708.72200000000009</v>
      </c>
      <c r="L25" s="276">
        <f t="shared" si="7"/>
        <v>160.05840000000001</v>
      </c>
      <c r="M25" s="232">
        <f t="shared" si="7"/>
        <v>17854.635600000001</v>
      </c>
      <c r="N25" s="233">
        <f>SUM(N16:N24)</f>
        <v>3844.0677966101684</v>
      </c>
      <c r="O25" s="101">
        <f>SUM(O16:O24)</f>
        <v>108.49351698305084</v>
      </c>
      <c r="P25" s="113">
        <f>SUM(P16:P24)</f>
        <v>21807.19691359322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20249.2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1525.7840000000001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868.7804000000001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17854.635600000001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3844.0677966101684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21698.70339661017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108.49351698305085</v>
      </c>
    </row>
    <row r="35" spans="2:16" ht="15.75" customHeight="1" thickBot="1" x14ac:dyDescent="0.4">
      <c r="N35" s="344" t="s">
        <v>88</v>
      </c>
      <c r="O35" s="345"/>
      <c r="P35" s="297">
        <f>+P33+P34</f>
        <v>21807.19691359322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2026-09-01T05:18:08Z</dcterms:modified>
</cp:coreProperties>
</file>