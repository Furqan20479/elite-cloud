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4422812-DA18-4A7F-84D8-94F4DE46A84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<sst xmlns="http://schemas.openxmlformats.org/spreadsheetml/2006/main" count="3948" uniqueCount="532">
  <si>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</si>
  <si>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</si>
  <si>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</si>
  <si>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</si>
  <si>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</si>
  <si>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</si>
  <si>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</si>
  <si>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</si>
  <si>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</si>
  <si>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</si>
  <si>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</si>
  <si>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</si>
  <si>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</si>
  <si>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</si>
  <si>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</si>
  <si>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</si>
  <si>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</si>
  <si>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</si>
  <si>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</si>
  <si>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</si>
  <si>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</si>
  <si>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</si>
  <si>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</si>
  <si>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</si>
  <si>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</si>
  <si>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</si>
  <si>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</si>
  <si>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</si>
  <si>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</si>
  <si>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</si>
  <si>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</si>
  <si>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</si>
  <si>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</si>
  <si>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</si>
  <si>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</si>
  <si>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</si>
  <si>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</si>
  <si>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</si>
  <si>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</si>
  <si>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</si>
  <si>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</si>
  <si>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</si>
  <si>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</si>
  <si>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</si>
  <si>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</si>
  <si>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</si>
  <si>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</si>
  <si>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</si>
  <si>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</si>
  <si>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</si>
  <si>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</si>
  <si>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</si>
  <si>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</si>
  <si>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</si>
  <si>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</si>
  <si>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</si>
  <si>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</si>
  <si>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</si>
  <si>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</si>
  <si>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</si>
  <si>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</si>
  <si>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</si>
  <si>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</si>
  <si>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</si>
  <si>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</si>
  <si>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</si>
  <si>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</si>
  <si>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</si>
  <si>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</si>
  <si>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</si>
  <si>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</si>
  <si>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</si>
  <si>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</si>
  <si>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</si>
  <si>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</si>
  <si>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</si>
  <si>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</si>
  <si>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</si>
  <si>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</si>
  <si>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</si>
  <si>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</si>
  <si>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</si>
  <si>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</si>
  <si>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</si>
  <si>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</si>
  <si>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</si>
  <si>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</si>
  <si>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</si>
  <si>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</si>
  <si>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</si>
  <si>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</si>
  <si>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</si>
  <si>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</si>
  <si>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</si>
  <si>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</si>
  <si>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</si>
  <si>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</si>
  <si>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</si>
  <si>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</si>
  <si>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</si>
  <si>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</si>
  <si>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</si>
  <si>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</si>
  <si>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</si>
  <si>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</si>
  <si>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</si>
  <si>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</si>
  <si>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</si>
  <si>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</si>
  <si>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</si>
  <si>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</si>
  <si>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</si>
  <si>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</si>
  <si>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</si>
  <si>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</si>
  <si>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</si>
  <si>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</si>
  <si>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</si>
  <si>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</si>
  <si>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</si>
  <si>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</si>
  <si>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</si>
  <si>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</si>
  <si>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</si>
  <si>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</si>
  <si>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</si>
  <si>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</si>
  <si>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</si>
  <si>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</si>
  <si>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</si>
  <si>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</si>
  <si>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</si>
  <si>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</si>
  <si>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</si>
  <si>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</si>
  <si>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</si>
  <si>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</si>
  <si>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</si>
  <si>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</si>
  <si>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</si>
  <si>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</si>
  <si>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</si>
  <si>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</si>
  <si>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</si>
  <si>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</si>
  <si>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</si>
  <si>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</si>
  <si>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</si>
  <si>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</si>
  <si>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</si>
  <si>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</si>
  <si>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</si>
  <si>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</si>
  <si>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</si>
  <si>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</si>
  <si>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</si>
  <si>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</si>
  <si>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</si>
  <si>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</si>
  <si>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</si>
  <si>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</si>
  <si>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</si>
  <si>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</si>
  <si>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</si>
  <si>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</si>
  <si>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</si>
  <si>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</si>
  <si>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</si>
  <si>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</si>
  <si>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</si>
  <si>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</si>
  <si>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</si>
  <si>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</si>
  <si>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</si>
  <si>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</si>
  <si>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</si>
  <si>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</si>
  <si>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</si>
  <si>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</si>
  <si>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</si>
  <si>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</si>
  <si>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</si>
  <si>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</si>
  <si>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</si>
  <si>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</si>
  <si>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</si>
  <si>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</si>
  <si>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</si>
  <si>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</si>
  <si>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</si>
  <si>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</si>
  <si>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</si>
  <si>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</si>
  <si>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</si>
  <si>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</si>
  <si>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</si>
  <si>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</si>
  <si>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</si>
  <si>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</si>
  <si>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</si>
  <si>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</si>
  <si>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</si>
  <si>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</si>
  <si>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</si>
  <si>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</si>
  <si>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</si>
  <si>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</si>
  <si>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</si>
  <si>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</si>
  <si>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</si>
  <si>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</si>
  <si>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</si>
  <si>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</si>
  <si>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</si>
  <si>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</si>
  <si>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</si>
  <si>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</si>
  <si>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</si>
  <si>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</si>
  <si>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</si>
  <si>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</si>
  <si>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</si>
  <si>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</si>
  <si>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</si>
  <si>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</si>
  <si>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</si>
  <si>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</si>
  <si>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</si>
  <si>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</si>
  <si>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</si>
  <si>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</si>
  <si>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</si>
  <si>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</si>
  <si>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</si>
  <si>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</si>
  <si>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</si>
  <si>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</si>
  <si>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</si>
  <si>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</si>
  <si>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</si>
  <si>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</si>
  <si>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</si>
  <si>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</si>
  <si>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</si>
  <si>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</si>
  <si>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</si>
  <si>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</si>
  <si>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</si>
  <si>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</si>
  <si>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</si>
  <si>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</si>
  <si>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</si>
  <si>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</si>
  <si>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</si>
  <si>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</si>
  <si>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</si>
  <si>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</si>
  <si>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</si>
  <si>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</si>
  <si>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</si>
  <si>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</si>
  <si>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</si>
  <si>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</si>
  <si>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</si>
  <si>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</si>
  <si>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</si>
  <si>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</si>
  <si>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</si>
  <si>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</si>
  <si>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</si>
  <si>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</si>
  <si>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</si>
  <si>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</si>
  <si>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</si>
  <si>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</si>
  <si>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</si>
  <si>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</si>
  <si>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</si>
  <si>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</si>
  <si>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</si>
  <si>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</si>
  <si>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</si>
  <si>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</si>
  <si>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</si>
  <si>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</si>
  <si>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</si>
  <si>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</si>
  <si>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</si>
  <si>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</si>
  <si>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</si>
  <si>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</si>
  <si>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</si>
  <si>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</si>
  <si>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</si>
  <si>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</si>
  <si>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</si>
  <si>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</si>
  <si>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</si>
  <si>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</si>
  <si>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</si>
  <si>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</si>
  <si>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</si>
  <si>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</si>
  <si>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</si>
  <si>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</si>
  <si>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</si>
  <si>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</si>
  <si>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</si>
  <si>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</si>
  <si>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</si>
  <si>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</si>
  <si>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</si>
  <si>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</si>
  <si>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</si>
  <si>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</si>
  <si>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</si>
  <si>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</si>
  <si>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</si>
  <si>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</si>
  <si>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</si>
  <si>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</si>
  <si>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</si>
  <si>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</si>
  <si>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</si>
  <si>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</si>
  <si>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</si>
  <si>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</si>
  <si>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</si>
  <si>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</si>
  <si>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</si>
  <si>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</si>
  <si>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</si>
  <si>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</si>
  <si>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</si>
  <si>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</si>
  <si>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</si>
  <si>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</si>
  <si>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</si>
  <si>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</si>
  <si>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</si>
  <si>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</si>
  <si>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</si>
  <si>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</si>
  <si>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</si>
  <si>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</si>
  <si>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</si>
  <si>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</si>
  <si>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</si>
  <si>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</si>
  <si>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</si>
  <si>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</si>
  <si>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</si>
  <si>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</si>
  <si>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</si>
  <si>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</si>
  <si>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</si>
  <si>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</si>
  <si>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</si>
  <si>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</si>
  <si>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</si>
  <si>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</si>
  <si>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</si>
  <si>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</si>
  <si>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</si>
  <si>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</si>
  <si>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</si>
  <si>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</si>
  <si>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</si>
  <si>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</si>
  <si>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</si>
  <si>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</si>
  <si>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</si>
  <si>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</si>
  <si>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</si>
  <si>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</si>
  <si>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</si>
  <si>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</si>
  <si>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</si>
  <si>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</si>
  <si>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</si>
  <si>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</si>
  <si>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</si>
  <si>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</si>
  <si>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</si>
  <si>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</si>
  <si>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</si>
  <si>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</si>
  <si>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</si>
  <si>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</si>
  <si>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</si>
  <si>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</si>
  <si>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</si>
  <si>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</si>
  <si>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</si>
  <si>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</si>
  <si>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</si>
  <si>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</si>
  <si>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</si>
  <si>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</si>
  <si>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</si>
  <si>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</si>
  <si>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</si>
  <si>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</si>
  <si>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</si>
  <si>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</si>
  <si>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</si>
  <si>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</si>
  <si>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</si>
  <si>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</si>
  <si>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</si>
  <si>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</si>
  <si>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</si>
  <si>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</si>
  <si>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</si>
  <si>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</si>
  <si>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</si>
  <si>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</si>
  <si>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</si>
  <si>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</si>
  <si>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</si>
  <si>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</si>
  <si>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</si>
  <si>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</si>
  <si>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</si>
  <si>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</si>
  <si>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</si>
  <si>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</si>
  <si>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</si>
  <si>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</si>
  <si>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</si>
  <si>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</si>
  <si>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</si>
  <si>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</si>
  <si>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</si>
  <si>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</si>
  <si>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</si>
  <si>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</si>
  <si>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</si>
  <si>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</si>
  <si>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</si>
  <si>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</si>
  <si>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</si>
  <si>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</si>
  <si>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</si>
  <si>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</si>
  <si>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</si>
  <si>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</si>
  <si>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</si>
  <si>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</si>
  <si>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</si>
  <si>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</si>
  <si>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</si>
  <si>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</si>
  <si>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</si>
  <si>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</si>
  <si>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</si>
  <si>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</si>
  <si>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</si>
  <si>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</si>
  <si>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</si>
  <si>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</si>
  <si>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</si>
  <si>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</si>
  <si>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</si>
  <si>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</si>
  <si>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</si>
  <si>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</si>
  <si>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</si>
  <si>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</si>
  <si>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</si>
  <si>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</si>
  <si>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</si>
  <si>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</si>
  <si>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</si>
  <si>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</si>
  <si>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</si>
  <si>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</si>
  <si>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</si>
  <si>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</si>
  <si>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</si>
  <si>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</si>
  <si>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</si>
  <si>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</si>
  <si>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</si>
  <si>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</si>
  <si>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</si>
  <si>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</si>
  <si>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</si>
  <si>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</si>
  <si>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</si>
  <si>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</si>
  <si>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</si>
  <si>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</si>
  <si>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</si>
  <si>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</si>
  <si>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</si>
  <si>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</si>
  <si>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</si>
  <si>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</si>
  <si>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</si>
  <si>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</si>
  <si>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</si>
  <si>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</si>
  <si>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</si>
  <si>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</si>
  <si>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</si>
  <si>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</si>
  <si>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</si>
  <si>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</si>
  <si>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</si>
  <si>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</si>
  <si>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</si>
  <si>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</si>
  <si>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Salman </t>
  </si>
  <si>
    <t>Address: Tajpura</t>
  </si>
  <si>
    <t>Madina Store</t>
  </si>
  <si>
    <t xml:space="preserve">Baba Welfair </t>
  </si>
  <si>
    <t xml:space="preserve">Adil Bakers </t>
  </si>
  <si>
    <t xml:space="preserve">AA Mart </t>
  </si>
  <si>
    <t xml:space="preserve">MG Mart </t>
  </si>
  <si>
    <t xml:space="preserve">Ah Mart </t>
  </si>
  <si>
    <t>Faisal Store</t>
  </si>
  <si>
    <t>Kashif Super Store</t>
  </si>
  <si>
    <t>Farooq Store</t>
  </si>
  <si>
    <t>Talha Store\</t>
  </si>
  <si>
    <t>Ikhlaq Store</t>
  </si>
  <si>
    <t>Kamal Store</t>
  </si>
  <si>
    <t>Mumtaz Store</t>
  </si>
  <si>
    <t>Pakistan Store</t>
  </si>
  <si>
    <t>Tanveer Store</t>
  </si>
  <si>
    <t>Laraib Store</t>
  </si>
  <si>
    <t>Razaq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</si>
</sst>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6" workbookViewId="0">
      <selection activeCell="Q35" sqref="Q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46265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Madina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Baba Welfair 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Adil Bakers </v>
      </c>
      <c r="T5" s="301">
        <f>+'3'!P35</f>
        <v>1251.883435118644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AA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35</v>
      </c>
      <c r="I7" s="235">
        <f>(G7*D7)*F7+H7*F7</f>
        <v>1836.1875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146.89499999999998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64.266562500000006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1625.0259375000001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347.03389830508456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9.8602991790254233</v>
      </c>
      <c r="P7" s="310">
        <f>M7+N7+O7</f>
        <v>1981.9201349841101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20</v>
      </c>
      <c r="R7" s="314">
        <v>5</v>
      </c>
      <c r="S7" s="300" t="str">
        <f>+'5'!A6:A6</f>
        <v xml:space="preserve">MG Mart </v>
      </c>
      <c r="T7" s="301">
        <f>+'5'!P35</f>
        <v>7070.4410814152552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75</v>
      </c>
      <c r="I8" s="236">
        <f t="shared" ref="I8:I14" si="0">(G8*D8)*F8+H8*F8</f>
        <v>3934.6875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314.77499999999998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137.71406250000001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3482.1984375000002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743.64406779660976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21.129212526483052</v>
      </c>
      <c r="P8" s="311">
        <f t="shared" ref="P8:P15" si="2">M8+N8+O8</f>
        <v>4246.9717178230931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Ah Mart </v>
      </c>
      <c r="T8" s="301">
        <f>+'6'!P35</f>
        <v>4530.103165677966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50</v>
      </c>
      <c r="I9" s="236">
        <f t="shared" si="0"/>
        <v>2623.125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91.809375000000003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2321.4656249999998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495.76271186440658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14.086141684322033</v>
      </c>
      <c r="P9" s="311">
        <f t="shared" si="2"/>
        <v>2831.3144785487289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</v>
      </c>
      <c r="R9" s="314">
        <v>7</v>
      </c>
      <c r="S9" s="300" t="str">
        <f>+'7'!A6:A6</f>
        <v>Faisal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65</v>
      </c>
      <c r="I10" s="236">
        <f t="shared" si="0"/>
        <v>4721.6000000000004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377.72799999999995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165.256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4178.616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892.37288135593235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25.354944406779666</v>
      </c>
      <c r="P10" s="311">
        <f t="shared" si="2"/>
        <v>5096.3438257627113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</v>
      </c>
      <c r="R10" s="314">
        <v>8</v>
      </c>
      <c r="S10" s="300" t="str">
        <f>+'8'!A6:A6</f>
        <v>Kashif Super Store</v>
      </c>
      <c r="T10" s="301">
        <f>+'8'!P35</f>
        <v>5401.2631679237275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65</v>
      </c>
      <c r="I11" s="236">
        <f t="shared" si="0"/>
        <v>4721.6000000000004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377.72799999999995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165.256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4178.616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892.37288135593235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25.354944406779666</v>
      </c>
      <c r="P11" s="311">
        <f t="shared" si="2"/>
        <v>5096.3438257627113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</v>
      </c>
      <c r="R11" s="314">
        <v>9</v>
      </c>
      <c r="S11" s="300" t="str">
        <f>+'9'!A6:A6</f>
        <v>Farooq Store</v>
      </c>
      <c r="T11" s="301">
        <f>+'9'!P35</f>
        <v>392.02644813559323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110</v>
      </c>
      <c r="I12" s="236">
        <f t="shared" si="0"/>
        <v>7990.4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639.2320000000002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279.66399999999999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7071.503999999999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1510.1694915254241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42.908367457627129</v>
      </c>
      <c r="P12" s="311">
        <f t="shared" si="2"/>
        <v>8624.5818589830506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</v>
      </c>
      <c r="R12" s="314">
        <v>10</v>
      </c>
      <c r="S12" s="300" t="str">
        <f>+'10'!A6:A6</f>
        <v>Talha Store\</v>
      </c>
      <c r="T12" s="301">
        <f>+'10'!P35</f>
        <v>392.02644813559323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70</v>
      </c>
      <c r="I13" s="236">
        <f t="shared" si="0"/>
        <v>2746.1000000000004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137.30500000000004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96.113500000000016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140.05110000000002</v>
      </c>
      <c r="M13" s="230">
        <f t="shared" si="1"/>
        <v>2372.6304000000005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533.89830508474552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14.53264352542373</v>
      </c>
      <c r="P13" s="311">
        <f t="shared" si="2"/>
        <v>2921.0613486101697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Ikhlaq Store</v>
      </c>
      <c r="T13" s="301">
        <f>+'11'!P35</f>
        <v>392.02644813559323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Kamal Store</v>
      </c>
      <c r="T14" s="301">
        <f>+'12'!P35</f>
        <v>392.02644813559323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Mumtaz Store</v>
      </c>
      <c r="T15" s="301">
        <f>+'13'!P35</f>
        <v>392.02644813559323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11.75</v>
      </c>
      <c r="H16" s="113">
        <f t="shared" ref="H16:M16" si="3">SUM(H7:H15)</f>
        <v>470</v>
      </c>
      <c r="I16" s="114">
        <f t="shared" si="3"/>
        <v>28573.699999999997</v>
      </c>
      <c r="J16" s="274">
        <f>SUM(J7:J15)</f>
        <v>2203.5130000000004</v>
      </c>
      <c r="K16" s="275">
        <f t="shared" si="3"/>
        <v>1000.0795000000001</v>
      </c>
      <c r="L16" s="276">
        <f t="shared" si="3"/>
        <v>140.05110000000002</v>
      </c>
      <c r="M16" s="232">
        <f t="shared" si="3"/>
        <v>25230.056400000001</v>
      </c>
      <c r="N16" s="233">
        <f>SUM(N7:N15)</f>
        <v>5415.2542372881353</v>
      </c>
      <c r="O16" s="101">
        <f>SUM(O7:O15)</f>
        <v>153.2265531864407</v>
      </c>
      <c r="P16" s="113">
        <f>SUM(P7:P15)</f>
        <v>30798.537190474573</v>
      </c>
      <c r="Q16" s="128">
        <f>SUM(Q7:Q15)</f>
        <v>46</v>
      </c>
      <c r="R16" s="314">
        <v>14</v>
      </c>
      <c r="S16" s="318" t="str">
        <f>+'14'!A6:A6</f>
        <v>Pakistan Store</v>
      </c>
      <c r="T16" s="301">
        <f>+'14'!P35</f>
        <v>392.02644813559323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Tanveer Store</v>
      </c>
      <c r="T17" s="301">
        <f>+'15'!P35</f>
        <v>392.02644813559323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Laraib Store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28573.699999999997</v>
      </c>
      <c r="R19" s="299">
        <v>17</v>
      </c>
      <c r="S19" s="300" t="str">
        <f>+'17'!A6:A6</f>
        <v>Razaq Store</v>
      </c>
      <c r="T19" s="301">
        <f>+'17'!P35</f>
        <v>392.02644813559323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2203.5130000000004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1140.1306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25230.056399999998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5415.2542372881353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30645.310637288134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153.2265531864407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30798.537190474573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30798.537190474566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0</v>
      </c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30</v>
      </c>
      <c r="I22" s="236">
        <f t="shared" si="0"/>
        <v>1176.9000000000001</v>
      </c>
      <c r="J22" s="272">
        <f t="shared" si="1"/>
        <v>58.845000000000006</v>
      </c>
      <c r="K22" s="128">
        <f t="shared" si="1"/>
        <v>41.191500000000005</v>
      </c>
      <c r="L22" s="119">
        <f t="shared" si="1"/>
        <v>60.021900000000002</v>
      </c>
      <c r="M22" s="230">
        <f t="shared" si="2"/>
        <v>1016.8416000000001</v>
      </c>
      <c r="N22" s="277">
        <f t="shared" si="3"/>
        <v>228.81355932203377</v>
      </c>
      <c r="O22" s="239">
        <f t="shared" si="4"/>
        <v>6.2282757966101689</v>
      </c>
      <c r="P22" s="311">
        <f t="shared" si="5"/>
        <v>1251.883435118644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30</v>
      </c>
      <c r="I25" s="114">
        <f t="shared" si="7"/>
        <v>1176.9000000000001</v>
      </c>
      <c r="J25" s="274">
        <f>SUM(J16:J24)</f>
        <v>58.845000000000006</v>
      </c>
      <c r="K25" s="275">
        <f t="shared" si="7"/>
        <v>41.191500000000005</v>
      </c>
      <c r="L25" s="276">
        <f t="shared" si="7"/>
        <v>60.021900000000002</v>
      </c>
      <c r="M25" s="232">
        <f t="shared" si="7"/>
        <v>1016.8416000000001</v>
      </c>
      <c r="N25" s="233">
        <f>SUM(N16:N24)</f>
        <v>228.81355932203377</v>
      </c>
      <c r="O25" s="101">
        <f>SUM(O16:O24)</f>
        <v>6.2282757966101689</v>
      </c>
      <c r="P25" s="113">
        <f>SUM(P16:P24)</f>
        <v>1251.883435118644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1176.9000000000001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58.845000000000006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101.21340000000001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1016.8416000000001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228.81355932203377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1245.6551593220338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6.2282757966101689</v>
      </c>
    </row>
    <row r="35" spans="2:16" ht="15.75" customHeight="1" thickBot="1" x14ac:dyDescent="0.4">
      <c r="N35" s="373" t="s">
        <v>88</v>
      </c>
      <c r="O35" s="374"/>
      <c r="P35" s="297">
        <f>+P33+P34</f>
        <v>1251.883435118644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activeCell="H18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478.78800000000001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5784.417300000001</v>
      </c>
      <c r="N25" s="233">
        <f>SUM(N16:N24)</f>
        <v>1250.8474576271183</v>
      </c>
      <c r="O25" s="101">
        <f>SUM(O16:O24)</f>
        <v>35.176323788135591</v>
      </c>
      <c r="P25" s="113">
        <f>SUM(P16:P24)</f>
        <v>7070.4410814152543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6573.3000000000011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478.78800000000001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310.09470000000005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5784.417300000001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7035.2647576271193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73" t="s">
        <v>88</v>
      </c>
      <c r="O35" s="374"/>
      <c r="P35" s="297">
        <f>+P33+P34</f>
        <v>7070.4410814152552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311">
        <f t="shared" si="5"/>
        <v>2265.051582838983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335.76</v>
      </c>
      <c r="K25" s="275">
        <f t="shared" si="7"/>
        <v>146.89500000000001</v>
      </c>
      <c r="L25" s="276">
        <f t="shared" si="7"/>
        <v>0</v>
      </c>
      <c r="M25" s="232">
        <f t="shared" si="7"/>
        <v>3714.3450000000003</v>
      </c>
      <c r="N25" s="233">
        <f>SUM(N16:N24)</f>
        <v>793.22033898305051</v>
      </c>
      <c r="O25" s="101">
        <f>SUM(O16:O24)</f>
        <v>22.537826694915253</v>
      </c>
      <c r="P25" s="113">
        <f>SUM(P16:P24)</f>
        <v>4530.103165677966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4197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335.76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146.89500000000001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3714.3449999999998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4507.5653389830504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22.537826694915253</v>
      </c>
    </row>
    <row r="35" spans="2:16" ht="15.75" customHeight="1" thickBot="1" x14ac:dyDescent="0.4">
      <c r="N35" s="373" t="s">
        <v>88</v>
      </c>
      <c r="O35" s="374"/>
      <c r="P35" s="297">
        <f>+P33+P34</f>
        <v>4530.103165677966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2905.6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232.44800000000001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101.69600000000001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2571.4560000000001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3120.6085423728814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3" t="s">
        <v>88</v>
      </c>
      <c r="O35" s="374"/>
      <c r="P35" s="297">
        <f>+P33+P34</f>
        <v>3136.2115850847458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311">
        <f t="shared" ref="P17:P24" si="5">M17+N17+O17</f>
        <v>849.39434356461845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311">
        <f t="shared" si="5"/>
        <v>784.05289627118646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5004.0999999999995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5004.0999999999995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400.32800000000003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175.14350000000002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4428.6284999999989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5374.3912118644057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26.871956059322031</v>
      </c>
    </row>
    <row r="35" spans="2:16" ht="15.75" customHeight="1" thickBot="1" x14ac:dyDescent="0.4">
      <c r="N35" s="373" t="s">
        <v>88</v>
      </c>
      <c r="O35" s="374"/>
      <c r="P35" s="297">
        <f>+P33+P34</f>
        <v>5401.2631679237275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311">
        <f t="shared" si="5"/>
        <v>392.02644813559323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R2" sqref="R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2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311">
        <f t="shared" si="5"/>
        <v>392.02644813559323</v>
      </c>
      <c r="Q20" s="156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363.2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29.056000000000001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12.712000000000002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321.43200000000002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390.07606779661018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3" t="s">
        <v>88</v>
      </c>
      <c r="O35" s="374"/>
      <c r="P35" s="297">
        <f>+P33+P34</f>
        <v>392.02644813559323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46265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46264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Salman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46267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46266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2026-09-01T05:22:05Z</dcterms:modified>
</cp:coreProperties>
</file>