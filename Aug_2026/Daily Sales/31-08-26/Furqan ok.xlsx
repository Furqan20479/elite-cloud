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EF5BB19-A2CF-4260-B1F3-8FBF21B4C77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1" i="51"/>
  <c r="K12" i="62"/>
  <c r="M21" i="44"/>
  <c r="O21" i="44" s="1"/>
  <c r="P21" i="44" s="1"/>
  <c r="M16" i="44"/>
  <c r="O16" i="44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<sst xmlns="http://schemas.openxmlformats.org/spreadsheetml/2006/main" count="3948" uniqueCount="529">
  <si>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</si>
  <si>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</si>
  <si>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</si>
  <si>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</si>
  <si>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</si>
  <si>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</si>
  <si>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</si>
  <si>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</si>
  <si>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</si>
  <si>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</si>
  <si>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</si>
  <si>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</si>
  <si>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</si>
  <si>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</si>
  <si>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</si>
  <si>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</si>
  <si>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</si>
  <si>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</si>
  <si>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</si>
  <si>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</si>
  <si>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</si>
  <si>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</si>
  <si>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</si>
  <si>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</si>
  <si>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</si>
  <si>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</si>
  <si>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</si>
  <si>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</si>
  <si>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</si>
  <si>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</si>
  <si>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</si>
  <si>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</si>
  <si>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</si>
  <si>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</si>
  <si>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</si>
  <si>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</si>
  <si>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</si>
  <si>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</si>
  <si>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</si>
  <si>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</si>
  <si>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</si>
  <si>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</si>
  <si>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</si>
  <si>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</si>
  <si>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</si>
  <si>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</si>
  <si>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</si>
  <si>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</si>
  <si>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</si>
  <si>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</si>
  <si>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</si>
  <si>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</si>
  <si>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</si>
  <si>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</si>
  <si>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</si>
  <si>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</si>
  <si>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</si>
  <si>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</si>
  <si>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</si>
  <si>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</si>
  <si>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</si>
  <si>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</si>
  <si>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</si>
  <si>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</si>
  <si>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</si>
  <si>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</si>
  <si>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</si>
  <si>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</si>
  <si>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</si>
  <si>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</si>
  <si>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</si>
  <si>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</si>
  <si>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</si>
  <si>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</si>
  <si>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</si>
  <si>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</si>
  <si>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</si>
  <si>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</si>
  <si>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</si>
  <si>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</si>
  <si>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</si>
  <si>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</si>
  <si>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</si>
  <si>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</si>
  <si>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</si>
  <si>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</si>
  <si>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</si>
  <si>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</si>
  <si>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</si>
  <si>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</si>
  <si>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</si>
  <si>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</si>
  <si>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</si>
  <si>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</si>
  <si>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</si>
  <si>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</si>
  <si>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</si>
  <si>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</si>
  <si>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</si>
  <si>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</si>
  <si>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</si>
  <si>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</si>
  <si>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</si>
  <si>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</si>
  <si>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</si>
  <si>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</si>
  <si>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</si>
  <si>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</si>
  <si>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</si>
  <si>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</si>
  <si>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</si>
  <si>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</si>
  <si>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</si>
  <si>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</si>
  <si>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</si>
  <si>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</si>
  <si>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</si>
  <si>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</si>
  <si>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</si>
  <si>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</si>
  <si>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</si>
  <si>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</si>
  <si>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</si>
  <si>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</si>
  <si>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</si>
  <si>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</si>
  <si>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</si>
  <si>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</si>
  <si>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</si>
  <si>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</si>
  <si>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</si>
  <si>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</si>
  <si>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</si>
  <si>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</si>
  <si>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</si>
  <si>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</si>
  <si>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</si>
  <si>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</si>
  <si>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</si>
  <si>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</si>
  <si>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</si>
  <si>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</si>
  <si>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</si>
  <si>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</si>
  <si>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</si>
  <si>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</si>
  <si>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</si>
  <si>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</si>
  <si>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</si>
  <si>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</si>
  <si>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</si>
  <si>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</si>
  <si>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</si>
  <si>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</si>
  <si>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</si>
  <si>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</si>
  <si>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</si>
  <si>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</si>
  <si>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</si>
  <si>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</si>
  <si>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</si>
  <si>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</si>
  <si>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</si>
  <si>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</si>
  <si>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</si>
  <si>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</si>
  <si>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</si>
  <si>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</si>
  <si>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</si>
  <si>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</si>
  <si>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</si>
  <si>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</si>
  <si>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</si>
  <si>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</si>
  <si>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</si>
  <si>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</si>
  <si>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</si>
  <si>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</si>
  <si>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</si>
  <si>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</si>
  <si>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</si>
  <si>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</si>
  <si>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</si>
  <si>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</si>
  <si>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</si>
  <si>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</si>
  <si>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</si>
  <si>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</si>
  <si>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</si>
  <si>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</si>
  <si>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</si>
  <si>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</si>
  <si>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</si>
  <si>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</si>
  <si>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</si>
  <si>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</si>
  <si>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</si>
  <si>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</si>
  <si>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</si>
  <si>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</si>
  <si>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</si>
  <si>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</si>
  <si>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</si>
  <si>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</si>
  <si>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</si>
  <si>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</si>
  <si>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</si>
  <si>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</si>
  <si>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</si>
  <si>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</si>
  <si>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</si>
  <si>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</si>
  <si>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</si>
  <si>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</si>
  <si>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</si>
  <si>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</si>
  <si>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</si>
  <si>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</si>
  <si>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</si>
  <si>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</si>
  <si>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</si>
  <si>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</si>
  <si>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</si>
  <si>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</si>
  <si>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</si>
  <si>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</si>
  <si>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</si>
  <si>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</si>
  <si>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</si>
  <si>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</si>
  <si>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</si>
  <si>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</si>
  <si>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</si>
  <si>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</si>
  <si>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</si>
  <si>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</si>
  <si>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</si>
  <si>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</si>
  <si>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</si>
  <si>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</si>
  <si>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</si>
  <si>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</si>
  <si>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</si>
  <si>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</si>
  <si>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</si>
  <si>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</si>
  <si>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</si>
  <si>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</si>
  <si>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</si>
  <si>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</si>
  <si>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</si>
  <si>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</si>
  <si>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</si>
  <si>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</si>
  <si>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</si>
  <si>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</si>
  <si>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</si>
  <si>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</si>
  <si>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</si>
  <si>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</si>
  <si>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</si>
  <si>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</si>
  <si>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</si>
  <si>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</si>
  <si>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</si>
  <si>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</si>
  <si>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</si>
  <si>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</si>
  <si>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</si>
  <si>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</si>
  <si>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</si>
  <si>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</si>
  <si>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</si>
  <si>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</si>
  <si>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</si>
  <si>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</si>
  <si>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</si>
  <si>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</si>
  <si>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</si>
  <si>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</si>
  <si>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</si>
  <si>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</si>
  <si>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</si>
  <si>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</si>
  <si>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</si>
  <si>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</si>
  <si>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</si>
  <si>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</si>
  <si>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</si>
  <si>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</si>
  <si>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</si>
  <si>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</si>
  <si>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</si>
  <si>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</si>
  <si>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</si>
  <si>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</si>
  <si>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</si>
  <si>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</si>
  <si>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</si>
  <si>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</si>
  <si>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</si>
  <si>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</si>
  <si>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</si>
  <si>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</si>
  <si>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</si>
  <si>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</si>
  <si>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</si>
  <si>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</si>
  <si>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</si>
  <si>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</si>
  <si>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</si>
  <si>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</si>
  <si>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</si>
  <si>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</si>
  <si>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</si>
  <si>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</si>
  <si>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</si>
  <si>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</si>
  <si>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</si>
  <si>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</si>
  <si>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</si>
  <si>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</si>
  <si>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</si>
  <si>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</si>
  <si>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</si>
  <si>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</si>
  <si>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</si>
  <si>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</si>
  <si>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</si>
  <si>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</si>
  <si>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</si>
  <si>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</si>
  <si>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</si>
  <si>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</si>
  <si>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</si>
  <si>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</si>
  <si>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</si>
  <si>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</si>
  <si>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</si>
  <si>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</si>
  <si>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</si>
  <si>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</si>
  <si>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</si>
  <si>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</si>
  <si>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</si>
  <si>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</si>
  <si>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</si>
  <si>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</si>
  <si>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</si>
  <si>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</si>
  <si>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</si>
  <si>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</si>
  <si>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</si>
  <si>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</si>
  <si>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</si>
  <si>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</si>
  <si>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</si>
  <si>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</si>
  <si>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</si>
  <si>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</si>
  <si>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</si>
  <si>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</si>
  <si>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</si>
  <si>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</si>
  <si>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</si>
  <si>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</si>
  <si>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</si>
  <si>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</si>
  <si>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</si>
  <si>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</si>
  <si>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</si>
  <si>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</si>
  <si>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</si>
  <si>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</si>
  <si>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</si>
  <si>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</si>
  <si>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</si>
  <si>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</si>
  <si>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</si>
  <si>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</si>
  <si>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</si>
  <si>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</si>
  <si>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</si>
  <si>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</si>
  <si>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</si>
  <si>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</si>
  <si>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</si>
  <si>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</si>
  <si>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</si>
  <si>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</si>
  <si>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</si>
  <si>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</si>
  <si>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</si>
  <si>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</si>
  <si>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</si>
  <si>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</si>
  <si>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</si>
  <si>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</si>
  <si>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</si>
  <si>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</si>
  <si>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</si>
  <si>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</si>
  <si>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</si>
  <si>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</si>
  <si>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</si>
  <si>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</si>
  <si>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</si>
  <si>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</si>
  <si>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</si>
  <si>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</si>
  <si>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</si>
  <si>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</si>
  <si>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</si>
  <si>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</si>
  <si>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</si>
  <si>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</si>
  <si>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</si>
  <si>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</si>
  <si>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</si>
  <si>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</si>
  <si>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</si>
  <si>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</si>
  <si>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</si>
  <si>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</si>
  <si>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</si>
  <si>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</si>
  <si>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</si>
  <si>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</si>
  <si>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</si>
  <si>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</si>
  <si>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</si>
  <si>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</si>
  <si>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</si>
  <si>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</si>
  <si>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</si>
  <si>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</si>
  <si>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</si>
  <si>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</si>
  <si>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</si>
  <si>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</si>
  <si>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</si>
  <si>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</si>
  <si>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</si>
  <si>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</si>
  <si>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</si>
  <si>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</si>
  <si>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</si>
  <si>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</si>
  <si>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</si>
  <si>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</si>
  <si>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</si>
  <si>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</si>
  <si>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</si>
  <si>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</si>
  <si>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</si>
  <si>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</si>
  <si>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</si>
  <si>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</si>
  <si>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</si>
  <si>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</si>
  <si>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</si>
  <si>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</si>
  <si>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</si>
  <si>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</si>
  <si>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</si>
  <si>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</si>
  <si>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</si>
  <si>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</si>
  <si>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</si>
  <si>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</si>
  <si>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</si>
  <si>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</si>
  <si>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</si>
  <si>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</si>
  <si>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</si>
  <si>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</si>
  <si>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</si>
  <si>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</si>
  <si>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</si>
  <si>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</si>
  <si>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</si>
  <si>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</si>
  <si>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</si>
  <si>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</si>
  <si>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</si>
  <si>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</si>
  <si>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</si>
  <si>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</si>
  <si>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</si>
  <si>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</si>
  <si>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</si>
  <si>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</si>
  <si>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</si>
  <si>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</si>
  <si>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</si>
  <si>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</si>
  <si>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</si>
  <si>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</si>
  <si>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</si>
  <si>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</si>
  <si>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</si>
  <si>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</si>
  <si>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</si>
  <si>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</si>
  <si>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</si>
  <si>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</si>
  <si>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</si>
  <si>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</si>
  <si>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</si>
  <si>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</si>
  <si>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</si>
  <si>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</si>
  <si>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</si>
  <si>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</si>
  <si>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Address: Ghazi Road</t>
  </si>
  <si>
    <t>786 Store</t>
  </si>
  <si>
    <t>China Store</t>
  </si>
  <si>
    <t xml:space="preserve">ANF Mart </t>
  </si>
  <si>
    <t xml:space="preserve">Marhaba Mart </t>
  </si>
  <si>
    <t>Address: Punjab Society 341D Shangai Road</t>
  </si>
  <si>
    <t>Address: Gulberg Market</t>
  </si>
  <si>
    <t>SM Store</t>
  </si>
  <si>
    <t>Sadiq Store</t>
  </si>
  <si>
    <t xml:space="preserve">H Super Mart </t>
  </si>
  <si>
    <t>Murad Store</t>
  </si>
  <si>
    <t>Baber Sadique Store</t>
  </si>
  <si>
    <t xml:space="preserve">Address: Gulberg Market A1 Block Near Park </t>
  </si>
  <si>
    <t>Al Falah Bakers</t>
  </si>
  <si>
    <t>Address: Gulberg Market Sher Pao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</si>
</sst>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32" sqref="H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46265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786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China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ANF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Marhaba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22</v>
      </c>
      <c r="R7" s="314">
        <v>5</v>
      </c>
      <c r="S7" s="300" t="str">
        <f>+'5'!A6:A6</f>
        <v>SM Store</v>
      </c>
      <c r="T7" s="301">
        <f>+'5'!P35</f>
        <v>2184.9047487266948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</v>
      </c>
      <c r="I8" s="236">
        <f t="shared" ref="I8:I14" si="0">(G8*D8)*F8+H8*F8</f>
        <v>839.4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67.152000000000001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29.379000000000001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742.86899999999991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158.6440677966101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4.507565338983051</v>
      </c>
      <c r="P8" s="311">
        <f t="shared" ref="P8:P15" si="2">M8+N8+O8</f>
        <v>906.02063313559302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16</v>
      </c>
      <c r="R8" s="314">
        <v>6</v>
      </c>
      <c r="S8" s="300" t="str">
        <f>+'6'!A6:A6</f>
        <v>Sadiq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 Super Mart </v>
      </c>
      <c r="T9" s="301">
        <f>+'7'!P35</f>
        <v>1661.6719003118646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27</v>
      </c>
      <c r="I10" s="236">
        <f t="shared" si="0"/>
        <v>1961.28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156.90240000000003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68.644800000000004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1735.7328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370.67796610169495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10.532053830508476</v>
      </c>
      <c r="P10" s="311">
        <f t="shared" si="2"/>
        <v>2116.9428199322037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4">
        <v>8</v>
      </c>
      <c r="S10" s="300" t="str">
        <f>+'8'!A6:A6</f>
        <v>Murad Store</v>
      </c>
      <c r="T10" s="301">
        <f>+'8'!P35</f>
        <v>500.75337404745761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11</v>
      </c>
      <c r="I11" s="236">
        <f t="shared" si="0"/>
        <v>799.04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63.923200000000008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27.966400000000004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707.15039999999999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151.0169491525424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4.2908367457627126</v>
      </c>
      <c r="P11" s="311">
        <f t="shared" si="2"/>
        <v>862.45818589830503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47</v>
      </c>
      <c r="R11" s="314">
        <v>9</v>
      </c>
      <c r="S11" s="300" t="str">
        <f>+'9'!A6:A6</f>
        <v>Baber Sadique Store</v>
      </c>
      <c r="T11" s="301">
        <f>+'9'!P35</f>
        <v>1310.9428492360169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</v>
      </c>
      <c r="I12" s="236">
        <f t="shared" si="0"/>
        <v>1162.24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92.979200000000006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40.678400000000003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1028.5824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219.66101694915255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6.2412170847457631</v>
      </c>
      <c r="P12" s="311">
        <f t="shared" si="2"/>
        <v>1254.4846340338984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30</v>
      </c>
      <c r="R12" s="314">
        <v>10</v>
      </c>
      <c r="S12" s="300" t="str">
        <f>+'10'!A6:A6</f>
        <v>Al Falah Bakers</v>
      </c>
      <c r="T12" s="301">
        <f>+'10'!P35</f>
        <v>1568.1057925423729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50</v>
      </c>
      <c r="I13" s="236">
        <f t="shared" si="0"/>
        <v>1961.5000000000002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98.075000000000017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68.652500000000018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100.03649999999999</v>
      </c>
      <c r="M13" s="230">
        <f t="shared" si="1"/>
        <v>1694.7360000000003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381.35593220338961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10.38045966101695</v>
      </c>
      <c r="P13" s="311">
        <f t="shared" si="2"/>
        <v>2086.4723918644072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46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3</v>
      </c>
      <c r="H16" s="113">
        <f t="shared" ref="H16:M16" si="3">SUM(H7:H15)</f>
        <v>120</v>
      </c>
      <c r="I16" s="114">
        <f t="shared" si="3"/>
        <v>6723.46</v>
      </c>
      <c r="J16" s="274">
        <f>SUM(J7:J15)</f>
        <v>479.03180000000009</v>
      </c>
      <c r="K16" s="275">
        <f t="shared" si="3"/>
        <v>235.32110000000006</v>
      </c>
      <c r="L16" s="276">
        <f t="shared" si="3"/>
        <v>100.03649999999999</v>
      </c>
      <c r="M16" s="232">
        <f t="shared" si="3"/>
        <v>5909.0706000000009</v>
      </c>
      <c r="N16" s="233">
        <f>SUM(N7:N15)</f>
        <v>1281.3559322033896</v>
      </c>
      <c r="O16" s="101">
        <f>SUM(O7:O15)</f>
        <v>35.952132661016954</v>
      </c>
      <c r="P16" s="113">
        <f>SUM(P7:P15)</f>
        <v>7226.3786648644073</v>
      </c>
      <c r="Q16" s="128">
        <f>SUM(Q7:Q15)</f>
        <v>176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6723.46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479.03180000000009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335.35760000000005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5909.0706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1281.3559322033896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7190.4265322033898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35.952132661016954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7226.3786648644063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7226.3786648644063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1" workbookViewId="0">
      <selection activeCell="H22" sqref="H17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1" workbookViewId="0">
      <selection activeCell="H22" sqref="H17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22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12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H22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20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2035.6250000000002</v>
      </c>
      <c r="J25" s="274">
        <f>SUM(J16:J24)</f>
        <v>139.31200000000001</v>
      </c>
      <c r="K25" s="275">
        <f t="shared" si="7"/>
        <v>71.246875000000017</v>
      </c>
      <c r="L25" s="276">
        <f t="shared" si="7"/>
        <v>40.014600000000002</v>
      </c>
      <c r="M25" s="232">
        <f t="shared" si="7"/>
        <v>1785.0515250000003</v>
      </c>
      <c r="N25" s="233">
        <f>SUM(N16:N24)</f>
        <v>388.98305084745749</v>
      </c>
      <c r="O25" s="101">
        <f>SUM(O16:O24)</f>
        <v>10.870172879237288</v>
      </c>
      <c r="P25" s="113">
        <f>SUM(P16:P24)</f>
        <v>2184.9047487266953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2035.6250000000002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139.31200000000001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111.26147500000002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1785.0515250000001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388.98305084745749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2174.0345758474577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10.870172879237289</v>
      </c>
    </row>
    <row r="35" spans="2:16" ht="15.75" customHeight="1" thickBot="1" x14ac:dyDescent="0.4">
      <c r="N35" s="344" t="s">
        <v>88</v>
      </c>
      <c r="O35" s="345"/>
      <c r="P35" s="297">
        <f>+P33+P34</f>
        <v>2184.9047487266948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</v>
      </c>
      <c r="I25" s="114">
        <f t="shared" si="7"/>
        <v>1542.9</v>
      </c>
      <c r="J25" s="274">
        <f>SUM(J16:J24)</f>
        <v>116.37060000000002</v>
      </c>
      <c r="K25" s="275">
        <f t="shared" si="7"/>
        <v>54.001500000000007</v>
      </c>
      <c r="L25" s="276">
        <f t="shared" si="7"/>
        <v>12.004380000000001</v>
      </c>
      <c r="M25" s="232">
        <f t="shared" si="7"/>
        <v>1360.5235200000002</v>
      </c>
      <c r="N25" s="233">
        <f>SUM(N16:N24)</f>
        <v>292.88135593220341</v>
      </c>
      <c r="O25" s="101">
        <f>SUM(O16:O24)</f>
        <v>8.2670243796610166</v>
      </c>
      <c r="P25" s="113">
        <f>SUM(P16:P24)</f>
        <v>1661.6719003118644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1542.9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116.37060000000002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66.005880000000005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1360.5235200000002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292.88135593220341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1653.4048759322036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8.2670243796610183</v>
      </c>
    </row>
    <row r="35" spans="2:16" ht="15.75" customHeight="1" thickBot="1" x14ac:dyDescent="0.4">
      <c r="N35" s="344" t="s">
        <v>88</v>
      </c>
      <c r="O35" s="345"/>
      <c r="P35" s="297">
        <f>+P33+P34</f>
        <v>1661.6719003118646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470.76000000000005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23.538000000000004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40.485360000000007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406.73664000000002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498.26206372881353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4" t="s">
        <v>88</v>
      </c>
      <c r="O35" s="345"/>
      <c r="P35" s="297">
        <f>+P33+P34</f>
        <v>500.75337404745761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</v>
      </c>
      <c r="I25" s="114">
        <f t="shared" si="7"/>
        <v>1221.375</v>
      </c>
      <c r="J25" s="274">
        <f>SUM(J16:J24)</f>
        <v>83.587199999999996</v>
      </c>
      <c r="K25" s="275">
        <f t="shared" si="7"/>
        <v>42.748125000000009</v>
      </c>
      <c r="L25" s="276">
        <f t="shared" si="7"/>
        <v>24.008760000000002</v>
      </c>
      <c r="M25" s="232">
        <f t="shared" si="7"/>
        <v>1071.030915</v>
      </c>
      <c r="N25" s="233">
        <f>SUM(N16:N24)</f>
        <v>233.38983050847452</v>
      </c>
      <c r="O25" s="101">
        <f>SUM(O16:O24)</f>
        <v>6.5221037275423726</v>
      </c>
      <c r="P25" s="113">
        <f>SUM(P16:P24)</f>
        <v>1310.9428492360169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1221.375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83.587199999999996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66.756885000000011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1071.030915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233.38983050847452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1304.4207455084745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6.5221037275423726</v>
      </c>
    </row>
    <row r="35" spans="2:16" ht="15.75" customHeight="1" thickBot="1" x14ac:dyDescent="0.4">
      <c r="N35" s="344" t="s">
        <v>88</v>
      </c>
      <c r="O35" s="345"/>
      <c r="P35" s="297">
        <f>+P33+P34</f>
        <v>1310.9428492360169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>
        <v>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>
        <v>5</v>
      </c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1452.8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116.224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50.848000000000006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1285.7280000000001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1560.3042711864407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4" t="s">
        <v>88</v>
      </c>
      <c r="O35" s="345"/>
      <c r="P35" s="297">
        <f>+P33+P34</f>
        <v>1568.1057925423729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B20" sqref="B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46267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46266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2026-09-01T05:22:34Z</dcterms:modified>
</cp:coreProperties>
</file>