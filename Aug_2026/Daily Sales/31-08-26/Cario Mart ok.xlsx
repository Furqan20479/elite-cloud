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D12D30F-D9E1-4ACE-913E-6A8EF8304A38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16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O16" i="59" s="1"/>
  <c r="P16" i="59" s="1"/>
  <c r="M20" i="46"/>
  <c r="O20" i="46" s="1"/>
  <c r="P20" i="46" s="1"/>
  <c r="R20" i="46" s="1"/>
  <c r="M21" i="53"/>
  <c r="O21" i="53" s="1"/>
  <c r="P21" i="53" s="1"/>
  <c r="M16" i="52"/>
  <c r="M17" i="60"/>
  <c r="O17" i="60" s="1"/>
  <c r="P17" i="60" s="1"/>
  <c r="M16" i="66"/>
  <c r="J7" i="62"/>
  <c r="M20" i="53"/>
  <c r="O20" i="53" s="1"/>
  <c r="P20" i="53" s="1"/>
  <c r="R20" i="53" s="1"/>
  <c r="M21" i="69"/>
  <c r="O21" i="69" s="1"/>
  <c r="P21" i="69" s="1"/>
  <c r="M17" i="56"/>
  <c r="O17" i="56" s="1"/>
  <c r="P17" i="5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<sst xmlns="http://schemas.openxmlformats.org/spreadsheetml/2006/main" count="3948" uniqueCount="517">
  <si>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</si>
  <si>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</si>
  <si>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</si>
  <si>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</si>
  <si>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</si>
  <si>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</si>
  <si>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</si>
  <si>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</si>
  <si>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</si>
  <si>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</si>
  <si>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</si>
  <si>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</si>
  <si>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</si>
  <si>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</si>
  <si>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</si>
  <si>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</si>
  <si>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</si>
  <si>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</si>
  <si>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</si>
  <si>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</si>
  <si>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</si>
  <si>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</si>
  <si>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</si>
  <si>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</si>
  <si>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</si>
  <si>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</si>
  <si>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</si>
  <si>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</si>
  <si>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</si>
  <si>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</si>
  <si>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</si>
  <si>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</si>
  <si>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</si>
  <si>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</si>
  <si>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</si>
  <si>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</si>
  <si>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</si>
  <si>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</si>
  <si>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</si>
  <si>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</si>
  <si>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</si>
  <si>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</si>
  <si>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</si>
  <si>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</si>
  <si>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</si>
  <si>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</si>
  <si>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</si>
  <si>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</si>
  <si>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</si>
  <si>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</si>
  <si>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</si>
  <si>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</si>
  <si>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</si>
  <si>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</si>
  <si>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</si>
  <si>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</si>
  <si>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</si>
  <si>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</si>
  <si>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</si>
  <si>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</si>
  <si>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</si>
  <si>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</si>
  <si>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</si>
  <si>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</si>
  <si>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</si>
  <si>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</si>
  <si>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</si>
  <si>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</si>
  <si>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</si>
  <si>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</si>
  <si>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</si>
  <si>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</si>
  <si>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</si>
  <si>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</si>
  <si>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</si>
  <si>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</si>
  <si>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</si>
  <si>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</si>
  <si>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</si>
  <si>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</si>
  <si>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</si>
  <si>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</si>
  <si>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</si>
  <si>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</si>
  <si>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</si>
  <si>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</si>
  <si>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</si>
  <si>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</si>
  <si>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</si>
  <si>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</si>
  <si>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</si>
  <si>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</si>
  <si>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</si>
  <si>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</si>
  <si>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</si>
  <si>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</si>
  <si>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</si>
  <si>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</si>
  <si>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</si>
  <si>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</si>
  <si>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</si>
  <si>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</si>
  <si>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</si>
  <si>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</si>
  <si>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</si>
  <si>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</si>
  <si>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</si>
  <si>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</si>
  <si>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</si>
  <si>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</si>
  <si>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</si>
  <si>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</si>
  <si>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</si>
  <si>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</si>
  <si>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</si>
  <si>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</si>
  <si>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</si>
  <si>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</si>
  <si>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</si>
  <si>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</si>
  <si>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</si>
  <si>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</si>
  <si>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</si>
  <si>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</si>
  <si>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</si>
  <si>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</si>
  <si>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</si>
  <si>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</si>
  <si>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</si>
  <si>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</si>
  <si>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</si>
  <si>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</si>
  <si>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</si>
  <si>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</si>
  <si>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</si>
  <si>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</si>
  <si>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</si>
  <si>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</si>
  <si>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</si>
  <si>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</si>
  <si>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</si>
  <si>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</si>
  <si>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</si>
  <si>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</si>
  <si>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</si>
  <si>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</si>
  <si>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</si>
  <si>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</si>
  <si>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</si>
  <si>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</si>
  <si>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</si>
  <si>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</si>
  <si>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</si>
  <si>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</si>
  <si>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</si>
  <si>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</si>
  <si>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</si>
  <si>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</si>
  <si>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</si>
  <si>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</si>
  <si>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</si>
  <si>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</si>
  <si>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</si>
  <si>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</si>
  <si>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</si>
  <si>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</si>
  <si>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</si>
  <si>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</si>
  <si>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</si>
  <si>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</si>
  <si>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</si>
  <si>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</si>
  <si>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</si>
  <si>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</si>
  <si>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</si>
  <si>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</si>
  <si>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</si>
  <si>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</si>
  <si>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</si>
  <si>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</si>
  <si>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</si>
  <si>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</si>
  <si>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</si>
  <si>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</si>
  <si>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</si>
  <si>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</si>
  <si>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</si>
  <si>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</si>
  <si>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</si>
  <si>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</si>
  <si>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</si>
  <si>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</si>
  <si>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</si>
  <si>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</si>
  <si>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</si>
  <si>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</si>
  <si>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</si>
  <si>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</si>
  <si>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</si>
  <si>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</si>
  <si>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</si>
  <si>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</si>
  <si>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</si>
  <si>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</si>
  <si>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</si>
  <si>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</si>
  <si>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</si>
  <si>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</si>
  <si>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</si>
  <si>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</si>
  <si>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</si>
  <si>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</si>
  <si>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</si>
  <si>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</si>
  <si>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</si>
  <si>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</si>
  <si>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</si>
  <si>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</si>
  <si>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</si>
  <si>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</si>
  <si>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</si>
  <si>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</si>
  <si>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</si>
  <si>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</si>
  <si>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</si>
  <si>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</si>
  <si>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</si>
  <si>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</si>
  <si>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</si>
  <si>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</si>
  <si>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</si>
  <si>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</si>
  <si>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</si>
  <si>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</si>
  <si>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</si>
  <si>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</si>
  <si>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</si>
  <si>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</si>
  <si>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</si>
  <si>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</si>
  <si>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</si>
  <si>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</si>
  <si>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</si>
  <si>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</si>
  <si>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</si>
  <si>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</si>
  <si>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</si>
  <si>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</si>
  <si>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</si>
  <si>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</si>
  <si>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</si>
  <si>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</si>
  <si>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</si>
  <si>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</si>
  <si>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</si>
  <si>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</si>
  <si>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</si>
  <si>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</si>
  <si>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</si>
  <si>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</si>
  <si>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</si>
  <si>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</si>
  <si>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</si>
  <si>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</si>
  <si>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</si>
  <si>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</si>
  <si>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</si>
  <si>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</si>
  <si>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</si>
  <si>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</si>
  <si>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</si>
  <si>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</si>
  <si>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</si>
  <si>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</si>
  <si>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</si>
  <si>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</si>
  <si>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</si>
  <si>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</si>
  <si>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</si>
  <si>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</si>
  <si>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</si>
  <si>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</si>
  <si>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</si>
  <si>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</si>
  <si>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</si>
  <si>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</si>
  <si>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</si>
  <si>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</si>
  <si>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</si>
  <si>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</si>
  <si>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</si>
  <si>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</si>
  <si>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</si>
  <si>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</si>
  <si>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</si>
  <si>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</si>
  <si>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</si>
  <si>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</si>
  <si>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</si>
  <si>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</si>
  <si>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</si>
  <si>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</si>
  <si>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</si>
  <si>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</si>
  <si>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</si>
  <si>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</si>
  <si>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</si>
  <si>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</si>
  <si>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</si>
  <si>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</si>
  <si>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</si>
  <si>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</si>
  <si>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</si>
  <si>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</si>
  <si>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</si>
  <si>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</si>
  <si>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</si>
  <si>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</si>
  <si>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</si>
  <si>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</si>
  <si>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</si>
  <si>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</si>
  <si>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</si>
  <si>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</si>
  <si>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</si>
  <si>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</si>
  <si>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</si>
  <si>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</si>
  <si>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</si>
  <si>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</si>
  <si>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</si>
  <si>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</si>
  <si>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</si>
  <si>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</si>
  <si>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</si>
  <si>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</si>
  <si>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</si>
  <si>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</si>
  <si>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</si>
  <si>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</si>
  <si>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</si>
  <si>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</si>
  <si>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</si>
  <si>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</si>
  <si>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</si>
  <si>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</si>
  <si>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</si>
  <si>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</si>
  <si>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</si>
  <si>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</si>
  <si>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</si>
  <si>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</si>
  <si>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</si>
  <si>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</si>
  <si>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</si>
  <si>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</si>
  <si>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</si>
  <si>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</si>
  <si>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</si>
  <si>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</si>
  <si>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</si>
  <si>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</si>
  <si>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</si>
  <si>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</si>
  <si>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</si>
  <si>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</si>
  <si>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</si>
  <si>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</si>
  <si>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</si>
  <si>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</si>
  <si>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</si>
  <si>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</si>
  <si>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</si>
  <si>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</si>
  <si>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</si>
  <si>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</si>
  <si>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</si>
  <si>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</si>
  <si>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</si>
  <si>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</si>
  <si>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</si>
  <si>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</si>
  <si>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</si>
  <si>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</si>
  <si>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</si>
  <si>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</si>
  <si>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</si>
  <si>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</si>
  <si>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</si>
  <si>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</si>
  <si>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</si>
  <si>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</si>
  <si>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</si>
  <si>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</si>
  <si>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</si>
  <si>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</si>
  <si>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</si>
  <si>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</si>
  <si>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</si>
  <si>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</si>
  <si>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</si>
  <si>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</si>
  <si>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</si>
  <si>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</si>
  <si>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</si>
  <si>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</si>
  <si>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</si>
  <si>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</si>
  <si>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</si>
  <si>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</si>
  <si>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</si>
  <si>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</si>
  <si>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</si>
  <si>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</si>
  <si>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</si>
  <si>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</si>
  <si>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</si>
  <si>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</si>
  <si>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</si>
  <si>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</si>
  <si>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</si>
  <si>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</si>
  <si>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</si>
  <si>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</si>
  <si>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</si>
  <si>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</si>
  <si>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</si>
  <si>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</si>
  <si>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</si>
  <si>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</si>
  <si>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</si>
  <si>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</si>
  <si>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</si>
  <si>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</si>
  <si>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</si>
  <si>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</si>
  <si>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</si>
  <si>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</si>
  <si>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</si>
  <si>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</si>
  <si>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</si>
  <si>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</si>
  <si>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</si>
  <si>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</si>
  <si>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</si>
  <si>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</si>
  <si>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</si>
  <si>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</si>
  <si>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</si>
  <si>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</si>
  <si>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</si>
  <si>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</si>
  <si>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</si>
  <si>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</si>
  <si>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</si>
  <si>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</si>
  <si>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</si>
  <si>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</si>
  <si>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</si>
  <si>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</si>
  <si>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</si>
  <si>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</si>
  <si>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</si>
  <si>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</si>
  <si>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</si>
  <si>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</si>
  <si>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</si>
  <si>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</si>
  <si>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</si>
  <si>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</si>
  <si>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</si>
  <si>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</si>
  <si>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</si>
  <si>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</si>
  <si>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</si>
  <si>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</si>
  <si>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</si>
  <si>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</si>
  <si>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</si>
  <si>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</si>
  <si>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</si>
  <si>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</si>
  <si>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</si>
  <si>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</si>
  <si>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</si>
  <si>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</si>
  <si>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</si>
  <si>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</si>
  <si>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</si>
  <si>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</si>
  <si>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</si>
  <si>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</si>
  <si>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</si>
  <si>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</si>
  <si>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</si>
  <si>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</si>
  <si>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</si>
  <si>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</si>
  <si>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</si>
  <si>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</si>
  <si>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</si>
  <si>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</si>
  <si>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</si>
  <si>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</si>
  <si>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</si>
  <si>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</si>
  <si>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</si>
  <si>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</si>
  <si>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</si>
  <si>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</si>
  <si>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</si>
  <si>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</si>
  <si>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Cario Mart </t>
  </si>
  <si>
    <t>Address: Sabzazaar</t>
  </si>
  <si>
    <t>SS DEPARTMENTAL STORE (Cario Mart)</t>
  </si>
  <si>
    <t>NTN: // 8526774-3</t>
  </si>
  <si>
    <t>Invoice No # :9992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</si>
</sst>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46265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SS DEPARTMENTAL STORE (Cario Mart)</v>
      </c>
      <c r="T3" s="301">
        <f>+'1'!P35</f>
        <v>29338.847566601693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SS DEPARTMENTAL STORE (Cario Mart)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SS DEPARTMENTAL STORE (Cario Mart)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SS DEPARTMENTAL STORE (Cario Mart)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SS DEPARTMENTAL STORE (Cario Mart)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SS DEPARTMENTAL STORE (Cario Mart)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311">
        <f t="shared" si="2"/>
        <v>2180.6918828389826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SS DEPARTMENTAL STORE (Cario Mart)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SS DEPARTMENTAL STORE (Cario Mart)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SS DEPARTMENTAL STORE (Cario Mart)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SS DEPARTMENTAL STORE (Cario Mart)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SS DEPARTMENTAL STORE (Cario Mart)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SS DEPARTMENTAL STORE (Cario Mart)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SS DEPARTMENTAL STORE (Cario Mart)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12</v>
      </c>
      <c r="H16" s="113">
        <f t="shared" ref="H16:M16" si="3">SUM(H7:H15)</f>
        <v>480</v>
      </c>
      <c r="I16" s="114">
        <f t="shared" si="3"/>
        <v>28158.9</v>
      </c>
      <c r="J16" s="274">
        <f>SUM(J7:J15)</f>
        <v>3159.38</v>
      </c>
      <c r="K16" s="275">
        <f t="shared" si="3"/>
        <v>985.56150000000014</v>
      </c>
      <c r="L16" s="276">
        <f t="shared" si="3"/>
        <v>160.05840000000001</v>
      </c>
      <c r="M16" s="232">
        <f t="shared" si="3"/>
        <v>23853.900100000003</v>
      </c>
      <c r="N16" s="233">
        <f>SUM(N7:N15)</f>
        <v>5338.983050847457</v>
      </c>
      <c r="O16" s="101">
        <f>SUM(O7:O15)</f>
        <v>145.96441575423728</v>
      </c>
      <c r="P16" s="113">
        <f>SUM(P7:P15)</f>
        <v>29338.847566601693</v>
      </c>
      <c r="Q16" s="128">
        <f>SUM(Q7:Q15)</f>
        <v>0</v>
      </c>
      <c r="R16" s="314">
        <v>14</v>
      </c>
      <c r="S16" s="300" t="str">
        <f>+'14'!A6:A6</f>
        <v>SS DEPARTMENTAL STORE (Cario Mart)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SS DEPARTMENTAL STORE (Cario Mart)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SS DEPARTMENTAL STORE (Cario Mart)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28158.9</v>
      </c>
      <c r="R19" s="299">
        <v>17</v>
      </c>
      <c r="S19" s="300" t="str">
        <f>+'17'!A6:A6</f>
        <v>SS DEPARTMENTAL STORE (Cario Mart)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3159.38</v>
      </c>
      <c r="R20" s="299">
        <v>18</v>
      </c>
      <c r="S20" s="300" t="str">
        <f>+'18'!A6:A6</f>
        <v>SS DEPARTMENTAL STORE (Cario Mart)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1145.6199000000001</v>
      </c>
      <c r="R21" s="299">
        <v>19</v>
      </c>
      <c r="S21" s="300" t="str">
        <f>+'19'!A6:A6</f>
        <v>SS DEPARTMENTAL STORE (Cario Mart)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23853.900099999999</v>
      </c>
      <c r="R22" s="299">
        <v>20</v>
      </c>
      <c r="S22" s="300" t="str">
        <f>+'20'!A6:A6</f>
        <v>SS DEPARTMENTAL STORE (Cario Mart)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5338.983050847457</v>
      </c>
      <c r="R23" s="299">
        <v>21</v>
      </c>
      <c r="S23" s="300" t="str">
        <f>+'21'!A6:A6</f>
        <v>SS DEPARTMENTAL STORE (Cario Mart)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29192.883150847454</v>
      </c>
      <c r="R24" s="299">
        <v>22</v>
      </c>
      <c r="S24" s="300" t="str">
        <f>+'22'!A6:A6</f>
        <v>SS DEPARTMENTAL STORE (Cario Mart)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145.96441575423728</v>
      </c>
      <c r="R25" s="299">
        <v>23</v>
      </c>
      <c r="S25" s="300" t="str">
        <f>+'23'!A6:A6</f>
        <v>SS DEPARTMENTAL STORE (Cario Mart)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29338.847566601693</v>
      </c>
      <c r="R26" s="299">
        <v>24</v>
      </c>
      <c r="S26" s="300" t="str">
        <f>+'24'!A6:A6</f>
        <v>SS DEPARTMENTAL STORE (Cario Mart)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SS DEPARTMENTAL STORE (Cario Mart)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SS DEPARTMENTAL STORE (Cario Mart)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SS DEPARTMENTAL STORE (Cario Mart)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SS DEPARTMENTAL STORE (Cario Mart)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SS DEPARTMENTAL STORE (Cario Mart)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SS DEPARTMENTAL STORE (Cario Mart)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29338.847566601693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310">
        <f>M16+N16+O16</f>
        <v>4361.3837656779651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311">
        <f t="shared" ref="P17:P24" si="5">M17+N17+O17</f>
        <v>4361.3837656779651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311">
        <f t="shared" si="5"/>
        <v>2180.6918828389826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311">
        <f t="shared" si="5"/>
        <v>6038.8129301694917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28158.9</v>
      </c>
      <c r="J25" s="274">
        <f>SUM(J16:J24)</f>
        <v>3159.38</v>
      </c>
      <c r="K25" s="275">
        <f t="shared" si="10"/>
        <v>985.56150000000014</v>
      </c>
      <c r="L25" s="276">
        <f t="shared" si="10"/>
        <v>160.05840000000001</v>
      </c>
      <c r="M25" s="232">
        <f t="shared" si="10"/>
        <v>23853.900100000003</v>
      </c>
      <c r="N25" s="233">
        <f>SUM(N16:N24)</f>
        <v>5338.983050847457</v>
      </c>
      <c r="O25" s="101">
        <f>SUM(O16:O24)</f>
        <v>145.96441575423728</v>
      </c>
      <c r="P25" s="113">
        <f>SUM(P16:P24)</f>
        <v>29338.847566601693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28158.9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3159.38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1145.6199000000001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23853.900099999999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5338.983050847457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29192.883150847454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145.96441575423728</v>
      </c>
    </row>
    <row r="35" spans="2:16" ht="15.75" customHeight="1" thickBot="1" x14ac:dyDescent="0.4">
      <c r="N35" s="372" t="s">
        <v>88</v>
      </c>
      <c r="O35" s="373"/>
      <c r="P35" s="297">
        <f>+P33+P34</f>
        <v>29338.847566601693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46266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46265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2026-08-31T05:52:01Z</dcterms:modified>
</cp:coreProperties>
</file>