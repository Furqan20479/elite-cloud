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AF7A914-4F1C-436E-9495-C81CB688210F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2" l="1"/>
  <c r="O22" i="52" s="1"/>
  <c r="P22" i="52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<sst xmlns="http://schemas.openxmlformats.org/spreadsheetml/2006/main" count="3978" uniqueCount="529">
  <si>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</si>
  <si>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</si>
  <si>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</si>
  <si>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</si>
  <si>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</si>
  <si>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</si>
  <si>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</si>
  <si>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</si>
  <si>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</si>
  <si>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</si>
  <si>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</si>
  <si>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</si>
  <si>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</si>
  <si>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</si>
  <si>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</si>
  <si>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</si>
  <si>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</si>
  <si>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</si>
  <si>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</si>
  <si>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</si>
  <si>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</si>
  <si>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</si>
  <si>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</si>
  <si>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</si>
  <si>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</si>
  <si>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</si>
  <si>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</si>
  <si>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</si>
  <si>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</si>
  <si>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</si>
  <si>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</si>
  <si>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</si>
  <si>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</si>
  <si>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</si>
  <si>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</si>
  <si>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</si>
  <si>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</si>
  <si>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</si>
  <si>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</si>
  <si>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</si>
  <si>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</si>
  <si>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</si>
  <si>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</si>
  <si>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</si>
  <si>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</si>
  <si>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</si>
  <si>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</si>
  <si>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</si>
  <si>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</si>
  <si>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</si>
  <si>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</si>
  <si>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</si>
  <si>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</si>
  <si>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</si>
  <si>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</si>
  <si>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</si>
  <si>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</si>
  <si>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</si>
  <si>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</si>
  <si>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</si>
  <si>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</si>
  <si>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</si>
  <si>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</si>
  <si>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</si>
  <si>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</si>
  <si>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</si>
  <si>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</si>
  <si>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</si>
  <si>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</si>
  <si>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</si>
  <si>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</si>
  <si>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</si>
  <si>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</si>
  <si>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</si>
  <si>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</si>
  <si>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</si>
  <si>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</si>
  <si>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</si>
  <si>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</si>
  <si>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</si>
  <si>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</si>
  <si>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</si>
  <si>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</si>
  <si>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</si>
  <si>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</si>
  <si>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</si>
  <si>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</si>
  <si>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</si>
  <si>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</si>
  <si>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</si>
  <si>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</si>
  <si>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</si>
  <si>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</si>
  <si>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</si>
  <si>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</si>
  <si>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</si>
  <si>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</si>
  <si>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</si>
  <si>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</si>
  <si>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</si>
  <si>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</si>
  <si>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</si>
  <si>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</si>
  <si>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</si>
  <si>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</si>
  <si>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</si>
  <si>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</si>
  <si>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</si>
  <si>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</si>
  <si>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</si>
  <si>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</si>
  <si>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</si>
  <si>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</si>
  <si>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</si>
  <si>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</si>
  <si>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</si>
  <si>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</si>
  <si>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</si>
  <si>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</si>
  <si>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</si>
  <si>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</si>
  <si>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</si>
  <si>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</si>
  <si>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</si>
  <si>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</si>
  <si>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</si>
  <si>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</si>
  <si>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</si>
  <si>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</si>
  <si>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</si>
  <si>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</si>
  <si>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</si>
  <si>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</si>
  <si>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</si>
  <si>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</si>
  <si>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</si>
  <si>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</si>
  <si>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</si>
  <si>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</si>
  <si>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</si>
  <si>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</si>
  <si>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</si>
  <si>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</si>
  <si>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</si>
  <si>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</si>
  <si>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</si>
  <si>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</si>
  <si>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</si>
  <si>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</si>
  <si>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</si>
  <si>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</si>
  <si>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</si>
  <si>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</si>
  <si>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</si>
  <si>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</si>
  <si>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</si>
  <si>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</si>
  <si>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</si>
  <si>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</si>
  <si>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</si>
  <si>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</si>
  <si>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</si>
  <si>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</si>
  <si>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</si>
  <si>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</si>
  <si>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</si>
  <si>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</si>
  <si>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</si>
  <si>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</si>
  <si>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</si>
  <si>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</si>
  <si>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</si>
  <si>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</si>
  <si>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</si>
  <si>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</si>
  <si>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</si>
  <si>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</si>
  <si>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</si>
  <si>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</si>
  <si>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</si>
  <si>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</si>
  <si>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</si>
  <si>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</si>
  <si>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</si>
  <si>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</si>
  <si>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</si>
  <si>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</si>
  <si>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</si>
  <si>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</si>
  <si>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</si>
  <si>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</si>
  <si>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</si>
  <si>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</si>
  <si>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</si>
  <si>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</si>
  <si>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</si>
  <si>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</si>
  <si>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</si>
  <si>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</si>
  <si>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</si>
  <si>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</si>
  <si>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</si>
  <si>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</si>
  <si>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</si>
  <si>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</si>
  <si>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</si>
  <si>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</si>
  <si>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</si>
  <si>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</si>
  <si>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</si>
  <si>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</si>
  <si>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</si>
  <si>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</si>
  <si>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</si>
  <si>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</si>
  <si>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</si>
  <si>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</si>
  <si>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</si>
  <si>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</si>
  <si>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</si>
  <si>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</si>
  <si>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</si>
  <si>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</si>
  <si>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</si>
  <si>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</si>
  <si>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</si>
  <si>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</si>
  <si>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</si>
  <si>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</si>
  <si>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</si>
  <si>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</si>
  <si>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</si>
  <si>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</si>
  <si>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</si>
  <si>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</si>
  <si>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</si>
  <si>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</si>
  <si>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</si>
  <si>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</si>
  <si>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</si>
  <si>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</si>
  <si>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</si>
  <si>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</si>
  <si>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</si>
  <si>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</si>
  <si>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</si>
  <si>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</si>
  <si>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</si>
  <si>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</si>
  <si>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</si>
  <si>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</si>
  <si>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</si>
  <si>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</si>
  <si>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</si>
  <si>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</si>
  <si>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</si>
  <si>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</si>
  <si>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</si>
  <si>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</si>
  <si>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</si>
  <si>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</si>
  <si>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</si>
  <si>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</si>
  <si>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</si>
  <si>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</si>
  <si>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</si>
  <si>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</si>
  <si>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</si>
  <si>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</si>
  <si>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</si>
  <si>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</si>
  <si>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</si>
  <si>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</si>
  <si>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</si>
  <si>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</si>
  <si>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</si>
  <si>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</si>
  <si>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</si>
  <si>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</si>
  <si>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</si>
  <si>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</si>
  <si>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</si>
  <si>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</si>
  <si>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</si>
  <si>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</si>
  <si>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</si>
  <si>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</si>
  <si>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</si>
  <si>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</si>
  <si>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</si>
  <si>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</si>
  <si>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</si>
  <si>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</si>
  <si>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</si>
  <si>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</si>
  <si>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</si>
  <si>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</si>
  <si>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</si>
  <si>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</si>
  <si>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</si>
  <si>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</si>
  <si>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</si>
  <si>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</si>
  <si>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</si>
  <si>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</si>
  <si>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</si>
  <si>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</si>
  <si>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</si>
  <si>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</si>
  <si>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</si>
  <si>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</si>
  <si>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</si>
  <si>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</si>
  <si>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</si>
  <si>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</si>
  <si>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</si>
  <si>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</si>
  <si>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</si>
  <si>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</si>
  <si>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</si>
  <si>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</si>
  <si>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</si>
  <si>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</si>
  <si>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</si>
  <si>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</si>
  <si>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</si>
  <si>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</si>
  <si>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</si>
  <si>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</si>
  <si>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</si>
  <si>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</si>
  <si>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</si>
  <si>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</si>
  <si>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</si>
  <si>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</si>
  <si>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</si>
  <si>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</si>
  <si>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</si>
  <si>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</si>
  <si>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</si>
  <si>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</si>
  <si>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</si>
  <si>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</si>
  <si>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</si>
  <si>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</si>
  <si>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</si>
  <si>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</si>
  <si>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</si>
  <si>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</si>
  <si>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</si>
  <si>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</si>
  <si>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</si>
  <si>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</si>
  <si>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</si>
  <si>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</si>
  <si>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</si>
  <si>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</si>
  <si>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</si>
  <si>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</si>
  <si>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</si>
  <si>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</si>
  <si>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</si>
  <si>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</si>
  <si>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</si>
  <si>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</si>
  <si>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</si>
  <si>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</si>
  <si>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</si>
  <si>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</si>
  <si>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</si>
  <si>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</si>
  <si>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</si>
  <si>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</si>
  <si>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</si>
  <si>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</si>
  <si>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</si>
  <si>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</si>
  <si>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</si>
  <si>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</si>
  <si>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</si>
  <si>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</si>
  <si>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</si>
  <si>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</si>
  <si>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</si>
  <si>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</si>
  <si>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</si>
  <si>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</si>
  <si>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</si>
  <si>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</si>
  <si>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</si>
  <si>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</si>
  <si>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</si>
  <si>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</si>
  <si>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</si>
  <si>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</si>
  <si>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</si>
  <si>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</si>
  <si>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</si>
  <si>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</si>
  <si>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</si>
  <si>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</si>
  <si>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</si>
  <si>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</si>
  <si>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</si>
  <si>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</si>
  <si>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</si>
  <si>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</si>
  <si>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</si>
  <si>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</si>
  <si>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</si>
  <si>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</si>
  <si>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</si>
  <si>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</si>
  <si>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</si>
  <si>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</si>
  <si>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</si>
  <si>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</si>
  <si>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</si>
  <si>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</si>
  <si>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</si>
  <si>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</si>
  <si>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</si>
  <si>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</si>
  <si>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</si>
  <si>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</si>
  <si>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</si>
  <si>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</si>
  <si>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</si>
  <si>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</si>
  <si>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</si>
  <si>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</si>
  <si>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</si>
  <si>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</si>
  <si>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</si>
  <si>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</si>
  <si>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</si>
  <si>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</si>
  <si>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</si>
  <si>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</si>
  <si>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</si>
  <si>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</si>
  <si>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</si>
  <si>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</si>
  <si>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</si>
  <si>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</si>
  <si>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</si>
  <si>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</si>
  <si>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</si>
  <si>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</si>
  <si>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</si>
  <si>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</si>
  <si>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</si>
  <si>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</si>
  <si>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</si>
  <si>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</si>
  <si>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</si>
  <si>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</si>
  <si>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</si>
  <si>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</si>
  <si>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</si>
  <si>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</si>
  <si>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</si>
  <si>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</si>
  <si>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</si>
  <si>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</si>
  <si>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</si>
  <si>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</si>
  <si>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</si>
  <si>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</si>
  <si>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</si>
  <si>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</si>
  <si>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</si>
  <si>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</si>
  <si>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</si>
  <si>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</si>
  <si>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</si>
  <si>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</si>
  <si>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</si>
  <si>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</si>
  <si>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</si>
  <si>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</si>
  <si>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</si>
  <si>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</si>
  <si>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</si>
  <si>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</si>
  <si>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</si>
  <si>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</si>
  <si>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</si>
  <si>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</si>
  <si>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</si>
  <si>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</si>
  <si>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</si>
  <si>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</si>
  <si>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</si>
  <si>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</si>
  <si>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</si>
  <si>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</si>
  <si>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</si>
  <si>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</si>
  <si>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</si>
  <si>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</si>
  <si>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</si>
  <si>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</si>
  <si>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</si>
  <si>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</si>
  <si>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</si>
  <si>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</si>
  <si>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</si>
  <si>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</si>
  <si>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</si>
  <si>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</si>
  <si>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</si>
  <si>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</si>
  <si>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</si>
  <si>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</si>
  <si>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Zeshan </t>
  </si>
  <si>
    <t xml:space="preserve">Address: Ali Park </t>
  </si>
  <si>
    <t>Moon Store</t>
  </si>
  <si>
    <t>Awan Store</t>
  </si>
  <si>
    <t>Khan Store</t>
  </si>
  <si>
    <t xml:space="preserve">Raza Mart </t>
  </si>
  <si>
    <t>Bilal Store</t>
  </si>
  <si>
    <t>Iqbal Store</t>
  </si>
  <si>
    <t>Hr Store</t>
  </si>
  <si>
    <t xml:space="preserve">Furqan </t>
  </si>
  <si>
    <t>Organic Store</t>
  </si>
  <si>
    <t>Man Ganat Store</t>
  </si>
  <si>
    <t>Kb Store</t>
  </si>
  <si>
    <t>Khan Store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</si>
</sst>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I39" sqref="I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515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511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Moon Store</v>
      </c>
      <c r="T3" s="301">
        <f>+'1'!P35</f>
        <v>283.13144785487287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Awan Store</v>
      </c>
      <c r="T4" s="301">
        <f>+'2'!P35</f>
        <v>283.13144785487287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Khan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 xml:space="preserve">Raza Mart </v>
      </c>
      <c r="T6" s="301">
        <f>+'4'!P35</f>
        <v>6235.8521246694918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144.27187499999999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1374.5174999999999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8.3598756355932196</v>
      </c>
      <c r="P7" s="310">
        <f>M7+N7+O7</f>
        <v>1680.3350027542369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264.67776347987285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Iqbal Store</v>
      </c>
      <c r="T8" s="301">
        <f>+'6'!P35</f>
        <v>392.02644813559323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Hr Store</v>
      </c>
      <c r="T9" s="301">
        <f>+'7'!P35</f>
        <v>392.02644813559323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95</v>
      </c>
      <c r="I10" s="236">
        <f t="shared" si="0"/>
        <v>6900.8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552.06399999999996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241.52800000000002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6107.2080000000005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1304.2372881355932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37.057226440677965</v>
      </c>
      <c r="P10" s="311">
        <f t="shared" si="2"/>
        <v>7448.502514576272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Furqan </v>
      </c>
      <c r="T10" s="301">
        <f>+'8'!P35</f>
        <v>392.02644813559323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55</v>
      </c>
      <c r="I11" s="236">
        <f t="shared" si="0"/>
        <v>3995.2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319.61599999999999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139.83200000000002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3535.752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755.08474576271192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21.454183728813561</v>
      </c>
      <c r="P11" s="311">
        <f t="shared" si="2"/>
        <v>4312.2909294915253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Organic Store</v>
      </c>
      <c r="T11" s="301">
        <f>+'9'!P35</f>
        <v>15681.057925423729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105</v>
      </c>
      <c r="I12" s="236">
        <f t="shared" si="0"/>
        <v>7627.2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610.17600000000004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266.95200000000006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6750.0720000000001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1441.5254237288136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40.95798711864407</v>
      </c>
      <c r="P12" s="311">
        <f t="shared" si="2"/>
        <v>8232.5554108474571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Man Ganat Store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80</v>
      </c>
      <c r="I13" s="236">
        <f t="shared" si="0"/>
        <v>3138.4000000000005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156.92000000000004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109.84400000000002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160.05840000000001</v>
      </c>
      <c r="M13" s="230">
        <f t="shared" si="1"/>
        <v>2711.5776000000005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610.16949152542338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16.60873545762712</v>
      </c>
      <c r="P13" s="311">
        <f t="shared" si="2"/>
        <v>3338.355826983051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Kb Store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Khan Store 2</v>
      </c>
      <c r="T14" s="301">
        <f>+'12'!P35</f>
        <v>417.29447837288137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9.875</v>
      </c>
      <c r="H16" s="113">
        <f t="shared" ref="H16:M16" si="3">SUM(H7:H15)</f>
        <v>395</v>
      </c>
      <c r="I16" s="114">
        <f t="shared" si="3"/>
        <v>24809.350000000002</v>
      </c>
      <c r="J16" s="274">
        <f>SUM(J7:J15)</f>
        <v>1908.9578750000001</v>
      </c>
      <c r="K16" s="275">
        <f t="shared" si="3"/>
        <v>868.32725000000005</v>
      </c>
      <c r="L16" s="276">
        <f t="shared" si="3"/>
        <v>160.05840000000001</v>
      </c>
      <c r="M16" s="232">
        <f t="shared" si="3"/>
        <v>21872.006475000002</v>
      </c>
      <c r="N16" s="233">
        <f>SUM(N7:N15)</f>
        <v>4705.9322033898297</v>
      </c>
      <c r="O16" s="101">
        <f>SUM(O7:O15)</f>
        <v>132.88969339194915</v>
      </c>
      <c r="P16" s="113">
        <f>SUM(P7:P15)</f>
        <v>26710.828371781779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24809.350000000002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1908.9578750000001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1028.3856500000002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21872.006475000002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4705.9322033898297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26577.93867838983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132.88969339194915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26710.828371781779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26710.828371781783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5</v>
      </c>
      <c r="I25" s="114">
        <f t="shared" ref="I25:M25" si="10">SUM(I16:I24)</f>
        <v>262.3125</v>
      </c>
      <c r="J25" s="274">
        <f>SUM(J16:J24)</f>
        <v>20.984999999999999</v>
      </c>
      <c r="K25" s="275">
        <f t="shared" si="10"/>
        <v>9.1809375000000006</v>
      </c>
      <c r="L25" s="276">
        <f t="shared" si="10"/>
        <v>0</v>
      </c>
      <c r="M25" s="232">
        <f t="shared" si="10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262.3125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20.984999999999999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9.1809375000000006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232.14656249999999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281.72283368644065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2" t="s">
        <v>88</v>
      </c>
      <c r="O35" s="343"/>
      <c r="P35" s="297">
        <f>+P33+P34</f>
        <v>283.13144785487287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311">
        <f t="shared" si="5"/>
        <v>283.13144785487287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262.3125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20.984999999999999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9.1809375000000006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232.14656249999999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281.72283368644065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2" t="s">
        <v>88</v>
      </c>
      <c r="O35" s="343"/>
      <c r="P35" s="297">
        <f>+P33+P34</f>
        <v>283.13144785487287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310">
        <f>M16+N16+O16</f>
        <v>283.13144785487287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262.3125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20.984999999999999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9.1809375000000006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232.14656249999999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281.72283368644065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2" t="s">
        <v>88</v>
      </c>
      <c r="O35" s="343"/>
      <c r="P35" s="297">
        <f>+P33+P34</f>
        <v>283.13144785487287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100</v>
      </c>
      <c r="I25" s="114">
        <f t="shared" si="7"/>
        <v>5788.7000000000007</v>
      </c>
      <c r="J25" s="274">
        <f>SUM(J16:J24)</f>
        <v>439.55800000000005</v>
      </c>
      <c r="K25" s="275">
        <f t="shared" si="7"/>
        <v>202.60450000000003</v>
      </c>
      <c r="L25" s="276">
        <f t="shared" si="7"/>
        <v>40.014600000000002</v>
      </c>
      <c r="M25" s="232">
        <f t="shared" si="7"/>
        <v>5106.5228999999999</v>
      </c>
      <c r="N25" s="233">
        <f>SUM(N16:N24)</f>
        <v>1098.3050847457625</v>
      </c>
      <c r="O25" s="101">
        <f>SUM(O16:O24)</f>
        <v>31.024139923728814</v>
      </c>
      <c r="P25" s="113">
        <f>SUM(P16:P24)</f>
        <v>6235.8521246694909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5788.7000000000007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439.55800000000005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242.61910000000003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5106.5229000000008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6204.8279847457634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31.024139923728818</v>
      </c>
    </row>
    <row r="35" spans="2:16" ht="15.75" customHeight="1" thickBot="1" x14ac:dyDescent="0.4">
      <c r="N35" s="342" t="s">
        <v>88</v>
      </c>
      <c r="O35" s="343"/>
      <c r="P35" s="297">
        <f>+P33+P34</f>
        <v>6235.8521246694918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39.346874999999997</v>
      </c>
      <c r="K16" s="127">
        <f>$I16*T16</f>
        <v>9.1809375000000006</v>
      </c>
      <c r="L16" s="118">
        <f>$I16*U16</f>
        <v>0</v>
      </c>
      <c r="M16" s="229">
        <f>I16-SUM(J16:L16)</f>
        <v>213.78468750000002</v>
      </c>
      <c r="N16" s="248">
        <f>+(G16*D16+H16)*V16</f>
        <v>49.576271186440657</v>
      </c>
      <c r="O16" s="238">
        <f>(N16+M16)*$O$15</f>
        <v>1.3168047934322034</v>
      </c>
      <c r="P16" s="310">
        <f>M16+N16+O16</f>
        <v>264.67776347987285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39.346874999999997</v>
      </c>
      <c r="K25" s="275">
        <f t="shared" si="7"/>
        <v>9.1809375000000006</v>
      </c>
      <c r="L25" s="276">
        <f t="shared" si="7"/>
        <v>0</v>
      </c>
      <c r="M25" s="232">
        <f t="shared" si="7"/>
        <v>213.78468750000002</v>
      </c>
      <c r="N25" s="233">
        <f>SUM(N16:N24)</f>
        <v>49.576271186440657</v>
      </c>
      <c r="O25" s="101">
        <f>SUM(O16:O24)</f>
        <v>1.3168047934322034</v>
      </c>
      <c r="P25" s="113">
        <f>SUM(P16:P24)</f>
        <v>264.67776347987285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262.3125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39.346874999999997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9.1809375000000006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213.78468749999999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263.36095868644065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1.3168047934322034</v>
      </c>
    </row>
    <row r="35" spans="2:16" ht="15.75" customHeight="1" thickBot="1" x14ac:dyDescent="0.4">
      <c r="N35" s="342" t="s">
        <v>88</v>
      </c>
      <c r="O35" s="343"/>
      <c r="P35" s="297">
        <f>+P33+P34</f>
        <v>264.67776347987285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363.2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29.056000000000001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12.712000000000002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321.43200000000002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390.07606779661018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2" t="s">
        <v>88</v>
      </c>
      <c r="O35" s="343"/>
      <c r="P35" s="297">
        <f>+P33+P34</f>
        <v>392.02644813559323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311">
        <f t="shared" si="5"/>
        <v>6272.4231701694916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14528</v>
      </c>
      <c r="J25" s="274">
        <f>SUM(J16:J24)</f>
        <v>1162.24</v>
      </c>
      <c r="K25" s="275">
        <f t="shared" si="7"/>
        <v>508.48</v>
      </c>
      <c r="L25" s="276">
        <f t="shared" si="7"/>
        <v>0</v>
      </c>
      <c r="M25" s="232">
        <f t="shared" si="7"/>
        <v>12857.28</v>
      </c>
      <c r="N25" s="233">
        <f>SUM(N16:N24)</f>
        <v>2745.7627118644068</v>
      </c>
      <c r="O25" s="101">
        <f>SUM(O16:O24)</f>
        <v>78.015213559322035</v>
      </c>
      <c r="P25" s="113">
        <f>SUM(P16:P24)</f>
        <v>15681.057925423729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14528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1162.24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508.48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12857.28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2745.7627118644068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15603.042711864407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78.015213559322035</v>
      </c>
    </row>
    <row r="35" spans="2:16" ht="15.75" customHeight="1" thickBot="1" x14ac:dyDescent="0.4">
      <c r="N35" s="342" t="s">
        <v>88</v>
      </c>
      <c r="O35" s="343"/>
      <c r="P35" s="297">
        <f>+P33+P34</f>
        <v>15681.057925423729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528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392.30000000000007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19.615000000000006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33.737800000000007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338.94720000000007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415.21838644067799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42" t="s">
        <v>88</v>
      </c>
      <c r="O35" s="343"/>
      <c r="P35" s="297">
        <f>+P33+P34</f>
        <v>417.29447837288137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502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515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508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516</v>
      </c>
      <c r="B8" s="394"/>
      <c r="C8" s="394"/>
      <c r="F8" s="85"/>
      <c r="G8" s="86"/>
      <c r="K8" s="368" t="s">
        <v>67</v>
      </c>
      <c r="L8" s="368"/>
      <c r="M8" s="368"/>
      <c r="N8" s="397" t="s">
        <v>508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2026-08-21T12:39:51Z</dcterms:modified>
</cp:coreProperties>
</file>