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DF4B0DB-FBE7-4A03-9D78-CD9C282D0AA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1" i="53"/>
  <c r="O21" i="53" s="1"/>
  <c r="P21" i="53" s="1"/>
  <c r="M20" i="53"/>
  <c r="O20" i="53" s="1"/>
  <c r="P20" i="53" s="1"/>
  <c r="R20" i="53" s="1"/>
  <c r="K12" i="62"/>
  <c r="M21" i="44"/>
  <c r="O21" i="44" s="1"/>
  <c r="P21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3" i="55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<sst xmlns="http://schemas.openxmlformats.org/spreadsheetml/2006/main" count="3977" uniqueCount="529">
  <si>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</si>
  <si>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</si>
  <si>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</si>
  <si>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</si>
  <si>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</si>
  <si>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</si>
  <si>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</si>
  <si>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</si>
  <si>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</si>
  <si>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</si>
  <si>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</si>
  <si>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</si>
  <si>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</si>
  <si>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</si>
  <si>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</si>
  <si>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</si>
  <si>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</si>
  <si>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</si>
  <si>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</si>
  <si>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</si>
  <si>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</si>
  <si>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</si>
  <si>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</si>
  <si>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</si>
  <si>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</si>
  <si>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</si>
  <si>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</si>
  <si>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</si>
  <si>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</si>
  <si>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</si>
  <si>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</si>
  <si>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</si>
  <si>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</si>
  <si>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</si>
  <si>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</si>
  <si>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</si>
  <si>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</si>
  <si>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</si>
  <si>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</si>
  <si>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</si>
  <si>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</si>
  <si>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</si>
  <si>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</si>
  <si>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</si>
  <si>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</si>
  <si>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</si>
  <si>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</si>
  <si>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</si>
  <si>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</si>
  <si>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</si>
  <si>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</si>
  <si>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</si>
  <si>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</si>
  <si>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</si>
  <si>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</si>
  <si>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</si>
  <si>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</si>
  <si>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</si>
  <si>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</si>
  <si>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</si>
  <si>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</si>
  <si>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</si>
  <si>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</si>
  <si>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</si>
  <si>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</si>
  <si>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</si>
  <si>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</si>
  <si>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</si>
  <si>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</si>
  <si>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</si>
  <si>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</si>
  <si>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</si>
  <si>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</si>
  <si>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</si>
  <si>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</si>
  <si>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</si>
  <si>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</si>
  <si>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</si>
  <si>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</si>
  <si>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</si>
  <si>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</si>
  <si>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</si>
  <si>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</si>
  <si>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</si>
  <si>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</si>
  <si>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</si>
  <si>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</si>
  <si>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</si>
  <si>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</si>
  <si>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</si>
  <si>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</si>
  <si>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</si>
  <si>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</si>
  <si>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</si>
  <si>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</si>
  <si>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</si>
  <si>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</si>
  <si>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</si>
  <si>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</si>
  <si>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</si>
  <si>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</si>
  <si>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</si>
  <si>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</si>
  <si>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</si>
  <si>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</si>
  <si>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</si>
  <si>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</si>
  <si>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</si>
  <si>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</si>
  <si>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</si>
  <si>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</si>
  <si>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</si>
  <si>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</si>
  <si>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</si>
  <si>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</si>
  <si>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</si>
  <si>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</si>
  <si>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</si>
  <si>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</si>
  <si>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</si>
  <si>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</si>
  <si>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</si>
  <si>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</si>
  <si>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</si>
  <si>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</si>
  <si>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</si>
  <si>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</si>
  <si>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</si>
  <si>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</si>
  <si>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</si>
  <si>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</si>
  <si>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</si>
  <si>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</si>
  <si>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</si>
  <si>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</si>
  <si>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</si>
  <si>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</si>
  <si>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</si>
  <si>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</si>
  <si>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</si>
  <si>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</si>
  <si>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</si>
  <si>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</si>
  <si>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</si>
  <si>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</si>
  <si>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</si>
  <si>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</si>
  <si>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</si>
  <si>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</si>
  <si>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</si>
  <si>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</si>
  <si>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</si>
  <si>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</si>
  <si>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</si>
  <si>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</si>
  <si>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</si>
  <si>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</si>
  <si>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</si>
  <si>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</si>
  <si>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</si>
  <si>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</si>
  <si>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</si>
  <si>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</si>
  <si>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</si>
  <si>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</si>
  <si>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</si>
  <si>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</si>
  <si>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</si>
  <si>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</si>
  <si>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</si>
  <si>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</si>
  <si>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</si>
  <si>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</si>
  <si>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</si>
  <si>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</si>
  <si>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</si>
  <si>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</si>
  <si>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</si>
  <si>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</si>
  <si>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</si>
  <si>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</si>
  <si>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</si>
  <si>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</si>
  <si>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</si>
  <si>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</si>
  <si>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</si>
  <si>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</si>
  <si>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</si>
  <si>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</si>
  <si>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</si>
  <si>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</si>
  <si>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</si>
  <si>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</si>
  <si>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</si>
  <si>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</si>
  <si>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</si>
  <si>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</si>
  <si>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</si>
  <si>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</si>
  <si>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</si>
  <si>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</si>
  <si>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</si>
  <si>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</si>
  <si>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</si>
  <si>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</si>
  <si>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</si>
  <si>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</si>
  <si>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</si>
  <si>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</si>
  <si>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</si>
  <si>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</si>
  <si>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</si>
  <si>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</si>
  <si>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</si>
  <si>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</si>
  <si>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</si>
  <si>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</si>
  <si>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</si>
  <si>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</si>
  <si>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</si>
  <si>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</si>
  <si>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</si>
  <si>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</si>
  <si>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</si>
  <si>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</si>
  <si>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</si>
  <si>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</si>
  <si>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</si>
  <si>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</si>
  <si>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</si>
  <si>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</si>
  <si>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</si>
  <si>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</si>
  <si>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</si>
  <si>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</si>
  <si>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</si>
  <si>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</si>
  <si>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</si>
  <si>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</si>
  <si>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</si>
  <si>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</si>
  <si>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</si>
  <si>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</si>
  <si>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</si>
  <si>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</si>
  <si>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</si>
  <si>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</si>
  <si>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</si>
  <si>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</si>
  <si>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</si>
  <si>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</si>
  <si>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</si>
  <si>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</si>
  <si>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</si>
  <si>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</si>
  <si>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</si>
  <si>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</si>
  <si>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</si>
  <si>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</si>
  <si>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</si>
  <si>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</si>
  <si>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</si>
  <si>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</si>
  <si>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</si>
  <si>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</si>
  <si>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</si>
  <si>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</si>
  <si>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</si>
  <si>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</si>
  <si>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</si>
  <si>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</si>
  <si>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</si>
  <si>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</si>
  <si>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</si>
  <si>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</si>
  <si>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</si>
  <si>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</si>
  <si>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</si>
  <si>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</si>
  <si>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</si>
  <si>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</si>
  <si>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</si>
  <si>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</si>
  <si>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</si>
  <si>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</si>
  <si>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</si>
  <si>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</si>
  <si>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</si>
  <si>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</si>
  <si>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</si>
  <si>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</si>
  <si>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</si>
  <si>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</si>
  <si>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</si>
  <si>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</si>
  <si>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</si>
  <si>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</si>
  <si>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</si>
  <si>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</si>
  <si>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</si>
  <si>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</si>
  <si>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</si>
  <si>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</si>
  <si>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</si>
  <si>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</si>
  <si>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</si>
  <si>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</si>
  <si>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</si>
  <si>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</si>
  <si>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</si>
  <si>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</si>
  <si>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</si>
  <si>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</si>
  <si>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</si>
  <si>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</si>
  <si>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</si>
  <si>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</si>
  <si>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</si>
  <si>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</si>
  <si>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</si>
  <si>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</si>
  <si>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</si>
  <si>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</si>
  <si>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</si>
  <si>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</si>
  <si>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</si>
  <si>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</si>
  <si>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</si>
  <si>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</si>
  <si>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</si>
  <si>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</si>
  <si>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</si>
  <si>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</si>
  <si>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</si>
  <si>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</si>
  <si>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</si>
  <si>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</si>
  <si>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</si>
  <si>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</si>
  <si>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</si>
  <si>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</si>
  <si>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</si>
  <si>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</si>
  <si>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</si>
  <si>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</si>
  <si>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</si>
  <si>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</si>
  <si>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</si>
  <si>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</si>
  <si>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</si>
  <si>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</si>
  <si>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</si>
  <si>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</si>
  <si>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</si>
  <si>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</si>
  <si>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</si>
  <si>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</si>
  <si>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</si>
  <si>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</si>
  <si>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</si>
  <si>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</si>
  <si>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</si>
  <si>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</si>
  <si>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</si>
  <si>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</si>
  <si>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</si>
  <si>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</si>
  <si>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</si>
  <si>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</si>
  <si>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</si>
  <si>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</si>
  <si>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</si>
  <si>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</si>
  <si>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</si>
  <si>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</si>
  <si>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</si>
  <si>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</si>
  <si>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</si>
  <si>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</si>
  <si>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</si>
  <si>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</si>
  <si>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</si>
  <si>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</si>
  <si>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</si>
  <si>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</si>
  <si>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</si>
  <si>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</si>
  <si>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</si>
  <si>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</si>
  <si>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</si>
  <si>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</si>
  <si>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</si>
  <si>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</si>
  <si>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</si>
  <si>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</si>
  <si>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</si>
  <si>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</si>
  <si>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</si>
  <si>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</si>
  <si>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</si>
  <si>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</si>
  <si>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</si>
  <si>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</si>
  <si>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</si>
  <si>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</si>
  <si>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</si>
  <si>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</si>
  <si>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</si>
  <si>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</si>
  <si>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</si>
  <si>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</si>
  <si>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</si>
  <si>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</si>
  <si>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</si>
  <si>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</si>
  <si>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</si>
  <si>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</si>
  <si>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</si>
  <si>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</si>
  <si>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</si>
  <si>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</si>
  <si>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</si>
  <si>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</si>
  <si>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</si>
  <si>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</si>
  <si>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</si>
  <si>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</si>
  <si>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</si>
  <si>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</si>
  <si>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</si>
  <si>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</si>
  <si>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</si>
  <si>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</si>
  <si>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</si>
  <si>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</si>
  <si>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</si>
  <si>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</si>
  <si>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</si>
  <si>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</si>
  <si>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</si>
  <si>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</si>
  <si>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</si>
  <si>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</si>
  <si>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</si>
  <si>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</si>
  <si>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</si>
  <si>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</si>
  <si>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</si>
  <si>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</si>
  <si>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</si>
  <si>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</si>
  <si>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</si>
  <si>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</si>
  <si>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</si>
  <si>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</si>
  <si>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</si>
  <si>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</si>
  <si>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</si>
  <si>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</si>
  <si>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</si>
  <si>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</si>
  <si>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</si>
  <si>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</si>
  <si>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</si>
  <si>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</si>
  <si>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</si>
  <si>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</si>
  <si>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</si>
  <si>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</si>
  <si>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</si>
  <si>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</si>
  <si>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</si>
  <si>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</si>
  <si>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</si>
  <si>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</si>
  <si>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</si>
  <si>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</si>
  <si>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</si>
  <si>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</si>
  <si>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</si>
  <si>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</si>
  <si>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</si>
  <si>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</si>
  <si>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</si>
  <si>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</si>
  <si>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</si>
  <si>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</si>
  <si>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</si>
  <si>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</si>
  <si>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</si>
  <si>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</si>
  <si>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</si>
  <si>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</si>
  <si>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</si>
  <si>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</si>
  <si>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</si>
  <si>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</si>
  <si>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</si>
  <si>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</si>
  <si>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</si>
  <si>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</si>
  <si>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</si>
  <si>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</si>
  <si>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</si>
  <si>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</si>
  <si>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</si>
  <si>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</si>
  <si>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</si>
  <si>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</si>
  <si>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</si>
  <si>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</si>
  <si>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</si>
  <si>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</si>
  <si>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</si>
  <si>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</si>
  <si>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</si>
  <si>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>Address: Askari Market</t>
  </si>
  <si>
    <t xml:space="preserve">Askari Cash &amp; Carry </t>
  </si>
  <si>
    <t>Al Makkah Store</t>
  </si>
  <si>
    <t>Chelet Bakers</t>
  </si>
  <si>
    <t>Zahid Store</t>
  </si>
  <si>
    <t>Haris Store</t>
  </si>
  <si>
    <t>Nadeem Store</t>
  </si>
  <si>
    <t>Shani Store</t>
  </si>
  <si>
    <t>Mani Store</t>
  </si>
  <si>
    <t>Yousaf Store</t>
  </si>
  <si>
    <t>Zubair Store</t>
  </si>
  <si>
    <t>Dilshat Store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</si>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</sst>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H38" sqref="H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Askari Cash &amp; Carry </v>
      </c>
      <c r="T3" s="301">
        <f>+'1'!P35</f>
        <v>12508.275294838984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Al Makkah Store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Chelet Bakers</v>
      </c>
      <c r="T5" s="301">
        <f>+'3'!P35</f>
        <v>7803.9579172118647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Zahid Store</v>
      </c>
      <c r="T6" s="301">
        <f>+'4'!P35</f>
        <v>208.64723918644069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78</v>
      </c>
      <c r="I7" s="235">
        <f>(G7*D7)*F7+H7*F7</f>
        <v>4092.0749999999998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327.36599999999999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143.22262499999999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3621.486375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773.38983050847423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21.974381027542371</v>
      </c>
      <c r="P7" s="310">
        <f>M7+N7+O7</f>
        <v>4416.8505865360166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Haris Store</v>
      </c>
      <c r="T7" s="301">
        <f>+'5'!P35</f>
        <v>208.64723918644069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67</v>
      </c>
      <c r="I8" s="236">
        <f t="shared" ref="I8:I14" si="0">(G8*D8)*F8+H8*F8</f>
        <v>3514.9874999999997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281.19900000000001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123.0245625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3110.7639374999999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664.32203389830488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18.875429856991524</v>
      </c>
      <c r="P8" s="311">
        <f t="shared" ref="P8:P15" si="2">M8+N8+O8</f>
        <v>3793.9614012552961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Nadeem Store</v>
      </c>
      <c r="T8" s="301">
        <f>+'6'!P35</f>
        <v>208.64723918644069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Shani Store</v>
      </c>
      <c r="T9" s="301">
        <f>+'7'!P35</f>
        <v>208.64723918644069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Mani Store</v>
      </c>
      <c r="T10" s="301">
        <f>+'8'!P35</f>
        <v>208.64723918644069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Yousaf Store</v>
      </c>
      <c r="T11" s="301">
        <f>+'9'!P35</f>
        <v>208.64723918644069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Zubair Store</v>
      </c>
      <c r="T12" s="301">
        <f>+'10'!P35</f>
        <v>208.64723918644069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160.05839999999995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610.16949152542315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3338.3558269830505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Dilshat Store</v>
      </c>
      <c r="T13" s="301">
        <f>+'11'!P35</f>
        <v>208.64723918644069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Khan Store</v>
      </c>
      <c r="T14" s="301">
        <f>+'12'!P35</f>
        <v>8537.4747530084751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12.5</v>
      </c>
      <c r="H16" s="113">
        <f t="shared" ref="H16:M16" si="3">SUM(H7:H15)</f>
        <v>500</v>
      </c>
      <c r="I16" s="114">
        <f t="shared" si="3"/>
        <v>30418.800000000003</v>
      </c>
      <c r="J16" s="274">
        <f>SUM(J7:J15)</f>
        <v>2339.3520000000003</v>
      </c>
      <c r="K16" s="275">
        <f t="shared" si="3"/>
        <v>1064.6580000000001</v>
      </c>
      <c r="L16" s="276">
        <f t="shared" si="3"/>
        <v>160.05839999999995</v>
      </c>
      <c r="M16" s="232">
        <f t="shared" si="3"/>
        <v>26854.731600000003</v>
      </c>
      <c r="N16" s="233">
        <f>SUM(N7:N15)</f>
        <v>5766.1016949152527</v>
      </c>
      <c r="O16" s="101">
        <f>SUM(O7:O15)</f>
        <v>163.10416647457626</v>
      </c>
      <c r="P16" s="113">
        <f>SUM(P7:P15)</f>
        <v>32783.937461389833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>
        <f>+'15'!A6:A6</f>
        <v>0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30418.800000000003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2339.3520000000003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1224.7164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26854.731600000003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5766.1016949152527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32620.833294915254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163.10416647457626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32783.937461389833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32783.93746138984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180</v>
      </c>
      <c r="I25" s="114">
        <f t="shared" ref="I25:M25" si="10">SUM(I16:I24)</f>
        <v>11599.900000000001</v>
      </c>
      <c r="J25" s="274">
        <f>SUM(J16:J24)</f>
        <v>904.45399999999995</v>
      </c>
      <c r="K25" s="275">
        <f t="shared" si="10"/>
        <v>405.99650000000008</v>
      </c>
      <c r="L25" s="276">
        <f t="shared" si="10"/>
        <v>40.014600000000002</v>
      </c>
      <c r="M25" s="232">
        <f t="shared" si="10"/>
        <v>10249.4349</v>
      </c>
      <c r="N25" s="233">
        <f>SUM(N16:N24)</f>
        <v>2196.6101694915251</v>
      </c>
      <c r="O25" s="101">
        <f>SUM(O16:O24)</f>
        <v>62.230225347457633</v>
      </c>
      <c r="P25" s="113">
        <f>SUM(P16:P24)</f>
        <v>12508.275294838984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11599.900000000001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904.45399999999995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446.01110000000006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10249.434900000002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2196.6101694915251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12446.045069491527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62.23022534745764</v>
      </c>
    </row>
    <row r="35" spans="2:16" ht="15.75" customHeight="1" thickBot="1" x14ac:dyDescent="0.4">
      <c r="N35" s="342" t="s">
        <v>88</v>
      </c>
      <c r="O35" s="343"/>
      <c r="P35" s="297">
        <f>+P33+P34</f>
        <v>12508.275294838984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310">
        <f>M16+N16+O16</f>
        <v>736.14176442266944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7241.5000000000009</v>
      </c>
      <c r="J25" s="274">
        <f>SUM(J16:J24)</f>
        <v>555.78200000000004</v>
      </c>
      <c r="K25" s="275">
        <f t="shared" si="7"/>
        <v>253.45250000000004</v>
      </c>
      <c r="L25" s="276">
        <f t="shared" si="7"/>
        <v>40.014600000000002</v>
      </c>
      <c r="M25" s="232">
        <f t="shared" si="7"/>
        <v>6392.2509000000009</v>
      </c>
      <c r="N25" s="233">
        <f>SUM(N16:N24)</f>
        <v>1372.881355932203</v>
      </c>
      <c r="O25" s="101">
        <f>SUM(O16:O24)</f>
        <v>38.825661279661013</v>
      </c>
      <c r="P25" s="113">
        <f>SUM(P16:P24)</f>
        <v>7803.9579172118647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7241.5000000000009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555.78200000000004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293.46710000000007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6392.2509000000009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1372.881355932203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7765.1322559322034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38.82566127966102</v>
      </c>
    </row>
    <row r="35" spans="2:16" ht="15.75" customHeight="1" thickBot="1" x14ac:dyDescent="0.4">
      <c r="N35" s="342" t="s">
        <v>88</v>
      </c>
      <c r="O35" s="343"/>
      <c r="P35" s="297">
        <f>+P33+P34</f>
        <v>7803.9579172118647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196.15000000000003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9.8075000000000028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16.868900000000004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169.47360000000003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207.60919322033899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2" t="s">
        <v>88</v>
      </c>
      <c r="O35" s="343"/>
      <c r="P35" s="297">
        <f>+P33+P34</f>
        <v>208.64723918644069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196.15000000000003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9.8075000000000028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16.868900000000004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169.47360000000003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207.60919322033899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2" t="s">
        <v>88</v>
      </c>
      <c r="O35" s="343"/>
      <c r="P35" s="297">
        <f>+P33+P34</f>
        <v>208.64723918644069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196.15000000000003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9.8075000000000028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16.868900000000004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169.47360000000003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207.60919322033899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2" t="s">
        <v>88</v>
      </c>
      <c r="O35" s="343"/>
      <c r="P35" s="297">
        <f>+P33+P34</f>
        <v>208.64723918644069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196.15000000000003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9.8075000000000028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16.868900000000004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169.47360000000003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207.60919322033899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2" t="s">
        <v>88</v>
      </c>
      <c r="O35" s="343"/>
      <c r="P35" s="297">
        <f>+P33+P34</f>
        <v>208.64723918644069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196.15000000000003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9.8075000000000028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16.868900000000004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169.47360000000003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207.60919322033899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2" t="s">
        <v>88</v>
      </c>
      <c r="O35" s="343"/>
      <c r="P35" s="297">
        <f>+P33+P34</f>
        <v>208.64723918644069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196.15000000000003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9.8075000000000028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16.868900000000004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169.47360000000003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207.60919322033899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2" t="s">
        <v>88</v>
      </c>
      <c r="O35" s="343"/>
      <c r="P35" s="297">
        <f>+P33+P34</f>
        <v>208.64723918644069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196.15000000000003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9.8075000000000028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16.868900000000004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169.47360000000003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207.60919322033899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2" t="s">
        <v>88</v>
      </c>
      <c r="O35" s="343"/>
      <c r="P35" s="297">
        <f>+P33+P34</f>
        <v>208.64723918644069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196.15000000000003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9.8075000000000028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16.868900000000004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169.47360000000003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207.60919322033899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2" t="s">
        <v>88</v>
      </c>
      <c r="O35" s="343"/>
      <c r="P35" s="297">
        <f>+P33+P34</f>
        <v>208.64723918644069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25</v>
      </c>
      <c r="I16" s="235">
        <f>(G16*D16)*F16+H16*F16</f>
        <v>1311.5625</v>
      </c>
      <c r="J16" s="271">
        <f>$I16*S16</f>
        <v>104.925</v>
      </c>
      <c r="K16" s="127">
        <f>$I16*T16</f>
        <v>45.904687500000001</v>
      </c>
      <c r="L16" s="118">
        <f>$I16*U16</f>
        <v>0</v>
      </c>
      <c r="M16" s="229">
        <f>I16-SUM(J16:L16)</f>
        <v>1160.7328124999999</v>
      </c>
      <c r="N16" s="248">
        <f>+(G16*D16+H16)*V16</f>
        <v>247.88135593220329</v>
      </c>
      <c r="O16" s="238">
        <f>(N16+M16)*$O$15</f>
        <v>7.0430708421610166</v>
      </c>
      <c r="P16" s="310">
        <f>M16+N16+O16</f>
        <v>1415.6572392743644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311">
        <f t="shared" ref="P17:P24" si="5">M17+N17+O17</f>
        <v>849.39434356461845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632.77600000000007</v>
      </c>
      <c r="K25" s="275">
        <f t="shared" si="7"/>
        <v>276.83950000000004</v>
      </c>
      <c r="L25" s="276">
        <f t="shared" si="7"/>
        <v>0</v>
      </c>
      <c r="M25" s="232">
        <f t="shared" si="7"/>
        <v>7000.0844999999999</v>
      </c>
      <c r="N25" s="233">
        <f>SUM(N16:N24)</f>
        <v>1494.9152542372879</v>
      </c>
      <c r="O25" s="101">
        <f>SUM(O16:O24)</f>
        <v>42.474998771186442</v>
      </c>
      <c r="P25" s="113">
        <f>SUM(P16:P24)</f>
        <v>8537.4747530084751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7909.7000000000007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632.77600000000007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276.83950000000004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7000.0845000000008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8494.9997542372894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42" t="s">
        <v>88</v>
      </c>
      <c r="O35" s="343"/>
      <c r="P35" s="297">
        <f>+P33+P34</f>
        <v>8537.4747530084751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activeCell="E5" sqref="E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/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2026-08-21T12:34:50Z</dcterms:modified>
</cp:coreProperties>
</file>