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9613FA0-9518-4360-B6D8-2BB92D331CE3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2" l="1"/>
  <c r="O22" i="52" s="1"/>
  <c r="P22" i="52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<sst xmlns="http://schemas.openxmlformats.org/spreadsheetml/2006/main" count="3978" uniqueCount="529">
  <si>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</si>
  <si>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</si>
  <si>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</si>
  <si>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</si>
  <si>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</si>
  <si>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</si>
  <si>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</si>
  <si>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</si>
  <si>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</si>
  <si>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</si>
  <si>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</si>
  <si>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</si>
  <si>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</si>
  <si>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</si>
  <si>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</si>
  <si>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</si>
  <si>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</si>
  <si>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</si>
  <si>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</si>
  <si>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</si>
  <si>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</si>
  <si>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</si>
  <si>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</si>
  <si>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</si>
  <si>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</si>
  <si>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</si>
  <si>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</si>
  <si>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</si>
  <si>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</si>
  <si>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</si>
  <si>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</si>
  <si>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</si>
  <si>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</si>
  <si>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</si>
  <si>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</si>
  <si>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</si>
  <si>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</si>
  <si>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</si>
  <si>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</si>
  <si>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</si>
  <si>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</si>
  <si>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</si>
  <si>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</si>
  <si>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</si>
  <si>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</si>
  <si>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</si>
  <si>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</si>
  <si>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</si>
  <si>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</si>
  <si>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</si>
  <si>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</si>
  <si>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</si>
  <si>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</si>
  <si>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</si>
  <si>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</si>
  <si>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</si>
  <si>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</si>
  <si>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</si>
  <si>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</si>
  <si>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</si>
  <si>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</si>
  <si>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</si>
  <si>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</si>
  <si>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</si>
  <si>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</si>
  <si>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</si>
  <si>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</si>
  <si>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</si>
  <si>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</si>
  <si>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</si>
  <si>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</si>
  <si>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</si>
  <si>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</si>
  <si>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</si>
  <si>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</si>
  <si>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</si>
  <si>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</si>
  <si>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</si>
  <si>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</si>
  <si>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</si>
  <si>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</si>
  <si>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</si>
  <si>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</si>
  <si>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</si>
  <si>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</si>
  <si>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</si>
  <si>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</si>
  <si>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</si>
  <si>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</si>
  <si>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</si>
  <si>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</si>
  <si>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</si>
  <si>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</si>
  <si>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</si>
  <si>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</si>
  <si>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</si>
  <si>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</si>
  <si>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</si>
  <si>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</si>
  <si>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</si>
  <si>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</si>
  <si>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</si>
  <si>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</si>
  <si>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</si>
  <si>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</si>
  <si>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</si>
  <si>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</si>
  <si>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</si>
  <si>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</si>
  <si>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</si>
  <si>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</si>
  <si>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</si>
  <si>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</si>
  <si>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</si>
  <si>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</si>
  <si>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</si>
  <si>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</si>
  <si>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</si>
  <si>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</si>
  <si>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</si>
  <si>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</si>
  <si>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</si>
  <si>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</si>
  <si>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</si>
  <si>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</si>
  <si>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</si>
  <si>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</si>
  <si>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</si>
  <si>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</si>
  <si>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</si>
  <si>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</si>
  <si>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</si>
  <si>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</si>
  <si>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</si>
  <si>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</si>
  <si>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</si>
  <si>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</si>
  <si>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</si>
  <si>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</si>
  <si>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</si>
  <si>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</si>
  <si>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</si>
  <si>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</si>
  <si>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</si>
  <si>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</si>
  <si>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</si>
  <si>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</si>
  <si>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</si>
  <si>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</si>
  <si>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</si>
  <si>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</si>
  <si>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</si>
  <si>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</si>
  <si>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</si>
  <si>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</si>
  <si>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</si>
  <si>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</si>
  <si>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</si>
  <si>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</si>
  <si>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</si>
  <si>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</si>
  <si>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</si>
  <si>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</si>
  <si>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</si>
  <si>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</si>
  <si>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</si>
  <si>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</si>
  <si>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</si>
  <si>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</si>
  <si>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</si>
  <si>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</si>
  <si>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</si>
  <si>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</si>
  <si>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</si>
  <si>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</si>
  <si>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</si>
  <si>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</si>
  <si>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</si>
  <si>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</si>
  <si>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</si>
  <si>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</si>
  <si>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</si>
  <si>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</si>
  <si>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</si>
  <si>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</si>
  <si>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</si>
  <si>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</si>
  <si>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</si>
  <si>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</si>
  <si>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</si>
  <si>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</si>
  <si>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</si>
  <si>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</si>
  <si>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</si>
  <si>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</si>
  <si>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</si>
  <si>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</si>
  <si>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</si>
  <si>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</si>
  <si>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</si>
  <si>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</si>
  <si>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</si>
  <si>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</si>
  <si>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</si>
  <si>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</si>
  <si>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</si>
  <si>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</si>
  <si>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</si>
  <si>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</si>
  <si>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</si>
  <si>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</si>
  <si>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</si>
  <si>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</si>
  <si>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</si>
  <si>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</si>
  <si>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</si>
  <si>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</si>
  <si>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</si>
  <si>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</si>
  <si>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</si>
  <si>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</si>
  <si>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</si>
  <si>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</si>
  <si>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</si>
  <si>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</si>
  <si>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</si>
  <si>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</si>
  <si>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</si>
  <si>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</si>
  <si>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</si>
  <si>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</si>
  <si>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</si>
  <si>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</si>
  <si>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</si>
  <si>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</si>
  <si>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</si>
  <si>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</si>
  <si>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</si>
  <si>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</si>
  <si>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</si>
  <si>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</si>
  <si>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</si>
  <si>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</si>
  <si>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</si>
  <si>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</si>
  <si>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</si>
  <si>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</si>
  <si>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</si>
  <si>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</si>
  <si>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</si>
  <si>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</si>
  <si>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</si>
  <si>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</si>
  <si>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</si>
  <si>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</si>
  <si>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</si>
  <si>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</si>
  <si>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</si>
  <si>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</si>
  <si>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</si>
  <si>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</si>
  <si>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</si>
  <si>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</si>
  <si>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</si>
  <si>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</si>
  <si>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</si>
  <si>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</si>
  <si>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</si>
  <si>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</si>
  <si>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</si>
  <si>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</si>
  <si>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</si>
  <si>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</si>
  <si>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</si>
  <si>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</si>
  <si>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</si>
  <si>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</si>
  <si>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</si>
  <si>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</si>
  <si>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</si>
  <si>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</si>
  <si>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</si>
  <si>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</si>
  <si>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</si>
  <si>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</si>
  <si>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</si>
  <si>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</si>
  <si>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</si>
  <si>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</si>
  <si>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</si>
  <si>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</si>
  <si>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</si>
  <si>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</si>
  <si>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</si>
  <si>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</si>
  <si>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</si>
  <si>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</si>
  <si>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</si>
  <si>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</si>
  <si>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</si>
  <si>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</si>
  <si>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</si>
  <si>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</si>
  <si>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</si>
  <si>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</si>
  <si>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</si>
  <si>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</si>
  <si>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</si>
  <si>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</si>
  <si>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</si>
  <si>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</si>
  <si>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</si>
  <si>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</si>
  <si>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</si>
  <si>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</si>
  <si>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</si>
  <si>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</si>
  <si>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</si>
  <si>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</si>
  <si>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</si>
  <si>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</si>
  <si>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</si>
  <si>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</si>
  <si>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</si>
  <si>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</si>
  <si>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</si>
  <si>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</si>
  <si>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</si>
  <si>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</si>
  <si>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</si>
  <si>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</si>
  <si>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</si>
  <si>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</si>
  <si>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</si>
  <si>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</si>
  <si>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</si>
  <si>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</si>
  <si>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</si>
  <si>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</si>
  <si>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</si>
  <si>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</si>
  <si>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</si>
  <si>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</si>
  <si>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</si>
  <si>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</si>
  <si>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</si>
  <si>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</si>
  <si>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</si>
  <si>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</si>
  <si>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</si>
  <si>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</si>
  <si>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</si>
  <si>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</si>
  <si>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</si>
  <si>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</si>
  <si>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</si>
  <si>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</si>
  <si>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</si>
  <si>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</si>
  <si>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</si>
  <si>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</si>
  <si>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</si>
  <si>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</si>
  <si>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</si>
  <si>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</si>
  <si>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</si>
  <si>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</si>
  <si>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</si>
  <si>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</si>
  <si>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</si>
  <si>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</si>
  <si>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</si>
  <si>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</si>
  <si>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</si>
  <si>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</si>
  <si>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</si>
  <si>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</si>
  <si>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</si>
  <si>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</si>
  <si>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</si>
  <si>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</si>
  <si>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</si>
  <si>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</si>
  <si>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</si>
  <si>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</si>
  <si>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</si>
  <si>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</si>
  <si>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</si>
  <si>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</si>
  <si>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</si>
  <si>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</si>
  <si>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</si>
  <si>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</si>
  <si>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</si>
  <si>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</si>
  <si>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</si>
  <si>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</si>
  <si>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</si>
  <si>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</si>
  <si>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</si>
  <si>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</si>
  <si>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</si>
  <si>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</si>
  <si>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</si>
  <si>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</si>
  <si>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</si>
  <si>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</si>
  <si>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</si>
  <si>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</si>
  <si>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</si>
  <si>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</si>
  <si>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</si>
  <si>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</si>
  <si>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</si>
  <si>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</si>
  <si>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</si>
  <si>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</si>
  <si>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</si>
  <si>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</si>
  <si>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</si>
  <si>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</si>
  <si>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</si>
  <si>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</si>
  <si>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</si>
  <si>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</si>
  <si>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</si>
  <si>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</si>
  <si>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</si>
  <si>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</si>
  <si>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</si>
  <si>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</si>
  <si>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</si>
  <si>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</si>
  <si>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</si>
  <si>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</si>
  <si>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</si>
  <si>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</si>
  <si>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</si>
  <si>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</si>
  <si>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</si>
  <si>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</si>
  <si>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</si>
  <si>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</si>
  <si>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</si>
  <si>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</si>
  <si>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</si>
  <si>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</si>
  <si>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</si>
  <si>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</si>
  <si>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</si>
  <si>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</si>
  <si>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</si>
  <si>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</si>
  <si>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</si>
  <si>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</si>
  <si>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</si>
  <si>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</si>
  <si>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</si>
  <si>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</si>
  <si>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</si>
  <si>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</si>
  <si>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</si>
  <si>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</si>
  <si>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</si>
  <si>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</si>
  <si>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</si>
  <si>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</si>
  <si>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</si>
  <si>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</si>
  <si>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</si>
  <si>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</si>
  <si>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</si>
  <si>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</si>
  <si>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</si>
  <si>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</si>
  <si>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</si>
  <si>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</si>
  <si>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</si>
  <si>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</si>
  <si>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</si>
  <si>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</si>
  <si>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</si>
  <si>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</si>
  <si>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</si>
  <si>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</si>
  <si>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</si>
  <si>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</si>
  <si>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</si>
  <si>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</si>
  <si>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</si>
  <si>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</si>
  <si>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</si>
  <si>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</si>
  <si>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</si>
  <si>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</si>
  <si>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</si>
  <si>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</si>
  <si>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</si>
  <si>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</si>
  <si>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</si>
  <si>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</si>
  <si>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</si>
  <si>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</si>
  <si>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</si>
  <si>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</si>
  <si>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</si>
  <si>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</si>
  <si>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</si>
  <si>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</si>
  <si>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</si>
  <si>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</si>
  <si>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</si>
  <si>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</si>
  <si>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</si>
  <si>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</si>
  <si>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Zeshan </t>
  </si>
  <si>
    <t xml:space="preserve">Address: Ali Park </t>
  </si>
  <si>
    <t>Moon Store</t>
  </si>
  <si>
    <t>Awan Store</t>
  </si>
  <si>
    <t>Khan Store</t>
  </si>
  <si>
    <t xml:space="preserve">Raza Mart </t>
  </si>
  <si>
    <t>Bilal Store</t>
  </si>
  <si>
    <t>Iqbal Store</t>
  </si>
  <si>
    <t>Hr Store</t>
  </si>
  <si>
    <t xml:space="preserve">Furqan </t>
  </si>
  <si>
    <t>Organic Store</t>
  </si>
  <si>
    <t>Man Ganat Store</t>
  </si>
  <si>
    <t>Kb Store</t>
  </si>
  <si>
    <t>Khan Store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</si>
</sst>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S8" sqref="S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515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511</v>
      </c>
      <c r="F3" s="387"/>
      <c r="G3" s="387"/>
      <c r="H3" s="384">
        <f ca="1">TODAY()</f>
        <v>46258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Moon Store</v>
      </c>
      <c r="T3" s="301">
        <f>+'1'!P35</f>
        <v>283.13144785487287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Awan Store</v>
      </c>
      <c r="T4" s="301">
        <f>+'2'!P35</f>
        <v>283.13144785487287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>Khan Store</v>
      </c>
      <c r="T5" s="301">
        <f>+'3'!P35</f>
        <v>283.13144785487287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 xml:space="preserve">Raza Mart </v>
      </c>
      <c r="T6" s="301">
        <f>+'4'!P35</f>
        <v>5401.2631679237284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30</v>
      </c>
      <c r="I7" s="235">
        <f>(G7*D7)*F7+H7*F7</f>
        <v>1573.875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55.085625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1392.879375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297.45762711864393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8.45168501059322</v>
      </c>
      <c r="P7" s="310">
        <f>M7+N7+O7</f>
        <v>1698.7886871292369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Bilal Store</v>
      </c>
      <c r="T7" s="301">
        <f>+'5'!P35</f>
        <v>283.13144785487287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Iqbal Store</v>
      </c>
      <c r="T8" s="301">
        <f>+'6'!P35</f>
        <v>392.02644813559323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</v>
      </c>
      <c r="I9" s="236">
        <f t="shared" si="0"/>
        <v>524.625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41.97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18.361875000000001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464.29312500000003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99.152542372881314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2.8172283368644067</v>
      </c>
      <c r="P9" s="311">
        <f t="shared" si="2"/>
        <v>566.26289570974575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Hr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95</v>
      </c>
      <c r="I10" s="236">
        <f t="shared" si="0"/>
        <v>6900.8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552.06399999999996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241.52800000000002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6107.2080000000005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1304.2372881355932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37.057226440677965</v>
      </c>
      <c r="P10" s="311">
        <f t="shared" si="2"/>
        <v>7448.502514576272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Furqan 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55</v>
      </c>
      <c r="I11" s="236">
        <f t="shared" si="0"/>
        <v>3995.2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319.61599999999999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139.83200000000002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3535.752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755.08474576271192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21.454183728813561</v>
      </c>
      <c r="P11" s="311">
        <f t="shared" si="2"/>
        <v>4312.2909294915253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Organic Store</v>
      </c>
      <c r="T11" s="301">
        <f>+'9'!P35</f>
        <v>15681.057925423729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105</v>
      </c>
      <c r="I12" s="236">
        <f t="shared" si="0"/>
        <v>7627.2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610.17600000000004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266.95200000000006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6750.0720000000001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1441.5254237288136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40.95798711864407</v>
      </c>
      <c r="P12" s="311">
        <f t="shared" si="2"/>
        <v>8232.5554108474571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Man Ganat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80</v>
      </c>
      <c r="R13" s="314">
        <v>11</v>
      </c>
      <c r="S13" s="300" t="str">
        <f>+'11'!A6:A6</f>
        <v>Kb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Khan Store 2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7.875</v>
      </c>
      <c r="H16" s="113">
        <f t="shared" ref="H16:M16" si="3">SUM(H7:H15)</f>
        <v>315</v>
      </c>
      <c r="I16" s="114">
        <f t="shared" si="3"/>
        <v>21670.95</v>
      </c>
      <c r="J16" s="274">
        <f>SUM(J7:J15)</f>
        <v>1733.6759999999999</v>
      </c>
      <c r="K16" s="275">
        <f t="shared" si="3"/>
        <v>758.48325</v>
      </c>
      <c r="L16" s="276">
        <f t="shared" si="3"/>
        <v>0</v>
      </c>
      <c r="M16" s="232">
        <f t="shared" si="3"/>
        <v>19178.79075</v>
      </c>
      <c r="N16" s="233">
        <f>SUM(N7:N15)</f>
        <v>4095.7627118644068</v>
      </c>
      <c r="O16" s="101">
        <f>SUM(O7:O15)</f>
        <v>116.37276730932203</v>
      </c>
      <c r="P16" s="113">
        <f>SUM(P7:P15)</f>
        <v>23390.926229173729</v>
      </c>
      <c r="Q16" s="128">
        <f>SUM(Q7:Q15)</f>
        <v>80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21670.95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1733.6759999999999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758.48325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19178.79075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4095.7627118644068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23274.553461864409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116.37276730932203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23390.926229173732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23390.926229173729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514</v>
      </c>
    </row>
    <row r="51" spans="2:2" x14ac:dyDescent="0.35">
      <c r="B51" t="s">
        <v>513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F4" sqref="F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ref="I18:I21" si="7">(G18*D18)*F18+H18*F18</f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311">
        <f t="shared" si="5"/>
        <v>283.13144785487287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5</v>
      </c>
      <c r="I25" s="114">
        <f t="shared" ref="I25:M25" si="10">SUM(I16:I24)</f>
        <v>262.3125</v>
      </c>
      <c r="J25" s="274">
        <f>SUM(J16:J24)</f>
        <v>20.984999999999999</v>
      </c>
      <c r="K25" s="275">
        <f t="shared" si="10"/>
        <v>9.1809375000000006</v>
      </c>
      <c r="L25" s="276">
        <f t="shared" si="10"/>
        <v>0</v>
      </c>
      <c r="M25" s="232">
        <f t="shared" si="10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262.3125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20.984999999999999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9.1809375000000006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232.14656249999999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281.72283368644065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1" t="s">
        <v>88</v>
      </c>
      <c r="O35" s="372"/>
      <c r="P35" s="297">
        <f>+P33+P34</f>
        <v>283.13144785487287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311">
        <f t="shared" si="5"/>
        <v>283.13144785487287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262.3125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20.984999999999999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9.1809375000000006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232.14656249999999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281.72283368644065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1" t="s">
        <v>88</v>
      </c>
      <c r="O35" s="372"/>
      <c r="P35" s="297">
        <f>+P33+P34</f>
        <v>283.13144785487287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8.7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310">
        <f>M16+N16+O16</f>
        <v>283.13144785487287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262.3125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20.984999999999999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9.1809375000000006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232.14656249999999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281.72283368644065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1" t="s">
        <v>88</v>
      </c>
      <c r="O35" s="372"/>
      <c r="P35" s="297">
        <f>+P33+P34</f>
        <v>283.13144785487287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5401.2631679237284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5004.1000000000004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400.32800000000003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175.14350000000002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4428.6284999999998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5374.3912118644066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1" t="s">
        <v>88</v>
      </c>
      <c r="O35" s="372"/>
      <c r="P35" s="297">
        <f>+P33+P34</f>
        <v>5401.2631679237284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I11" sqref="I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310">
        <f>M16+N16+O16</f>
        <v>283.13144785487287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262.3125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20.984999999999999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9.1809375000000006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232.14656249999999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281.72283368644065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1" t="s">
        <v>88</v>
      </c>
      <c r="O35" s="372"/>
      <c r="P35" s="297">
        <f>+P33+P34</f>
        <v>283.13144785487287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363.2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29.056000000000001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12.712000000000002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321.43200000000002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390.07606779661018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1" t="s">
        <v>88</v>
      </c>
      <c r="O35" s="372"/>
      <c r="P35" s="297">
        <f>+P33+P34</f>
        <v>392.02644813559323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363.2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29.056000000000001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12.712000000000002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321.43200000000002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390.07606779661018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1" t="s">
        <v>88</v>
      </c>
      <c r="O35" s="372"/>
      <c r="P35" s="297">
        <f>+P33+P34</f>
        <v>392.02644813559323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363.2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29.056000000000001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12.712000000000002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321.43200000000002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390.07606779661018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1" t="s">
        <v>88</v>
      </c>
      <c r="O35" s="372"/>
      <c r="P35" s="297">
        <f>+P33+P34</f>
        <v>392.02644813559323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311">
        <f t="shared" si="5"/>
        <v>6272.4231701694916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200</v>
      </c>
      <c r="I25" s="114">
        <f t="shared" si="7"/>
        <v>14528</v>
      </c>
      <c r="J25" s="274">
        <f>SUM(J16:J24)</f>
        <v>1162.24</v>
      </c>
      <c r="K25" s="275">
        <f t="shared" si="7"/>
        <v>508.48</v>
      </c>
      <c r="L25" s="276">
        <f t="shared" si="7"/>
        <v>0</v>
      </c>
      <c r="M25" s="232">
        <f t="shared" si="7"/>
        <v>12857.28</v>
      </c>
      <c r="N25" s="233">
        <f>SUM(N16:N24)</f>
        <v>2745.7627118644068</v>
      </c>
      <c r="O25" s="101">
        <f>SUM(O16:O24)</f>
        <v>78.015213559322035</v>
      </c>
      <c r="P25" s="113">
        <f>SUM(P16:P24)</f>
        <v>15681.057925423729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14528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1162.24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508.48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12857.28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15603.042711864407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78.015213559322035</v>
      </c>
    </row>
    <row r="35" spans="2:16" ht="15.75" customHeight="1" thickBot="1" x14ac:dyDescent="0.4">
      <c r="N35" s="371" t="s">
        <v>88</v>
      </c>
      <c r="O35" s="372"/>
      <c r="P35" s="297">
        <f>+P33+P34</f>
        <v>15681.057925423729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8.7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46259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46258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2026-08-24T04:10:54Z</dcterms:modified>
</cp:coreProperties>
</file>