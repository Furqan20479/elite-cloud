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0355857-751B-4754-A7DE-771266784BE1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<sst xmlns="http://schemas.openxmlformats.org/spreadsheetml/2006/main" count="3978" uniqueCount="530">
  <si>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</si>
  <si>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</si>
  <si>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</si>
  <si>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</si>
  <si>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</si>
  <si>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</si>
  <si>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</si>
  <si>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</si>
  <si>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</si>
  <si>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</si>
  <si>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</si>
  <si>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</si>
  <si>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</si>
  <si>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</si>
  <si>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</si>
  <si>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</si>
  <si>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</si>
  <si>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</si>
  <si>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</si>
  <si>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</si>
  <si>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</si>
  <si>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</si>
  <si>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</si>
  <si>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</si>
  <si>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</si>
  <si>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</si>
  <si>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</si>
  <si>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</si>
  <si>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</si>
  <si>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</si>
  <si>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</si>
  <si>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</si>
  <si>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</si>
  <si>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</si>
  <si>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</si>
  <si>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</si>
  <si>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</si>
  <si>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</si>
  <si>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</si>
  <si>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</si>
  <si>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</si>
  <si>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</si>
  <si>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</si>
  <si>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</si>
  <si>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</si>
  <si>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</si>
  <si>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</si>
  <si>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</si>
  <si>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</si>
  <si>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</si>
  <si>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</si>
  <si>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</si>
  <si>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</si>
  <si>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</si>
  <si>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</si>
  <si>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</si>
  <si>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</si>
  <si>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</si>
  <si>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</si>
  <si>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</si>
  <si>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</si>
  <si>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</si>
  <si>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</si>
  <si>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</si>
  <si>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</si>
  <si>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</si>
  <si>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</si>
  <si>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</si>
  <si>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</si>
  <si>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</si>
  <si>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</si>
  <si>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</si>
  <si>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</si>
  <si>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</si>
  <si>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</si>
  <si>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</si>
  <si>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</si>
  <si>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</si>
  <si>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</si>
  <si>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</si>
  <si>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</si>
  <si>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</si>
  <si>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</si>
  <si>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</si>
  <si>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</si>
  <si>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</si>
  <si>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</si>
  <si>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</si>
  <si>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</si>
  <si>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</si>
  <si>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</si>
  <si>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</si>
  <si>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</si>
  <si>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</si>
  <si>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</si>
  <si>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</si>
  <si>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</si>
  <si>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</si>
  <si>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</si>
  <si>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</si>
  <si>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</si>
  <si>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</si>
  <si>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</si>
  <si>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</si>
  <si>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</si>
  <si>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</si>
  <si>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</si>
  <si>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</si>
  <si>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</si>
  <si>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</si>
  <si>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</si>
  <si>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</si>
  <si>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</si>
  <si>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</si>
  <si>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</si>
  <si>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</si>
  <si>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</si>
  <si>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</si>
  <si>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</si>
  <si>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</si>
  <si>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</si>
  <si>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</si>
  <si>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</si>
  <si>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</si>
  <si>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</si>
  <si>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</si>
  <si>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</si>
  <si>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</si>
  <si>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</si>
  <si>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</si>
  <si>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</si>
  <si>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</si>
  <si>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</si>
  <si>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</si>
  <si>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</si>
  <si>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</si>
  <si>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</si>
  <si>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</si>
  <si>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</si>
  <si>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</si>
  <si>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</si>
  <si>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</si>
  <si>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</si>
  <si>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</si>
  <si>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</si>
  <si>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</si>
  <si>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</si>
  <si>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</si>
  <si>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</si>
  <si>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</si>
  <si>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</si>
  <si>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</si>
  <si>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</si>
  <si>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</si>
  <si>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</si>
  <si>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</si>
  <si>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</si>
  <si>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</si>
  <si>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</si>
  <si>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</si>
  <si>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</si>
  <si>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</si>
  <si>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</si>
  <si>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</si>
  <si>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</si>
  <si>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</si>
  <si>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</si>
  <si>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</si>
  <si>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</si>
  <si>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</si>
  <si>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</si>
  <si>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</si>
  <si>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</si>
  <si>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</si>
  <si>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</si>
  <si>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</si>
  <si>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</si>
  <si>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</si>
  <si>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</si>
  <si>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</si>
  <si>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</si>
  <si>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</si>
  <si>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</si>
  <si>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</si>
  <si>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</si>
  <si>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</si>
  <si>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</si>
  <si>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</si>
  <si>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</si>
  <si>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</si>
  <si>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</si>
  <si>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</si>
  <si>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</si>
  <si>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</si>
  <si>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</si>
  <si>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</si>
  <si>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</si>
  <si>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</si>
  <si>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</si>
  <si>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</si>
  <si>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</si>
  <si>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</si>
  <si>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</si>
  <si>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</si>
  <si>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</si>
  <si>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</si>
  <si>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</si>
  <si>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</si>
  <si>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</si>
  <si>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</si>
  <si>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</si>
  <si>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</si>
  <si>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</si>
  <si>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</si>
  <si>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</si>
  <si>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</si>
  <si>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</si>
  <si>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</si>
  <si>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</si>
  <si>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</si>
  <si>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</si>
  <si>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</si>
  <si>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</si>
  <si>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</si>
  <si>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</si>
  <si>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</si>
  <si>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</si>
  <si>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</si>
  <si>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</si>
  <si>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</si>
  <si>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</si>
  <si>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</si>
  <si>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</si>
  <si>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</si>
  <si>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</si>
  <si>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</si>
  <si>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</si>
  <si>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</si>
  <si>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</si>
  <si>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</si>
  <si>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</si>
  <si>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</si>
  <si>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</si>
  <si>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</si>
  <si>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</si>
  <si>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</si>
  <si>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</si>
  <si>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</si>
  <si>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</si>
  <si>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</si>
  <si>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</si>
  <si>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</si>
  <si>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</si>
  <si>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</si>
  <si>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</si>
  <si>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</si>
  <si>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</si>
  <si>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</si>
  <si>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</si>
  <si>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</si>
  <si>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</si>
  <si>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</si>
  <si>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</si>
  <si>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</si>
  <si>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</si>
  <si>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</si>
  <si>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</si>
  <si>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</si>
  <si>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</si>
  <si>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</si>
  <si>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</si>
  <si>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</si>
  <si>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</si>
  <si>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</si>
  <si>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</si>
  <si>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</si>
  <si>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</si>
  <si>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</si>
  <si>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</si>
  <si>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</si>
  <si>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</si>
  <si>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</si>
  <si>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</si>
  <si>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</si>
  <si>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</si>
  <si>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</si>
  <si>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</si>
  <si>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</si>
  <si>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</si>
  <si>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</si>
  <si>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</si>
  <si>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</si>
  <si>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</si>
  <si>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</si>
  <si>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</si>
  <si>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</si>
  <si>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</si>
  <si>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</si>
  <si>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</si>
  <si>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</si>
  <si>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</si>
  <si>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</si>
  <si>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</si>
  <si>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</si>
  <si>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</si>
  <si>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</si>
  <si>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</si>
  <si>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</si>
  <si>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</si>
  <si>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</si>
  <si>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</si>
  <si>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</si>
  <si>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</si>
  <si>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</si>
  <si>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</si>
  <si>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</si>
  <si>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</si>
  <si>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</si>
  <si>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</si>
  <si>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</si>
  <si>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</si>
  <si>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</si>
  <si>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</si>
  <si>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</si>
  <si>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</si>
  <si>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</si>
  <si>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</si>
  <si>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</si>
  <si>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</si>
  <si>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</si>
  <si>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</si>
  <si>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</si>
  <si>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</si>
  <si>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</si>
  <si>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</si>
  <si>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</si>
  <si>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</si>
  <si>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</si>
  <si>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</si>
  <si>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</si>
  <si>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</si>
  <si>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</si>
  <si>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</si>
  <si>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</si>
  <si>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</si>
  <si>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</si>
  <si>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</si>
  <si>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</si>
  <si>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</si>
  <si>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</si>
  <si>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</si>
  <si>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</si>
  <si>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</si>
  <si>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</si>
  <si>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</si>
  <si>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</si>
  <si>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</si>
  <si>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</si>
  <si>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</si>
  <si>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</si>
  <si>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</si>
  <si>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</si>
  <si>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</si>
  <si>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</si>
  <si>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</si>
  <si>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</si>
  <si>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</si>
  <si>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</si>
  <si>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</si>
  <si>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</si>
  <si>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</si>
  <si>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</si>
  <si>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</si>
  <si>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</si>
  <si>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</si>
  <si>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</si>
  <si>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</si>
  <si>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</si>
  <si>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</si>
  <si>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</si>
  <si>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</si>
  <si>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</si>
  <si>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</si>
  <si>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</si>
  <si>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</si>
  <si>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</si>
  <si>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</si>
  <si>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</si>
  <si>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</si>
  <si>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</si>
  <si>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</si>
  <si>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</si>
  <si>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</si>
  <si>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</si>
  <si>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</si>
  <si>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</si>
  <si>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</si>
  <si>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</si>
  <si>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</si>
  <si>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</si>
  <si>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</si>
  <si>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</si>
  <si>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</si>
  <si>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</si>
  <si>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</si>
  <si>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</si>
  <si>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</si>
  <si>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</si>
  <si>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</si>
  <si>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</si>
  <si>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</si>
  <si>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</si>
  <si>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</si>
  <si>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</si>
  <si>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</si>
  <si>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</si>
  <si>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</si>
  <si>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</si>
  <si>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</si>
  <si>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</si>
  <si>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</si>
  <si>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</si>
  <si>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</si>
  <si>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</si>
  <si>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</si>
  <si>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</si>
  <si>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</si>
  <si>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</si>
  <si>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</si>
  <si>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</si>
  <si>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</si>
  <si>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</si>
  <si>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</si>
  <si>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</si>
  <si>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</si>
  <si>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</si>
  <si>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</si>
  <si>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</si>
  <si>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</si>
  <si>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</si>
  <si>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</si>
  <si>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</si>
  <si>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</si>
  <si>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</si>
  <si>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</si>
  <si>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</si>
  <si>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</si>
  <si>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</si>
  <si>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</si>
  <si>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</si>
  <si>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</si>
  <si>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</si>
  <si>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</si>
  <si>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</si>
  <si>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</si>
  <si>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</si>
  <si>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</si>
  <si>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</si>
  <si>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</si>
  <si>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</si>
  <si>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</si>
  <si>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</si>
  <si>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</si>
  <si>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</si>
  <si>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</si>
  <si>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</si>
  <si>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</si>
  <si>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</si>
  <si>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</si>
  <si>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</si>
  <si>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</si>
  <si>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</si>
  <si>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</si>
  <si>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</si>
  <si>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</si>
  <si>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</si>
  <si>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</si>
  <si>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</si>
  <si>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</si>
  <si>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</si>
  <si>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</si>
  <si>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</si>
  <si>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</si>
  <si>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</si>
  <si>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</si>
  <si>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</si>
  <si>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</si>
  <si>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</si>
  <si>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</si>
  <si>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</si>
  <si>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</si>
  <si>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</si>
  <si>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</si>
  <si>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</si>
  <si>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</si>
  <si>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</si>
  <si>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</si>
  <si>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</si>
  <si>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</si>
  <si>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</si>
  <si>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</si>
  <si>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</si>
  <si>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</si>
  <si>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</si>
  <si>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</si>
  <si>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</si>
  <si>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</si>
  <si>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</si>
  <si>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</si>
  <si>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</si>
  <si>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</si>
  <si>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</si>
  <si>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</si>
  <si>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</si>
  <si>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</si>
  <si>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</si>
  <si>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Umair Rehman </t>
  </si>
  <si>
    <t>Khan GS</t>
  </si>
  <si>
    <t>Address: Qanchi Bazar</t>
  </si>
  <si>
    <t xml:space="preserve">Somroo Bakery </t>
  </si>
  <si>
    <t>Haji Chiragh Din Store</t>
  </si>
  <si>
    <t>Hazrat Kareman Wala Store</t>
  </si>
  <si>
    <t>Numan GS</t>
  </si>
  <si>
    <t>Gulzar Store</t>
  </si>
  <si>
    <t xml:space="preserve">Awan Bakery </t>
  </si>
  <si>
    <t>Ghosia Kareyana Store</t>
  </si>
  <si>
    <t xml:space="preserve">Bismillah Cash n Carry </t>
  </si>
  <si>
    <t>Ameen Kareyana Store</t>
  </si>
  <si>
    <t xml:space="preserve">Mehboob Kareyana </t>
  </si>
  <si>
    <t xml:space="preserve">Umair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</si>
</sst>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2" workbookViewId="0">
      <selection activeCell="I17" sqref="I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529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46258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Khan GS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Somroo Bakery 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Haji Chiragh Din Store</v>
      </c>
      <c r="T5" s="301">
        <f>+'3'!P35</f>
        <v>1180.2688488991523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Hazrat Kareman Wala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11</v>
      </c>
      <c r="I7" s="235">
        <f>(G7*D7)*F7+H7*F7</f>
        <v>577.08749999999998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46.167000000000002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20.198062499999999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510.72243749999996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109.06779661016944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3.0989511705508472</v>
      </c>
      <c r="P7" s="310">
        <f>M7+N7+O7</f>
        <v>622.88918528072031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6</v>
      </c>
      <c r="R7" s="314">
        <v>5</v>
      </c>
      <c r="S7" s="300" t="str">
        <f>+'5'!A6:A6</f>
        <v>Numan GS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11</v>
      </c>
      <c r="I8" s="236">
        <f t="shared" ref="I8:I14" si="0">(G8*D8)*F8+H8*F8</f>
        <v>577.08749999999998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46.167000000000002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20.198062499999999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510.72243749999996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109.06779661016944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3.0989511705508472</v>
      </c>
      <c r="P8" s="311">
        <f t="shared" ref="P8:P15" si="2">M8+N8+O8</f>
        <v>622.88918528072031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4">
        <v>6</v>
      </c>
      <c r="S8" s="300" t="str">
        <f>+'6'!A6:A6</f>
        <v>Gulzar Store</v>
      </c>
      <c r="T8" s="301">
        <f>+'6'!P35</f>
        <v>1266.6888219375003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</v>
      </c>
      <c r="I9" s="236">
        <f t="shared" si="0"/>
        <v>262.3125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20.984999999999999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9.1809375000000006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232.14656250000002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49.576271186440657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1.4086141684322033</v>
      </c>
      <c r="P9" s="311">
        <f t="shared" si="2"/>
        <v>283.13144785487287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Awan Bakery 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</v>
      </c>
      <c r="I10" s="236">
        <f t="shared" si="0"/>
        <v>435.84000000000003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34.867200000000004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15.254400000000002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385.71840000000003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82.372881355932208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2.3404564067796612</v>
      </c>
      <c r="P10" s="311">
        <f t="shared" si="2"/>
        <v>470.43173776271186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Ghosia Kareyana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</v>
      </c>
      <c r="I11" s="236">
        <f t="shared" si="0"/>
        <v>435.84000000000003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34.867200000000004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15.254400000000002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385.71840000000003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82.372881355932208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2.3404564067796612</v>
      </c>
      <c r="P11" s="311">
        <f t="shared" si="2"/>
        <v>470.43173776271186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Bismillah Cash n Carry </v>
      </c>
      <c r="T11" s="301">
        <f>+'9'!P35</f>
        <v>834.58895674576274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</v>
      </c>
      <c r="I12" s="236">
        <f t="shared" si="0"/>
        <v>435.84000000000003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34.867200000000004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15.254400000000002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385.71840000000003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82.372881355932208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2.3404564067796612</v>
      </c>
      <c r="P12" s="311">
        <f t="shared" si="2"/>
        <v>470.43173776271186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Ameen Kareyana Store</v>
      </c>
      <c r="T12" s="301">
        <f>+'10'!P35</f>
        <v>500.75337404745761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152</v>
      </c>
      <c r="I13" s="236">
        <f t="shared" si="0"/>
        <v>5962.9600000000009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298.14800000000008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208.70360000000008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304.11095999999998</v>
      </c>
      <c r="M13" s="230">
        <f t="shared" si="1"/>
        <v>5151.997440000001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1159.3220338983044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31.556597369491527</v>
      </c>
      <c r="P13" s="311">
        <f t="shared" si="2"/>
        <v>6342.8760712677968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60</v>
      </c>
      <c r="R13" s="314">
        <v>11</v>
      </c>
      <c r="S13" s="300" t="str">
        <f>+'11'!A6:A6</f>
        <v xml:space="preserve">Mehboob Kareyana </v>
      </c>
      <c r="T13" s="301">
        <f>+'11'!P35</f>
        <v>1661.6719003118646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4.9249999999999998</v>
      </c>
      <c r="H16" s="113">
        <f t="shared" ref="H16:M16" si="3">SUM(H7:H15)</f>
        <v>197</v>
      </c>
      <c r="I16" s="114">
        <f t="shared" si="3"/>
        <v>8686.9675000000007</v>
      </c>
      <c r="J16" s="274">
        <f>SUM(J7:J15)</f>
        <v>516.06860000000006</v>
      </c>
      <c r="K16" s="275">
        <f t="shared" si="3"/>
        <v>304.0438625000001</v>
      </c>
      <c r="L16" s="276">
        <f t="shared" si="3"/>
        <v>304.11095999999998</v>
      </c>
      <c r="M16" s="232">
        <f t="shared" si="3"/>
        <v>7562.7440775000014</v>
      </c>
      <c r="N16" s="233">
        <f>SUM(N7:N15)</f>
        <v>1674.1525423728806</v>
      </c>
      <c r="O16" s="101">
        <f>SUM(O7:O15)</f>
        <v>46.184483099364414</v>
      </c>
      <c r="P16" s="113">
        <f>SUM(P7:P15)</f>
        <v>9283.0811029722463</v>
      </c>
      <c r="Q16" s="128">
        <f>SUM(Q7:Q15)</f>
        <v>72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8686.9675000000007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516.06860000000006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608.15482250000014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7562.7440774999995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1674.1525423728806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9236.8966198728795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46.184483099364414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9283.0811029722445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9283.0811029722463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1100.31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73.902000000000001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62.519610000000007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963.88838999999984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1174.3968645762709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71" t="s">
        <v>88</v>
      </c>
      <c r="O35" s="372"/>
      <c r="P35" s="297">
        <f>+P33+P34</f>
        <v>1180.2688488991523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17" sqref="H16: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6</v>
      </c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6</v>
      </c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311">
        <f t="shared" si="5"/>
        <v>283.13144785487287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25</v>
      </c>
      <c r="I25" s="114">
        <f t="shared" si="7"/>
        <v>1179.2375000000002</v>
      </c>
      <c r="J25" s="274">
        <f>SUM(J16:J24)</f>
        <v>82.570000000000007</v>
      </c>
      <c r="K25" s="275">
        <f t="shared" si="7"/>
        <v>41.273312500000003</v>
      </c>
      <c r="L25" s="276">
        <f t="shared" si="7"/>
        <v>20.007300000000001</v>
      </c>
      <c r="M25" s="232">
        <f t="shared" si="7"/>
        <v>1035.3868875000001</v>
      </c>
      <c r="N25" s="233">
        <f>SUM(N16:N24)</f>
        <v>224.99999999999989</v>
      </c>
      <c r="O25" s="101">
        <f>SUM(O16:O24)</f>
        <v>6.3019344374999999</v>
      </c>
      <c r="P25" s="113">
        <f>SUM(P16:P24)</f>
        <v>1266.6888219375001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1179.2375000000002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82.570000000000007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61.280612500000004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1035.3868875000003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224.99999999999989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1260.3868875000003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6.3019344375000017</v>
      </c>
    </row>
    <row r="35" spans="2:16" ht="15.75" customHeight="1" thickBot="1" x14ac:dyDescent="0.4">
      <c r="N35" s="371" t="s">
        <v>88</v>
      </c>
      <c r="O35" s="372"/>
      <c r="P35" s="297">
        <f>+P33+P34</f>
        <v>1266.6888219375003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1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784.60000000000014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39.230000000000011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67.475600000000014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677.89440000000013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830.43677288135598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1" t="s">
        <v>88</v>
      </c>
      <c r="O35" s="372"/>
      <c r="P35" s="297">
        <f>+P33+P34</f>
        <v>834.58895674576274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</v>
      </c>
      <c r="I25" s="114">
        <f t="shared" si="7"/>
        <v>1542.9</v>
      </c>
      <c r="J25" s="274">
        <f>SUM(J16:J24)</f>
        <v>116.37060000000002</v>
      </c>
      <c r="K25" s="275">
        <f t="shared" si="7"/>
        <v>54.001500000000007</v>
      </c>
      <c r="L25" s="276">
        <f t="shared" si="7"/>
        <v>12.004380000000001</v>
      </c>
      <c r="M25" s="232">
        <f t="shared" si="7"/>
        <v>1360.5235200000002</v>
      </c>
      <c r="N25" s="233">
        <f>SUM(N16:N24)</f>
        <v>292.88135593220341</v>
      </c>
      <c r="O25" s="101">
        <f>SUM(O16:O24)</f>
        <v>8.2670243796610166</v>
      </c>
      <c r="P25" s="113">
        <f>SUM(P16:P24)</f>
        <v>1661.6719003118644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1542.9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116.37060000000002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66.005880000000005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1360.5235200000002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292.88135593220341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1653.4048759322036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8.2670243796610183</v>
      </c>
    </row>
    <row r="35" spans="2:16" ht="15.75" customHeight="1" thickBot="1" x14ac:dyDescent="0.4">
      <c r="N35" s="371" t="s">
        <v>88</v>
      </c>
      <c r="O35" s="372"/>
      <c r="P35" s="297">
        <f>+P33+P34</f>
        <v>1661.6719003118646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46259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46258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2026-08-24T04:12:33Z</dcterms:modified>
</cp:coreProperties>
</file>