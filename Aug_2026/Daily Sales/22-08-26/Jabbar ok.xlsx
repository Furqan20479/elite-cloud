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4E49AF7-BA68-43B1-9C18-E5C1A312AAC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<sst xmlns="http://schemas.openxmlformats.org/spreadsheetml/2006/main" count="3978" uniqueCount="524">
  <si>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</si>
  <si>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</si>
  <si>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</si>
  <si>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</si>
  <si>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</si>
  <si>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</si>
  <si>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</si>
  <si>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</si>
  <si>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</si>
  <si>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</si>
  <si>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</si>
  <si>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</si>
  <si>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</si>
  <si>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</si>
  <si>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</si>
  <si>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</si>
  <si>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</si>
  <si>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</si>
  <si>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</si>
  <si>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</si>
  <si>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</si>
  <si>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</si>
  <si>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</si>
  <si>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</si>
  <si>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</si>
  <si>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</si>
  <si>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</si>
  <si>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</si>
  <si>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</si>
  <si>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</si>
  <si>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</si>
  <si>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</si>
  <si>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</si>
  <si>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</si>
  <si>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</si>
  <si>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</si>
  <si>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</si>
  <si>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</si>
  <si>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</si>
  <si>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</si>
  <si>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</si>
  <si>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</si>
  <si>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</si>
  <si>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</si>
  <si>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</si>
  <si>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</si>
  <si>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</si>
  <si>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</si>
  <si>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</si>
  <si>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</si>
  <si>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</si>
  <si>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</si>
  <si>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</si>
  <si>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</si>
  <si>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</si>
  <si>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</si>
  <si>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</si>
  <si>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</si>
  <si>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</si>
  <si>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</si>
  <si>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</si>
  <si>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</si>
  <si>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</si>
  <si>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</si>
  <si>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</si>
  <si>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</si>
  <si>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</si>
  <si>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</si>
  <si>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</si>
  <si>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</si>
  <si>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</si>
  <si>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</si>
  <si>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</si>
  <si>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</si>
  <si>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</si>
  <si>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</si>
  <si>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</si>
  <si>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</si>
  <si>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</si>
  <si>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</si>
  <si>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</si>
  <si>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</si>
  <si>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</si>
  <si>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</si>
  <si>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</si>
  <si>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</si>
  <si>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</si>
  <si>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</si>
  <si>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</si>
  <si>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</si>
  <si>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</si>
  <si>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</si>
  <si>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</si>
  <si>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</si>
  <si>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</si>
  <si>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</si>
  <si>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</si>
  <si>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</si>
  <si>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</si>
  <si>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</si>
  <si>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</si>
  <si>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</si>
  <si>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</si>
  <si>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</si>
  <si>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</si>
  <si>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</si>
  <si>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</si>
  <si>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</si>
  <si>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</si>
  <si>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</si>
  <si>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</si>
  <si>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</si>
  <si>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</si>
  <si>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</si>
  <si>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</si>
  <si>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</si>
  <si>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</si>
  <si>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</si>
  <si>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</si>
  <si>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</si>
  <si>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</si>
  <si>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</si>
  <si>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</si>
  <si>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</si>
  <si>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</si>
  <si>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</si>
  <si>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</si>
  <si>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</si>
  <si>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</si>
  <si>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</si>
  <si>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</si>
  <si>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</si>
  <si>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</si>
  <si>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</si>
  <si>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</si>
  <si>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</si>
  <si>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</si>
  <si>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</si>
  <si>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</si>
  <si>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</si>
  <si>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</si>
  <si>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</si>
  <si>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</si>
  <si>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</si>
  <si>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</si>
  <si>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</si>
  <si>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</si>
  <si>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</si>
  <si>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</si>
  <si>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</si>
  <si>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</si>
  <si>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</si>
  <si>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</si>
  <si>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</si>
  <si>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</si>
  <si>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</si>
  <si>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</si>
  <si>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</si>
  <si>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</si>
  <si>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</si>
  <si>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</si>
  <si>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</si>
  <si>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</si>
  <si>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</si>
  <si>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</si>
  <si>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</si>
  <si>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</si>
  <si>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</si>
  <si>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</si>
  <si>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</si>
  <si>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</si>
  <si>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</si>
  <si>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</si>
  <si>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</si>
  <si>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</si>
  <si>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</si>
  <si>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</si>
  <si>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</si>
  <si>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</si>
  <si>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</si>
  <si>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</si>
  <si>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</si>
  <si>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</si>
  <si>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</si>
  <si>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</si>
  <si>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</si>
  <si>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</si>
  <si>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</si>
  <si>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</si>
  <si>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</si>
  <si>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</si>
  <si>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</si>
  <si>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</si>
  <si>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</si>
  <si>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</si>
  <si>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</si>
  <si>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</si>
  <si>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</si>
  <si>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</si>
  <si>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</si>
  <si>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</si>
  <si>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</si>
  <si>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</si>
  <si>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</si>
  <si>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</si>
  <si>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</si>
  <si>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</si>
  <si>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</si>
  <si>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</si>
  <si>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</si>
  <si>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</si>
  <si>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</si>
  <si>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</si>
  <si>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</si>
  <si>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</si>
  <si>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</si>
  <si>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</si>
  <si>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</si>
  <si>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</si>
  <si>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</si>
  <si>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</si>
  <si>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</si>
  <si>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</si>
  <si>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</si>
  <si>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</si>
  <si>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</si>
  <si>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</si>
  <si>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</si>
  <si>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</si>
  <si>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</si>
  <si>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</si>
  <si>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</si>
  <si>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</si>
  <si>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</si>
  <si>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</si>
  <si>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</si>
  <si>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</si>
  <si>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</si>
  <si>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</si>
  <si>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</si>
  <si>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</si>
  <si>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</si>
  <si>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</si>
  <si>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</si>
  <si>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</si>
  <si>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</si>
  <si>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</si>
  <si>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</si>
  <si>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</si>
  <si>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</si>
  <si>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</si>
  <si>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</si>
  <si>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</si>
  <si>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</si>
  <si>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</si>
  <si>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</si>
  <si>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</si>
  <si>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</si>
  <si>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</si>
  <si>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</si>
  <si>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</si>
  <si>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</si>
  <si>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</si>
  <si>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</si>
  <si>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</si>
  <si>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</si>
  <si>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</si>
  <si>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</si>
  <si>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</si>
  <si>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</si>
  <si>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</si>
  <si>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</si>
  <si>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</si>
  <si>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</si>
  <si>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</si>
  <si>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</si>
  <si>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</si>
  <si>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</si>
  <si>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</si>
  <si>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</si>
  <si>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</si>
  <si>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</si>
  <si>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</si>
  <si>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</si>
  <si>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</si>
  <si>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</si>
  <si>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</si>
  <si>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</si>
  <si>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</si>
  <si>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</si>
  <si>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</si>
  <si>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</si>
  <si>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</si>
  <si>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</si>
  <si>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</si>
  <si>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</si>
  <si>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</si>
  <si>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</si>
  <si>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</si>
  <si>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</si>
  <si>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</si>
  <si>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</si>
  <si>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</si>
  <si>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</si>
  <si>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</si>
  <si>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</si>
  <si>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</si>
  <si>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</si>
  <si>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</si>
  <si>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</si>
  <si>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</si>
  <si>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</si>
  <si>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</si>
  <si>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</si>
  <si>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</si>
  <si>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</si>
  <si>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</si>
  <si>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</si>
  <si>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</si>
  <si>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</si>
  <si>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</si>
  <si>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</si>
  <si>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</si>
  <si>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</si>
  <si>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</si>
  <si>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</si>
  <si>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</si>
  <si>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</si>
  <si>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</si>
  <si>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</si>
  <si>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</si>
  <si>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</si>
  <si>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</si>
  <si>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</si>
  <si>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</si>
  <si>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</si>
  <si>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</si>
  <si>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</si>
  <si>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</si>
  <si>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</si>
  <si>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</si>
  <si>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</si>
  <si>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</si>
  <si>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</si>
  <si>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</si>
  <si>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</si>
  <si>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</si>
  <si>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</si>
  <si>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</si>
  <si>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</si>
  <si>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</si>
  <si>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</si>
  <si>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</si>
  <si>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</si>
  <si>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</si>
  <si>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</si>
  <si>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</si>
  <si>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</si>
  <si>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</si>
  <si>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</si>
  <si>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</si>
  <si>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</si>
  <si>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</si>
  <si>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</si>
  <si>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</si>
  <si>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</si>
  <si>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</si>
  <si>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</si>
  <si>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</si>
  <si>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</si>
  <si>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</si>
  <si>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</si>
  <si>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</si>
  <si>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</si>
  <si>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</si>
  <si>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</si>
  <si>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</si>
  <si>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</si>
  <si>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</si>
  <si>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</si>
  <si>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</si>
  <si>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</si>
  <si>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</si>
  <si>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</si>
  <si>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</si>
  <si>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</si>
  <si>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</si>
  <si>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</si>
  <si>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</si>
  <si>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</si>
  <si>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</si>
  <si>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</si>
  <si>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</si>
  <si>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</si>
  <si>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</si>
  <si>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</si>
  <si>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</si>
  <si>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</si>
  <si>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</si>
  <si>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</si>
  <si>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</si>
  <si>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</si>
  <si>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</si>
  <si>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</si>
  <si>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</si>
  <si>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</si>
  <si>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</si>
  <si>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</si>
  <si>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</si>
  <si>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</si>
  <si>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</si>
  <si>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</si>
  <si>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</si>
  <si>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</si>
  <si>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</si>
  <si>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</si>
  <si>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</si>
  <si>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</si>
  <si>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</si>
  <si>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</si>
  <si>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</si>
  <si>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</si>
  <si>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</si>
  <si>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</si>
  <si>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</si>
  <si>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</si>
  <si>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</si>
  <si>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</si>
  <si>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</si>
  <si>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</si>
  <si>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</si>
  <si>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</si>
  <si>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</si>
  <si>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</si>
  <si>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</si>
  <si>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</si>
  <si>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</si>
  <si>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</si>
  <si>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</si>
  <si>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</si>
  <si>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</si>
  <si>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</si>
  <si>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</si>
  <si>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</si>
  <si>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</si>
  <si>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</si>
  <si>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</si>
  <si>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</si>
  <si>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</si>
  <si>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</si>
  <si>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</si>
  <si>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</si>
  <si>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</si>
  <si>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</si>
  <si>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</si>
  <si>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</si>
  <si>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</si>
  <si>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</si>
  <si>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</si>
  <si>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</si>
  <si>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</si>
  <si>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</si>
  <si>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</si>
  <si>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</si>
  <si>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</si>
  <si>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</si>
  <si>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</si>
  <si>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</si>
  <si>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</si>
  <si>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</si>
  <si>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</si>
  <si>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</si>
  <si>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</si>
  <si>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</si>
  <si>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</si>
  <si>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</si>
  <si>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</si>
  <si>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</si>
  <si>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</si>
  <si>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</si>
  <si>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</si>
  <si>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</si>
  <si>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</si>
  <si>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</si>
  <si>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</si>
  <si>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</si>
  <si>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</si>
  <si>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</si>
  <si>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</si>
  <si>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</si>
  <si>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</si>
  <si>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</si>
  <si>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</si>
  <si>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</si>
  <si>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</si>
  <si>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</si>
  <si>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</si>
  <si>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</si>
  <si>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</si>
  <si>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</si>
  <si>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</si>
  <si>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</si>
  <si>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</si>
  <si>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</si>
  <si>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</si>
  <si>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</si>
  <si>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</si>
  <si>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</si>
  <si>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</si>
  <si>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</si>
  <si>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</si>
  <si>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</si>
  <si>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</si>
  <si>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</si>
  <si>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</si>
  <si>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</si>
  <si>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</si>
  <si>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Address: Bhar Shah Road</t>
  </si>
  <si>
    <t>Al Madina Store</t>
  </si>
  <si>
    <t>Hafiz Store</t>
  </si>
  <si>
    <t xml:space="preserve">Best 1 Mart </t>
  </si>
  <si>
    <t>Moon Store</t>
  </si>
  <si>
    <t>24/7</t>
  </si>
  <si>
    <t>Address: Askari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</si>
</sst>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46258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Al Madina Store</v>
      </c>
      <c r="T3" s="301">
        <f>+'1'!P35</f>
        <v>1191.2401625491527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Hafiz Store</v>
      </c>
      <c r="T4" s="301">
        <f>+'2'!P35</f>
        <v>3271.0795370389837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Best 1 Mart </v>
      </c>
      <c r="T5" s="301">
        <f>+'3'!P35</f>
        <v>4181.6213762796615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Moon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24/7</v>
      </c>
      <c r="T7" s="301">
        <f>+'5'!P35</f>
        <v>2931.8026250847461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302.90879999999999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2430.8976000000002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14.831606644067797</v>
      </c>
      <c r="P10" s="311">
        <f t="shared" si="2"/>
        <v>2981.1529354576273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</v>
      </c>
      <c r="I11" s="236">
        <f t="shared" si="0"/>
        <v>2033.92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213.5616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71.187200000000004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1749.1712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384.40677966101697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10.667889898305084</v>
      </c>
      <c r="P11" s="311">
        <f t="shared" si="2"/>
        <v>2144.2458695593218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39</v>
      </c>
      <c r="I12" s="236">
        <f t="shared" si="0"/>
        <v>2832.96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302.90879999999999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99.153600000000012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2430.8976000000002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535.42372881355936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14.831606644067797</v>
      </c>
      <c r="P12" s="311">
        <f t="shared" si="2"/>
        <v>2981.1529354576273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18</v>
      </c>
      <c r="I13" s="236">
        <f t="shared" si="0"/>
        <v>706.1400000000001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35.307000000000002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24.714900000000007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36.013140000000007</v>
      </c>
      <c r="M13" s="230">
        <f t="shared" si="1"/>
        <v>610.10496000000012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137.28813559322026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3.736965477966101</v>
      </c>
      <c r="P13" s="311">
        <f t="shared" si="2"/>
        <v>751.13006107118645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4.3</v>
      </c>
      <c r="H16" s="113">
        <f t="shared" ref="H16:M16" si="3">SUM(H7:H15)</f>
        <v>172</v>
      </c>
      <c r="I16" s="114">
        <f t="shared" si="3"/>
        <v>10924.18</v>
      </c>
      <c r="J16" s="274">
        <f>SUM(J7:J15)</f>
        <v>1056.1422</v>
      </c>
      <c r="K16" s="275">
        <f t="shared" si="3"/>
        <v>382.34629999999999</v>
      </c>
      <c r="L16" s="276">
        <f t="shared" si="3"/>
        <v>36.013140000000007</v>
      </c>
      <c r="M16" s="232">
        <f t="shared" si="3"/>
        <v>9449.6783600000017</v>
      </c>
      <c r="N16" s="233">
        <f>SUM(N7:N15)</f>
        <v>2068.4745762711864</v>
      </c>
      <c r="O16" s="101">
        <f>SUM(O7:O15)</f>
        <v>57.590764681355935</v>
      </c>
      <c r="P16" s="113">
        <f>SUM(P7:P15)</f>
        <v>11575.743700952542</v>
      </c>
      <c r="Q16" s="128">
        <f>SUM(Q7:Q15)</f>
        <v>18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10924.18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1056.1422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418.35944000000001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9449.6783599999999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2068.4745762711864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11518.152936271186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57.590764681355935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11575.743700952542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11575.743700952546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7.2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1107.0600000000002</v>
      </c>
      <c r="J25" s="274">
        <f>SUM(J16:J24)</f>
        <v>81.503400000000013</v>
      </c>
      <c r="K25" s="275">
        <f t="shared" si="10"/>
        <v>38.747100000000003</v>
      </c>
      <c r="L25" s="276">
        <f t="shared" si="10"/>
        <v>12.004380000000001</v>
      </c>
      <c r="M25" s="232">
        <f t="shared" si="10"/>
        <v>974.8051200000001</v>
      </c>
      <c r="N25" s="233">
        <f>SUM(N16:N24)</f>
        <v>210.50847457627117</v>
      </c>
      <c r="O25" s="101">
        <f>SUM(O16:O24)</f>
        <v>5.9265679728813563</v>
      </c>
      <c r="P25" s="113">
        <f>SUM(P16:P24)</f>
        <v>1191.2401625491525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1107.0600000000002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81.503400000000013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50.751480000000001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974.8051200000001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210.50847457627117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1185.3135945762713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5.9265679728813563</v>
      </c>
    </row>
    <row r="35" spans="2:16" ht="15.75" customHeight="1" thickBot="1" x14ac:dyDescent="0.4">
      <c r="N35" s="371" t="s">
        <v>88</v>
      </c>
      <c r="O35" s="372"/>
      <c r="P35" s="297">
        <f>+P33+P34</f>
        <v>1191.2401625491527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54</v>
      </c>
      <c r="I25" s="114">
        <f t="shared" si="7"/>
        <v>3037.3800000000006</v>
      </c>
      <c r="J25" s="274">
        <f>SUM(J16:J24)</f>
        <v>228.86760000000001</v>
      </c>
      <c r="K25" s="275">
        <f t="shared" si="7"/>
        <v>106.30830000000002</v>
      </c>
      <c r="L25" s="276">
        <f t="shared" si="7"/>
        <v>24.008760000000002</v>
      </c>
      <c r="M25" s="232">
        <f t="shared" si="7"/>
        <v>2678.1953400000002</v>
      </c>
      <c r="N25" s="233">
        <f>SUM(N16:N24)</f>
        <v>576.61016949152531</v>
      </c>
      <c r="O25" s="101">
        <f>SUM(O16:O24)</f>
        <v>16.274027547457628</v>
      </c>
      <c r="P25" s="113">
        <f>SUM(P16:P24)</f>
        <v>3271.0795370389828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3037.3800000000006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228.86760000000001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130.31706000000003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2678.1953400000007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576.61016949152531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3254.8055094915262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16.274027547457631</v>
      </c>
    </row>
    <row r="35" spans="2:16" ht="15.75" customHeight="1" thickBot="1" x14ac:dyDescent="0.4">
      <c r="N35" s="371" t="s">
        <v>88</v>
      </c>
      <c r="O35" s="372"/>
      <c r="P35" s="297">
        <f>+P33+P34</f>
        <v>3271.0795370389837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60</v>
      </c>
      <c r="I25" s="114">
        <f t="shared" si="7"/>
        <v>3874.1400000000003</v>
      </c>
      <c r="J25" s="274">
        <f>SUM(J16:J24)</f>
        <v>309.93119999999999</v>
      </c>
      <c r="K25" s="275">
        <f t="shared" si="7"/>
        <v>135.59490000000002</v>
      </c>
      <c r="L25" s="276">
        <f t="shared" si="7"/>
        <v>0</v>
      </c>
      <c r="M25" s="232">
        <f t="shared" si="7"/>
        <v>3428.6138999999998</v>
      </c>
      <c r="N25" s="233">
        <f>SUM(N16:N24)</f>
        <v>732.20338983050851</v>
      </c>
      <c r="O25" s="101">
        <f>SUM(O16:O24)</f>
        <v>20.804086449152543</v>
      </c>
      <c r="P25" s="113">
        <f>SUM(P16:P24)</f>
        <v>4181.6213762796606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3874.1400000000003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309.93119999999999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135.59490000000002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3428.6139000000003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732.20338983050851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4160.8172898305093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20.804086449152546</v>
      </c>
    </row>
    <row r="35" spans="2:16" ht="15.75" customHeight="1" thickBot="1" x14ac:dyDescent="0.4">
      <c r="N35" s="371" t="s">
        <v>88</v>
      </c>
      <c r="O35" s="372"/>
      <c r="P35" s="297">
        <f>+P33+P34</f>
        <v>4181.6213762796615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22" sqref="H19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163.43999999999997</v>
      </c>
      <c r="K19" s="128">
        <f t="shared" si="1"/>
        <v>38.136000000000003</v>
      </c>
      <c r="L19" s="119">
        <f t="shared" si="1"/>
        <v>0</v>
      </c>
      <c r="M19" s="230">
        <f t="shared" si="2"/>
        <v>888.02399999999989</v>
      </c>
      <c r="N19" s="277">
        <f t="shared" si="3"/>
        <v>205.93220338983053</v>
      </c>
      <c r="O19" s="239">
        <f t="shared" si="4"/>
        <v>5.4697810169491525</v>
      </c>
      <c r="P19" s="311">
        <f t="shared" si="5"/>
        <v>1099.4259844067797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108.96</v>
      </c>
      <c r="K20" s="128">
        <f t="shared" si="1"/>
        <v>25.424000000000003</v>
      </c>
      <c r="L20" s="119">
        <f t="shared" si="1"/>
        <v>0</v>
      </c>
      <c r="M20" s="230">
        <f t="shared" si="2"/>
        <v>592.01599999999996</v>
      </c>
      <c r="N20" s="277">
        <f t="shared" si="3"/>
        <v>137.28813559322035</v>
      </c>
      <c r="O20" s="239">
        <f t="shared" si="4"/>
        <v>3.6465206779661017</v>
      </c>
      <c r="P20" s="311">
        <f t="shared" si="5"/>
        <v>732.9506562711864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163.43999999999997</v>
      </c>
      <c r="K21" s="128">
        <f t="shared" si="1"/>
        <v>38.136000000000003</v>
      </c>
      <c r="L21" s="119">
        <f t="shared" si="1"/>
        <v>0</v>
      </c>
      <c r="M21" s="230">
        <f t="shared" si="2"/>
        <v>888.02399999999989</v>
      </c>
      <c r="N21" s="277">
        <f t="shared" si="3"/>
        <v>205.93220338983053</v>
      </c>
      <c r="O21" s="239">
        <f t="shared" si="4"/>
        <v>5.4697810169491525</v>
      </c>
      <c r="P21" s="311">
        <f t="shared" si="5"/>
        <v>1099.4259844067797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435.83999999999992</v>
      </c>
      <c r="K25" s="275">
        <f t="shared" si="7"/>
        <v>101.696</v>
      </c>
      <c r="L25" s="276">
        <f t="shared" si="7"/>
        <v>0</v>
      </c>
      <c r="M25" s="232">
        <f t="shared" si="7"/>
        <v>2368.0639999999999</v>
      </c>
      <c r="N25" s="233">
        <f>SUM(N16:N24)</f>
        <v>549.15254237288138</v>
      </c>
      <c r="O25" s="101">
        <f>SUM(O16:O24)</f>
        <v>14.586082711864407</v>
      </c>
      <c r="P25" s="113">
        <f>SUM(P16:P24)</f>
        <v>2931.8026250847456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435.83999999999992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2368.0640000000003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2917.2165423728816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14.586082711864409</v>
      </c>
    </row>
    <row r="35" spans="2:16" ht="15.75" customHeight="1" thickBot="1" x14ac:dyDescent="0.4">
      <c r="N35" s="371" t="s">
        <v>88</v>
      </c>
      <c r="O35" s="372"/>
      <c r="P35" s="297">
        <f>+P33+P34</f>
        <v>2931.8026250847461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517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2026-08-24T04:07:23Z</dcterms:modified>
</cp:coreProperties>
</file>