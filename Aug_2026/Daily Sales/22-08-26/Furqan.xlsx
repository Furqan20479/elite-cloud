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3A5433A-A3A1-4BD2-BCF8-FDC7338A3A77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<sst xmlns="http://schemas.openxmlformats.org/spreadsheetml/2006/main" count="3978" uniqueCount="525">
  <si>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</si>
  <si>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</si>
  <si>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</si>
  <si>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</si>
  <si>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</si>
  <si>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</si>
  <si>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</si>
  <si>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</si>
  <si>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</si>
  <si>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</si>
  <si>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</si>
  <si>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</si>
  <si>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</si>
  <si>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</si>
  <si>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</si>
  <si>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</si>
  <si>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</si>
  <si>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</si>
  <si>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</si>
  <si>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</si>
  <si>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</si>
  <si>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</si>
  <si>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</si>
  <si>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</si>
  <si>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</si>
  <si>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</si>
  <si>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</si>
  <si>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</si>
  <si>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</si>
  <si>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</si>
  <si>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</si>
  <si>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</si>
  <si>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</si>
  <si>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</si>
  <si>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</si>
  <si>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</si>
  <si>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</si>
  <si>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</si>
  <si>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</si>
  <si>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</si>
  <si>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</si>
  <si>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</si>
  <si>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</si>
  <si>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</si>
  <si>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</si>
  <si>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</si>
  <si>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</si>
  <si>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</si>
  <si>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</si>
  <si>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</si>
  <si>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</si>
  <si>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</si>
  <si>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</si>
  <si>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</si>
  <si>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</si>
  <si>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</si>
  <si>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</si>
  <si>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</si>
  <si>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</si>
  <si>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</si>
  <si>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</si>
  <si>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</si>
  <si>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</si>
  <si>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</si>
  <si>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</si>
  <si>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</si>
  <si>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</si>
  <si>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</si>
  <si>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</si>
  <si>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</si>
  <si>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</si>
  <si>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</si>
  <si>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</si>
  <si>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</si>
  <si>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</si>
  <si>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</si>
  <si>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</si>
  <si>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</si>
  <si>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</si>
  <si>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</si>
  <si>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</si>
  <si>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</si>
  <si>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</si>
  <si>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</si>
  <si>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</si>
  <si>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</si>
  <si>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</si>
  <si>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</si>
  <si>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</si>
  <si>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</si>
  <si>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</si>
  <si>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</si>
  <si>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</si>
  <si>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</si>
  <si>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</si>
  <si>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</si>
  <si>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</si>
  <si>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</si>
  <si>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</si>
  <si>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</si>
  <si>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</si>
  <si>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</si>
  <si>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</si>
  <si>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</si>
  <si>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</si>
  <si>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</si>
  <si>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</si>
  <si>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</si>
  <si>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</si>
  <si>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</si>
  <si>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</si>
  <si>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</si>
  <si>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</si>
  <si>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</si>
  <si>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</si>
  <si>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</si>
  <si>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</si>
  <si>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</si>
  <si>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</si>
  <si>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</si>
  <si>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</si>
  <si>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</si>
  <si>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</si>
  <si>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</si>
  <si>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</si>
  <si>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</si>
  <si>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</si>
  <si>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</si>
  <si>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</si>
  <si>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</si>
  <si>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</si>
  <si>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</si>
  <si>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</si>
  <si>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</si>
  <si>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</si>
  <si>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</si>
  <si>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</si>
  <si>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</si>
  <si>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</si>
  <si>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</si>
  <si>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</si>
  <si>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</si>
  <si>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</si>
  <si>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</si>
  <si>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</si>
  <si>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</si>
  <si>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</si>
  <si>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</si>
  <si>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</si>
  <si>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</si>
  <si>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</si>
  <si>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</si>
  <si>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</si>
  <si>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</si>
  <si>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</si>
  <si>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</si>
  <si>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</si>
  <si>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</si>
  <si>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</si>
  <si>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</si>
  <si>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</si>
  <si>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</si>
  <si>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</si>
  <si>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</si>
  <si>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</si>
  <si>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</si>
  <si>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</si>
  <si>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</si>
  <si>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</si>
  <si>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</si>
  <si>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</si>
  <si>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</si>
  <si>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</si>
  <si>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</si>
  <si>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</si>
  <si>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</si>
  <si>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</si>
  <si>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</si>
  <si>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</si>
  <si>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</si>
  <si>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</si>
  <si>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</si>
  <si>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</si>
  <si>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</si>
  <si>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</si>
  <si>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</si>
  <si>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</si>
  <si>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</si>
  <si>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</si>
  <si>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</si>
  <si>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</si>
  <si>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</si>
  <si>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</si>
  <si>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</si>
  <si>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</si>
  <si>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</si>
  <si>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</si>
  <si>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</si>
  <si>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</si>
  <si>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</si>
  <si>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</si>
  <si>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</si>
  <si>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</si>
  <si>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</si>
  <si>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</si>
  <si>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</si>
  <si>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</si>
  <si>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</si>
  <si>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</si>
  <si>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</si>
  <si>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</si>
  <si>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</si>
  <si>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</si>
  <si>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</si>
  <si>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</si>
  <si>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</si>
  <si>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</si>
  <si>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</si>
  <si>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</si>
  <si>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</si>
  <si>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</si>
  <si>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</si>
  <si>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</si>
  <si>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</si>
  <si>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</si>
  <si>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</si>
  <si>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</si>
  <si>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</si>
  <si>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</si>
  <si>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</si>
  <si>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</si>
  <si>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</si>
  <si>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</si>
  <si>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</si>
  <si>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</si>
  <si>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</si>
  <si>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</si>
  <si>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</si>
  <si>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</si>
  <si>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</si>
  <si>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</si>
  <si>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</si>
  <si>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</si>
  <si>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</si>
  <si>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</si>
  <si>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</si>
  <si>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</si>
  <si>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</si>
  <si>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</si>
  <si>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</si>
  <si>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</si>
  <si>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</si>
  <si>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</si>
  <si>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</si>
  <si>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</si>
  <si>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</si>
  <si>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</si>
  <si>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</si>
  <si>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</si>
  <si>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</si>
  <si>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</si>
  <si>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</si>
  <si>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</si>
  <si>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</si>
  <si>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</si>
  <si>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</si>
  <si>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</si>
  <si>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</si>
  <si>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</si>
  <si>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</si>
  <si>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</si>
  <si>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</si>
  <si>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</si>
  <si>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</si>
  <si>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</si>
  <si>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</si>
  <si>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</si>
  <si>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</si>
  <si>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</si>
  <si>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</si>
  <si>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</si>
  <si>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</si>
  <si>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</si>
  <si>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</si>
  <si>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</si>
  <si>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</si>
  <si>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</si>
  <si>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</si>
  <si>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</si>
  <si>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</si>
  <si>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</si>
  <si>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</si>
  <si>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</si>
  <si>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</si>
  <si>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</si>
  <si>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</si>
  <si>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</si>
  <si>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</si>
  <si>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</si>
  <si>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</si>
  <si>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</si>
  <si>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</si>
  <si>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</si>
  <si>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</si>
  <si>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</si>
  <si>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</si>
  <si>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</si>
  <si>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</si>
  <si>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</si>
  <si>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</si>
  <si>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</si>
  <si>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</si>
  <si>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</si>
  <si>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</si>
  <si>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</si>
  <si>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</si>
  <si>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</si>
  <si>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</si>
  <si>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</si>
  <si>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</si>
  <si>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</si>
  <si>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</si>
  <si>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</si>
  <si>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</si>
  <si>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</si>
  <si>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</si>
  <si>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</si>
  <si>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</si>
  <si>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</si>
  <si>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</si>
  <si>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</si>
  <si>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</si>
  <si>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</si>
  <si>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</si>
  <si>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</si>
  <si>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</si>
  <si>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</si>
  <si>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</si>
  <si>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</si>
  <si>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</si>
  <si>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</si>
  <si>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</si>
  <si>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</si>
  <si>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</si>
  <si>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</si>
  <si>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</si>
  <si>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</si>
  <si>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</si>
  <si>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</si>
  <si>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</si>
  <si>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</si>
  <si>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</si>
  <si>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</si>
  <si>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</si>
  <si>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</si>
  <si>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</si>
  <si>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</si>
  <si>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</si>
  <si>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</si>
  <si>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</si>
  <si>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</si>
  <si>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</si>
  <si>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</si>
  <si>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</si>
  <si>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</si>
  <si>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</si>
  <si>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</si>
  <si>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</si>
  <si>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</si>
  <si>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</si>
  <si>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</si>
  <si>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</si>
  <si>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</si>
  <si>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</si>
  <si>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</si>
  <si>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</si>
  <si>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</si>
  <si>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</si>
  <si>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</si>
  <si>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</si>
  <si>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</si>
  <si>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</si>
  <si>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</si>
  <si>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</si>
  <si>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</si>
  <si>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</si>
  <si>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</si>
  <si>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</si>
  <si>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</si>
  <si>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</si>
  <si>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</si>
  <si>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</si>
  <si>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</si>
  <si>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</si>
  <si>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</si>
  <si>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</si>
  <si>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</si>
  <si>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</si>
  <si>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</si>
  <si>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</si>
  <si>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</si>
  <si>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</si>
  <si>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</si>
  <si>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</si>
  <si>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</si>
  <si>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</si>
  <si>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</si>
  <si>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</si>
  <si>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</si>
  <si>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</si>
  <si>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</si>
  <si>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</si>
  <si>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</si>
  <si>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</si>
  <si>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</si>
  <si>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</si>
  <si>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</si>
  <si>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</si>
  <si>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</si>
  <si>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</si>
  <si>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</si>
  <si>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</si>
  <si>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</si>
  <si>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</si>
  <si>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</si>
  <si>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</si>
  <si>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</si>
  <si>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</si>
  <si>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</si>
  <si>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</si>
  <si>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</si>
  <si>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</si>
  <si>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</si>
  <si>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</si>
  <si>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</si>
  <si>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</si>
  <si>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</si>
  <si>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</si>
  <si>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</si>
  <si>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</si>
  <si>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</si>
  <si>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</si>
  <si>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</si>
  <si>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</si>
  <si>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</si>
  <si>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</si>
  <si>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</si>
  <si>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</si>
  <si>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</si>
  <si>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</si>
  <si>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</si>
  <si>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</si>
  <si>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</si>
  <si>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</si>
  <si>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</si>
  <si>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</si>
  <si>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</si>
  <si>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</si>
  <si>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</si>
  <si>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</si>
  <si>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</si>
  <si>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</si>
  <si>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</si>
  <si>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</si>
  <si>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</si>
  <si>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</si>
  <si>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</si>
  <si>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</si>
  <si>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</si>
  <si>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</si>
  <si>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</si>
  <si>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</si>
  <si>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</si>
  <si>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</si>
  <si>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</si>
  <si>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</si>
  <si>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</si>
  <si>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</si>
  <si>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</si>
  <si>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</si>
  <si>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</si>
  <si>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</si>
  <si>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</si>
  <si>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</si>
  <si>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</si>
  <si>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</si>
  <si>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</si>
  <si>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</si>
  <si>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</si>
  <si>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</si>
  <si>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</si>
  <si>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</si>
  <si>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</si>
  <si>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</si>
  <si>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</si>
  <si>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</si>
  <si>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</si>
  <si>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</si>
  <si>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</si>
  <si>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</si>
  <si>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</si>
  <si>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</si>
  <si>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</si>
  <si>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</si>
  <si>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</si>
  <si>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</si>
  <si>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</si>
  <si>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</si>
  <si>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</si>
  <si>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</si>
  <si>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</si>
  <si>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</si>
  <si>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</si>
  <si>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</si>
  <si>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</si>
  <si>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</si>
  <si>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</si>
  <si>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Furqan</t>
  </si>
  <si>
    <t>Address: Officer Colony</t>
  </si>
  <si>
    <t>Wali Super Store</t>
  </si>
  <si>
    <t>Adeel Store</t>
  </si>
  <si>
    <t xml:space="preserve">Prince Bakery </t>
  </si>
  <si>
    <t xml:space="preserve">Address:  LDA quarters </t>
  </si>
  <si>
    <t xml:space="preserve">Mehar Mart </t>
  </si>
  <si>
    <t>Address: Academy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</si>
</sst>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2" sqref="A2:C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517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513</v>
      </c>
      <c r="F3" s="358"/>
      <c r="G3" s="358"/>
      <c r="H3" s="355">
        <f ca="1">TODAY()</f>
        <v>46255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Wali Super Store</v>
      </c>
      <c r="T3" s="301">
        <f>+'1'!P35</f>
        <v>4551.7007499902547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Adeel Store</v>
      </c>
      <c r="T4" s="301">
        <f>+'2'!P35</f>
        <v>1060.5661622122882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512</v>
      </c>
      <c r="R5" s="314">
        <v>3</v>
      </c>
      <c r="S5" s="300" t="str">
        <f>+'3'!A6:A6</f>
        <v xml:space="preserve">Prince Bakery </v>
      </c>
      <c r="T5" s="301">
        <f>+'3'!P35</f>
        <v>590.13442444957616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511</v>
      </c>
      <c r="R6" s="314">
        <v>4</v>
      </c>
      <c r="S6" s="300" t="str">
        <f>+'4'!A6:A6</f>
        <v xml:space="preserve">Mehar Mart </v>
      </c>
      <c r="T6" s="301">
        <f>+'4'!P35</f>
        <v>1414.0882162830508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26</v>
      </c>
      <c r="I8" s="236">
        <f t="shared" ref="I8:I14" si="0">(G8*D8)*F8+H8*F8</f>
        <v>1364.0249999999999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109.12199999999999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47.740875000000003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1207.1621249999998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257.79661016949143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7.3247936758474559</v>
      </c>
      <c r="P8" s="311">
        <f t="shared" ref="P8:P15" si="2">M8+N8+O8</f>
        <v>1472.2835288453389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</v>
      </c>
      <c r="I9" s="236">
        <f t="shared" si="0"/>
        <v>629.54999999999995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50.363999999999997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22.03425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557.15174999999999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118.98305084745758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3.3806740042372878</v>
      </c>
      <c r="P9" s="311">
        <f t="shared" si="2"/>
        <v>679.51547485169488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26</v>
      </c>
      <c r="I10" s="236">
        <f t="shared" si="0"/>
        <v>1888.64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151.09120000000001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66.102400000000003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1671.4464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356.94915254237287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10.141977762711864</v>
      </c>
      <c r="P10" s="311">
        <f t="shared" si="2"/>
        <v>2038.5375303050848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</v>
      </c>
      <c r="I11" s="236">
        <f t="shared" si="0"/>
        <v>435.84000000000003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34.867200000000004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15.254400000000002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385.71840000000003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82.372881355932208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2.3404564067796612</v>
      </c>
      <c r="P11" s="311">
        <f t="shared" si="2"/>
        <v>470.43173776271186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</v>
      </c>
      <c r="I12" s="236">
        <f t="shared" si="0"/>
        <v>871.68000000000006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69.734400000000008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30.508800000000004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771.43680000000006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164.74576271186442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4.6809128135593223</v>
      </c>
      <c r="P12" s="311">
        <f t="shared" si="2"/>
        <v>940.86347552542372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32</v>
      </c>
      <c r="I13" s="236">
        <f t="shared" si="0"/>
        <v>1255.3600000000001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62.768000000000008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43.93760000000001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64.023359999999997</v>
      </c>
      <c r="M13" s="230">
        <f t="shared" si="1"/>
        <v>1084.6310400000002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244.06779661016935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6.6434941830508469</v>
      </c>
      <c r="P13" s="311">
        <f t="shared" si="2"/>
        <v>1335.3423307932203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3.15</v>
      </c>
      <c r="H16" s="113">
        <f t="shared" ref="H16:M16" si="3">SUM(H7:H15)</f>
        <v>126</v>
      </c>
      <c r="I16" s="114">
        <f t="shared" si="3"/>
        <v>7074.6450000000004</v>
      </c>
      <c r="J16" s="274">
        <f>SUM(J7:J15)</f>
        <v>528.31079999999997</v>
      </c>
      <c r="K16" s="275">
        <f t="shared" si="3"/>
        <v>247.61257500000002</v>
      </c>
      <c r="L16" s="276">
        <f t="shared" si="3"/>
        <v>64.023359999999997</v>
      </c>
      <c r="M16" s="232">
        <f t="shared" si="3"/>
        <v>6234.698265</v>
      </c>
      <c r="N16" s="233">
        <f>SUM(N7:N15)</f>
        <v>1343.8983050847455</v>
      </c>
      <c r="O16" s="101">
        <f>SUM(O7:O15)</f>
        <v>37.892982850423728</v>
      </c>
      <c r="P16" s="113">
        <f>SUM(P7:P15)</f>
        <v>7616.4895529351688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7074.6450000000004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528.31079999999997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311.63593500000002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6234.698265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1343.8983050847455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7578.5965700847455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37.892982850423728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7616.4895529351688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7616.4895529351688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  <row r="49" spans="2:2" x14ac:dyDescent="0.35">
      <c r="B49" t="s">
        <v>514</v>
      </c>
    </row>
    <row r="50" spans="2:2" x14ac:dyDescent="0.35">
      <c r="B50" t="s">
        <v>516</v>
      </c>
    </row>
    <row r="51" spans="2:2" x14ac:dyDescent="0.35">
      <c r="B51" t="s">
        <v>515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E7" sqref="E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7.2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ref="I18:I21" si="7">(G18*D18)*F18+H18*F18</f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7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7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311">
        <f t="shared" si="5"/>
        <v>470.43173776271186</v>
      </c>
      <c r="Q20" s="156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72</v>
      </c>
      <c r="I25" s="114">
        <f t="shared" ref="I25:M25" si="10">SUM(I16:I24)</f>
        <v>4223.8350000000009</v>
      </c>
      <c r="J25" s="274">
        <f>SUM(J16:J24)</f>
        <v>323.78400000000005</v>
      </c>
      <c r="K25" s="275">
        <f t="shared" si="10"/>
        <v>147.834225</v>
      </c>
      <c r="L25" s="276">
        <f t="shared" si="10"/>
        <v>24.008760000000002</v>
      </c>
      <c r="M25" s="232">
        <f t="shared" si="10"/>
        <v>3728.2080150000002</v>
      </c>
      <c r="N25" s="233">
        <f>SUM(N16:N24)</f>
        <v>800.84745762711839</v>
      </c>
      <c r="O25" s="101">
        <f>SUM(O16:O24)</f>
        <v>22.645277363135591</v>
      </c>
      <c r="P25" s="113">
        <f>SUM(P16:P24)</f>
        <v>4551.7007499902538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4223.8350000000009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323.78400000000005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171.842985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3728.2080150000011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800.84745762711839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4529.0554726271193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22.645277363135598</v>
      </c>
    </row>
    <row r="35" spans="2:16" ht="15.75" customHeight="1" thickBot="1" x14ac:dyDescent="0.4">
      <c r="N35" s="342" t="s">
        <v>88</v>
      </c>
      <c r="O35" s="343"/>
      <c r="P35" s="297">
        <f>+P33+P34</f>
        <v>4551.7007499902547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E7" sqref="E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18</v>
      </c>
      <c r="I25" s="114">
        <f t="shared" si="7"/>
        <v>985.995</v>
      </c>
      <c r="J25" s="274">
        <f>SUM(J16:J24)</f>
        <v>71.818200000000004</v>
      </c>
      <c r="K25" s="275">
        <f t="shared" si="7"/>
        <v>34.509825000000006</v>
      </c>
      <c r="L25" s="276">
        <f t="shared" si="7"/>
        <v>12.004380000000001</v>
      </c>
      <c r="M25" s="232">
        <f t="shared" si="7"/>
        <v>867.66259500000001</v>
      </c>
      <c r="N25" s="233">
        <f>SUM(N16:N24)</f>
        <v>187.62711864406776</v>
      </c>
      <c r="O25" s="101">
        <f>SUM(O16:O24)</f>
        <v>5.2764485682203386</v>
      </c>
      <c r="P25" s="113">
        <f>SUM(P16:P24)</f>
        <v>1060.5661622122882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985.995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71.818200000000004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46.514205000000004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867.66259500000001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187.62711864406776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1055.2897136440679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5.2764485682203395</v>
      </c>
    </row>
    <row r="35" spans="2:16" ht="15.75" customHeight="1" thickBot="1" x14ac:dyDescent="0.4">
      <c r="N35" s="342" t="s">
        <v>88</v>
      </c>
      <c r="O35" s="343"/>
      <c r="P35" s="297">
        <f>+P33+P34</f>
        <v>1060.5661622122882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E7" sqref="E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8.7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522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550.15499999999997</v>
      </c>
      <c r="J25" s="274">
        <f>SUM(J16:J24)</f>
        <v>36.951000000000001</v>
      </c>
      <c r="K25" s="275">
        <f t="shared" si="7"/>
        <v>19.255425000000002</v>
      </c>
      <c r="L25" s="276">
        <f t="shared" si="7"/>
        <v>12.004380000000001</v>
      </c>
      <c r="M25" s="232">
        <f t="shared" si="7"/>
        <v>481.94419500000004</v>
      </c>
      <c r="N25" s="233">
        <f>SUM(N16:N24)</f>
        <v>105.25423728813554</v>
      </c>
      <c r="O25" s="101">
        <f>SUM(O16:O24)</f>
        <v>2.9359921614406774</v>
      </c>
      <c r="P25" s="113">
        <f>SUM(P16:P24)</f>
        <v>590.13442444957627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550.15499999999997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36.951000000000001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31.259805000000004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481.94419499999992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105.25423728813554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587.19843228813545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2.9359921614406774</v>
      </c>
    </row>
    <row r="35" spans="2:16" ht="15.75" customHeight="1" thickBot="1" x14ac:dyDescent="0.4">
      <c r="N35" s="342" t="s">
        <v>88</v>
      </c>
      <c r="O35" s="343"/>
      <c r="P35" s="297">
        <f>+P33+P34</f>
        <v>590.13442444957616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E7" sqref="E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524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</v>
      </c>
      <c r="I17" s="236">
        <f t="shared" ref="I17:I23" si="0">(G17*D17)*F17+H17*F17</f>
        <v>419.7</v>
      </c>
      <c r="J17" s="272">
        <f t="shared" ref="J17:L24" si="1">$I17*S17</f>
        <v>33.576000000000001</v>
      </c>
      <c r="K17" s="128">
        <f>$I17*T17</f>
        <v>14.689500000000001</v>
      </c>
      <c r="L17" s="119">
        <f>$I17*U17</f>
        <v>0</v>
      </c>
      <c r="M17" s="230">
        <f t="shared" ref="M17:M24" si="2">I17-SUM(J17:L17)</f>
        <v>371.43449999999996</v>
      </c>
      <c r="N17" s="277">
        <f t="shared" ref="N17:N24" si="3">+(G17*D17+H17)*V17</f>
        <v>79.322033898305051</v>
      </c>
      <c r="O17" s="239">
        <f t="shared" ref="O17:O24" si="4">(N17+M17)*$O$15</f>
        <v>2.2537826694915251</v>
      </c>
      <c r="P17" s="311">
        <f t="shared" ref="P17:P24" si="5">M17+N17+O17</f>
        <v>453.01031656779651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</v>
      </c>
      <c r="I19" s="236">
        <f t="shared" si="0"/>
        <v>581.12</v>
      </c>
      <c r="J19" s="272">
        <f t="shared" si="1"/>
        <v>46.489600000000003</v>
      </c>
      <c r="K19" s="128">
        <f t="shared" si="1"/>
        <v>20.339200000000002</v>
      </c>
      <c r="L19" s="119">
        <f t="shared" si="1"/>
        <v>0</v>
      </c>
      <c r="M19" s="230">
        <f t="shared" si="2"/>
        <v>514.2912</v>
      </c>
      <c r="N19" s="277">
        <f t="shared" si="3"/>
        <v>109.83050847457628</v>
      </c>
      <c r="O19" s="239">
        <f t="shared" si="4"/>
        <v>3.1206085423728815</v>
      </c>
      <c r="P19" s="311">
        <f t="shared" si="5"/>
        <v>627.24231701694919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</v>
      </c>
      <c r="I22" s="236">
        <f t="shared" si="0"/>
        <v>313.84000000000003</v>
      </c>
      <c r="J22" s="272">
        <f t="shared" si="1"/>
        <v>15.692000000000002</v>
      </c>
      <c r="K22" s="128">
        <f t="shared" si="1"/>
        <v>10.984400000000003</v>
      </c>
      <c r="L22" s="119">
        <f t="shared" si="1"/>
        <v>16.005839999999999</v>
      </c>
      <c r="M22" s="230">
        <f t="shared" si="2"/>
        <v>271.15776000000005</v>
      </c>
      <c r="N22" s="277">
        <f t="shared" si="3"/>
        <v>61.016949152542338</v>
      </c>
      <c r="O22" s="239">
        <f t="shared" si="4"/>
        <v>1.660873545762712</v>
      </c>
      <c r="P22" s="311">
        <f t="shared" si="5"/>
        <v>333.83558269830507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24</v>
      </c>
      <c r="I25" s="114">
        <f t="shared" si="7"/>
        <v>1314.6599999999999</v>
      </c>
      <c r="J25" s="274">
        <f>SUM(J16:J24)</f>
        <v>95.757600000000011</v>
      </c>
      <c r="K25" s="275">
        <f t="shared" si="7"/>
        <v>46.013100000000001</v>
      </c>
      <c r="L25" s="276">
        <f t="shared" si="7"/>
        <v>16.005839999999999</v>
      </c>
      <c r="M25" s="232">
        <f t="shared" si="7"/>
        <v>1156.88346</v>
      </c>
      <c r="N25" s="233">
        <f>SUM(N16:N24)</f>
        <v>250.16949152542367</v>
      </c>
      <c r="O25" s="101">
        <f>SUM(O16:O24)</f>
        <v>7.0352647576271181</v>
      </c>
      <c r="P25" s="113">
        <f>SUM(P16:P24)</f>
        <v>1414.0882162830508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1314.6599999999999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95.757600000000011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62.018940000000001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1156.88346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250.16949152542367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1407.0529515254236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7.0352647576271181</v>
      </c>
    </row>
    <row r="35" spans="2:16" ht="15.75" customHeight="1" thickBot="1" x14ac:dyDescent="0.4">
      <c r="N35" s="342" t="s">
        <v>88</v>
      </c>
      <c r="O35" s="343"/>
      <c r="P35" s="297">
        <f>+P33+P34</f>
        <v>1414.0882162830508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8.7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504</v>
      </c>
      <c r="B4" s="367"/>
      <c r="C4" s="367"/>
      <c r="F4" s="85"/>
      <c r="G4" s="1"/>
      <c r="K4" s="368" t="s">
        <v>44</v>
      </c>
      <c r="L4" s="368"/>
      <c r="M4" s="368"/>
      <c r="N4" s="398">
        <v>46256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46255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510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510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512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511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2026-08-21T12:30:19Z</dcterms:modified>
</cp:coreProperties>
</file>