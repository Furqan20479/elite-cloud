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9E9AE67-38EC-4F4C-8852-E33E8E307967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4" l="1"/>
  <c r="O17" i="44" s="1"/>
  <c r="P17" i="44" s="1"/>
  <c r="M17" i="56"/>
  <c r="O17" i="56" s="1"/>
  <c r="P17" i="56" s="1"/>
  <c r="M21" i="53"/>
  <c r="O21" i="53" s="1"/>
  <c r="P21" i="53" s="1"/>
  <c r="M20" i="53"/>
  <c r="O20" i="53" s="1"/>
  <c r="P20" i="53" s="1"/>
  <c r="R20" i="53" s="1"/>
  <c r="K12" i="62"/>
  <c r="M21" i="44"/>
  <c r="O21" i="44" s="1"/>
  <c r="P21" i="44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16" i="55" s="1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3" i="55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<sst xmlns="http://schemas.openxmlformats.org/spreadsheetml/2006/main" count="3977" uniqueCount="529">
  <si>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</si>
  <si>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</si>
  <si>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</si>
  <si>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</si>
  <si>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</si>
  <si>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</si>
  <si>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</si>
  <si>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</si>
  <si>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</si>
  <si>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</si>
  <si>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</si>
  <si>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</si>
  <si>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</si>
  <si>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</si>
  <si>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</si>
  <si>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</si>
  <si>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</si>
  <si>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</si>
  <si>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</si>
  <si>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</si>
  <si>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</si>
  <si>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</si>
  <si>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</si>
  <si>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</si>
  <si>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</si>
  <si>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</si>
  <si>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</si>
  <si>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</si>
  <si>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</si>
  <si>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</si>
  <si>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</si>
  <si>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</si>
  <si>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</si>
  <si>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</si>
  <si>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</si>
  <si>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</si>
  <si>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</si>
  <si>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</si>
  <si>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</si>
  <si>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</si>
  <si>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</si>
  <si>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</si>
  <si>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</si>
  <si>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</si>
  <si>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</si>
  <si>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</si>
  <si>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</si>
  <si>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</si>
  <si>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</si>
  <si>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</si>
  <si>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</si>
  <si>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</si>
  <si>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</si>
  <si>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</si>
  <si>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</si>
  <si>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</si>
  <si>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</si>
  <si>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</si>
  <si>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</si>
  <si>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</si>
  <si>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</si>
  <si>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</si>
  <si>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</si>
  <si>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</si>
  <si>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</si>
  <si>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</si>
  <si>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</si>
  <si>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</si>
  <si>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</si>
  <si>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</si>
  <si>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</si>
  <si>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</si>
  <si>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</si>
  <si>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</si>
  <si>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</si>
  <si>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</si>
  <si>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</si>
  <si>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</si>
  <si>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</si>
  <si>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</si>
  <si>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</si>
  <si>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</si>
  <si>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</si>
  <si>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</si>
  <si>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</si>
  <si>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</si>
  <si>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</si>
  <si>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</si>
  <si>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</si>
  <si>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</si>
  <si>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</si>
  <si>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</si>
  <si>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</si>
  <si>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</si>
  <si>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</si>
  <si>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</si>
  <si>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</si>
  <si>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</si>
  <si>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</si>
  <si>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</si>
  <si>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</si>
  <si>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</si>
  <si>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</si>
  <si>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</si>
  <si>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</si>
  <si>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</si>
  <si>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</si>
  <si>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</si>
  <si>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</si>
  <si>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</si>
  <si>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</si>
  <si>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</si>
  <si>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</si>
  <si>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</si>
  <si>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</si>
  <si>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</si>
  <si>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</si>
  <si>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</si>
  <si>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</si>
  <si>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</si>
  <si>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</si>
  <si>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</si>
  <si>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</si>
  <si>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</si>
  <si>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</si>
  <si>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</si>
  <si>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</si>
  <si>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</si>
  <si>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</si>
  <si>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</si>
  <si>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</si>
  <si>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</si>
  <si>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</si>
  <si>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</si>
  <si>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</si>
  <si>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</si>
  <si>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</si>
  <si>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</si>
  <si>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</si>
  <si>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</si>
  <si>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</si>
  <si>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</si>
  <si>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</si>
  <si>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</si>
  <si>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</si>
  <si>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</si>
  <si>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</si>
  <si>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</si>
  <si>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</si>
  <si>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</si>
  <si>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</si>
  <si>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</si>
  <si>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</si>
  <si>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</si>
  <si>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</si>
  <si>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</si>
  <si>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</si>
  <si>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</si>
  <si>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</si>
  <si>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</si>
  <si>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</si>
  <si>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</si>
  <si>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</si>
  <si>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</si>
  <si>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</si>
  <si>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</si>
  <si>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</si>
  <si>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</si>
  <si>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</si>
  <si>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</si>
  <si>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</si>
  <si>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</si>
  <si>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</si>
  <si>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</si>
  <si>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</si>
  <si>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</si>
  <si>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</si>
  <si>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</si>
  <si>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</si>
  <si>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</si>
  <si>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</si>
  <si>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</si>
  <si>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</si>
  <si>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</si>
  <si>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</si>
  <si>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</si>
  <si>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</si>
  <si>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</si>
  <si>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</si>
  <si>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</si>
  <si>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</si>
  <si>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</si>
  <si>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</si>
  <si>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</si>
  <si>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</si>
  <si>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</si>
  <si>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</si>
  <si>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</si>
  <si>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</si>
  <si>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</si>
  <si>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</si>
  <si>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</si>
  <si>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</si>
  <si>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</si>
  <si>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</si>
  <si>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</si>
  <si>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</si>
  <si>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</si>
  <si>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</si>
  <si>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</si>
  <si>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</si>
  <si>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</si>
  <si>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</si>
  <si>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</si>
  <si>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</si>
  <si>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</si>
  <si>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</si>
  <si>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</si>
  <si>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</si>
  <si>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</si>
  <si>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</si>
  <si>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</si>
  <si>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</si>
  <si>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</si>
  <si>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</si>
  <si>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</si>
  <si>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</si>
  <si>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</si>
  <si>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</si>
  <si>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</si>
  <si>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</si>
  <si>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</si>
  <si>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</si>
  <si>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</si>
  <si>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</si>
  <si>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</si>
  <si>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</si>
  <si>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</si>
  <si>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</si>
  <si>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</si>
  <si>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</si>
  <si>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</si>
  <si>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</si>
  <si>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</si>
  <si>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</si>
  <si>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</si>
  <si>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</si>
  <si>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</si>
  <si>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</si>
  <si>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</si>
  <si>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</si>
  <si>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</si>
  <si>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</si>
  <si>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</si>
  <si>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</si>
  <si>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</si>
  <si>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</si>
  <si>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</si>
  <si>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</si>
  <si>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</si>
  <si>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</si>
  <si>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</si>
  <si>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</si>
  <si>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</si>
  <si>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</si>
  <si>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</si>
  <si>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</si>
  <si>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</si>
  <si>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</si>
  <si>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</si>
  <si>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</si>
  <si>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</si>
  <si>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</si>
  <si>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</si>
  <si>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</si>
  <si>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</si>
  <si>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</si>
  <si>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</si>
  <si>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</si>
  <si>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</si>
  <si>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</si>
  <si>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</si>
  <si>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</si>
  <si>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</si>
  <si>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</si>
  <si>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</si>
  <si>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</si>
  <si>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</si>
  <si>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</si>
  <si>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</si>
  <si>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</si>
  <si>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</si>
  <si>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</si>
  <si>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</si>
  <si>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</si>
  <si>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</si>
  <si>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</si>
  <si>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</si>
  <si>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</si>
  <si>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</si>
  <si>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</si>
  <si>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</si>
  <si>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</si>
  <si>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</si>
  <si>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</si>
  <si>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</si>
  <si>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</si>
  <si>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</si>
  <si>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</si>
  <si>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</si>
  <si>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</si>
  <si>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</si>
  <si>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</si>
  <si>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</si>
  <si>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</si>
  <si>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</si>
  <si>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</si>
  <si>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</si>
  <si>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</si>
  <si>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</si>
  <si>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</si>
  <si>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</si>
  <si>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</si>
  <si>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</si>
  <si>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</si>
  <si>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</si>
  <si>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</si>
  <si>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</si>
  <si>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</si>
  <si>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</si>
  <si>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</si>
  <si>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</si>
  <si>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</si>
  <si>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</si>
  <si>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</si>
  <si>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</si>
  <si>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</si>
  <si>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</si>
  <si>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</si>
  <si>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</si>
  <si>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</si>
  <si>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</si>
  <si>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</si>
  <si>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</si>
  <si>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</si>
  <si>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</si>
  <si>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</si>
  <si>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</si>
  <si>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</si>
  <si>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</si>
  <si>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</si>
  <si>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</si>
  <si>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</si>
  <si>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</si>
  <si>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</si>
  <si>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</si>
  <si>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</si>
  <si>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</si>
  <si>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</si>
  <si>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</si>
  <si>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</si>
  <si>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</si>
  <si>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</si>
  <si>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</si>
  <si>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</si>
  <si>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</si>
  <si>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</si>
  <si>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</si>
  <si>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</si>
  <si>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</si>
  <si>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</si>
  <si>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</si>
  <si>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</si>
  <si>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</si>
  <si>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</si>
  <si>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</si>
  <si>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</si>
  <si>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</si>
  <si>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</si>
  <si>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</si>
  <si>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</si>
  <si>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</si>
  <si>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</si>
  <si>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</si>
  <si>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</si>
  <si>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</si>
  <si>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</si>
  <si>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</si>
  <si>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</si>
  <si>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</si>
  <si>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</si>
  <si>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</si>
  <si>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</si>
  <si>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</si>
  <si>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</si>
  <si>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</si>
  <si>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</si>
  <si>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</si>
  <si>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</si>
  <si>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</si>
  <si>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</si>
  <si>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</si>
  <si>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</si>
  <si>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</si>
  <si>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</si>
  <si>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</si>
  <si>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</si>
  <si>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</si>
  <si>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</si>
  <si>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</si>
  <si>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</si>
  <si>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</si>
  <si>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</si>
  <si>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</si>
  <si>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</si>
  <si>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</si>
  <si>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</si>
  <si>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</si>
  <si>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</si>
  <si>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</si>
  <si>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</si>
  <si>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</si>
  <si>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</si>
  <si>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</si>
  <si>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</si>
  <si>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</si>
  <si>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</si>
  <si>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</si>
  <si>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</si>
  <si>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</si>
  <si>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</si>
  <si>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</si>
  <si>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</si>
  <si>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</si>
  <si>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</si>
  <si>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</si>
  <si>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</si>
  <si>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</si>
  <si>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</si>
  <si>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</si>
  <si>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</si>
  <si>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</si>
  <si>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</si>
  <si>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</si>
  <si>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</si>
  <si>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</si>
  <si>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</si>
  <si>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</si>
  <si>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</si>
  <si>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</si>
  <si>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</si>
  <si>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</si>
  <si>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</si>
  <si>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</si>
  <si>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</si>
  <si>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</si>
  <si>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</si>
  <si>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</si>
  <si>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</si>
  <si>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</si>
  <si>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</si>
  <si>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</si>
  <si>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</si>
  <si>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</si>
  <si>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</si>
  <si>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</si>
  <si>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</si>
  <si>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</si>
  <si>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</si>
  <si>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</si>
  <si>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</si>
  <si>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</si>
  <si>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</si>
  <si>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</si>
  <si>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</si>
  <si>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</si>
  <si>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</si>
  <si>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</si>
  <si>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</si>
  <si>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</si>
  <si>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</si>
  <si>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</si>
  <si>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</si>
  <si>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</si>
  <si>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</si>
  <si>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</si>
  <si>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</si>
  <si>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</si>
  <si>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</si>
  <si>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</si>
  <si>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</si>
  <si>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</si>
  <si>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</si>
  <si>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</si>
  <si>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</si>
  <si>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</si>
  <si>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</si>
  <si>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</si>
  <si>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</si>
  <si>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</si>
  <si>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</si>
  <si>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</si>
  <si>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</si>
  <si>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</si>
  <si>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</si>
  <si>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</si>
  <si>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</si>
  <si>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</si>
  <si>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</si>
  <si>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</si>
  <si>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</si>
  <si>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</si>
  <si>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</si>
  <si>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</si>
  <si>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</si>
  <si>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Salman</t>
  </si>
  <si>
    <t>Address: Askari Market</t>
  </si>
  <si>
    <t xml:space="preserve">Askari Cash &amp; Carry </t>
  </si>
  <si>
    <t>Al Makkah Store</t>
  </si>
  <si>
    <t>Chelet Bakers</t>
  </si>
  <si>
    <t>Zahid Store</t>
  </si>
  <si>
    <t>Haris Store</t>
  </si>
  <si>
    <t>Nadeem Store</t>
  </si>
  <si>
    <t>Shani Store</t>
  </si>
  <si>
    <t>Mani Store</t>
  </si>
  <si>
    <t>Yousaf Store</t>
  </si>
  <si>
    <t>Zubair Store</t>
  </si>
  <si>
    <t>Dilshat Store</t>
  </si>
  <si>
    <t>Khan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</si>
</sst>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U6" sqref="U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511</v>
      </c>
      <c r="F3" s="387"/>
      <c r="G3" s="387"/>
      <c r="H3" s="384">
        <f ca="1">TODAY()</f>
        <v>46258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 xml:space="preserve">Askari Cash &amp; Carry </v>
      </c>
      <c r="T3" s="301">
        <f>+'1'!P35</f>
        <v>12508.275294838984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Al Makkah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510</v>
      </c>
      <c r="R5" s="314">
        <v>3</v>
      </c>
      <c r="S5" s="300" t="str">
        <f>+'3'!A6:A6</f>
        <v>Chelet Bakers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509</v>
      </c>
      <c r="R6" s="314">
        <v>4</v>
      </c>
      <c r="S6" s="300" t="str">
        <f>+'4'!A6:A6</f>
        <v>Zahid Store</v>
      </c>
      <c r="T6" s="301">
        <f>+'4'!P35</f>
        <v>208.64723918644069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45</v>
      </c>
      <c r="I7" s="235">
        <f>(G7*D7)*F7+H7*F7</f>
        <v>2360.8125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188.86500000000001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82.628437500000004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2089.3190624999997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446.18644067796595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12.67752751588983</v>
      </c>
      <c r="P7" s="310">
        <f>M7+N7+O7</f>
        <v>2548.1830306938555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33</v>
      </c>
      <c r="R7" s="314">
        <v>5</v>
      </c>
      <c r="S7" s="300" t="str">
        <f>+'5'!A6:A6</f>
        <v>Haris Store</v>
      </c>
      <c r="T7" s="301">
        <f>+'5'!P35</f>
        <v>208.64723918644069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35</v>
      </c>
      <c r="I8" s="236">
        <f t="shared" ref="I8:I14" si="0">(G8*D8)*F8+H8*F8</f>
        <v>1836.1875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146.89499999999998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64.266562500000006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1625.0259375000001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347.03389830508456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9.8602991790254233</v>
      </c>
      <c r="P8" s="311">
        <f t="shared" ref="P8:P15" si="2">M8+N8+O8</f>
        <v>1981.9201349841101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32</v>
      </c>
      <c r="R8" s="314">
        <v>6</v>
      </c>
      <c r="S8" s="300" t="str">
        <f>+'6'!A6:A6</f>
        <v>Nadeem Store</v>
      </c>
      <c r="T8" s="301">
        <f>+'6'!P35</f>
        <v>208.64723918644069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15</v>
      </c>
      <c r="R9" s="314">
        <v>7</v>
      </c>
      <c r="S9" s="300" t="str">
        <f>+'7'!A6:A6</f>
        <v>Shani Store</v>
      </c>
      <c r="T9" s="301">
        <f>+'7'!P35</f>
        <v>208.64723918644069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20</v>
      </c>
      <c r="R10" s="314">
        <v>8</v>
      </c>
      <c r="S10" s="300" t="str">
        <f>+'8'!A6:A6</f>
        <v>Mani Store</v>
      </c>
      <c r="T10" s="301">
        <f>+'8'!P35</f>
        <v>208.64723918644069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4">
        <v>9</v>
      </c>
      <c r="S11" s="300" t="str">
        <f>+'9'!A6:A6</f>
        <v>Yousaf Store</v>
      </c>
      <c r="T11" s="301">
        <f>+'9'!P35</f>
        <v>208.64723918644069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20</v>
      </c>
      <c r="R12" s="314">
        <v>10</v>
      </c>
      <c r="S12" s="300" t="str">
        <f>+'10'!A6:A6</f>
        <v>Zubair Store</v>
      </c>
      <c r="T12" s="301">
        <f>+'10'!P35</f>
        <v>208.64723918644069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60</v>
      </c>
      <c r="I13" s="236">
        <f t="shared" si="0"/>
        <v>2353.8000000000002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117.69000000000004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82.383000000000024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120.04379999999998</v>
      </c>
      <c r="M13" s="230">
        <f t="shared" si="1"/>
        <v>2033.6832000000002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457.62711864406742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12.45655159322034</v>
      </c>
      <c r="P13" s="311">
        <f t="shared" si="2"/>
        <v>2503.766870237288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20</v>
      </c>
      <c r="R13" s="314">
        <v>11</v>
      </c>
      <c r="S13" s="300" t="str">
        <f>+'11'!A6:A6</f>
        <v>Dilshat Store</v>
      </c>
      <c r="T13" s="301">
        <f>+'11'!P35</f>
        <v>208.64723918644069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Khan Store</v>
      </c>
      <c r="T14" s="301">
        <f>+'12'!P35</f>
        <v>8537.4747530084751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8.5</v>
      </c>
      <c r="H16" s="113">
        <f t="shared" ref="H16:M16" si="3">SUM(H7:H15)</f>
        <v>340</v>
      </c>
      <c r="I16" s="114">
        <f t="shared" si="3"/>
        <v>21078.799999999999</v>
      </c>
      <c r="J16" s="274">
        <f>SUM(J7:J15)</f>
        <v>1615.69</v>
      </c>
      <c r="K16" s="275">
        <f t="shared" si="3"/>
        <v>737.75800000000004</v>
      </c>
      <c r="L16" s="276">
        <f t="shared" si="3"/>
        <v>120.04379999999998</v>
      </c>
      <c r="M16" s="232">
        <f t="shared" si="3"/>
        <v>18605.308199999999</v>
      </c>
      <c r="N16" s="233">
        <f>SUM(N7:N15)</f>
        <v>3996.6101694915251</v>
      </c>
      <c r="O16" s="101">
        <f>SUM(O7:O15)</f>
        <v>113.00959184745764</v>
      </c>
      <c r="P16" s="113">
        <f>SUM(P7:P15)</f>
        <v>22714.927961338981</v>
      </c>
      <c r="Q16" s="128">
        <f>SUM(Q7:Q15)</f>
        <v>160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>
        <f>+'15'!A6:A6</f>
        <v>0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21078.799999999999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1615.69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857.80179999999996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18605.308199999999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3996.6101694915251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22601.918369491526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113.00959184745764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22714.927961338984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22714.927961338988</v>
      </c>
    </row>
    <row r="44" spans="2:20" x14ac:dyDescent="0.35">
      <c r="B44" t="s">
        <v>503</v>
      </c>
    </row>
    <row r="45" spans="2:20" x14ac:dyDescent="0.35">
      <c r="B45" t="s">
        <v>504</v>
      </c>
    </row>
    <row r="46" spans="2:20" x14ac:dyDescent="0.35">
      <c r="B46" t="s">
        <v>505</v>
      </c>
    </row>
    <row r="47" spans="2:20" x14ac:dyDescent="0.35">
      <c r="B47" t="s">
        <v>506</v>
      </c>
    </row>
    <row r="48" spans="2:20" x14ac:dyDescent="0.35">
      <c r="B48" t="s">
        <v>507</v>
      </c>
    </row>
    <row r="49" spans="2:2" x14ac:dyDescent="0.35">
      <c r="B49" t="s">
        <v>512</v>
      </c>
    </row>
    <row r="50" spans="2:2" x14ac:dyDescent="0.35">
      <c r="B50" t="s">
        <v>514</v>
      </c>
    </row>
    <row r="51" spans="2:2" x14ac:dyDescent="0.35">
      <c r="B51" t="s">
        <v>513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180</v>
      </c>
      <c r="I25" s="114">
        <f t="shared" ref="I25:M25" si="10">SUM(I16:I24)</f>
        <v>11599.900000000001</v>
      </c>
      <c r="J25" s="274">
        <f>SUM(J16:J24)</f>
        <v>904.45399999999995</v>
      </c>
      <c r="K25" s="275">
        <f t="shared" si="10"/>
        <v>405.99650000000008</v>
      </c>
      <c r="L25" s="276">
        <f t="shared" si="10"/>
        <v>40.014600000000002</v>
      </c>
      <c r="M25" s="232">
        <f t="shared" si="10"/>
        <v>10249.4349</v>
      </c>
      <c r="N25" s="233">
        <f>SUM(N16:N24)</f>
        <v>2196.6101694915251</v>
      </c>
      <c r="O25" s="101">
        <f>SUM(O16:O24)</f>
        <v>62.230225347457633</v>
      </c>
      <c r="P25" s="113">
        <f>SUM(P16:P24)</f>
        <v>12508.275294838984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11599.900000000001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904.45399999999995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446.01110000000006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10249.434900000002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2196.6101694915251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12446.045069491527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62.23022534745764</v>
      </c>
    </row>
    <row r="35" spans="2:16" ht="15.75" customHeight="1" thickBot="1" x14ac:dyDescent="0.4">
      <c r="N35" s="371" t="s">
        <v>88</v>
      </c>
      <c r="O35" s="372"/>
      <c r="P35" s="297">
        <f>+P33+P34</f>
        <v>12508.275294838984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H19" sqref="H16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518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13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12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15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527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311">
        <f t="shared" si="5"/>
        <v>208.64723918644069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113">
        <f>SUM(P16:P24)</f>
        <v>208.64723918644069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196.15000000000003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9.8075000000000028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16.868900000000004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169.47360000000003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207.60919322033899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71" t="s">
        <v>88</v>
      </c>
      <c r="O35" s="372"/>
      <c r="P35" s="297">
        <f>+P33+P34</f>
        <v>208.64723918644069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528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25</v>
      </c>
      <c r="I16" s="235">
        <f>(G16*D16)*F16+H16*F16</f>
        <v>1311.5625</v>
      </c>
      <c r="J16" s="271">
        <f>$I16*S16</f>
        <v>104.925</v>
      </c>
      <c r="K16" s="127">
        <f>$I16*T16</f>
        <v>45.904687500000001</v>
      </c>
      <c r="L16" s="118">
        <f>$I16*U16</f>
        <v>0</v>
      </c>
      <c r="M16" s="229">
        <f>I16-SUM(J16:L16)</f>
        <v>1160.7328124999999</v>
      </c>
      <c r="N16" s="248">
        <f>+(G16*D16+H16)*V16</f>
        <v>247.88135593220329</v>
      </c>
      <c r="O16" s="238">
        <f>(N16+M16)*$O$15</f>
        <v>7.0430708421610166</v>
      </c>
      <c r="P16" s="310">
        <f>M16+N16+O16</f>
        <v>1415.6572392743644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311">
        <f t="shared" ref="P17:P24" si="5">M17+N17+O17</f>
        <v>849.39434356461845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120</v>
      </c>
      <c r="I25" s="114">
        <f t="shared" si="7"/>
        <v>7909.7000000000007</v>
      </c>
      <c r="J25" s="274">
        <f>SUM(J16:J24)</f>
        <v>632.77600000000007</v>
      </c>
      <c r="K25" s="275">
        <f t="shared" si="7"/>
        <v>276.83950000000004</v>
      </c>
      <c r="L25" s="276">
        <f t="shared" si="7"/>
        <v>0</v>
      </c>
      <c r="M25" s="232">
        <f t="shared" si="7"/>
        <v>7000.0844999999999</v>
      </c>
      <c r="N25" s="233">
        <f>SUM(N16:N24)</f>
        <v>1494.9152542372879</v>
      </c>
      <c r="O25" s="101">
        <f>SUM(O16:O24)</f>
        <v>42.474998771186442</v>
      </c>
      <c r="P25" s="113">
        <f>SUM(P16:P24)</f>
        <v>8537.4747530084751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7909.7000000000007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632.77600000000007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276.83950000000004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7000.0845000000008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1494.9152542372879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8494.9997542372894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42.474998771186449</v>
      </c>
    </row>
    <row r="35" spans="2:16" ht="15.75" customHeight="1" thickBot="1" x14ac:dyDescent="0.4">
      <c r="N35" s="371" t="s">
        <v>88</v>
      </c>
      <c r="O35" s="372"/>
      <c r="P35" s="297">
        <f>+P33+P34</f>
        <v>8537.4747530084751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activeCell="E5" sqref="E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H16" sqref="H16: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9" sqref="I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/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8.7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502</v>
      </c>
      <c r="B4" s="391"/>
      <c r="C4" s="391"/>
      <c r="F4" s="85"/>
      <c r="G4" s="1"/>
      <c r="K4" s="392" t="s">
        <v>44</v>
      </c>
      <c r="L4" s="392"/>
      <c r="M4" s="392"/>
      <c r="N4" s="395">
        <v>46256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46255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515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508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516</v>
      </c>
      <c r="B8" s="398"/>
      <c r="C8" s="398"/>
      <c r="F8" s="85"/>
      <c r="G8" s="86"/>
      <c r="K8" s="392" t="s">
        <v>67</v>
      </c>
      <c r="L8" s="392"/>
      <c r="M8" s="392"/>
      <c r="N8" s="394" t="s">
        <v>508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510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509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46259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46258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2026-08-24T04:06:17Z</dcterms:modified>
</cp:coreProperties>
</file>