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8EF5D0C-8869-440D-AACB-4A5DE17A906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<sst xmlns="http://schemas.openxmlformats.org/spreadsheetml/2006/main" count="3978" uniqueCount="530">
  <si>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</si>
  <si>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</si>
  <si>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</si>
  <si>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</si>
  <si>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</si>
  <si>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</si>
  <si>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</si>
  <si>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</si>
  <si>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</si>
  <si>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</si>
  <si>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</si>
  <si>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</si>
  <si>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</si>
  <si>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</si>
  <si>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</si>
  <si>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</si>
  <si>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</si>
  <si>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</si>
  <si>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</si>
  <si>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</si>
  <si>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</si>
  <si>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</si>
  <si>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</si>
  <si>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</si>
  <si>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</si>
  <si>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</si>
  <si>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</si>
  <si>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</si>
  <si>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</si>
  <si>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</si>
  <si>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</si>
  <si>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</si>
  <si>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</si>
  <si>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</si>
  <si>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</si>
  <si>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</si>
  <si>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</si>
  <si>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</si>
  <si>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</si>
  <si>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</si>
  <si>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</si>
  <si>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</si>
  <si>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</si>
  <si>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</si>
  <si>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</si>
  <si>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</si>
  <si>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</si>
  <si>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</si>
  <si>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</si>
  <si>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</si>
  <si>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</si>
  <si>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</si>
  <si>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</si>
  <si>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</si>
  <si>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</si>
  <si>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</si>
  <si>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</si>
  <si>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</si>
  <si>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</si>
  <si>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</si>
  <si>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</si>
  <si>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</si>
  <si>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</si>
  <si>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</si>
  <si>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</si>
  <si>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</si>
  <si>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</si>
  <si>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</si>
  <si>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</si>
  <si>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</si>
  <si>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</si>
  <si>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</si>
  <si>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</si>
  <si>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</si>
  <si>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</si>
  <si>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</si>
  <si>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</si>
  <si>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</si>
  <si>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</si>
  <si>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</si>
  <si>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</si>
  <si>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</si>
  <si>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</si>
  <si>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</si>
  <si>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</si>
  <si>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</si>
  <si>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</si>
  <si>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</si>
  <si>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</si>
  <si>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</si>
  <si>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</si>
  <si>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</si>
  <si>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</si>
  <si>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</si>
  <si>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</si>
  <si>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</si>
  <si>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</si>
  <si>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</si>
  <si>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</si>
  <si>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</si>
  <si>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</si>
  <si>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</si>
  <si>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</si>
  <si>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</si>
  <si>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</si>
  <si>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</si>
  <si>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</si>
  <si>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</si>
  <si>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</si>
  <si>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</si>
  <si>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</si>
  <si>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</si>
  <si>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</si>
  <si>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</si>
  <si>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</si>
  <si>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</si>
  <si>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</si>
  <si>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</si>
  <si>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</si>
  <si>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</si>
  <si>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</si>
  <si>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</si>
  <si>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</si>
  <si>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</si>
  <si>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</si>
  <si>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</si>
  <si>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</si>
  <si>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</si>
  <si>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</si>
  <si>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</si>
  <si>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</si>
  <si>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</si>
  <si>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</si>
  <si>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</si>
  <si>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</si>
  <si>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</si>
  <si>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</si>
  <si>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</si>
  <si>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</si>
  <si>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</si>
  <si>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</si>
  <si>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</si>
  <si>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</si>
  <si>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</si>
  <si>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</si>
  <si>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</si>
  <si>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</si>
  <si>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</si>
  <si>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</si>
  <si>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</si>
  <si>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</si>
  <si>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</si>
  <si>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</si>
  <si>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</si>
  <si>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</si>
  <si>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</si>
  <si>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</si>
  <si>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</si>
  <si>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</si>
  <si>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</si>
  <si>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</si>
  <si>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</si>
  <si>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</si>
  <si>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</si>
  <si>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</si>
  <si>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</si>
  <si>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</si>
  <si>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</si>
  <si>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</si>
  <si>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</si>
  <si>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</si>
  <si>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</si>
  <si>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</si>
  <si>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</si>
  <si>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</si>
  <si>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</si>
  <si>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</si>
  <si>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</si>
  <si>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</si>
  <si>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</si>
  <si>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</si>
  <si>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</si>
  <si>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</si>
  <si>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</si>
  <si>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</si>
  <si>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</si>
  <si>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</si>
  <si>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</si>
  <si>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</si>
  <si>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</si>
  <si>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</si>
  <si>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</si>
  <si>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</si>
  <si>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</si>
  <si>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</si>
  <si>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</si>
  <si>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</si>
  <si>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</si>
  <si>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</si>
  <si>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</si>
  <si>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</si>
  <si>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</si>
  <si>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</si>
  <si>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</si>
  <si>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</si>
  <si>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</si>
  <si>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</si>
  <si>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</si>
  <si>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</si>
  <si>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</si>
  <si>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</si>
  <si>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</si>
  <si>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</si>
  <si>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</si>
  <si>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</si>
  <si>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</si>
  <si>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</si>
  <si>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</si>
  <si>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</si>
  <si>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</si>
  <si>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</si>
  <si>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</si>
  <si>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</si>
  <si>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</si>
  <si>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</si>
  <si>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</si>
  <si>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</si>
  <si>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</si>
  <si>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</si>
  <si>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</si>
  <si>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</si>
  <si>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</si>
  <si>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</si>
  <si>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</si>
  <si>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</si>
  <si>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</si>
  <si>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</si>
  <si>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</si>
  <si>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</si>
  <si>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</si>
  <si>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</si>
  <si>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</si>
  <si>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</si>
  <si>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</si>
  <si>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</si>
  <si>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</si>
  <si>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</si>
  <si>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</si>
  <si>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</si>
  <si>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</si>
  <si>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</si>
  <si>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</si>
  <si>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</si>
  <si>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</si>
  <si>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</si>
  <si>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</si>
  <si>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</si>
  <si>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</si>
  <si>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</si>
  <si>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</si>
  <si>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</si>
  <si>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</si>
  <si>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</si>
  <si>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</si>
  <si>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</si>
  <si>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</si>
  <si>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</si>
  <si>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</si>
  <si>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</si>
  <si>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</si>
  <si>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</si>
  <si>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</si>
  <si>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</si>
  <si>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</si>
  <si>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</si>
  <si>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</si>
  <si>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</si>
  <si>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</si>
  <si>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</si>
  <si>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</si>
  <si>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</si>
  <si>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</si>
  <si>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</si>
  <si>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</si>
  <si>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</si>
  <si>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</si>
  <si>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</si>
  <si>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</si>
  <si>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</si>
  <si>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</si>
  <si>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</si>
  <si>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</si>
  <si>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</si>
  <si>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</si>
  <si>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</si>
  <si>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</si>
  <si>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</si>
  <si>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</si>
  <si>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</si>
  <si>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</si>
  <si>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</si>
  <si>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</si>
  <si>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</si>
  <si>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</si>
  <si>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</si>
  <si>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</si>
  <si>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</si>
  <si>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</si>
  <si>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</si>
  <si>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</si>
  <si>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</si>
  <si>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</si>
  <si>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</si>
  <si>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</si>
  <si>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</si>
  <si>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</si>
  <si>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</si>
  <si>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</si>
  <si>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</si>
  <si>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</si>
  <si>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</si>
  <si>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</si>
  <si>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</si>
  <si>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</si>
  <si>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</si>
  <si>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</si>
  <si>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</si>
  <si>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</si>
  <si>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</si>
  <si>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</si>
  <si>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</si>
  <si>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</si>
  <si>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</si>
  <si>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</si>
  <si>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</si>
  <si>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</si>
  <si>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</si>
  <si>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</si>
  <si>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</si>
  <si>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</si>
  <si>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</si>
  <si>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</si>
  <si>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</si>
  <si>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</si>
  <si>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</si>
  <si>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</si>
  <si>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</si>
  <si>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</si>
  <si>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</si>
  <si>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</si>
  <si>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</si>
  <si>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</si>
  <si>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</si>
  <si>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</si>
  <si>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</si>
  <si>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</si>
  <si>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</si>
  <si>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</si>
  <si>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</si>
  <si>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</si>
  <si>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</si>
  <si>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</si>
  <si>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</si>
  <si>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</si>
  <si>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</si>
  <si>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</si>
  <si>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</si>
  <si>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</si>
  <si>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</si>
  <si>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</si>
  <si>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</si>
  <si>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</si>
  <si>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</si>
  <si>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</si>
  <si>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</si>
  <si>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</si>
  <si>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</si>
  <si>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</si>
  <si>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</si>
  <si>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</si>
  <si>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</si>
  <si>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</si>
  <si>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</si>
  <si>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</si>
  <si>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</si>
  <si>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</si>
  <si>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</si>
  <si>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</si>
  <si>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</si>
  <si>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</si>
  <si>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</si>
  <si>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</si>
  <si>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</si>
  <si>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</si>
  <si>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</si>
  <si>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</si>
  <si>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</si>
  <si>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</si>
  <si>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</si>
  <si>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</si>
  <si>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</si>
  <si>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</si>
  <si>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</si>
  <si>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</si>
  <si>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</si>
  <si>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</si>
  <si>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</si>
  <si>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</si>
  <si>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</si>
  <si>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</si>
  <si>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</si>
  <si>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</si>
  <si>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</si>
  <si>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</si>
  <si>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</si>
  <si>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</si>
  <si>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</si>
  <si>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</si>
  <si>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</si>
  <si>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</si>
  <si>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</si>
  <si>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</si>
  <si>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</si>
  <si>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</si>
  <si>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</si>
  <si>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</si>
  <si>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</si>
  <si>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</si>
  <si>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</si>
  <si>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</si>
  <si>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</si>
  <si>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</si>
  <si>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</si>
  <si>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</si>
  <si>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</si>
  <si>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</si>
  <si>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</si>
  <si>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</si>
  <si>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</si>
  <si>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</si>
  <si>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</si>
  <si>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</si>
  <si>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</si>
  <si>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</si>
  <si>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</si>
  <si>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</si>
  <si>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</si>
  <si>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</si>
  <si>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</si>
  <si>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</si>
  <si>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</si>
  <si>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</si>
  <si>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</si>
  <si>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</si>
  <si>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</si>
  <si>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</si>
  <si>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</si>
  <si>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</si>
  <si>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</si>
  <si>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</si>
  <si>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</si>
  <si>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</si>
  <si>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</si>
  <si>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</si>
  <si>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</si>
  <si>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</si>
  <si>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</si>
  <si>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</si>
  <si>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</si>
  <si>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</si>
  <si>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</si>
  <si>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</si>
  <si>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</si>
  <si>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</si>
  <si>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</si>
  <si>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</si>
  <si>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</si>
  <si>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</si>
  <si>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</si>
  <si>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</si>
  <si>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</si>
  <si>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</si>
  <si>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</si>
  <si>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</si>
  <si>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</si>
  <si>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</si>
  <si>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</si>
  <si>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</si>
  <si>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</si>
  <si>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</si>
  <si>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</si>
  <si>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</si>
  <si>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</si>
  <si>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</si>
  <si>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</si>
  <si>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</si>
  <si>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</si>
  <si>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</si>
  <si>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</si>
  <si>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</si>
  <si>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</si>
  <si>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</si>
  <si>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</si>
  <si>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</si>
  <si>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</si>
  <si>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</si>
  <si>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</si>
  <si>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</si>
  <si>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</si>
  <si>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</si>
  <si>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</si>
  <si>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</si>
  <si>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</si>
  <si>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</si>
  <si>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</si>
  <si>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</si>
  <si>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Usman </t>
  </si>
  <si>
    <t xml:space="preserve">Umair Rehman </t>
  </si>
  <si>
    <t>Khan GS</t>
  </si>
  <si>
    <t>Address: Qanchi Bazar</t>
  </si>
  <si>
    <t xml:space="preserve">Somroo Bakery </t>
  </si>
  <si>
    <t>Haji Chiragh Din Store</t>
  </si>
  <si>
    <t>Hazrat Kareman Wala Store</t>
  </si>
  <si>
    <t>Numan GS</t>
  </si>
  <si>
    <t>Gulzar Store</t>
  </si>
  <si>
    <t xml:space="preserve">Awan Bakery </t>
  </si>
  <si>
    <t>Ghosia Kareyana Store</t>
  </si>
  <si>
    <t xml:space="preserve">Bismillah Cash n Carry </t>
  </si>
  <si>
    <t>Ameen Kareyana Store</t>
  </si>
  <si>
    <t xml:space="preserve">Mehboob Kareyana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</si>
</sst>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Khan GS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Somroo Bakery 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Haji Chiragh Din Store</v>
      </c>
      <c r="T5" s="301">
        <f>+'3'!P35</f>
        <v>1180.2688488991523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Hazrat Kareman Wala Store</v>
      </c>
      <c r="T6" s="301">
        <f>+'4'!P35</f>
        <v>834.58895674576274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17</v>
      </c>
      <c r="I7" s="235">
        <f>(G7*D7)*F7+H7*F7</f>
        <v>891.86249999999995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93.38324999999999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31.215187499999999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767.26406249999991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168.55932203389824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4.6791169226694906</v>
      </c>
      <c r="P7" s="310">
        <f>M7+N7+O7</f>
        <v>940.50250145656764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Numan GS</v>
      </c>
      <c r="T7" s="301">
        <f>+'5'!P35</f>
        <v>635.22663235169478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17</v>
      </c>
      <c r="I8" s="236">
        <f t="shared" ref="I8:I14" si="0">(G8*D8)*F8+H8*F8</f>
        <v>891.86249999999995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93.38324999999999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31.215187499999999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767.26406249999991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168.55932203389824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4.6791169226694906</v>
      </c>
      <c r="P8" s="311">
        <f t="shared" ref="P8:P15" si="2">M8+N8+O8</f>
        <v>940.50250145656764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Gulzar Store</v>
      </c>
      <c r="T8" s="301">
        <f>+'6'!P35</f>
        <v>1266.6888219375003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</v>
      </c>
      <c r="I9" s="236">
        <f t="shared" si="0"/>
        <v>262.3125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20.984999999999999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9.1809375000000006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232.14656250000002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49.576271186440657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1.4086141684322033</v>
      </c>
      <c r="P9" s="311">
        <f t="shared" si="2"/>
        <v>283.13144785487287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Awan Bakery 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</v>
      </c>
      <c r="I10" s="236">
        <f t="shared" si="0"/>
        <v>435.84000000000003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34.867200000000004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15.254400000000002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385.71840000000003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82.372881355932208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2.3404564067796612</v>
      </c>
      <c r="P10" s="311">
        <f t="shared" si="2"/>
        <v>470.43173776271186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Ghosia Kareyana Store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</v>
      </c>
      <c r="I11" s="236">
        <f t="shared" si="0"/>
        <v>435.84000000000003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34.867200000000004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15.254400000000002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385.71840000000003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82.372881355932208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2.3404564067796612</v>
      </c>
      <c r="P11" s="311">
        <f t="shared" si="2"/>
        <v>470.43173776271186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Bismillah Cash n Carry </v>
      </c>
      <c r="T11" s="301">
        <f>+'9'!P35</f>
        <v>834.58895674576274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</v>
      </c>
      <c r="I12" s="236">
        <f t="shared" si="0"/>
        <v>435.84000000000003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34.867200000000004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15.254400000000002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385.71840000000003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82.372881355932208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2.3404564067796612</v>
      </c>
      <c r="P12" s="311">
        <f t="shared" si="2"/>
        <v>470.43173776271186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Ameen Kareyana Store</v>
      </c>
      <c r="T12" s="301">
        <f>+'10'!P35</f>
        <v>500.75337404745761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212</v>
      </c>
      <c r="I13" s="236">
        <f t="shared" si="0"/>
        <v>8316.76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415.83800000000014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291.08660000000009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424.15476000000001</v>
      </c>
      <c r="M13" s="230">
        <f t="shared" si="1"/>
        <v>7185.6806400000005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1616.9491525423723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44.013148962711867</v>
      </c>
      <c r="P13" s="311">
        <f t="shared" si="2"/>
        <v>8846.6429415050843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Mehboob Kareyana </v>
      </c>
      <c r="T13" s="301">
        <f>+'11'!P35</f>
        <v>1661.6719003118646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6.7249999999999996</v>
      </c>
      <c r="H16" s="113">
        <f t="shared" ref="H16:M16" si="3">SUM(H7:H15)</f>
        <v>269</v>
      </c>
      <c r="I16" s="114">
        <f t="shared" si="3"/>
        <v>11670.317500000001</v>
      </c>
      <c r="J16" s="274">
        <f>SUM(J7:J15)</f>
        <v>728.19110000000012</v>
      </c>
      <c r="K16" s="275">
        <f t="shared" si="3"/>
        <v>408.46111250000013</v>
      </c>
      <c r="L16" s="276">
        <f t="shared" si="3"/>
        <v>424.15476000000001</v>
      </c>
      <c r="M16" s="232">
        <f t="shared" si="3"/>
        <v>10109.510527500001</v>
      </c>
      <c r="N16" s="233">
        <f>SUM(N7:N15)</f>
        <v>2250.7627118644059</v>
      </c>
      <c r="O16" s="101">
        <f>SUM(O7:O15)</f>
        <v>61.801366196822038</v>
      </c>
      <c r="P16" s="113">
        <f>SUM(P7:P15)</f>
        <v>12422.074605561227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11670.317500000001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728.19110000000012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832.61587250000014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10109.510527500001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2250.7627118644059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12360.273239364407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61.801366196822038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12422.074605561229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12422.074605561231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1100.31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73.902000000000001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62.519610000000007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963.88838999999984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1174.3968645762709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42" t="s">
        <v>88</v>
      </c>
      <c r="O35" s="343"/>
      <c r="P35" s="297">
        <f>+P33+P34</f>
        <v>1180.2688488991523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784.60000000000014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39.230000000000011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67.475600000000014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677.89440000000013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830.43677288135598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2" t="s">
        <v>88</v>
      </c>
      <c r="O35" s="343"/>
      <c r="P35" s="297">
        <f>+P33+P34</f>
        <v>834.58895674576274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47.216249999999995</v>
      </c>
      <c r="K16" s="127">
        <f>$I16*T16</f>
        <v>11.017125</v>
      </c>
      <c r="L16" s="118">
        <f>$I16*U16</f>
        <v>0</v>
      </c>
      <c r="M16" s="229">
        <f>I16-SUM(J16:L16)</f>
        <v>256.54162499999995</v>
      </c>
      <c r="N16" s="248">
        <f>+(G16*D16+H16)*V16</f>
        <v>59.491525423728788</v>
      </c>
      <c r="O16" s="238">
        <f>(N16+M16)*$O$15</f>
        <v>1.5801657521186436</v>
      </c>
      <c r="P16" s="310">
        <f>M16+N16+O16</f>
        <v>317.61331617584739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47.216249999999995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256.54162499999995</v>
      </c>
      <c r="N17" s="277">
        <f t="shared" ref="N17:N24" si="3">+(G17*D17+H17)*V17</f>
        <v>59.491525423728788</v>
      </c>
      <c r="O17" s="239">
        <f t="shared" ref="O17:O24" si="4">(N17+M17)*$O$15</f>
        <v>1.5801657521186436</v>
      </c>
      <c r="P17" s="311">
        <f t="shared" ref="P17:P24" si="5">M17+N17+O17</f>
        <v>317.61331617584739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94.43249999999999</v>
      </c>
      <c r="K25" s="275">
        <f t="shared" si="7"/>
        <v>22.03425</v>
      </c>
      <c r="L25" s="276">
        <f t="shared" si="7"/>
        <v>0</v>
      </c>
      <c r="M25" s="232">
        <f t="shared" si="7"/>
        <v>513.08324999999991</v>
      </c>
      <c r="N25" s="233">
        <f>SUM(N16:N24)</f>
        <v>118.98305084745758</v>
      </c>
      <c r="O25" s="101">
        <f>SUM(O16:O24)</f>
        <v>3.1603315042372873</v>
      </c>
      <c r="P25" s="113">
        <f>SUM(P16:P24)</f>
        <v>635.22663235169478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629.54999999999995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94.43249999999999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22.03425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513.08324999999991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632.06630084745746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3.1603315042372873</v>
      </c>
    </row>
    <row r="35" spans="2:16" ht="15.75" customHeight="1" thickBot="1" x14ac:dyDescent="0.4">
      <c r="N35" s="342" t="s">
        <v>88</v>
      </c>
      <c r="O35" s="343"/>
      <c r="P35" s="297">
        <f>+P33+P34</f>
        <v>635.22663235169478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310">
        <f>M16+N16+O16</f>
        <v>283.13144785487287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311">
        <f t="shared" si="5"/>
        <v>283.13144785487287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25</v>
      </c>
      <c r="I25" s="114">
        <f t="shared" si="7"/>
        <v>1179.2375000000002</v>
      </c>
      <c r="J25" s="274">
        <f>SUM(J16:J24)</f>
        <v>82.570000000000007</v>
      </c>
      <c r="K25" s="275">
        <f t="shared" si="7"/>
        <v>41.273312500000003</v>
      </c>
      <c r="L25" s="276">
        <f t="shared" si="7"/>
        <v>20.007300000000001</v>
      </c>
      <c r="M25" s="232">
        <f t="shared" si="7"/>
        <v>1035.3868875000001</v>
      </c>
      <c r="N25" s="233">
        <f>SUM(N16:N24)</f>
        <v>224.99999999999989</v>
      </c>
      <c r="O25" s="101">
        <f>SUM(O16:O24)</f>
        <v>6.3019344374999999</v>
      </c>
      <c r="P25" s="113">
        <f>SUM(P16:P24)</f>
        <v>1266.6888219375001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1179.2375000000002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82.570000000000007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61.280612500000004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1035.3868875000003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224.99999999999989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1260.3868875000003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6.3019344375000017</v>
      </c>
    </row>
    <row r="35" spans="2:16" ht="15.75" customHeight="1" thickBot="1" x14ac:dyDescent="0.4">
      <c r="N35" s="342" t="s">
        <v>88</v>
      </c>
      <c r="O35" s="343"/>
      <c r="P35" s="297">
        <f>+P33+P34</f>
        <v>1266.6888219375003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1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784.60000000000014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39.230000000000011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67.475600000000014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677.89440000000013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830.43677288135598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2" t="s">
        <v>88</v>
      </c>
      <c r="O35" s="343"/>
      <c r="P35" s="297">
        <f>+P33+P34</f>
        <v>834.58895674576274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</v>
      </c>
      <c r="I25" s="114">
        <f t="shared" si="7"/>
        <v>1542.9</v>
      </c>
      <c r="J25" s="274">
        <f>SUM(J16:J24)</f>
        <v>116.37060000000002</v>
      </c>
      <c r="K25" s="275">
        <f t="shared" si="7"/>
        <v>54.001500000000007</v>
      </c>
      <c r="L25" s="276">
        <f t="shared" si="7"/>
        <v>12.004380000000001</v>
      </c>
      <c r="M25" s="232">
        <f t="shared" si="7"/>
        <v>1360.5235200000002</v>
      </c>
      <c r="N25" s="233">
        <f>SUM(N16:N24)</f>
        <v>292.88135593220341</v>
      </c>
      <c r="O25" s="101">
        <f>SUM(O16:O24)</f>
        <v>8.2670243796610166</v>
      </c>
      <c r="P25" s="113">
        <f>SUM(P16:P24)</f>
        <v>1661.6719003118644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1542.9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116.37060000000002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66.005880000000005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1360.5235200000002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292.88135593220341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1653.4048759322036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8.2670243796610183</v>
      </c>
    </row>
    <row r="35" spans="2:16" ht="15.75" customHeight="1" thickBot="1" x14ac:dyDescent="0.4">
      <c r="N35" s="342" t="s">
        <v>88</v>
      </c>
      <c r="O35" s="343"/>
      <c r="P35" s="297">
        <f>+P33+P34</f>
        <v>1661.6719003118646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2026-08-21T12:37:05Z</dcterms:modified>
</cp:coreProperties>
</file>