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FCD5FB4-BA87-4723-A264-80A18B23FD2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<sst xmlns="http://schemas.openxmlformats.org/spreadsheetml/2006/main" count="3977" uniqueCount="519">
  <si>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</si>
  <si>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</si>
  <si>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</si>
  <si>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</si>
  <si>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</si>
  <si>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</si>
  <si>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</si>
  <si>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</si>
  <si>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</si>
  <si>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</si>
  <si>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</si>
  <si>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</si>
  <si>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</si>
  <si>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</si>
  <si>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</si>
  <si>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</si>
  <si>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</si>
  <si>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</si>
  <si>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</si>
  <si>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</si>
  <si>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</si>
  <si>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</si>
  <si>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</si>
  <si>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</si>
  <si>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</si>
  <si>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</si>
  <si>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</si>
  <si>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</si>
  <si>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</si>
  <si>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</si>
  <si>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</si>
  <si>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</si>
  <si>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</si>
  <si>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</si>
  <si>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</si>
  <si>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</si>
  <si>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</si>
  <si>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</si>
  <si>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</si>
  <si>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</si>
  <si>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</si>
  <si>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</si>
  <si>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</si>
  <si>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</si>
  <si>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</si>
  <si>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</si>
  <si>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</si>
  <si>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</si>
  <si>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</si>
  <si>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</si>
  <si>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</si>
  <si>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</si>
  <si>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</si>
  <si>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</si>
  <si>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</si>
  <si>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</si>
  <si>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</si>
  <si>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</si>
  <si>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</si>
  <si>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</si>
  <si>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</si>
  <si>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</si>
  <si>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</si>
  <si>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</si>
  <si>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</si>
  <si>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</si>
  <si>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</si>
  <si>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</si>
  <si>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</si>
  <si>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</si>
  <si>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</si>
  <si>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</si>
  <si>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</si>
  <si>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</si>
  <si>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</si>
  <si>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</si>
  <si>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</si>
  <si>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</si>
  <si>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</si>
  <si>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</si>
  <si>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</si>
  <si>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</si>
  <si>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</si>
  <si>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</si>
  <si>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</si>
  <si>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</si>
  <si>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</si>
  <si>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</si>
  <si>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</si>
  <si>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</si>
  <si>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</si>
  <si>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</si>
  <si>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</si>
  <si>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</si>
  <si>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</si>
  <si>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</si>
  <si>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</si>
  <si>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</si>
  <si>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</si>
  <si>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</si>
  <si>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</si>
  <si>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</si>
  <si>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</si>
  <si>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</si>
  <si>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</si>
  <si>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</si>
  <si>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</si>
  <si>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</si>
  <si>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</si>
  <si>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</si>
  <si>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</si>
  <si>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</si>
  <si>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</si>
  <si>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</si>
  <si>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</si>
  <si>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</si>
  <si>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</si>
  <si>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</si>
  <si>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</si>
  <si>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</si>
  <si>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</si>
  <si>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</si>
  <si>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</si>
  <si>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</si>
  <si>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</si>
  <si>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</si>
  <si>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</si>
  <si>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</si>
  <si>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</si>
  <si>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</si>
  <si>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</si>
  <si>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</si>
  <si>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</si>
  <si>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</si>
  <si>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</si>
  <si>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</si>
  <si>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</si>
  <si>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</si>
  <si>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</si>
  <si>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</si>
  <si>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</si>
  <si>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</si>
  <si>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</si>
  <si>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</si>
  <si>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</si>
  <si>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</si>
  <si>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</si>
  <si>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</si>
  <si>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</si>
  <si>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</si>
  <si>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</si>
  <si>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</si>
  <si>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</si>
  <si>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</si>
  <si>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</si>
  <si>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</si>
  <si>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</si>
  <si>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</si>
  <si>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</si>
  <si>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</si>
  <si>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</si>
  <si>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</si>
  <si>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</si>
  <si>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</si>
  <si>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</si>
  <si>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</si>
  <si>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</si>
  <si>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</si>
  <si>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</si>
  <si>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</si>
  <si>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</si>
  <si>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</si>
  <si>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</si>
  <si>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</si>
  <si>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</si>
  <si>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</si>
  <si>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</si>
  <si>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</si>
  <si>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</si>
  <si>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</si>
  <si>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</si>
  <si>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</si>
  <si>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</si>
  <si>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</si>
  <si>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</si>
  <si>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</si>
  <si>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</si>
  <si>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</si>
  <si>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</si>
  <si>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</si>
  <si>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</si>
  <si>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</si>
  <si>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</si>
  <si>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</si>
  <si>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</si>
  <si>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</si>
  <si>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</si>
  <si>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</si>
  <si>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</si>
  <si>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</si>
  <si>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</si>
  <si>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</si>
  <si>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</si>
  <si>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</si>
  <si>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</si>
  <si>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</si>
  <si>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</si>
  <si>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</si>
  <si>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</si>
  <si>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</si>
  <si>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</si>
  <si>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</si>
  <si>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</si>
  <si>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</si>
  <si>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</si>
  <si>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</si>
  <si>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</si>
  <si>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</si>
  <si>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</si>
  <si>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</si>
  <si>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</si>
  <si>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</si>
  <si>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</si>
  <si>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</si>
  <si>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</si>
  <si>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</si>
  <si>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</si>
  <si>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</si>
  <si>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</si>
  <si>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</si>
  <si>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</si>
  <si>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</si>
  <si>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</si>
  <si>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</si>
  <si>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</si>
  <si>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</si>
  <si>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</si>
  <si>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</si>
  <si>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</si>
  <si>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</si>
  <si>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</si>
  <si>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</si>
  <si>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</si>
  <si>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</si>
  <si>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</si>
  <si>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</si>
  <si>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</si>
  <si>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</si>
  <si>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</si>
  <si>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</si>
  <si>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</si>
  <si>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</si>
  <si>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</si>
  <si>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</si>
  <si>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</si>
  <si>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</si>
  <si>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</si>
  <si>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</si>
  <si>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</si>
  <si>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</si>
  <si>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</si>
  <si>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</si>
  <si>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</si>
  <si>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</si>
  <si>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</si>
  <si>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</si>
  <si>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</si>
  <si>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</si>
  <si>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</si>
  <si>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</si>
  <si>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</si>
  <si>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</si>
  <si>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</si>
  <si>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</si>
  <si>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</si>
  <si>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</si>
  <si>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</si>
  <si>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</si>
  <si>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</si>
  <si>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</si>
  <si>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</si>
  <si>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</si>
  <si>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</si>
  <si>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</si>
  <si>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</si>
  <si>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</si>
  <si>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</si>
  <si>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</si>
  <si>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</si>
  <si>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</si>
  <si>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</si>
  <si>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</si>
  <si>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</si>
  <si>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</si>
  <si>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</si>
  <si>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</si>
  <si>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</si>
  <si>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</si>
  <si>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</si>
  <si>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</si>
  <si>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</si>
  <si>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</si>
  <si>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</si>
  <si>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</si>
  <si>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</si>
  <si>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</si>
  <si>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</si>
  <si>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</si>
  <si>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</si>
  <si>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</si>
  <si>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</si>
  <si>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</si>
  <si>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</si>
  <si>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</si>
  <si>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</si>
  <si>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</si>
  <si>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</si>
  <si>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</si>
  <si>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</si>
  <si>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</si>
  <si>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</si>
  <si>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</si>
  <si>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</si>
  <si>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</si>
  <si>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</si>
  <si>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</si>
  <si>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</si>
  <si>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</si>
  <si>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</si>
  <si>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</si>
  <si>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</si>
  <si>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</si>
  <si>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</si>
  <si>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</si>
  <si>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</si>
  <si>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</si>
  <si>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</si>
  <si>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</si>
  <si>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</si>
  <si>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</si>
  <si>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</si>
  <si>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</si>
  <si>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</si>
  <si>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</si>
  <si>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</si>
  <si>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</si>
  <si>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</si>
  <si>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</si>
  <si>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</si>
  <si>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</si>
  <si>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</si>
  <si>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</si>
  <si>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</si>
  <si>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</si>
  <si>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</si>
  <si>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</si>
  <si>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</si>
  <si>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</si>
  <si>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</si>
  <si>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</si>
  <si>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</si>
  <si>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</si>
  <si>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</si>
  <si>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</si>
  <si>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</si>
  <si>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</si>
  <si>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</si>
  <si>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</si>
  <si>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</si>
  <si>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</si>
  <si>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</si>
  <si>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</si>
  <si>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</si>
  <si>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</si>
  <si>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</si>
  <si>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</si>
  <si>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</si>
  <si>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</si>
  <si>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</si>
  <si>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</si>
  <si>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</si>
  <si>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</si>
  <si>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</si>
  <si>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</si>
  <si>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</si>
  <si>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</si>
  <si>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</si>
  <si>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</si>
  <si>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</si>
  <si>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</si>
  <si>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</si>
  <si>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</si>
  <si>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</si>
  <si>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</si>
  <si>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</si>
  <si>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</si>
  <si>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</si>
  <si>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</si>
  <si>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</si>
  <si>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</si>
  <si>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</si>
  <si>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</si>
  <si>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</si>
  <si>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</si>
  <si>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</si>
  <si>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</si>
  <si>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</si>
  <si>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</si>
  <si>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</si>
  <si>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</si>
  <si>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</si>
  <si>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</si>
  <si>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</si>
  <si>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</si>
  <si>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</si>
  <si>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</si>
  <si>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</si>
  <si>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</si>
  <si>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</si>
  <si>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</si>
  <si>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</si>
  <si>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</si>
  <si>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</si>
  <si>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</si>
  <si>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</si>
  <si>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</si>
  <si>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</si>
  <si>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</si>
  <si>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</si>
  <si>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</si>
  <si>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</si>
  <si>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</si>
  <si>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</si>
  <si>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</si>
  <si>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</si>
  <si>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</si>
  <si>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</si>
  <si>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</si>
  <si>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</si>
  <si>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</si>
  <si>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</si>
  <si>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</si>
  <si>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</si>
  <si>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</si>
  <si>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</si>
  <si>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</si>
  <si>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</si>
  <si>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</si>
  <si>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</si>
  <si>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</si>
  <si>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</si>
  <si>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</si>
  <si>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</si>
  <si>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</si>
  <si>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</si>
  <si>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</si>
  <si>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</si>
  <si>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</si>
  <si>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</si>
  <si>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</si>
  <si>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</si>
  <si>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</si>
  <si>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</si>
  <si>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</si>
  <si>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</si>
  <si>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</si>
  <si>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</si>
  <si>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</si>
  <si>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</si>
  <si>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</si>
  <si>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</si>
  <si>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</si>
  <si>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</si>
  <si>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</si>
  <si>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</si>
  <si>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</si>
  <si>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</si>
  <si>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</si>
  <si>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</si>
  <si>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</si>
  <si>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</si>
  <si>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</si>
  <si>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</si>
  <si>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</si>
  <si>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</si>
  <si>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</si>
  <si>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</si>
  <si>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</si>
  <si>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</si>
  <si>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</si>
  <si>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</si>
  <si>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</si>
  <si>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</si>
  <si>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</si>
  <si>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</si>
  <si>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</si>
  <si>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</si>
  <si>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</si>
  <si>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</si>
  <si>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</si>
  <si>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</si>
  <si>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</si>
  <si>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</si>
  <si>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</si>
  <si>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</si>
  <si>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</si>
  <si>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</si>
  <si>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</si>
  <si>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</si>
  <si>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</si>
  <si>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</si>
  <si>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</si>
  <si>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</si>
  <si>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</si>
  <si>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</si>
  <si>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</si>
  <si>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</si>
  <si>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</si>
  <si>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Asgher Butt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</si>
</sst>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Asgher Butt</v>
      </c>
      <c r="T3" s="301">
        <f>+'1'!P35</f>
        <v>146590.13125423726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20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8716.7999999999993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47361.279999999999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291.72165423728813</v>
      </c>
      <c r="P10" s="311">
        <f t="shared" si="2"/>
        <v>58636.052501694918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29056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4358.3999999999996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1016.9600000000002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23680.639999999999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145.86082711864407</v>
      </c>
      <c r="P11" s="311">
        <f t="shared" si="2"/>
        <v>29318.026250847459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58112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8716.7999999999993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2033.9200000000003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47361.279999999999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10983.050847457627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291.72165423728813</v>
      </c>
      <c r="P12" s="311">
        <f t="shared" si="2"/>
        <v>58636.052501694918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145280</v>
      </c>
      <c r="J16" s="274">
        <f>SUM(J7:J15)</f>
        <v>21792</v>
      </c>
      <c r="K16" s="275">
        <f t="shared" si="3"/>
        <v>5084.8000000000011</v>
      </c>
      <c r="L16" s="276">
        <f t="shared" si="3"/>
        <v>0</v>
      </c>
      <c r="M16" s="232">
        <f t="shared" si="3"/>
        <v>118403.2</v>
      </c>
      <c r="N16" s="233">
        <f>SUM(N7:N15)</f>
        <v>27457.627118644068</v>
      </c>
      <c r="O16" s="101">
        <f>SUM(O7:O15)</f>
        <v>729.30413559322028</v>
      </c>
      <c r="P16" s="113">
        <f>SUM(P7:P15)</f>
        <v>146590.13125423729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145280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21792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5084.8000000000011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118403.2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27457.627118644068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145860.82711864405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729.30413559322028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146590.13125423726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146590.13125423726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8" workbookViewId="0">
      <selection activeCell="G27" sqref="G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20</v>
      </c>
      <c r="H19" s="96"/>
      <c r="I19" s="236">
        <f t="shared" si="7"/>
        <v>58112</v>
      </c>
      <c r="J19" s="272">
        <f t="shared" si="1"/>
        <v>8716.7999999999993</v>
      </c>
      <c r="K19" s="128">
        <f t="shared" si="1"/>
        <v>2033.9200000000003</v>
      </c>
      <c r="L19" s="119">
        <f t="shared" si="1"/>
        <v>0</v>
      </c>
      <c r="M19" s="230">
        <f t="shared" si="2"/>
        <v>47361.279999999999</v>
      </c>
      <c r="N19" s="277">
        <f t="shared" si="3"/>
        <v>10983.050847457627</v>
      </c>
      <c r="O19" s="239">
        <f t="shared" si="4"/>
        <v>291.72165423728813</v>
      </c>
      <c r="P19" s="311">
        <f t="shared" si="5"/>
        <v>58636.052501694918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10</v>
      </c>
      <c r="H20" s="96"/>
      <c r="I20" s="236">
        <f t="shared" si="7"/>
        <v>29056</v>
      </c>
      <c r="J20" s="272">
        <f t="shared" si="1"/>
        <v>4358.3999999999996</v>
      </c>
      <c r="K20" s="128">
        <f t="shared" si="1"/>
        <v>1016.9600000000002</v>
      </c>
      <c r="L20" s="119">
        <f t="shared" si="1"/>
        <v>0</v>
      </c>
      <c r="M20" s="230">
        <f t="shared" si="2"/>
        <v>23680.639999999999</v>
      </c>
      <c r="N20" s="277">
        <f t="shared" si="3"/>
        <v>5491.5254237288136</v>
      </c>
      <c r="O20" s="239">
        <f t="shared" si="4"/>
        <v>145.86082711864407</v>
      </c>
      <c r="P20" s="311">
        <f t="shared" si="5"/>
        <v>29318.026250847459</v>
      </c>
      <c r="Q20" s="156"/>
      <c r="R20">
        <f>P20/21</f>
        <v>1396.0964881355933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20</v>
      </c>
      <c r="H21" s="96"/>
      <c r="I21" s="236">
        <f t="shared" si="7"/>
        <v>58112</v>
      </c>
      <c r="J21" s="272">
        <f t="shared" si="1"/>
        <v>8716.7999999999993</v>
      </c>
      <c r="K21" s="128">
        <f t="shared" si="1"/>
        <v>2033.9200000000003</v>
      </c>
      <c r="L21" s="119">
        <f t="shared" si="1"/>
        <v>0</v>
      </c>
      <c r="M21" s="230">
        <f t="shared" si="2"/>
        <v>47361.279999999999</v>
      </c>
      <c r="N21" s="277">
        <f t="shared" si="3"/>
        <v>10983.050847457627</v>
      </c>
      <c r="O21" s="239">
        <f t="shared" si="4"/>
        <v>291.72165423728813</v>
      </c>
      <c r="P21" s="311">
        <f t="shared" si="5"/>
        <v>58636.052501694918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50</v>
      </c>
      <c r="H25" s="113">
        <f t="shared" ref="H25" si="9">SUM(H16:H24)</f>
        <v>0</v>
      </c>
      <c r="I25" s="114">
        <f t="shared" ref="I25:M25" si="10">SUM(I16:I24)</f>
        <v>145280</v>
      </c>
      <c r="J25" s="274">
        <f>SUM(J16:J24)</f>
        <v>21792</v>
      </c>
      <c r="K25" s="275">
        <f t="shared" si="10"/>
        <v>5084.8000000000011</v>
      </c>
      <c r="L25" s="276">
        <f t="shared" si="10"/>
        <v>0</v>
      </c>
      <c r="M25" s="232">
        <f t="shared" si="10"/>
        <v>118403.2</v>
      </c>
      <c r="N25" s="233">
        <f>SUM(N16:N24)</f>
        <v>27457.627118644068</v>
      </c>
      <c r="O25" s="101">
        <f>SUM(O16:O24)</f>
        <v>729.30413559322028</v>
      </c>
      <c r="P25" s="113">
        <f>SUM(P16:P24)</f>
        <v>146590.13125423729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145280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21792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5084.8000000000011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118403.2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27457.627118644068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145860.82711864405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729.30413559322028</v>
      </c>
    </row>
    <row r="35" spans="2:16" ht="15.75" customHeight="1" thickBot="1" x14ac:dyDescent="0.4">
      <c r="N35" s="342" t="s">
        <v>88</v>
      </c>
      <c r="O35" s="343"/>
      <c r="P35" s="297">
        <f>+P33+P34</f>
        <v>146590.13125423726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2026-08-21T12:29:04Z</dcterms:modified>
</cp:coreProperties>
</file>