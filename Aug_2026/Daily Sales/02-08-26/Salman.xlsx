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192631-7D77-4C4E-91FE-F50B890D4ACB}" xr6:coauthVersionLast="47" xr6:coauthVersionMax="47" xr10:uidLastSave="{00000000-0000-0000-0000-000000000000}"/>
  <bookViews>
    <workbookView xWindow="-110" yWindow="-110" windowWidth="19420" windowHeight="10420" tabRatio="594" firstSheet="3" activeTab="11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<sst xmlns="http://schemas.openxmlformats.org/spreadsheetml/2006/main" count="3975" uniqueCount="524">
  <si>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</si>
  <si>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</si>
  <si>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</si>
  <si>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</si>
  <si>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</si>
  <si>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</si>
  <si>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</si>
  <si>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</si>
  <si>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</si>
  <si>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</si>
  <si>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</si>
  <si>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</si>
  <si>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</si>
  <si>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</si>
  <si>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</si>
  <si>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</si>
  <si>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</si>
  <si>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</si>
  <si>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</si>
  <si>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</si>
  <si>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</si>
  <si>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</si>
  <si>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</si>
  <si>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</si>
  <si>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</si>
  <si>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</si>
  <si>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</si>
  <si>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</si>
  <si>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</si>
  <si>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</si>
  <si>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</si>
  <si>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</si>
  <si>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</si>
  <si>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</si>
  <si>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</si>
  <si>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</si>
  <si>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</si>
  <si>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</si>
  <si>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</si>
  <si>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</si>
  <si>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</si>
  <si>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</si>
  <si>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</si>
  <si>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</si>
  <si>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</si>
  <si>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</si>
  <si>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</si>
  <si>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</si>
  <si>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</si>
  <si>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</si>
  <si>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</si>
  <si>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</si>
  <si>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</si>
  <si>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</si>
  <si>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</si>
  <si>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</si>
  <si>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</si>
  <si>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</si>
  <si>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</si>
  <si>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</si>
  <si>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</si>
  <si>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</si>
  <si>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</si>
  <si>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</si>
  <si>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</si>
  <si>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</si>
  <si>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</si>
  <si>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</si>
  <si>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</si>
  <si>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</si>
  <si>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</si>
  <si>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</si>
  <si>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</si>
  <si>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</si>
  <si>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</si>
  <si>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</si>
  <si>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</si>
  <si>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</si>
  <si>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</si>
  <si>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</si>
  <si>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</si>
  <si>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</si>
  <si>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</si>
  <si>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</si>
  <si>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</si>
  <si>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</si>
  <si>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</si>
  <si>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</si>
  <si>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</si>
  <si>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</si>
  <si>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</si>
  <si>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</si>
  <si>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</si>
  <si>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</si>
  <si>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</si>
  <si>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</si>
  <si>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</si>
  <si>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</si>
  <si>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</si>
  <si>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</si>
  <si>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</si>
  <si>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</si>
  <si>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</si>
  <si>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</si>
  <si>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</si>
  <si>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</si>
  <si>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</si>
  <si>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</si>
  <si>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</si>
  <si>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</si>
  <si>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</si>
  <si>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</si>
  <si>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</si>
  <si>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</si>
  <si>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</si>
  <si>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</si>
  <si>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</si>
  <si>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</si>
  <si>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</si>
  <si>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</si>
  <si>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</si>
  <si>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</si>
  <si>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</si>
  <si>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</si>
  <si>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</si>
  <si>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</si>
  <si>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</si>
  <si>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</si>
  <si>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</si>
  <si>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</si>
  <si>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</si>
  <si>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</si>
  <si>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</si>
  <si>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</si>
  <si>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</si>
  <si>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</si>
  <si>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</si>
  <si>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</si>
  <si>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</si>
  <si>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</si>
  <si>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</si>
  <si>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</si>
  <si>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</si>
  <si>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</si>
  <si>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</si>
  <si>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</si>
  <si>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</si>
  <si>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</si>
  <si>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</si>
  <si>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</si>
  <si>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</si>
  <si>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</si>
  <si>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</si>
  <si>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</si>
  <si>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</si>
  <si>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</si>
  <si>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</si>
  <si>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</si>
  <si>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</si>
  <si>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</si>
  <si>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</si>
  <si>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</si>
  <si>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</si>
  <si>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</si>
  <si>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</si>
  <si>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</si>
  <si>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</si>
  <si>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</si>
  <si>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</si>
  <si>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</si>
  <si>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</si>
  <si>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</si>
  <si>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</si>
  <si>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</si>
  <si>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</si>
  <si>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</si>
  <si>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</si>
  <si>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</si>
  <si>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</si>
  <si>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</si>
  <si>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</si>
  <si>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</si>
  <si>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</si>
  <si>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</si>
  <si>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</si>
  <si>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</si>
  <si>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</si>
  <si>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</si>
  <si>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</si>
  <si>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</si>
  <si>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</si>
  <si>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</si>
  <si>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</si>
  <si>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</si>
  <si>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</si>
  <si>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</si>
  <si>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</si>
  <si>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</si>
  <si>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</si>
  <si>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</si>
  <si>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</si>
  <si>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</si>
  <si>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</si>
  <si>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</si>
  <si>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</si>
  <si>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</si>
  <si>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</si>
  <si>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</si>
  <si>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</si>
  <si>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</si>
  <si>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</si>
  <si>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</si>
  <si>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</si>
  <si>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</si>
  <si>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</si>
  <si>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</si>
  <si>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</si>
  <si>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</si>
  <si>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</si>
  <si>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</si>
  <si>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</si>
  <si>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</si>
  <si>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</si>
  <si>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</si>
  <si>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</si>
  <si>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</si>
  <si>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</si>
  <si>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</si>
  <si>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</si>
  <si>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</si>
  <si>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</si>
  <si>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</si>
  <si>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</si>
  <si>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</si>
  <si>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</si>
  <si>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</si>
  <si>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</si>
  <si>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</si>
  <si>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</si>
  <si>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</si>
  <si>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</si>
  <si>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</si>
  <si>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</si>
  <si>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</si>
  <si>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</si>
  <si>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</si>
  <si>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</si>
  <si>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</si>
  <si>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</si>
  <si>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</si>
  <si>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</si>
  <si>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</si>
  <si>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</si>
  <si>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</si>
  <si>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</si>
  <si>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</si>
  <si>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</si>
  <si>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</si>
  <si>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</si>
  <si>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</si>
  <si>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</si>
  <si>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</si>
  <si>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</si>
  <si>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</si>
  <si>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</si>
  <si>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</si>
  <si>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</si>
  <si>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</si>
  <si>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</si>
  <si>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</si>
  <si>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</si>
  <si>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</si>
  <si>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</si>
  <si>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</si>
  <si>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</si>
  <si>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</si>
  <si>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</si>
  <si>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</si>
  <si>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</si>
  <si>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</si>
  <si>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</si>
  <si>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</si>
  <si>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</si>
  <si>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</si>
  <si>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</si>
  <si>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</si>
  <si>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</si>
  <si>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</si>
  <si>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</si>
  <si>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</si>
  <si>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</si>
  <si>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</si>
  <si>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</si>
  <si>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</si>
  <si>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</si>
  <si>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</si>
  <si>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</si>
  <si>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</si>
  <si>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</si>
  <si>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</si>
  <si>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</si>
  <si>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</si>
  <si>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</si>
  <si>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</si>
  <si>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</si>
  <si>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</si>
  <si>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</si>
  <si>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</si>
  <si>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</si>
  <si>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</si>
  <si>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</si>
  <si>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</si>
  <si>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</si>
  <si>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</si>
  <si>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</si>
  <si>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</si>
  <si>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</si>
  <si>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</si>
  <si>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</si>
  <si>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</si>
  <si>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</si>
  <si>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</si>
  <si>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</si>
  <si>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</si>
  <si>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</si>
  <si>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</si>
  <si>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</si>
  <si>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</si>
  <si>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</si>
  <si>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</si>
  <si>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</si>
  <si>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</si>
  <si>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</si>
  <si>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</si>
  <si>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</si>
  <si>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</si>
  <si>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</si>
  <si>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</si>
  <si>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</si>
  <si>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</si>
  <si>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</si>
  <si>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</si>
  <si>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</si>
  <si>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</si>
  <si>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</si>
  <si>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</si>
  <si>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</si>
  <si>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</si>
  <si>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</si>
  <si>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</si>
  <si>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</si>
  <si>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</si>
  <si>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</si>
  <si>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</si>
  <si>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</si>
  <si>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</si>
  <si>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</si>
  <si>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</si>
  <si>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</si>
  <si>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</si>
  <si>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</si>
  <si>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</si>
  <si>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</si>
  <si>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</si>
  <si>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</si>
  <si>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</si>
  <si>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</si>
  <si>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</si>
  <si>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</si>
  <si>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</si>
  <si>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</si>
  <si>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</si>
  <si>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</si>
  <si>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</si>
  <si>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</si>
  <si>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</si>
  <si>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</si>
  <si>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</si>
  <si>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</si>
  <si>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</si>
  <si>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</si>
  <si>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</si>
  <si>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</si>
  <si>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</si>
  <si>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</si>
  <si>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</si>
  <si>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</si>
  <si>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</si>
  <si>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</si>
  <si>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</si>
  <si>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</si>
  <si>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</si>
  <si>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</si>
  <si>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</si>
  <si>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</si>
  <si>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</si>
  <si>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</si>
  <si>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</si>
  <si>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</si>
  <si>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</si>
  <si>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</si>
  <si>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</si>
  <si>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</si>
  <si>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</si>
  <si>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</si>
  <si>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</si>
  <si>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</si>
  <si>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</si>
  <si>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</si>
  <si>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</si>
  <si>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</si>
  <si>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</si>
  <si>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</si>
  <si>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</si>
  <si>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</si>
  <si>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</si>
  <si>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</si>
  <si>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</si>
  <si>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</si>
  <si>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</si>
  <si>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</si>
  <si>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</si>
  <si>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</si>
  <si>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</si>
  <si>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</si>
  <si>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</si>
  <si>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</si>
  <si>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</si>
  <si>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</si>
  <si>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</si>
  <si>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</si>
  <si>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</si>
  <si>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</si>
  <si>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</si>
  <si>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</si>
  <si>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</si>
  <si>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</si>
  <si>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</si>
  <si>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</si>
  <si>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</si>
  <si>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</si>
  <si>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</si>
  <si>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</si>
  <si>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</si>
  <si>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</si>
  <si>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</si>
  <si>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</si>
  <si>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</si>
  <si>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</si>
  <si>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</si>
  <si>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</si>
  <si>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</si>
  <si>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</si>
  <si>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</si>
  <si>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</si>
  <si>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</si>
  <si>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</si>
  <si>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</si>
  <si>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</si>
  <si>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</si>
  <si>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</si>
  <si>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</si>
  <si>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</si>
  <si>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</si>
  <si>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</si>
  <si>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</si>
  <si>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</si>
  <si>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</si>
  <si>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</si>
  <si>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</si>
  <si>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</si>
  <si>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</si>
  <si>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</si>
  <si>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</si>
  <si>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</si>
  <si>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</si>
  <si>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</si>
  <si>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</si>
  <si>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</si>
  <si>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</si>
  <si>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</si>
  <si>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</si>
  <si>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</si>
  <si>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</si>
  <si>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</si>
  <si>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</si>
  <si>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</si>
  <si>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</si>
  <si>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</si>
  <si>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</si>
  <si>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</si>
  <si>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</si>
  <si>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</si>
  <si>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</si>
  <si>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</si>
  <si>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</si>
  <si>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</si>
  <si>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</si>
  <si>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</si>
  <si>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</si>
  <si>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</si>
  <si>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</si>
  <si>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</si>
  <si>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</si>
  <si>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</si>
  <si>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</si>
  <si>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</si>
  <si>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</si>
  <si>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</si>
  <si>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</si>
  <si>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</si>
  <si>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</si>
  <si>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</si>
  <si>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Salman</t>
  </si>
  <si>
    <t>Basic Store</t>
  </si>
  <si>
    <t>Address: Zafer Ali Road</t>
  </si>
  <si>
    <t xml:space="preserve">Shell Tuck Shop </t>
  </si>
  <si>
    <t>Address:Zafer Ali Road</t>
  </si>
  <si>
    <t xml:space="preserve">Shell Select </t>
  </si>
  <si>
    <t>Shell Select 2</t>
  </si>
  <si>
    <t>Shazad Store</t>
  </si>
  <si>
    <t>Adnan Store</t>
  </si>
  <si>
    <t>Bilal Store</t>
  </si>
  <si>
    <t>Butt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</si>
</sst>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v>46237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Basic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Shell Tuck Shop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Shell Select </v>
      </c>
      <c r="T5" s="301">
        <f>+'3'!P35</f>
        <v>3237.2837060338979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Shell Select 2</v>
      </c>
      <c r="T6" s="301">
        <f>+'4'!P35</f>
        <v>15607.915834423729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310">
        <f>M7+N7+O7</f>
        <v>3624.0825325423721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Shazad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Adnan Store</v>
      </c>
      <c r="T8" s="301">
        <f>+'6'!P35</f>
        <v>1984.9726672627114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Bilal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108</v>
      </c>
      <c r="I10" s="236">
        <f t="shared" si="0"/>
        <v>7845.12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627.6096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274.57920000000007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6942.9312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1482.7118644067796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42.128215322033896</v>
      </c>
      <c r="P10" s="311">
        <f t="shared" si="2"/>
        <v>8467.771279728815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Butt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87</v>
      </c>
      <c r="I11" s="236">
        <f t="shared" si="0"/>
        <v>6319.68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505.57440000000003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221.18880000000004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5592.9168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1194.406779661017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33.936617898305087</v>
      </c>
      <c r="P11" s="311">
        <f t="shared" si="2"/>
        <v>6821.2601975593225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105</v>
      </c>
      <c r="I12" s="236">
        <f t="shared" si="0"/>
        <v>7627.2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610.17600000000004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266.95200000000006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6750.0720000000001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1441.5254237288136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40.957987118644063</v>
      </c>
      <c r="P12" s="311">
        <f t="shared" si="2"/>
        <v>8232.5554108474571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135</v>
      </c>
      <c r="I13" s="236">
        <f t="shared" si="0"/>
        <v>5296.05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264.80250000000007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185.36175000000003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270.09854999999999</v>
      </c>
      <c r="M13" s="230">
        <f t="shared" si="1"/>
        <v>4575.7871999999998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1029.6610169491519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28.027241084745764</v>
      </c>
      <c r="P13" s="311">
        <f t="shared" si="2"/>
        <v>5633.4754580338968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13.475</v>
      </c>
      <c r="H16" s="113">
        <f t="shared" ref="H16:M16" si="3">SUM(H7:H15)</f>
        <v>539</v>
      </c>
      <c r="I16" s="114">
        <f t="shared" si="3"/>
        <v>32544.15</v>
      </c>
      <c r="J16" s="274">
        <f>SUM(J7:J15)</f>
        <v>2444.6505000000002</v>
      </c>
      <c r="K16" s="275">
        <f t="shared" si="3"/>
        <v>1139.0452500000001</v>
      </c>
      <c r="L16" s="276">
        <f t="shared" si="3"/>
        <v>270.09854999999999</v>
      </c>
      <c r="M16" s="232">
        <f t="shared" si="3"/>
        <v>28690.355699999996</v>
      </c>
      <c r="N16" s="233">
        <f>SUM(N7:N15)</f>
        <v>6179.4915254237276</v>
      </c>
      <c r="O16" s="101">
        <f>SUM(O7:O15)</f>
        <v>174.34923612711864</v>
      </c>
      <c r="P16" s="113">
        <f>SUM(P7:P15)</f>
        <v>35044.196461550848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32544.15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2444.6505000000002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1409.1438000000001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28690.3557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6179.4915254237276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34869.847225423728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174.34923612711864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35044.196461550848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35044.196461550848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232.44799999999998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3022</v>
      </c>
      <c r="J25" s="274">
        <f>SUM(J16:J24)</f>
        <v>194.68400000000003</v>
      </c>
      <c r="K25" s="275">
        <f t="shared" si="7"/>
        <v>105.77000000000001</v>
      </c>
      <c r="L25" s="276">
        <f t="shared" si="7"/>
        <v>80.029200000000003</v>
      </c>
      <c r="M25" s="232">
        <f t="shared" si="7"/>
        <v>2641.5168000000003</v>
      </c>
      <c r="N25" s="233">
        <f>SUM(N16:N24)</f>
        <v>579.66101694915233</v>
      </c>
      <c r="O25" s="101">
        <f>SUM(O16:O24)</f>
        <v>16.105889084745762</v>
      </c>
      <c r="P25" s="113">
        <f>SUM(P16:P24)</f>
        <v>3237.2837060338984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3022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194.68400000000003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185.79920000000001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2641.5167999999999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579.66101694915233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3221.1778169491522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16.105889084745762</v>
      </c>
    </row>
    <row r="35" spans="2:16" ht="15.75" customHeight="1" thickBot="1" x14ac:dyDescent="0.4">
      <c r="N35" s="371" t="s">
        <v>88</v>
      </c>
      <c r="O35" s="372"/>
      <c r="P35" s="297">
        <f>+P33+P34</f>
        <v>3237.2837060338979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14483.000000000002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1111.5640000000001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586.93420000000015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12784.501800000002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15530.264511864407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71" t="s">
        <v>88</v>
      </c>
      <c r="O35" s="372"/>
      <c r="P35" s="297">
        <f>+P33+P34</f>
        <v>15607.915834423729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310">
        <f>M16+N16+O16</f>
        <v>1359.0309497033898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39</v>
      </c>
      <c r="I25" s="114">
        <f t="shared" si="7"/>
        <v>1847.55</v>
      </c>
      <c r="J25" s="274">
        <f>SUM(J16:J24)</f>
        <v>130.15049999999999</v>
      </c>
      <c r="K25" s="275">
        <f t="shared" si="7"/>
        <v>64.66425000000001</v>
      </c>
      <c r="L25" s="276">
        <f t="shared" si="7"/>
        <v>30.010950000000001</v>
      </c>
      <c r="M25" s="232">
        <f t="shared" si="7"/>
        <v>1622.7243000000001</v>
      </c>
      <c r="N25" s="233">
        <f>SUM(N16:N24)</f>
        <v>352.37288135593201</v>
      </c>
      <c r="O25" s="101">
        <f>SUM(O16:O24)</f>
        <v>9.8754859067796605</v>
      </c>
      <c r="P25" s="113">
        <f>SUM(P16:P24)</f>
        <v>1984.9726672627116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1847.55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130.15049999999999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94.675200000000018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1622.7242999999999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352.37288135593201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1975.0971813559318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9.8754859067796588</v>
      </c>
    </row>
    <row r="35" spans="2:16" ht="15.75" customHeight="1" thickBot="1" x14ac:dyDescent="0.4">
      <c r="N35" s="371" t="s">
        <v>88</v>
      </c>
      <c r="O35" s="372"/>
      <c r="P35" s="297">
        <f>+P33+P34</f>
        <v>1984.9726672627114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311">
        <f t="shared" si="5"/>
        <v>1019.2687651525424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2026-08-01T11:54:30Z</dcterms:modified>
</cp:coreProperties>
</file>