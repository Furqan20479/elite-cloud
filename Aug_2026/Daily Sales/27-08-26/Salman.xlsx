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3CB304-9999-4E04-B453-E403279001A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<sst xmlns="http://schemas.openxmlformats.org/spreadsheetml/2006/main" count="3978" uniqueCount="520">
  <si>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</si>
  <si>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</si>
  <si>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</si>
  <si>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</si>
  <si>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</si>
  <si>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</si>
  <si>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</si>
  <si>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</si>
  <si>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</si>
  <si>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</si>
  <si>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</si>
  <si>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</si>
  <si>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</si>
  <si>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</si>
  <si>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</si>
  <si>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</si>
  <si>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</si>
  <si>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</si>
  <si>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</si>
  <si>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</si>
  <si>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</si>
  <si>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</si>
  <si>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</si>
  <si>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</si>
  <si>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</si>
  <si>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</si>
  <si>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</si>
  <si>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</si>
  <si>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</si>
  <si>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</si>
  <si>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</si>
  <si>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</si>
  <si>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</si>
  <si>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</si>
  <si>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</si>
  <si>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</si>
  <si>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</si>
  <si>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</si>
  <si>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</si>
  <si>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</si>
  <si>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</si>
  <si>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</si>
  <si>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</si>
  <si>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</si>
  <si>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</si>
  <si>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</si>
  <si>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</si>
  <si>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</si>
  <si>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</si>
  <si>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</si>
  <si>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</si>
  <si>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</si>
  <si>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</si>
  <si>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</si>
  <si>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</si>
  <si>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</si>
  <si>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</si>
  <si>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</si>
  <si>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</si>
  <si>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</si>
  <si>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</si>
  <si>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</si>
  <si>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</si>
  <si>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</si>
  <si>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</si>
  <si>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</si>
  <si>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</si>
  <si>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</si>
  <si>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</si>
  <si>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</si>
  <si>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</si>
  <si>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</si>
  <si>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</si>
  <si>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</si>
  <si>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</si>
  <si>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</si>
  <si>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</si>
  <si>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</si>
  <si>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</si>
  <si>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</si>
  <si>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</si>
  <si>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</si>
  <si>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</si>
  <si>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</si>
  <si>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</si>
  <si>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</si>
  <si>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</si>
  <si>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</si>
  <si>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</si>
  <si>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</si>
  <si>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</si>
  <si>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</si>
  <si>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</si>
  <si>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</si>
  <si>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</si>
  <si>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</si>
  <si>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</si>
  <si>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</si>
  <si>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</si>
  <si>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</si>
  <si>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</si>
  <si>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</si>
  <si>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</si>
  <si>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</si>
  <si>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</si>
  <si>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</si>
  <si>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</si>
  <si>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</si>
  <si>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</si>
  <si>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</si>
  <si>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</si>
  <si>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</si>
  <si>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</si>
  <si>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</si>
  <si>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</si>
  <si>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</si>
  <si>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</si>
  <si>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</si>
  <si>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</si>
  <si>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</si>
  <si>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</si>
  <si>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</si>
  <si>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</si>
  <si>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</si>
  <si>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</si>
  <si>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</si>
  <si>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</si>
  <si>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</si>
  <si>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</si>
  <si>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</si>
  <si>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</si>
  <si>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</si>
  <si>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</si>
  <si>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</si>
  <si>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</si>
  <si>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</si>
  <si>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</si>
  <si>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</si>
  <si>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</si>
  <si>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</si>
  <si>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</si>
  <si>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</si>
  <si>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</si>
  <si>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</si>
  <si>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</si>
  <si>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</si>
  <si>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</si>
  <si>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</si>
  <si>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</si>
  <si>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</si>
  <si>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</si>
  <si>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</si>
  <si>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</si>
  <si>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</si>
  <si>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</si>
  <si>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</si>
  <si>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</si>
  <si>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</si>
  <si>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</si>
  <si>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</si>
  <si>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</si>
  <si>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</si>
  <si>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</si>
  <si>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</si>
  <si>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</si>
  <si>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</si>
  <si>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</si>
  <si>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</si>
  <si>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</si>
  <si>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</si>
  <si>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</si>
  <si>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</si>
  <si>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</si>
  <si>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</si>
  <si>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</si>
  <si>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</si>
  <si>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</si>
  <si>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</si>
  <si>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</si>
  <si>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</si>
  <si>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</si>
  <si>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</si>
  <si>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</si>
  <si>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</si>
  <si>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</si>
  <si>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</si>
  <si>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</si>
  <si>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</si>
  <si>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</si>
  <si>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</si>
  <si>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</si>
  <si>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</si>
  <si>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</si>
  <si>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</si>
  <si>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</si>
  <si>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</si>
  <si>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</si>
  <si>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</si>
  <si>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</si>
  <si>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</si>
  <si>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</si>
  <si>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</si>
  <si>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</si>
  <si>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</si>
  <si>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</si>
  <si>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</si>
  <si>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</si>
  <si>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</si>
  <si>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</si>
  <si>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</si>
  <si>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</si>
  <si>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</si>
  <si>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</si>
  <si>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</si>
  <si>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</si>
  <si>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</si>
  <si>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</si>
  <si>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</si>
  <si>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</si>
  <si>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</si>
  <si>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</si>
  <si>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</si>
  <si>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</si>
  <si>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</si>
  <si>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</si>
  <si>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</si>
  <si>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</si>
  <si>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</si>
  <si>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</si>
  <si>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</si>
  <si>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</si>
  <si>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</si>
  <si>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</si>
  <si>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</si>
  <si>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</si>
  <si>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</si>
  <si>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</si>
  <si>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</si>
  <si>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</si>
  <si>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</si>
  <si>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</si>
  <si>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</si>
  <si>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</si>
  <si>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</si>
  <si>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</si>
  <si>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</si>
  <si>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</si>
  <si>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</si>
  <si>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</si>
  <si>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</si>
  <si>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</si>
  <si>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</si>
  <si>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</si>
  <si>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</si>
  <si>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</si>
  <si>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</si>
  <si>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</si>
  <si>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</si>
  <si>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</si>
  <si>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</si>
  <si>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</si>
  <si>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</si>
  <si>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</si>
  <si>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</si>
  <si>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</si>
  <si>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</si>
  <si>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</si>
  <si>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</si>
  <si>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</si>
  <si>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</si>
  <si>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</si>
  <si>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</si>
  <si>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</si>
  <si>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</si>
  <si>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</si>
  <si>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</si>
  <si>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</si>
  <si>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</si>
  <si>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</si>
  <si>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</si>
  <si>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</si>
  <si>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</si>
  <si>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</si>
  <si>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</si>
  <si>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</si>
  <si>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</si>
  <si>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</si>
  <si>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</si>
  <si>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</si>
  <si>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</si>
  <si>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</si>
  <si>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</si>
  <si>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</si>
  <si>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</si>
  <si>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</si>
  <si>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</si>
  <si>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</si>
  <si>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</si>
  <si>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</si>
  <si>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</si>
  <si>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</si>
  <si>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</si>
  <si>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</si>
  <si>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</si>
  <si>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</si>
  <si>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</si>
  <si>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</si>
  <si>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</si>
  <si>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</si>
  <si>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</si>
  <si>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</si>
  <si>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</si>
  <si>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</si>
  <si>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</si>
  <si>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</si>
  <si>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</si>
  <si>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</si>
  <si>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</si>
  <si>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</si>
  <si>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</si>
  <si>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</si>
  <si>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</si>
  <si>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</si>
  <si>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</si>
  <si>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</si>
  <si>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</si>
  <si>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</si>
  <si>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</si>
  <si>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</si>
  <si>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</si>
  <si>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</si>
  <si>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</si>
  <si>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</si>
  <si>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</si>
  <si>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</si>
  <si>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</si>
  <si>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</si>
  <si>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</si>
  <si>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</si>
  <si>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</si>
  <si>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</si>
  <si>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</si>
  <si>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</si>
  <si>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</si>
  <si>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</si>
  <si>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</si>
  <si>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</si>
  <si>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</si>
  <si>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</si>
  <si>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</si>
  <si>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</si>
  <si>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</si>
  <si>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</si>
  <si>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</si>
  <si>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</si>
  <si>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</si>
  <si>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</si>
  <si>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</si>
  <si>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</si>
  <si>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</si>
  <si>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</si>
  <si>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</si>
  <si>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</si>
  <si>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</si>
  <si>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</si>
  <si>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</si>
  <si>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</si>
  <si>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</si>
  <si>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</si>
  <si>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</si>
  <si>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</si>
  <si>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</si>
  <si>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</si>
  <si>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</si>
  <si>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</si>
  <si>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</si>
  <si>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</si>
  <si>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</si>
  <si>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</si>
  <si>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</si>
  <si>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</si>
  <si>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</si>
  <si>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</si>
  <si>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</si>
  <si>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</si>
  <si>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</si>
  <si>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</si>
  <si>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</si>
  <si>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</si>
  <si>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</si>
  <si>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</si>
  <si>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</si>
  <si>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</si>
  <si>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</si>
  <si>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</si>
  <si>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</si>
  <si>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</si>
  <si>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</si>
  <si>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</si>
  <si>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</si>
  <si>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</si>
  <si>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</si>
  <si>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</si>
  <si>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</si>
  <si>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</si>
  <si>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</si>
  <si>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</si>
  <si>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</si>
  <si>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</si>
  <si>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</si>
  <si>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</si>
  <si>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</si>
  <si>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</si>
  <si>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</si>
  <si>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</si>
  <si>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</si>
  <si>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</si>
  <si>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</si>
  <si>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</si>
  <si>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</si>
  <si>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</si>
  <si>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</si>
  <si>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</si>
  <si>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</si>
  <si>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</si>
  <si>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</si>
  <si>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</si>
  <si>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</si>
  <si>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</si>
  <si>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</si>
  <si>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</si>
  <si>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</si>
  <si>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</si>
  <si>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</si>
  <si>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</si>
  <si>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</si>
  <si>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</si>
  <si>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</si>
  <si>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</si>
  <si>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</si>
  <si>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</si>
  <si>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</si>
  <si>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</si>
  <si>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</si>
  <si>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</si>
  <si>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</si>
  <si>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</si>
  <si>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</si>
  <si>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</si>
  <si>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</si>
  <si>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</si>
  <si>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</si>
  <si>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</si>
  <si>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</si>
  <si>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</si>
  <si>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</si>
  <si>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</si>
  <si>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</si>
  <si>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</si>
  <si>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</si>
  <si>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</si>
  <si>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</si>
  <si>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</si>
  <si>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</si>
  <si>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</si>
  <si>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</si>
  <si>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</si>
  <si>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</si>
  <si>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</si>
  <si>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</si>
  <si>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</si>
  <si>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</si>
  <si>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</si>
  <si>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</si>
  <si>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</si>
  <si>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</si>
  <si>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</si>
  <si>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</si>
  <si>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</si>
  <si>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</si>
  <si>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</si>
  <si>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</si>
  <si>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</si>
  <si>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</si>
  <si>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</si>
  <si>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</si>
  <si>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</si>
  <si>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</si>
  <si>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</si>
  <si>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</si>
  <si>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</si>
  <si>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</si>
  <si>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</si>
  <si>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</si>
  <si>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</si>
  <si>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</si>
  <si>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</si>
  <si>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</si>
  <si>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</si>
  <si>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</si>
  <si>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</si>
  <si>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</si>
  <si>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</si>
  <si>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</si>
  <si>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</si>
  <si>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</si>
  <si>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</si>
  <si>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</si>
  <si>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</si>
  <si>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</si>
  <si>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</si>
  <si>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</si>
  <si>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</si>
  <si>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</si>
  <si>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 Pepsi Road</t>
  </si>
  <si>
    <t xml:space="preserve">Classic Mart </t>
  </si>
  <si>
    <t>Asakri Store</t>
  </si>
  <si>
    <t xml:space="preserve">Smart Pharmacy </t>
  </si>
  <si>
    <t>Cant Store</t>
  </si>
  <si>
    <t xml:space="preserve">City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</si>
</sst>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Classic Mart </v>
      </c>
      <c r="T3" s="301">
        <f>+'1'!P35</f>
        <v>2822.5904265762711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Asakri Store</v>
      </c>
      <c r="T4" s="301">
        <f>+'2'!P35</f>
        <v>1967.114748165254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Smart Pharmacy 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Cant Store</v>
      </c>
      <c r="T6" s="301">
        <f>+'4'!P35</f>
        <v>9335.4926642542378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City Mart </v>
      </c>
      <c r="T7" s="301">
        <f>+'5'!P35</f>
        <v>11673.686338093223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45</v>
      </c>
      <c r="I8" s="236">
        <f t="shared" ref="I8:I14" si="0">(G8*D8)*F8+H8*F8</f>
        <v>2360.8125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82.628437500000004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2089.3190624999997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446.18644067796589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12.67752751588983</v>
      </c>
      <c r="P8" s="311">
        <f t="shared" ref="P8:P15" si="2">M8+N8+O8</f>
        <v>2548.1830306938555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98</v>
      </c>
      <c r="I12" s="236">
        <f t="shared" si="0"/>
        <v>7118.72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569.49760000000003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249.15520000000004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6300.0672000000004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1345.4237288135594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38.227454644067798</v>
      </c>
      <c r="P12" s="311">
        <f t="shared" si="2"/>
        <v>7683.7183834576272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12.45655159322034</v>
      </c>
      <c r="P13" s="311">
        <f t="shared" si="2"/>
        <v>2503.766870237288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10.199999999999999</v>
      </c>
      <c r="H16" s="113">
        <f t="shared" ref="H16:M16" si="3">SUM(H7:H15)</f>
        <v>408</v>
      </c>
      <c r="I16" s="114">
        <f t="shared" si="3"/>
        <v>24807.670000000002</v>
      </c>
      <c r="J16" s="274">
        <f>SUM(J7:J15)</f>
        <v>1913.9996000000001</v>
      </c>
      <c r="K16" s="275">
        <f t="shared" si="3"/>
        <v>868.26845000000014</v>
      </c>
      <c r="L16" s="276">
        <f t="shared" si="3"/>
        <v>120.0438</v>
      </c>
      <c r="M16" s="232">
        <f t="shared" si="3"/>
        <v>21905.35815</v>
      </c>
      <c r="N16" s="233">
        <f>SUM(N7:N15)</f>
        <v>4701.3559322033889</v>
      </c>
      <c r="O16" s="101">
        <f>SUM(O7:O15)</f>
        <v>133.03357041101697</v>
      </c>
      <c r="P16" s="113">
        <f>SUM(P7:P15)</f>
        <v>26739.747652614406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24807.670000000002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1913.9996000000001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988.31225000000018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21905.358150000004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4701.3559322033889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26606.714082203391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133.03357041101697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26739.747652614409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26739.747652614409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2615.04</v>
      </c>
      <c r="J25" s="274">
        <f>SUM(J16:J24)</f>
        <v>209.20320000000004</v>
      </c>
      <c r="K25" s="275">
        <f t="shared" si="10"/>
        <v>91.52640000000001</v>
      </c>
      <c r="L25" s="276">
        <f t="shared" si="10"/>
        <v>0</v>
      </c>
      <c r="M25" s="232">
        <f t="shared" si="10"/>
        <v>2314.3104000000003</v>
      </c>
      <c r="N25" s="233">
        <f>SUM(N16:N24)</f>
        <v>494.23728813559325</v>
      </c>
      <c r="O25" s="101">
        <f>SUM(O16:O24)</f>
        <v>14.042738440677967</v>
      </c>
      <c r="P25" s="113">
        <f>SUM(P16:P24)</f>
        <v>2822.5904265762711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2615.04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209.20320000000004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91.52640000000001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2314.3103999999998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2808.547688135593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4" t="s">
        <v>88</v>
      </c>
      <c r="O35" s="345"/>
      <c r="P35" s="297">
        <f>+P33+P34</f>
        <v>2822.5904265762711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1833.8500000000001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123.17000000000002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104.19935000000001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1606.48065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1957.3281076271185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4" t="s">
        <v>88</v>
      </c>
      <c r="O35" s="345"/>
      <c r="P35" s="297">
        <f>+P33+P34</f>
        <v>1967.114748165254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8671.8000000000011</v>
      </c>
      <c r="J25" s="274">
        <f>SUM(J16:J24)</f>
        <v>646.66800000000001</v>
      </c>
      <c r="K25" s="275">
        <f t="shared" si="7"/>
        <v>303.51300000000003</v>
      </c>
      <c r="L25" s="276">
        <f t="shared" si="7"/>
        <v>80.029200000000003</v>
      </c>
      <c r="M25" s="232">
        <f t="shared" si="7"/>
        <v>7641.5898000000007</v>
      </c>
      <c r="N25" s="233">
        <f>SUM(N16:N24)</f>
        <v>1647.4576271186436</v>
      </c>
      <c r="O25" s="101">
        <f>SUM(O16:O24)</f>
        <v>46.445237135593217</v>
      </c>
      <c r="P25" s="113">
        <f>SUM(P16:P24)</f>
        <v>9335.4926642542378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8671.8000000000011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646.66800000000001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383.54220000000004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7641.5898000000016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1647.4576271186436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9289.0474271186449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46.445237135593224</v>
      </c>
    </row>
    <row r="35" spans="2:16" ht="15.75" customHeight="1" thickBot="1" x14ac:dyDescent="0.4">
      <c r="N35" s="344" t="s">
        <v>88</v>
      </c>
      <c r="O35" s="345"/>
      <c r="P35" s="297">
        <f>+P33+P34</f>
        <v>9335.4926642542378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865.22399999999993</v>
      </c>
      <c r="K25" s="275">
        <f t="shared" si="7"/>
        <v>378.53550000000007</v>
      </c>
      <c r="L25" s="276">
        <f t="shared" si="7"/>
        <v>0</v>
      </c>
      <c r="M25" s="232">
        <f t="shared" si="7"/>
        <v>9571.540500000001</v>
      </c>
      <c r="N25" s="233">
        <f>SUM(N16:N24)</f>
        <v>2044.0677966101694</v>
      </c>
      <c r="O25" s="101">
        <f>SUM(O16:O24)</f>
        <v>58.078041483050853</v>
      </c>
      <c r="P25" s="113">
        <f>SUM(P16:P24)</f>
        <v>11673.686338093221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865.22399999999993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378.53550000000007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9571.540500000001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11615.608296610171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44" t="s">
        <v>88</v>
      </c>
      <c r="O35" s="345"/>
      <c r="P35" s="297">
        <f>+P33+P34</f>
        <v>11673.686338093223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2026-08-25T12:06:16Z</dcterms:modified>
</cp:coreProperties>
</file>