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F9F4157-9523-4C40-B10A-C8D96978B82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69" l="1"/>
  <c r="O21" i="69" s="1"/>
  <c r="P21" i="69" s="1"/>
  <c r="M17" i="60"/>
  <c r="O17" i="60" s="1"/>
  <c r="P17" i="60" s="1"/>
  <c r="M16" i="59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<sst xmlns="http://schemas.openxmlformats.org/spreadsheetml/2006/main" count="3978" uniqueCount="516">
  <si>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</si>
  <si>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</si>
  <si>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</si>
  <si>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</si>
  <si>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</si>
  <si>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</si>
  <si>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</si>
  <si>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</si>
  <si>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</si>
  <si>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</si>
  <si>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</si>
  <si>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</si>
  <si>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</si>
  <si>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</si>
  <si>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</si>
  <si>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</si>
  <si>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</si>
  <si>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</si>
  <si>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</si>
  <si>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</si>
  <si>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</si>
  <si>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</si>
  <si>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</si>
  <si>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</si>
  <si>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</si>
  <si>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</si>
  <si>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</si>
  <si>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</si>
  <si>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</si>
  <si>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</si>
  <si>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</si>
  <si>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</si>
  <si>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</si>
  <si>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</si>
  <si>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</si>
  <si>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</si>
  <si>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</si>
  <si>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</si>
  <si>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</si>
  <si>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</si>
  <si>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</si>
  <si>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</si>
  <si>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</si>
  <si>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</si>
  <si>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</si>
  <si>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</si>
  <si>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</si>
  <si>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</si>
  <si>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</si>
  <si>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</si>
  <si>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</si>
  <si>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</si>
  <si>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</si>
  <si>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</si>
  <si>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</si>
  <si>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</si>
  <si>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</si>
  <si>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</si>
  <si>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</si>
  <si>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</si>
  <si>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</si>
  <si>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</si>
  <si>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</si>
  <si>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</si>
  <si>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</si>
  <si>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</si>
  <si>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</si>
  <si>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</si>
  <si>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</si>
  <si>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</si>
  <si>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</si>
  <si>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</si>
  <si>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</si>
  <si>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</si>
  <si>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</si>
  <si>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</si>
  <si>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</si>
  <si>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</si>
  <si>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</si>
  <si>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</si>
  <si>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</si>
  <si>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</si>
  <si>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</si>
  <si>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</si>
  <si>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</si>
  <si>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</si>
  <si>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</si>
  <si>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</si>
  <si>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</si>
  <si>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</si>
  <si>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</si>
  <si>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</si>
  <si>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</si>
  <si>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</si>
  <si>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</si>
  <si>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</si>
  <si>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</si>
  <si>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</si>
  <si>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</si>
  <si>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</si>
  <si>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</si>
  <si>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</si>
  <si>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</si>
  <si>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</si>
  <si>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</si>
  <si>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</si>
  <si>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</si>
  <si>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</si>
  <si>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</si>
  <si>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</si>
  <si>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</si>
  <si>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</si>
  <si>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</si>
  <si>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</si>
  <si>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</si>
  <si>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</si>
  <si>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</si>
  <si>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</si>
  <si>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</si>
  <si>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</si>
  <si>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</si>
  <si>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</si>
  <si>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</si>
  <si>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</si>
  <si>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</si>
  <si>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</si>
  <si>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</si>
  <si>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</si>
  <si>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</si>
  <si>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</si>
  <si>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</si>
  <si>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</si>
  <si>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</si>
  <si>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</si>
  <si>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</si>
  <si>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</si>
  <si>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</si>
  <si>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</si>
  <si>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</si>
  <si>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</si>
  <si>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</si>
  <si>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</si>
  <si>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</si>
  <si>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</si>
  <si>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</si>
  <si>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</si>
  <si>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</si>
  <si>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</si>
  <si>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</si>
  <si>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</si>
  <si>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</si>
  <si>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</si>
  <si>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</si>
  <si>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</si>
  <si>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</si>
  <si>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</si>
  <si>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</si>
  <si>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</si>
  <si>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</si>
  <si>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</si>
  <si>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</si>
  <si>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</si>
  <si>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</si>
  <si>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</si>
  <si>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</si>
  <si>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</si>
  <si>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</si>
  <si>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</si>
  <si>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</si>
  <si>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</si>
  <si>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</si>
  <si>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</si>
  <si>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</si>
  <si>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</si>
  <si>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</si>
  <si>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</si>
  <si>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</si>
  <si>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</si>
  <si>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</si>
  <si>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</si>
  <si>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</si>
  <si>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</si>
  <si>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</si>
  <si>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</si>
  <si>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</si>
  <si>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</si>
  <si>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</si>
  <si>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</si>
  <si>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</si>
  <si>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</si>
  <si>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</si>
  <si>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</si>
  <si>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</si>
  <si>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</si>
  <si>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</si>
  <si>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</si>
  <si>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</si>
  <si>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</si>
  <si>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</si>
  <si>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</si>
  <si>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</si>
  <si>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</si>
  <si>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</si>
  <si>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</si>
  <si>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</si>
  <si>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</si>
  <si>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</si>
  <si>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</si>
  <si>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</si>
  <si>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</si>
  <si>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</si>
  <si>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</si>
  <si>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</si>
  <si>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</si>
  <si>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</si>
  <si>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</si>
  <si>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</si>
  <si>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</si>
  <si>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</si>
  <si>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</si>
  <si>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</si>
  <si>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</si>
  <si>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</si>
  <si>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</si>
  <si>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</si>
  <si>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</si>
  <si>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</si>
  <si>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</si>
  <si>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</si>
  <si>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</si>
  <si>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</si>
  <si>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</si>
  <si>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</si>
  <si>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</si>
  <si>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</si>
  <si>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</si>
  <si>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</si>
  <si>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</si>
  <si>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</si>
  <si>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</si>
  <si>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</si>
  <si>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</si>
  <si>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</si>
  <si>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</si>
  <si>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</si>
  <si>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</si>
  <si>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</si>
  <si>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</si>
  <si>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</si>
  <si>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</si>
  <si>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</si>
  <si>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</si>
  <si>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</si>
  <si>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</si>
  <si>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</si>
  <si>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</si>
  <si>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</si>
  <si>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</si>
  <si>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</si>
  <si>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</si>
  <si>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</si>
  <si>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</si>
  <si>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</si>
  <si>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</si>
  <si>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</si>
  <si>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</si>
  <si>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</si>
  <si>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</si>
  <si>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</si>
  <si>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</si>
  <si>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</si>
  <si>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</si>
  <si>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</si>
  <si>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</si>
  <si>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</si>
  <si>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</si>
  <si>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</si>
  <si>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</si>
  <si>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</si>
  <si>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</si>
  <si>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</si>
  <si>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</si>
  <si>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</si>
  <si>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</si>
  <si>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</si>
  <si>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</si>
  <si>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</si>
  <si>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</si>
  <si>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</si>
  <si>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</si>
  <si>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</si>
  <si>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</si>
  <si>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</si>
  <si>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</si>
  <si>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</si>
  <si>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</si>
  <si>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</si>
  <si>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</si>
  <si>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</si>
  <si>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</si>
  <si>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</si>
  <si>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</si>
  <si>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</si>
  <si>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</si>
  <si>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</si>
  <si>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</si>
  <si>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</si>
  <si>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</si>
  <si>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</si>
  <si>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</si>
  <si>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</si>
  <si>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</si>
  <si>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</si>
  <si>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</si>
  <si>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</si>
  <si>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</si>
  <si>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</si>
  <si>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</si>
  <si>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</si>
  <si>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</si>
  <si>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</si>
  <si>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</si>
  <si>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</si>
  <si>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</si>
  <si>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</si>
  <si>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</si>
  <si>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</si>
  <si>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</si>
  <si>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</si>
  <si>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</si>
  <si>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</si>
  <si>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</si>
  <si>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</si>
  <si>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</si>
  <si>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</si>
  <si>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</si>
  <si>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</si>
  <si>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</si>
  <si>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</si>
  <si>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</si>
  <si>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</si>
  <si>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</si>
  <si>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</si>
  <si>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</si>
  <si>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</si>
  <si>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</si>
  <si>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</si>
  <si>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</si>
  <si>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</si>
  <si>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</si>
  <si>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</si>
  <si>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</si>
  <si>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</si>
  <si>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</si>
  <si>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</si>
  <si>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</si>
  <si>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</si>
  <si>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</si>
  <si>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</si>
  <si>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</si>
  <si>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</si>
  <si>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</si>
  <si>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</si>
  <si>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</si>
  <si>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</si>
  <si>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</si>
  <si>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</si>
  <si>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</si>
  <si>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</si>
  <si>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</si>
  <si>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</si>
  <si>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</si>
  <si>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</si>
  <si>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</si>
  <si>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</si>
  <si>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</si>
  <si>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</si>
  <si>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</si>
  <si>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</si>
  <si>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</si>
  <si>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</si>
  <si>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</si>
  <si>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</si>
  <si>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</si>
  <si>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</si>
  <si>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</si>
  <si>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</si>
  <si>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</si>
  <si>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</si>
  <si>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</si>
  <si>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</si>
  <si>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</si>
  <si>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</si>
  <si>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</si>
  <si>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</si>
  <si>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</si>
  <si>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</si>
  <si>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</si>
  <si>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</si>
  <si>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</si>
  <si>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</si>
  <si>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</si>
  <si>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</si>
  <si>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</si>
  <si>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</si>
  <si>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</si>
  <si>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</si>
  <si>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</si>
  <si>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</si>
  <si>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</si>
  <si>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</si>
  <si>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</si>
  <si>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</si>
  <si>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</si>
  <si>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</si>
  <si>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</si>
  <si>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</si>
  <si>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</si>
  <si>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</si>
  <si>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</si>
  <si>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</si>
  <si>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</si>
  <si>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</si>
  <si>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</si>
  <si>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</si>
  <si>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</si>
  <si>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</si>
  <si>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</si>
  <si>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</si>
  <si>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</si>
  <si>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</si>
  <si>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</si>
  <si>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</si>
  <si>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</si>
  <si>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</si>
  <si>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</si>
  <si>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</si>
  <si>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</si>
  <si>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</si>
  <si>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</si>
  <si>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</si>
  <si>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</si>
  <si>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</si>
  <si>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</si>
  <si>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</si>
  <si>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</si>
  <si>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</si>
  <si>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</si>
  <si>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</si>
  <si>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</si>
  <si>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</si>
  <si>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</si>
  <si>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</si>
  <si>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</si>
  <si>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</si>
  <si>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</si>
  <si>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</si>
  <si>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</si>
  <si>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</si>
  <si>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</si>
  <si>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</si>
  <si>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</si>
  <si>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</si>
  <si>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</si>
  <si>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</si>
  <si>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</si>
  <si>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</si>
  <si>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</si>
  <si>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</si>
  <si>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</si>
  <si>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</si>
  <si>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</si>
  <si>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</si>
  <si>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</si>
  <si>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</si>
  <si>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</si>
  <si>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</si>
  <si>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</si>
  <si>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</si>
  <si>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</si>
  <si>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</si>
  <si>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</si>
  <si>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</si>
  <si>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</si>
  <si>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</si>
  <si>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</si>
  <si>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</si>
  <si>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</si>
  <si>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</si>
  <si>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</si>
  <si>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</si>
  <si>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</si>
  <si>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</si>
  <si>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</si>
  <si>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</si>
  <si>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</si>
  <si>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</si>
  <si>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</si>
  <si>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</si>
  <si>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</si>
  <si>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</si>
  <si>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</si>
  <si>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</si>
  <si>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</si>
  <si>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</si>
  <si>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</si>
  <si>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</si>
  <si>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</si>
  <si>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</si>
  <si>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</si>
  <si>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</si>
  <si>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</si>
  <si>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6397883-8</t>
  </si>
  <si>
    <t xml:space="preserve">Askari Depsrtmental Store </t>
  </si>
  <si>
    <t>Address: Punjab Society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</si>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</sst>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498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Askari Depsrtmental Store </v>
      </c>
      <c r="T3" s="301">
        <f>+'1'!P35</f>
        <v>45743.801890372881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Askari Depsrtmental Store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Askari Depsrtmental Store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Askari Depsrtmental Store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Askari Depsrtmental Store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Askari Depsrtmental Store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Askari Depsrtmental Store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Askari Depsrtmental Store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Askari Depsrtmental Store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Askari Depsrtmental Store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Askari Depsrtmental Store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Askari Depsrtmental Store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Askari Depsrtmental Store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18</v>
      </c>
      <c r="H16" s="113">
        <f t="shared" ref="H16:M16" si="3">SUM(H7:H15)</f>
        <v>720</v>
      </c>
      <c r="I16" s="114">
        <f t="shared" si="3"/>
        <v>43171.200000000004</v>
      </c>
      <c r="J16" s="274">
        <f>SUM(J7:J15)</f>
        <v>4160.2</v>
      </c>
      <c r="K16" s="275">
        <f t="shared" si="3"/>
        <v>1510.9920000000002</v>
      </c>
      <c r="L16" s="276">
        <f t="shared" si="3"/>
        <v>160.05840000000001</v>
      </c>
      <c r="M16" s="232">
        <f t="shared" si="3"/>
        <v>37339.949600000007</v>
      </c>
      <c r="N16" s="233">
        <f>SUM(N7:N15)</f>
        <v>8176.2711864406756</v>
      </c>
      <c r="O16" s="101">
        <f>SUM(O7:O15)</f>
        <v>227.5811039322034</v>
      </c>
      <c r="P16" s="113">
        <f>SUM(P7:P15)</f>
        <v>45743.801890372881</v>
      </c>
      <c r="Q16" s="128">
        <f>SUM(Q7:Q15)</f>
        <v>0</v>
      </c>
      <c r="R16" s="314">
        <v>14</v>
      </c>
      <c r="S16" s="318" t="str">
        <f>+'14'!A6:A6</f>
        <v xml:space="preserve">Askari Depsrtmental Store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Askari Depsrtmental Store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Askari Depsrtmental Store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43171.200000000004</v>
      </c>
      <c r="R19" s="299">
        <v>17</v>
      </c>
      <c r="S19" s="300" t="str">
        <f>+'17'!A6:A6</f>
        <v xml:space="preserve">Askari Depsrtmental Store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4160.2</v>
      </c>
      <c r="R20" s="299">
        <v>18</v>
      </c>
      <c r="S20" s="300" t="str">
        <f>+'18'!A6:A6</f>
        <v xml:space="preserve">Askari Depsrtmental Store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1671.0504000000001</v>
      </c>
      <c r="R21" s="299">
        <v>19</v>
      </c>
      <c r="S21" s="300" t="str">
        <f>+'19'!A6:A6</f>
        <v xml:space="preserve">Askari Depsrtmental Store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37339.949600000007</v>
      </c>
      <c r="R22" s="299">
        <v>20</v>
      </c>
      <c r="S22" s="300" t="str">
        <f>+'20'!A6:A6</f>
        <v xml:space="preserve">Askari Depsrtmental Store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8176.2711864406756</v>
      </c>
      <c r="R23" s="299">
        <v>21</v>
      </c>
      <c r="S23" s="300" t="str">
        <f>+'21'!A6:A6</f>
        <v xml:space="preserve">Askari Depsrtmental Store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45516.220786440681</v>
      </c>
      <c r="R24" s="299">
        <v>22</v>
      </c>
      <c r="S24" s="300" t="str">
        <f>+'22'!A6:A6</f>
        <v xml:space="preserve">Askari Depsrtmental Store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227.5811039322034</v>
      </c>
      <c r="R25" s="299">
        <v>23</v>
      </c>
      <c r="S25" s="300" t="str">
        <f>+'23'!A6:A6</f>
        <v xml:space="preserve">Askari Depsrtmental Store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45743.801890372881</v>
      </c>
      <c r="R26" s="299">
        <v>24</v>
      </c>
      <c r="S26" s="300" t="str">
        <f>+'24'!A6:A6</f>
        <v xml:space="preserve">Askari Depsrtmental Store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Askari Depsrtmental Store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Askari Depsrtmental Store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Askari Depsrtmental Store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Askari Depsrtmental Store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Askari Depsrtmental Store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Askari Depsrtmental Store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45743.801890372881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311">
        <f t="shared" si="5"/>
        <v>6668.6151985169481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43171.200000000004</v>
      </c>
      <c r="J25" s="274">
        <f>SUM(J16:J24)</f>
        <v>4160.2</v>
      </c>
      <c r="K25" s="275">
        <f t="shared" si="10"/>
        <v>1510.9920000000002</v>
      </c>
      <c r="L25" s="276">
        <f t="shared" si="10"/>
        <v>160.05840000000001</v>
      </c>
      <c r="M25" s="232">
        <f t="shared" si="10"/>
        <v>37339.949600000007</v>
      </c>
      <c r="N25" s="233">
        <f>SUM(N16:N24)</f>
        <v>8176.2711864406756</v>
      </c>
      <c r="O25" s="101">
        <f>SUM(O16:O24)</f>
        <v>227.5811039322034</v>
      </c>
      <c r="P25" s="113">
        <f>SUM(P16:P24)</f>
        <v>45743.801890372881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43171.200000000004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4160.2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1671.0504000000001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37339.949600000007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8176.2711864406756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45516.220786440681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227.5811039322034</v>
      </c>
    </row>
    <row r="35" spans="2:16" ht="15.75" customHeight="1" thickBot="1" x14ac:dyDescent="0.4">
      <c r="N35" s="373" t="s">
        <v>88</v>
      </c>
      <c r="O35" s="374"/>
      <c r="P35" s="297">
        <f>+P33+P34</f>
        <v>45743.801890372881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2026-08-27T12:23:42Z</dcterms:modified>
</cp:coreProperties>
</file>