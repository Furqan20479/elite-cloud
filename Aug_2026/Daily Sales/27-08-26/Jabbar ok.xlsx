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E0655AF-E4B3-4FA8-BD40-104EAE1DDD7E}" xr6:coauthVersionLast="47" xr6:coauthVersionMax="47" xr10:uidLastSave="{00000000-0000-0000-0000-000000000000}"/>
  <bookViews>
    <workbookView xWindow="-110" yWindow="-110" windowWidth="19420" windowHeight="10420" tabRatio="948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7"/>
  <c r="O21" i="47" s="1"/>
  <c r="P21" i="47" s="1"/>
  <c r="J7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<sst xmlns="http://schemas.openxmlformats.org/spreadsheetml/2006/main" count="3978" uniqueCount="521">
  <si>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</si>
  <si>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</si>
  <si>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</si>
  <si>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</si>
  <si>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</si>
  <si>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</si>
  <si>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</si>
  <si>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</si>
  <si>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</si>
  <si>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</si>
  <si>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</si>
  <si>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</si>
  <si>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</si>
  <si>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</si>
  <si>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</si>
  <si>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</si>
  <si>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</si>
  <si>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</si>
  <si>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</si>
  <si>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</si>
  <si>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</si>
  <si>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</si>
  <si>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</si>
  <si>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</si>
  <si>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</si>
  <si>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</si>
  <si>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</si>
  <si>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</si>
  <si>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</si>
  <si>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</si>
  <si>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</si>
  <si>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</si>
  <si>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</si>
  <si>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</si>
  <si>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</si>
  <si>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</si>
  <si>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</si>
  <si>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</si>
  <si>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</si>
  <si>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</si>
  <si>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</si>
  <si>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</si>
  <si>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</si>
  <si>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</si>
  <si>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</si>
  <si>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</si>
  <si>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</si>
  <si>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</si>
  <si>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</si>
  <si>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</si>
  <si>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</si>
  <si>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</si>
  <si>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</si>
  <si>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</si>
  <si>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</si>
  <si>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</si>
  <si>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</si>
  <si>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</si>
  <si>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</si>
  <si>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</si>
  <si>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</si>
  <si>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</si>
  <si>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</si>
  <si>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</si>
  <si>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</si>
  <si>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</si>
  <si>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</si>
  <si>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</si>
  <si>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</si>
  <si>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</si>
  <si>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</si>
  <si>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</si>
  <si>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</si>
  <si>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</si>
  <si>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</si>
  <si>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</si>
  <si>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</si>
  <si>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</si>
  <si>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</si>
  <si>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</si>
  <si>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</si>
  <si>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</si>
  <si>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</si>
  <si>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</si>
  <si>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</si>
  <si>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</si>
  <si>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</si>
  <si>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</si>
  <si>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</si>
  <si>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</si>
  <si>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</si>
  <si>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</si>
  <si>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</si>
  <si>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</si>
  <si>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</si>
  <si>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</si>
  <si>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</si>
  <si>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</si>
  <si>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</si>
  <si>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</si>
  <si>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</si>
  <si>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</si>
  <si>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</si>
  <si>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</si>
  <si>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</si>
  <si>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</si>
  <si>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</si>
  <si>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</si>
  <si>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</si>
  <si>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</si>
  <si>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</si>
  <si>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</si>
  <si>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</si>
  <si>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</si>
  <si>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</si>
  <si>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</si>
  <si>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</si>
  <si>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</si>
  <si>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</si>
  <si>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</si>
  <si>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</si>
  <si>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</si>
  <si>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</si>
  <si>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</si>
  <si>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</si>
  <si>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</si>
  <si>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</si>
  <si>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</si>
  <si>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</si>
  <si>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</si>
  <si>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</si>
  <si>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</si>
  <si>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</si>
  <si>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</si>
  <si>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</si>
  <si>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</si>
  <si>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</si>
  <si>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</si>
  <si>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</si>
  <si>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</si>
  <si>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</si>
  <si>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</si>
  <si>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</si>
  <si>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</si>
  <si>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</si>
  <si>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</si>
  <si>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</si>
  <si>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</si>
  <si>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</si>
  <si>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</si>
  <si>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</si>
  <si>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</si>
  <si>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</si>
  <si>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</si>
  <si>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</si>
  <si>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</si>
  <si>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</si>
  <si>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</si>
  <si>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</si>
  <si>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</si>
  <si>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</si>
  <si>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</si>
  <si>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</si>
  <si>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</si>
  <si>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</si>
  <si>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</si>
  <si>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</si>
  <si>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</si>
  <si>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</si>
  <si>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</si>
  <si>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</si>
  <si>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</si>
  <si>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</si>
  <si>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</si>
  <si>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</si>
  <si>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</si>
  <si>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</si>
  <si>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</si>
  <si>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</si>
  <si>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</si>
  <si>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</si>
  <si>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</si>
  <si>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</si>
  <si>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</si>
  <si>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</si>
  <si>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</si>
  <si>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</si>
  <si>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</si>
  <si>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</si>
  <si>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</si>
  <si>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</si>
  <si>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</si>
  <si>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</si>
  <si>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</si>
  <si>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</si>
  <si>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</si>
  <si>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</si>
  <si>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</si>
  <si>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</si>
  <si>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</si>
  <si>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</si>
  <si>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</si>
  <si>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</si>
  <si>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</si>
  <si>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</si>
  <si>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</si>
  <si>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</si>
  <si>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</si>
  <si>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</si>
  <si>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</si>
  <si>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</si>
  <si>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</si>
  <si>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</si>
  <si>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</si>
  <si>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</si>
  <si>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</si>
  <si>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</si>
  <si>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</si>
  <si>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</si>
  <si>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</si>
  <si>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</si>
  <si>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</si>
  <si>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</si>
  <si>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</si>
  <si>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</si>
  <si>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</si>
  <si>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</si>
  <si>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</si>
  <si>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</si>
  <si>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</si>
  <si>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</si>
  <si>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</si>
  <si>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</si>
  <si>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</si>
  <si>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</si>
  <si>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</si>
  <si>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</si>
  <si>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</si>
  <si>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</si>
  <si>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</si>
  <si>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</si>
  <si>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</si>
  <si>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</si>
  <si>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</si>
  <si>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</si>
  <si>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</si>
  <si>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</si>
  <si>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</si>
  <si>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</si>
  <si>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</si>
  <si>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</si>
  <si>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</si>
  <si>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</si>
  <si>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</si>
  <si>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</si>
  <si>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</si>
  <si>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</si>
  <si>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</si>
  <si>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</si>
  <si>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</si>
  <si>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</si>
  <si>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</si>
  <si>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</si>
  <si>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</si>
  <si>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</si>
  <si>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</si>
  <si>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</si>
  <si>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</si>
  <si>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</si>
  <si>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</si>
  <si>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</si>
  <si>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</si>
  <si>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</si>
  <si>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</si>
  <si>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</si>
  <si>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</si>
  <si>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</si>
  <si>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</si>
  <si>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</si>
  <si>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</si>
  <si>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</si>
  <si>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</si>
  <si>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</si>
  <si>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</si>
  <si>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</si>
  <si>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</si>
  <si>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</si>
  <si>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</si>
  <si>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</si>
  <si>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</si>
  <si>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</si>
  <si>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</si>
  <si>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</si>
  <si>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</si>
  <si>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</si>
  <si>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</si>
  <si>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</si>
  <si>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</si>
  <si>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</si>
  <si>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</si>
  <si>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</si>
  <si>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</si>
  <si>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</si>
  <si>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</si>
  <si>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</si>
  <si>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</si>
  <si>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</si>
  <si>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</si>
  <si>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</si>
  <si>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</si>
  <si>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</si>
  <si>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</si>
  <si>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</si>
  <si>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</si>
  <si>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</si>
  <si>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</si>
  <si>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</si>
  <si>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</si>
  <si>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</si>
  <si>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</si>
  <si>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</si>
  <si>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</si>
  <si>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</si>
  <si>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</si>
  <si>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</si>
  <si>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</si>
  <si>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</si>
  <si>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</si>
  <si>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</si>
  <si>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</si>
  <si>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</si>
  <si>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</si>
  <si>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</si>
  <si>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</si>
  <si>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</si>
  <si>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</si>
  <si>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</si>
  <si>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</si>
  <si>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</si>
  <si>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</si>
  <si>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</si>
  <si>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</si>
  <si>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</si>
  <si>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</si>
  <si>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</si>
  <si>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</si>
  <si>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</si>
  <si>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</si>
  <si>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</si>
  <si>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</si>
  <si>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</si>
  <si>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</si>
  <si>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</si>
  <si>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</si>
  <si>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</si>
  <si>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</si>
  <si>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</si>
  <si>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</si>
  <si>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</si>
  <si>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</si>
  <si>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</si>
  <si>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</si>
  <si>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</si>
  <si>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</si>
  <si>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</si>
  <si>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</si>
  <si>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</si>
  <si>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</si>
  <si>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</si>
  <si>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</si>
  <si>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</si>
  <si>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</si>
  <si>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</si>
  <si>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</si>
  <si>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</si>
  <si>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</si>
  <si>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</si>
  <si>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</si>
  <si>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</si>
  <si>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</si>
  <si>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</si>
  <si>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</si>
  <si>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</si>
  <si>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</si>
  <si>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</si>
  <si>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</si>
  <si>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</si>
  <si>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</si>
  <si>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</si>
  <si>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</si>
  <si>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</si>
  <si>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</si>
  <si>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</si>
  <si>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</si>
  <si>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</si>
  <si>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</si>
  <si>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</si>
  <si>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</si>
  <si>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</si>
  <si>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</si>
  <si>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</si>
  <si>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</si>
  <si>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</si>
  <si>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</si>
  <si>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</si>
  <si>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</si>
  <si>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</si>
  <si>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</si>
  <si>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</si>
  <si>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</si>
  <si>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</si>
  <si>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</si>
  <si>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</si>
  <si>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</si>
  <si>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</si>
  <si>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</si>
  <si>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</si>
  <si>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</si>
  <si>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</si>
  <si>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</si>
  <si>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</si>
  <si>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</si>
  <si>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</si>
  <si>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</si>
  <si>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</si>
  <si>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</si>
  <si>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</si>
  <si>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</si>
  <si>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</si>
  <si>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</si>
  <si>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</si>
  <si>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</si>
  <si>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</si>
  <si>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</si>
  <si>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</si>
  <si>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</si>
  <si>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</si>
  <si>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</si>
  <si>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</si>
  <si>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</si>
  <si>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</si>
  <si>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</si>
  <si>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</si>
  <si>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</si>
  <si>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</si>
  <si>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</si>
  <si>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</si>
  <si>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</si>
  <si>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</si>
  <si>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</si>
  <si>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</si>
  <si>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</si>
  <si>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</si>
  <si>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</si>
  <si>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</si>
  <si>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</si>
  <si>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</si>
  <si>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</si>
  <si>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</si>
  <si>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</si>
  <si>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</si>
  <si>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</si>
  <si>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</si>
  <si>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</si>
  <si>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</si>
  <si>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</si>
  <si>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</si>
  <si>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</si>
  <si>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</si>
  <si>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</si>
  <si>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</si>
  <si>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</si>
  <si>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</si>
  <si>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</si>
  <si>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</si>
  <si>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</si>
  <si>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</si>
  <si>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</si>
  <si>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</si>
  <si>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</si>
  <si>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</si>
  <si>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</si>
  <si>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</si>
  <si>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</si>
  <si>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</si>
  <si>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</si>
  <si>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</si>
  <si>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</si>
  <si>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</si>
  <si>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</si>
  <si>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</si>
  <si>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</si>
  <si>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</si>
  <si>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</si>
  <si>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</si>
  <si>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</si>
  <si>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</si>
  <si>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</si>
  <si>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</si>
  <si>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</si>
  <si>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</si>
  <si>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</si>
  <si>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</si>
  <si>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</si>
  <si>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</si>
  <si>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</si>
  <si>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</si>
  <si>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</si>
  <si>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</si>
  <si>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</si>
  <si>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</si>
  <si>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</si>
  <si>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</si>
  <si>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</si>
  <si>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 xml:space="preserve">Address: Paragon City </t>
  </si>
  <si>
    <t>Faiz Alam Store</t>
  </si>
  <si>
    <t xml:space="preserve">ZB Mart </t>
  </si>
  <si>
    <t xml:space="preserve">Pick Park </t>
  </si>
  <si>
    <t xml:space="preserve">Imperiel Mart </t>
  </si>
  <si>
    <t>Ch Store</t>
  </si>
  <si>
    <t>Akber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</si>
</sst>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7" workbookViewId="0">
      <selection sqref="A1: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46261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Faiz Alam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ZB Mart </v>
      </c>
      <c r="T4" s="301">
        <f>+'2'!P35</f>
        <v>4468.2418543156773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Pick Park </v>
      </c>
      <c r="T5" s="301">
        <f>+'3'!P35</f>
        <v>2434.7534829330511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Imperiel Mart </v>
      </c>
      <c r="T6" s="301">
        <f>+'4'!P35</f>
        <v>1001.5067480949152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19</v>
      </c>
      <c r="I7" s="235">
        <f>(G7*D7)*F7+H7*F7</f>
        <v>996.78750000000002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79.742999999999995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34.887562500000001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882.15693750000003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188.38983050847449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5.3527338400423732</v>
      </c>
      <c r="P7" s="310">
        <f>M7+N7+O7</f>
        <v>1075.899501848517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Ch Store</v>
      </c>
      <c r="T7" s="301">
        <f>+'5'!P35</f>
        <v>590.13442444957616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Akber Store</v>
      </c>
      <c r="T8" s="301">
        <f>+'6'!P35</f>
        <v>1060.5661622122882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25</v>
      </c>
      <c r="I9" s="236">
        <f t="shared" si="0"/>
        <v>1311.5625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104.925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45.904687499999994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1160.7328124999999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247.88135593220326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7.0430708421610166</v>
      </c>
      <c r="P9" s="311">
        <f t="shared" si="2"/>
        <v>1415.6572392743642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21</v>
      </c>
      <c r="I10" s="236">
        <f t="shared" si="0"/>
        <v>1525.44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122.0352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53.390400000000007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1350.0144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288.30508474576271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8.1915974237288136</v>
      </c>
      <c r="P10" s="311">
        <f t="shared" si="2"/>
        <v>1646.5110821694916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21</v>
      </c>
      <c r="I12" s="236">
        <f t="shared" si="0"/>
        <v>1525.44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122.0352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53.390400000000007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1350.0144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288.30508474576271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8.1915974237288136</v>
      </c>
      <c r="P12" s="311">
        <f t="shared" si="2"/>
        <v>1646.5110821694916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58</v>
      </c>
      <c r="I13" s="236">
        <f t="shared" si="0"/>
        <v>2275.34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113.76700000000002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79.636900000000026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116.04234</v>
      </c>
      <c r="M13" s="230">
        <f t="shared" si="1"/>
        <v>1965.8937600000002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442.37288135593195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12.041333206779662</v>
      </c>
      <c r="P13" s="311">
        <f t="shared" si="2"/>
        <v>2420.3079745627119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12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4.0999999999999996</v>
      </c>
      <c r="H16" s="113">
        <f t="shared" ref="H16:M16" si="3">SUM(H7:H15)</f>
        <v>164</v>
      </c>
      <c r="I16" s="114">
        <f t="shared" si="3"/>
        <v>8885.5949999999993</v>
      </c>
      <c r="J16" s="274">
        <f>SUM(J7:J15)</f>
        <v>642.5874</v>
      </c>
      <c r="K16" s="275">
        <f t="shared" si="3"/>
        <v>310.99582500000002</v>
      </c>
      <c r="L16" s="276">
        <f t="shared" si="3"/>
        <v>116.04234</v>
      </c>
      <c r="M16" s="232">
        <f t="shared" si="3"/>
        <v>7815.969435</v>
      </c>
      <c r="N16" s="233">
        <f>SUM(N7:N15)</f>
        <v>1691.6949152542365</v>
      </c>
      <c r="O16" s="101">
        <f>SUM(O7:O15)</f>
        <v>47.538321751271184</v>
      </c>
      <c r="P16" s="113">
        <f>SUM(P7:P15)</f>
        <v>9555.2026720055092</v>
      </c>
      <c r="Q16" s="128">
        <f>SUM(Q7:Q15)</f>
        <v>12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8885.5949999999993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642.5874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427.03816500000005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7815.9694349999991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1691.6949152542365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9507.6643502542356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47.538321751271184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9555.2026720055073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9555.2026720055092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70</v>
      </c>
      <c r="I25" s="114">
        <f t="shared" si="7"/>
        <v>4145.375</v>
      </c>
      <c r="J25" s="274">
        <f>SUM(J16:J24)</f>
        <v>319.86099999999999</v>
      </c>
      <c r="K25" s="275">
        <f t="shared" si="7"/>
        <v>145.08812500000002</v>
      </c>
      <c r="L25" s="276">
        <f t="shared" si="7"/>
        <v>20.007300000000001</v>
      </c>
      <c r="M25" s="232">
        <f t="shared" si="7"/>
        <v>3660.4185750000001</v>
      </c>
      <c r="N25" s="233">
        <f>SUM(N16:N24)</f>
        <v>785.59322033898275</v>
      </c>
      <c r="O25" s="101">
        <f>SUM(O16:O24)</f>
        <v>22.230058976694913</v>
      </c>
      <c r="P25" s="113">
        <f>SUM(P16:P24)</f>
        <v>4468.2418543156782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4145.375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319.86099999999999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165.09542500000003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3660.4185750000001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785.59322033898275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4446.0117953389827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22.230058976694913</v>
      </c>
    </row>
    <row r="35" spans="2:16" ht="15.75" customHeight="1" thickBot="1" x14ac:dyDescent="0.4">
      <c r="N35" s="344" t="s">
        <v>88</v>
      </c>
      <c r="O35" s="345"/>
      <c r="P35" s="297">
        <f>+P33+P34</f>
        <v>4468.2418543156773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311">
        <f t="shared" si="5"/>
        <v>627.24231701694919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311">
        <f t="shared" si="5"/>
        <v>627.24231701694919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2262.5500000000002</v>
      </c>
      <c r="J25" s="274">
        <f>SUM(J16:J24)</f>
        <v>166.88120000000001</v>
      </c>
      <c r="K25" s="275">
        <f t="shared" si="7"/>
        <v>79.189250000000015</v>
      </c>
      <c r="L25" s="276">
        <f t="shared" si="7"/>
        <v>24.008760000000002</v>
      </c>
      <c r="M25" s="232">
        <f t="shared" si="7"/>
        <v>1992.4707900000003</v>
      </c>
      <c r="N25" s="233">
        <f>SUM(N16:N24)</f>
        <v>430.16949152542361</v>
      </c>
      <c r="O25" s="101">
        <f>SUM(O16:O24)</f>
        <v>12.11320140762712</v>
      </c>
      <c r="P25" s="113">
        <f>SUM(P16:P24)</f>
        <v>2434.7534829330511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2262.5500000000002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166.88120000000001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103.19801000000001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1992.4707900000003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430.16949152542361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2422.6402815254241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12.113201407627121</v>
      </c>
    </row>
    <row r="35" spans="2:16" ht="15.75" customHeight="1" thickBot="1" x14ac:dyDescent="0.4">
      <c r="N35" s="344" t="s">
        <v>88</v>
      </c>
      <c r="O35" s="345"/>
      <c r="P35" s="297">
        <f>+P33+P34</f>
        <v>2434.7534829330511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</v>
      </c>
      <c r="I25" s="114">
        <f t="shared" si="7"/>
        <v>941.5200000000001</v>
      </c>
      <c r="J25" s="274">
        <f>SUM(J16:J24)</f>
        <v>47.076000000000008</v>
      </c>
      <c r="K25" s="275">
        <f t="shared" si="7"/>
        <v>32.95320000000001</v>
      </c>
      <c r="L25" s="276">
        <f t="shared" si="7"/>
        <v>48.017520000000005</v>
      </c>
      <c r="M25" s="232">
        <f t="shared" si="7"/>
        <v>813.47328000000005</v>
      </c>
      <c r="N25" s="233">
        <f>SUM(N16:N24)</f>
        <v>183.05084745762701</v>
      </c>
      <c r="O25" s="101">
        <f>SUM(O16:O24)</f>
        <v>4.982620637288135</v>
      </c>
      <c r="P25" s="113">
        <f>SUM(P16:P24)</f>
        <v>1001.5067480949152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941.5200000000001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47.076000000000008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80.970720000000014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813.47328000000005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183.05084745762701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996.52412745762706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4.982620637288135</v>
      </c>
    </row>
    <row r="35" spans="2:16" ht="15.75" customHeight="1" thickBot="1" x14ac:dyDescent="0.4">
      <c r="N35" s="344" t="s">
        <v>88</v>
      </c>
      <c r="O35" s="345"/>
      <c r="P35" s="297">
        <f>+P33+P34</f>
        <v>1001.5067480949152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550.15499999999997</v>
      </c>
      <c r="J25" s="274">
        <f>SUM(J16:J24)</f>
        <v>36.951000000000001</v>
      </c>
      <c r="K25" s="275">
        <f t="shared" si="7"/>
        <v>19.255425000000002</v>
      </c>
      <c r="L25" s="276">
        <f t="shared" si="7"/>
        <v>12.004380000000001</v>
      </c>
      <c r="M25" s="232">
        <f t="shared" si="7"/>
        <v>481.94419500000004</v>
      </c>
      <c r="N25" s="233">
        <f>SUM(N16:N24)</f>
        <v>105.25423728813554</v>
      </c>
      <c r="O25" s="101">
        <f>SUM(O16:O24)</f>
        <v>2.9359921614406774</v>
      </c>
      <c r="P25" s="113">
        <f>SUM(P16:P24)</f>
        <v>590.13442444957627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550.15499999999997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36.951000000000001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31.259805000000004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481.94419499999992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105.25423728813554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587.19843228813545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2.9359921614406774</v>
      </c>
    </row>
    <row r="35" spans="2:16" ht="15.75" customHeight="1" thickBot="1" x14ac:dyDescent="0.4">
      <c r="N35" s="344" t="s">
        <v>88</v>
      </c>
      <c r="O35" s="345"/>
      <c r="P35" s="297">
        <f>+P33+P34</f>
        <v>590.13442444957616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311">
        <f t="shared" si="5"/>
        <v>169.87886871292372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18</v>
      </c>
      <c r="I25" s="114">
        <f t="shared" si="7"/>
        <v>985.995</v>
      </c>
      <c r="J25" s="274">
        <f>SUM(J16:J24)</f>
        <v>71.818200000000004</v>
      </c>
      <c r="K25" s="275">
        <f t="shared" si="7"/>
        <v>34.509825000000006</v>
      </c>
      <c r="L25" s="276">
        <f t="shared" si="7"/>
        <v>12.004380000000001</v>
      </c>
      <c r="M25" s="232">
        <f t="shared" si="7"/>
        <v>867.66259500000001</v>
      </c>
      <c r="N25" s="233">
        <f>SUM(N16:N24)</f>
        <v>187.62711864406776</v>
      </c>
      <c r="O25" s="101">
        <f>SUM(O16:O24)</f>
        <v>5.2764485682203386</v>
      </c>
      <c r="P25" s="113">
        <f>SUM(P16:P24)</f>
        <v>1060.5661622122882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985.995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71.818200000000004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46.514205000000004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867.66259500000001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187.62711864406776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1055.2897136440679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5.2764485682203395</v>
      </c>
    </row>
    <row r="35" spans="2:16" ht="15.75" customHeight="1" thickBot="1" x14ac:dyDescent="0.4">
      <c r="N35" s="344" t="s">
        <v>88</v>
      </c>
      <c r="O35" s="345"/>
      <c r="P35" s="297">
        <f>+P33+P34</f>
        <v>1060.5661622122882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46262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46261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2026-08-27T12:11:57Z</dcterms:modified>
</cp:coreProperties>
</file>