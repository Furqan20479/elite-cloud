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7E46D7E-B9E0-4118-9FB3-A55B11B7003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<sst xmlns="http://schemas.openxmlformats.org/spreadsheetml/2006/main" count="3978" uniqueCount="524">
  <si>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</si>
  <si>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</si>
  <si>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</si>
  <si>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</si>
  <si>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</si>
  <si>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</si>
  <si>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</si>
  <si>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</si>
  <si>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</si>
  <si>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</si>
  <si>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</si>
  <si>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</si>
  <si>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</si>
  <si>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</si>
  <si>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</si>
  <si>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</si>
  <si>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</si>
  <si>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</si>
  <si>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</si>
  <si>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</si>
  <si>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</si>
  <si>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</si>
  <si>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</si>
  <si>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</si>
  <si>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</si>
  <si>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</si>
  <si>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</si>
  <si>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</si>
  <si>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</si>
  <si>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</si>
  <si>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</si>
  <si>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</si>
  <si>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</si>
  <si>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</si>
  <si>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</si>
  <si>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</si>
  <si>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</si>
  <si>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</si>
  <si>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</si>
  <si>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</si>
  <si>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</si>
  <si>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</si>
  <si>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</si>
  <si>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</si>
  <si>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</si>
  <si>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</si>
  <si>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</si>
  <si>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</si>
  <si>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</si>
  <si>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</si>
  <si>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</si>
  <si>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</si>
  <si>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</si>
  <si>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</si>
  <si>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</si>
  <si>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</si>
  <si>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</si>
  <si>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</si>
  <si>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</si>
  <si>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</si>
  <si>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</si>
  <si>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</si>
  <si>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</si>
  <si>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</si>
  <si>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</si>
  <si>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</si>
  <si>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</si>
  <si>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</si>
  <si>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</si>
  <si>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</si>
  <si>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</si>
  <si>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</si>
  <si>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</si>
  <si>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</si>
  <si>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</si>
  <si>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</si>
  <si>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</si>
  <si>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</si>
  <si>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</si>
  <si>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</si>
  <si>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</si>
  <si>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</si>
  <si>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</si>
  <si>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</si>
  <si>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</si>
  <si>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</si>
  <si>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</si>
  <si>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</si>
  <si>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</si>
  <si>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</si>
  <si>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</si>
  <si>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</si>
  <si>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</si>
  <si>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</si>
  <si>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</si>
  <si>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</si>
  <si>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</si>
  <si>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</si>
  <si>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</si>
  <si>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</si>
  <si>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</si>
  <si>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</si>
  <si>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</si>
  <si>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</si>
  <si>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</si>
  <si>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</si>
  <si>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</si>
  <si>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</si>
  <si>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</si>
  <si>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</si>
  <si>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</si>
  <si>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</si>
  <si>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</si>
  <si>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</si>
  <si>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</si>
  <si>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</si>
  <si>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</si>
  <si>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</si>
  <si>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</si>
  <si>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</si>
  <si>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</si>
  <si>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</si>
  <si>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</si>
  <si>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</si>
  <si>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</si>
  <si>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</si>
  <si>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</si>
  <si>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</si>
  <si>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</si>
  <si>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</si>
  <si>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</si>
  <si>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</si>
  <si>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</si>
  <si>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</si>
  <si>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</si>
  <si>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</si>
  <si>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</si>
  <si>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</si>
  <si>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</si>
  <si>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</si>
  <si>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</si>
  <si>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</si>
  <si>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</si>
  <si>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</si>
  <si>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</si>
  <si>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</si>
  <si>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</si>
  <si>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</si>
  <si>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</si>
  <si>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</si>
  <si>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</si>
  <si>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</si>
  <si>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</si>
  <si>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</si>
  <si>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</si>
  <si>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</si>
  <si>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</si>
  <si>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</si>
  <si>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</si>
  <si>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</si>
  <si>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</si>
  <si>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</si>
  <si>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</si>
  <si>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</si>
  <si>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</si>
  <si>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</si>
  <si>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</si>
  <si>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</si>
  <si>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</si>
  <si>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</si>
  <si>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</si>
  <si>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</si>
  <si>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</si>
  <si>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</si>
  <si>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</si>
  <si>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</si>
  <si>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</si>
  <si>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</si>
  <si>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</si>
  <si>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</si>
  <si>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</si>
  <si>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</si>
  <si>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</si>
  <si>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</si>
  <si>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</si>
  <si>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</si>
  <si>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</si>
  <si>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</si>
  <si>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</si>
  <si>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</si>
  <si>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</si>
  <si>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</si>
  <si>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</si>
  <si>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</si>
  <si>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</si>
  <si>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</si>
  <si>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</si>
  <si>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</si>
  <si>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</si>
  <si>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</si>
  <si>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</si>
  <si>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</si>
  <si>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</si>
  <si>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</si>
  <si>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</si>
  <si>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</si>
  <si>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</si>
  <si>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</si>
  <si>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</si>
  <si>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</si>
  <si>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</si>
  <si>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</si>
  <si>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</si>
  <si>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</si>
  <si>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</si>
  <si>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</si>
  <si>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</si>
  <si>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</si>
  <si>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</si>
  <si>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</si>
  <si>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</si>
  <si>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</si>
  <si>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</si>
  <si>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</si>
  <si>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</si>
  <si>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</si>
  <si>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</si>
  <si>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</si>
  <si>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</si>
  <si>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</si>
  <si>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</si>
  <si>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</si>
  <si>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</si>
  <si>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</si>
  <si>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</si>
  <si>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</si>
  <si>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</si>
  <si>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</si>
  <si>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</si>
  <si>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</si>
  <si>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</si>
  <si>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</si>
  <si>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</si>
  <si>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</si>
  <si>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</si>
  <si>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</si>
  <si>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</si>
  <si>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</si>
  <si>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</si>
  <si>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</si>
  <si>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</si>
  <si>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</si>
  <si>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</si>
  <si>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</si>
  <si>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</si>
  <si>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</si>
  <si>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</si>
  <si>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</si>
  <si>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</si>
  <si>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</si>
  <si>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</si>
  <si>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</si>
  <si>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</si>
  <si>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</si>
  <si>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</si>
  <si>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</si>
  <si>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</si>
  <si>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</si>
  <si>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</si>
  <si>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</si>
  <si>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</si>
  <si>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</si>
  <si>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</si>
  <si>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</si>
  <si>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</si>
  <si>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</si>
  <si>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</si>
  <si>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</si>
  <si>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</si>
  <si>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</si>
  <si>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</si>
  <si>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</si>
  <si>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</si>
  <si>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</si>
  <si>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</si>
  <si>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</si>
  <si>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</si>
  <si>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</si>
  <si>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</si>
  <si>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</si>
  <si>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</si>
  <si>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</si>
  <si>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</si>
  <si>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</si>
  <si>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</si>
  <si>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</si>
  <si>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</si>
  <si>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</si>
  <si>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</si>
  <si>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</si>
  <si>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</si>
  <si>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</si>
  <si>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</si>
  <si>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</si>
  <si>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</si>
  <si>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</si>
  <si>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</si>
  <si>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</si>
  <si>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</si>
  <si>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</si>
  <si>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</si>
  <si>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</si>
  <si>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</si>
  <si>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</si>
  <si>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</si>
  <si>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</si>
  <si>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</si>
  <si>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</si>
  <si>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</si>
  <si>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</si>
  <si>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</si>
  <si>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</si>
  <si>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</si>
  <si>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</si>
  <si>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</si>
  <si>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</si>
  <si>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</si>
  <si>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</si>
  <si>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</si>
  <si>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</si>
  <si>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</si>
  <si>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</si>
  <si>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</si>
  <si>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</si>
  <si>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</si>
  <si>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</si>
  <si>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</si>
  <si>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</si>
  <si>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</si>
  <si>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</si>
  <si>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</si>
  <si>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</si>
  <si>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</si>
  <si>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</si>
  <si>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</si>
  <si>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</si>
  <si>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</si>
  <si>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</si>
  <si>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</si>
  <si>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</si>
  <si>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</si>
  <si>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</si>
  <si>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</si>
  <si>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</si>
  <si>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</si>
  <si>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</si>
  <si>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</si>
  <si>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</si>
  <si>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</si>
  <si>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</si>
  <si>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</si>
  <si>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</si>
  <si>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</si>
  <si>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</si>
  <si>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</si>
  <si>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</si>
  <si>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</si>
  <si>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</si>
  <si>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</si>
  <si>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</si>
  <si>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</si>
  <si>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</si>
  <si>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</si>
  <si>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</si>
  <si>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</si>
  <si>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</si>
  <si>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</si>
  <si>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</si>
  <si>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</si>
  <si>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</si>
  <si>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</si>
  <si>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</si>
  <si>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</si>
  <si>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</si>
  <si>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</si>
  <si>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</si>
  <si>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</si>
  <si>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</si>
  <si>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</si>
  <si>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</si>
  <si>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</si>
  <si>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</si>
  <si>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</si>
  <si>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</si>
  <si>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</si>
  <si>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</si>
  <si>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</si>
  <si>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</si>
  <si>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</si>
  <si>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</si>
  <si>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</si>
  <si>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</si>
  <si>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</si>
  <si>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</si>
  <si>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</si>
  <si>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</si>
  <si>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</si>
  <si>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</si>
  <si>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</si>
  <si>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</si>
  <si>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</si>
  <si>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</si>
  <si>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</si>
  <si>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</si>
  <si>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</si>
  <si>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</si>
  <si>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</si>
  <si>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</si>
  <si>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</si>
  <si>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</si>
  <si>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</si>
  <si>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</si>
  <si>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</si>
  <si>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</si>
  <si>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</si>
  <si>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</si>
  <si>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</si>
  <si>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</si>
  <si>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</si>
  <si>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</si>
  <si>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</si>
  <si>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</si>
  <si>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</si>
  <si>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</si>
  <si>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</si>
  <si>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</si>
  <si>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</si>
  <si>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</si>
  <si>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</si>
  <si>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</si>
  <si>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</si>
  <si>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</si>
  <si>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</si>
  <si>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</si>
  <si>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</si>
  <si>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</si>
  <si>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</si>
  <si>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</si>
  <si>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</si>
  <si>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</si>
  <si>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</si>
  <si>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</si>
  <si>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</si>
  <si>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</si>
  <si>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</si>
  <si>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</si>
  <si>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</si>
  <si>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</si>
  <si>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</si>
  <si>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</si>
  <si>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</si>
  <si>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</si>
  <si>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</si>
  <si>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</si>
  <si>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</si>
  <si>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</si>
  <si>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</si>
  <si>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</si>
  <si>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</si>
  <si>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</si>
  <si>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</si>
  <si>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</si>
  <si>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</si>
  <si>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</si>
  <si>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</si>
  <si>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</si>
  <si>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</si>
  <si>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</si>
  <si>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</si>
  <si>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</si>
  <si>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</si>
  <si>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</si>
  <si>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</si>
  <si>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</si>
  <si>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</si>
  <si>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</si>
  <si>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</si>
  <si>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</si>
  <si>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</si>
  <si>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</si>
  <si>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</si>
  <si>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</si>
  <si>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</si>
  <si>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</si>
  <si>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</si>
  <si>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</si>
  <si>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</si>
  <si>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</si>
  <si>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</si>
  <si>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</si>
  <si>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</si>
  <si>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</si>
  <si>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</si>
  <si>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</si>
  <si>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</si>
  <si>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</si>
  <si>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</si>
  <si>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</si>
  <si>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</si>
  <si>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</si>
  <si>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</si>
  <si>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</si>
  <si>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</si>
  <si>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Umair </t>
  </si>
  <si>
    <t xml:space="preserve">Umair Rehman </t>
  </si>
  <si>
    <t>Address: Nashter Bazar</t>
  </si>
  <si>
    <t xml:space="preserve">Al Ahmad Bakers </t>
  </si>
  <si>
    <t xml:space="preserve">SS Bakers </t>
  </si>
  <si>
    <t>Khubaib Store</t>
  </si>
  <si>
    <t>Mahi GS</t>
  </si>
  <si>
    <t>Bismillah GS</t>
  </si>
  <si>
    <t xml:space="preserve">Gulshan Bakers </t>
  </si>
  <si>
    <t xml:space="preserve">MS Mart </t>
  </si>
  <si>
    <t>Hussain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</si>
</sst>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Al Ahmad Bakers </v>
      </c>
      <c r="T3" s="301">
        <f>+'1'!P35</f>
        <v>3472.499574915254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SS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Khubaib Store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Mahi GS</v>
      </c>
      <c r="T6" s="301">
        <f>+'4'!P35</f>
        <v>3080.473126779661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>Bismillah GS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 xml:space="preserve">Gulshan Bakers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16</v>
      </c>
      <c r="R9" s="314">
        <v>7</v>
      </c>
      <c r="S9" s="300" t="str">
        <f>+'7'!A6:A6</f>
        <v xml:space="preserve">MS Mart 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25.354944406779666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Hussain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63</v>
      </c>
      <c r="I11" s="236">
        <f t="shared" si="0"/>
        <v>4576.32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366.10560000000004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160.17120000000003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4050.0431999999996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864.9152542372882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24.574792271186443</v>
      </c>
      <c r="P11" s="311">
        <f t="shared" si="2"/>
        <v>4939.5332465084739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191.76960000000003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2121.4512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12.872510237288136</v>
      </c>
      <c r="P12" s="311">
        <f t="shared" si="2"/>
        <v>2587.3745576949154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8.0250000000000004</v>
      </c>
      <c r="H16" s="113">
        <f t="shared" ref="H16:M16" si="3">SUM(H7:H15)</f>
        <v>321</v>
      </c>
      <c r="I16" s="114">
        <f t="shared" si="3"/>
        <v>17971.840000000004</v>
      </c>
      <c r="J16" s="274">
        <f>SUM(J7:J15)</f>
        <v>1249.4432000000002</v>
      </c>
      <c r="K16" s="275">
        <f t="shared" si="3"/>
        <v>629.01440000000002</v>
      </c>
      <c r="L16" s="276">
        <f t="shared" si="3"/>
        <v>320.11680000000001</v>
      </c>
      <c r="M16" s="232">
        <f t="shared" si="3"/>
        <v>15773.265600000001</v>
      </c>
      <c r="N16" s="233">
        <f>SUM(N7:N15)</f>
        <v>3430.6779661016944</v>
      </c>
      <c r="O16" s="101">
        <f>SUM(O7:O15)</f>
        <v>96.019717830508483</v>
      </c>
      <c r="P16" s="113">
        <f>SUM(P7:P15)</f>
        <v>19299.9632839322</v>
      </c>
      <c r="Q16" s="128">
        <f>SUM(Q7:Q15)</f>
        <v>53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17971.840000000004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1249.4432000000002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949.13120000000004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15773.265600000002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3430.6779661016944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19203.943566101698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96.019717830508483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19299.963283932208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19299.963283932204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</v>
      </c>
      <c r="I19" s="236">
        <f t="shared" si="7"/>
        <v>799.04</v>
      </c>
      <c r="J19" s="272">
        <f t="shared" si="1"/>
        <v>63.923200000000001</v>
      </c>
      <c r="K19" s="128">
        <f t="shared" si="1"/>
        <v>27.9664</v>
      </c>
      <c r="L19" s="119">
        <f t="shared" si="1"/>
        <v>0</v>
      </c>
      <c r="M19" s="230">
        <f t="shared" si="2"/>
        <v>707.15039999999999</v>
      </c>
      <c r="N19" s="277">
        <f t="shared" si="3"/>
        <v>151.0169491525424</v>
      </c>
      <c r="O19" s="239">
        <f t="shared" si="4"/>
        <v>4.2908367457627117</v>
      </c>
      <c r="P19" s="311">
        <f t="shared" si="5"/>
        <v>862.45818589830503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63</v>
      </c>
      <c r="I25" s="114">
        <f t="shared" ref="I25:M25" si="10">SUM(I16:I24)</f>
        <v>3239.92</v>
      </c>
      <c r="J25" s="274">
        <f>SUM(J16:J24)</f>
        <v>212.11760000000004</v>
      </c>
      <c r="K25" s="275">
        <f t="shared" si="10"/>
        <v>113.39720000000001</v>
      </c>
      <c r="L25" s="276">
        <f t="shared" si="10"/>
        <v>80.029200000000003</v>
      </c>
      <c r="M25" s="232">
        <f t="shared" si="10"/>
        <v>2834.3760000000002</v>
      </c>
      <c r="N25" s="233">
        <f>SUM(N16:N24)</f>
        <v>620.8474576271185</v>
      </c>
      <c r="O25" s="101">
        <f>SUM(O16:O24)</f>
        <v>17.276117288135595</v>
      </c>
      <c r="P25" s="113">
        <f>SUM(P16:P24)</f>
        <v>3472.499574915254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3239.92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212.11760000000004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193.4264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2834.3760000000002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620.8474576271185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3455.2234576271185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17.276117288135591</v>
      </c>
    </row>
    <row r="35" spans="2:16" ht="15.75" customHeight="1" thickBot="1" x14ac:dyDescent="0.4">
      <c r="N35" s="344" t="s">
        <v>88</v>
      </c>
      <c r="O35" s="345"/>
      <c r="P35" s="297">
        <f>+P33+P34</f>
        <v>3472.499574915254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3136.2115850847463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183.06160000000006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2876.7200000000003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183.06160000000006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180.71440000000001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2512.9440000000004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3065.1473898305085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44" t="s">
        <v>88</v>
      </c>
      <c r="O35" s="345"/>
      <c r="P35" s="297">
        <f>+P33+P34</f>
        <v>3080.473126779661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2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2026-08-27T11:09:55Z</dcterms:modified>
</cp:coreProperties>
</file>