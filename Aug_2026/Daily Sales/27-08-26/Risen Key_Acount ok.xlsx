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AC53911-9EAD-4FBD-8A1B-20761C87C1A0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44"/>
  <c r="O21" i="44" s="1"/>
  <c r="P21" i="44" s="1"/>
  <c r="M16" i="44"/>
  <c r="M17" i="60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<sst xmlns="http://schemas.openxmlformats.org/spreadsheetml/2006/main" count="3976" uniqueCount="533">
  <si>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</si>
  <si>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</si>
  <si>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</si>
  <si>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</si>
  <si>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</si>
  <si>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</si>
  <si>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</si>
  <si>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</si>
  <si>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</si>
  <si>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</si>
  <si>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</si>
  <si>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</si>
  <si>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</si>
  <si>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</si>
  <si>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</si>
  <si>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</si>
  <si>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</si>
  <si>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</si>
  <si>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</si>
  <si>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</si>
  <si>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</si>
  <si>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</si>
  <si>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</si>
  <si>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</si>
  <si>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</si>
  <si>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</si>
  <si>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</si>
  <si>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</si>
  <si>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</si>
  <si>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</si>
  <si>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</si>
  <si>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</si>
  <si>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</si>
  <si>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</si>
  <si>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</si>
  <si>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</si>
  <si>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</si>
  <si>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</si>
  <si>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</si>
  <si>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</si>
  <si>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</si>
  <si>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</si>
  <si>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</si>
  <si>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</si>
  <si>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</si>
  <si>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</si>
  <si>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</si>
  <si>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</si>
  <si>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</si>
  <si>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</si>
  <si>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</si>
  <si>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</si>
  <si>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</si>
  <si>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</si>
  <si>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</si>
  <si>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</si>
  <si>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</si>
  <si>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</si>
  <si>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</si>
  <si>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</si>
  <si>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</si>
  <si>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</si>
  <si>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</si>
  <si>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</si>
  <si>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</si>
  <si>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</si>
  <si>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</si>
  <si>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</si>
  <si>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</si>
  <si>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</si>
  <si>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</si>
  <si>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</si>
  <si>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</si>
  <si>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</si>
  <si>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</si>
  <si>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</si>
  <si>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</si>
  <si>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</si>
  <si>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</si>
  <si>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</si>
  <si>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</si>
  <si>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</si>
  <si>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</si>
  <si>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</si>
  <si>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</si>
  <si>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</si>
  <si>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</si>
  <si>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</si>
  <si>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</si>
  <si>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</si>
  <si>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</si>
  <si>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</si>
  <si>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</si>
  <si>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</si>
  <si>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</si>
  <si>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</si>
  <si>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</si>
  <si>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</si>
  <si>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</si>
  <si>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</si>
  <si>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</si>
  <si>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</si>
  <si>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</si>
  <si>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</si>
  <si>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</si>
  <si>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</si>
  <si>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</si>
  <si>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</si>
  <si>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</si>
  <si>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</si>
  <si>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</si>
  <si>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</si>
  <si>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</si>
  <si>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</si>
  <si>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</si>
  <si>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</si>
  <si>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</si>
  <si>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</si>
  <si>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</si>
  <si>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</si>
  <si>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</si>
  <si>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</si>
  <si>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</si>
  <si>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</si>
  <si>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</si>
  <si>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</si>
  <si>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</si>
  <si>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</si>
  <si>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</si>
  <si>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</si>
  <si>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</si>
  <si>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</si>
  <si>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</si>
  <si>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</si>
  <si>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</si>
  <si>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</si>
  <si>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</si>
  <si>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</si>
  <si>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</si>
  <si>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</si>
  <si>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</si>
  <si>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</si>
  <si>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</si>
  <si>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</si>
  <si>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</si>
  <si>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</si>
  <si>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</si>
  <si>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</si>
  <si>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</si>
  <si>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</si>
  <si>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</si>
  <si>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</si>
  <si>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</si>
  <si>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</si>
  <si>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</si>
  <si>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</si>
  <si>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</si>
  <si>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</si>
  <si>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</si>
  <si>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</si>
  <si>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</si>
  <si>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</si>
  <si>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</si>
  <si>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</si>
  <si>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</si>
  <si>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</si>
  <si>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</si>
  <si>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</si>
  <si>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</si>
  <si>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</si>
  <si>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</si>
  <si>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</si>
  <si>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</si>
  <si>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</si>
  <si>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</si>
  <si>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</si>
  <si>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</si>
  <si>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</si>
  <si>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</si>
  <si>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</si>
  <si>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</si>
  <si>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</si>
  <si>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</si>
  <si>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</si>
  <si>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</si>
  <si>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</si>
  <si>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</si>
  <si>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</si>
  <si>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</si>
  <si>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</si>
  <si>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</si>
  <si>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</si>
  <si>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</si>
  <si>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</si>
  <si>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</si>
  <si>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</si>
  <si>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</si>
  <si>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</si>
  <si>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</si>
  <si>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</si>
  <si>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</si>
  <si>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</si>
  <si>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</si>
  <si>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</si>
  <si>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</si>
  <si>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</si>
  <si>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</si>
  <si>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</si>
  <si>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</si>
  <si>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</si>
  <si>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</si>
  <si>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</si>
  <si>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</si>
  <si>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</si>
  <si>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</si>
  <si>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</si>
  <si>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</si>
  <si>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</si>
  <si>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</si>
  <si>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</si>
  <si>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</si>
  <si>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</si>
  <si>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</si>
  <si>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</si>
  <si>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</si>
  <si>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</si>
  <si>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</si>
  <si>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</si>
  <si>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</si>
  <si>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</si>
  <si>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</si>
  <si>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</si>
  <si>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</si>
  <si>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</si>
  <si>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</si>
  <si>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</si>
  <si>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</si>
  <si>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</si>
  <si>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</si>
  <si>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</si>
  <si>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</si>
  <si>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</si>
  <si>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</si>
  <si>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</si>
  <si>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</si>
  <si>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</si>
  <si>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</si>
  <si>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</si>
  <si>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</si>
  <si>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</si>
  <si>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</si>
  <si>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</si>
  <si>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</si>
  <si>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</si>
  <si>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</si>
  <si>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</si>
  <si>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</si>
  <si>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</si>
  <si>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</si>
  <si>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</si>
  <si>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</si>
  <si>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</si>
  <si>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</si>
  <si>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</si>
  <si>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</si>
  <si>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</si>
  <si>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</si>
  <si>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</si>
  <si>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</si>
  <si>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</si>
  <si>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</si>
  <si>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</si>
  <si>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</si>
  <si>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</si>
  <si>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</si>
  <si>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</si>
  <si>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</si>
  <si>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</si>
  <si>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</si>
  <si>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</si>
  <si>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</si>
  <si>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</si>
  <si>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</si>
  <si>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</si>
  <si>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</si>
  <si>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</si>
  <si>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</si>
  <si>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</si>
  <si>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</si>
  <si>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</si>
  <si>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</si>
  <si>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</si>
  <si>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</si>
  <si>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</si>
  <si>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</si>
  <si>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</si>
  <si>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</si>
  <si>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</si>
  <si>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</si>
  <si>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</si>
  <si>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</si>
  <si>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</si>
  <si>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</si>
  <si>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</si>
  <si>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</si>
  <si>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</si>
  <si>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</si>
  <si>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</si>
  <si>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</si>
  <si>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</si>
  <si>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</si>
  <si>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</si>
  <si>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</si>
  <si>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</si>
  <si>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</si>
  <si>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</si>
  <si>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</si>
  <si>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</si>
  <si>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</si>
  <si>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</si>
  <si>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</si>
  <si>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</si>
  <si>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</si>
  <si>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</si>
  <si>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</si>
  <si>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</si>
  <si>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</si>
  <si>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</si>
  <si>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</si>
  <si>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</si>
  <si>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</si>
  <si>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</si>
  <si>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</si>
  <si>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</si>
  <si>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</si>
  <si>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</si>
  <si>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</si>
  <si>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</si>
  <si>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</si>
  <si>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</si>
  <si>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</si>
  <si>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</si>
  <si>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</si>
  <si>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</si>
  <si>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</si>
  <si>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</si>
  <si>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</si>
  <si>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</si>
  <si>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</si>
  <si>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</si>
  <si>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</si>
  <si>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</si>
  <si>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</si>
  <si>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</si>
  <si>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</si>
  <si>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</si>
  <si>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</si>
  <si>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</si>
  <si>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</si>
  <si>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</si>
  <si>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</si>
  <si>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</si>
  <si>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</si>
  <si>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</si>
  <si>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</si>
  <si>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</si>
  <si>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</si>
  <si>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</si>
  <si>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</si>
  <si>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</si>
  <si>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</si>
  <si>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</si>
  <si>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</si>
  <si>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</si>
  <si>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</si>
  <si>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</si>
  <si>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</si>
  <si>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</si>
  <si>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</si>
  <si>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</si>
  <si>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</si>
  <si>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</si>
  <si>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</si>
  <si>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</si>
  <si>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</si>
  <si>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</si>
  <si>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</si>
  <si>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</si>
  <si>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</si>
  <si>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</si>
  <si>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</si>
  <si>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</si>
  <si>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</si>
  <si>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</si>
  <si>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</si>
  <si>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</si>
  <si>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</si>
  <si>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</si>
  <si>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</si>
  <si>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</si>
  <si>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</si>
  <si>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</si>
  <si>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</si>
  <si>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</si>
  <si>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</si>
  <si>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</si>
  <si>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</si>
  <si>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</si>
  <si>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</si>
  <si>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</si>
  <si>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</si>
  <si>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</si>
  <si>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</si>
  <si>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</si>
  <si>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</si>
  <si>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</si>
  <si>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</si>
  <si>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</si>
  <si>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</si>
  <si>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</si>
  <si>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</si>
  <si>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</si>
  <si>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</si>
  <si>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</si>
  <si>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</si>
  <si>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</si>
  <si>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</si>
  <si>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</si>
  <si>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</si>
  <si>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</si>
  <si>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</si>
  <si>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</si>
  <si>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</si>
  <si>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</si>
  <si>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</si>
  <si>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</si>
  <si>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</si>
  <si>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</si>
  <si>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</si>
  <si>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</si>
  <si>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</si>
  <si>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</si>
  <si>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</si>
  <si>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</si>
  <si>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</si>
  <si>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</si>
  <si>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</si>
  <si>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</si>
  <si>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</si>
  <si>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</si>
  <si>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</si>
  <si>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</si>
  <si>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</si>
  <si>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</si>
  <si>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</si>
  <si>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</si>
  <si>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</si>
  <si>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</si>
  <si>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</si>
  <si>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</si>
  <si>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</si>
  <si>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</si>
  <si>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</si>
  <si>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</si>
  <si>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</si>
  <si>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</si>
  <si>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</si>
  <si>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</si>
  <si>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</si>
  <si>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</si>
  <si>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</si>
  <si>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</si>
  <si>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</si>
  <si>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</si>
  <si>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</si>
  <si>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</si>
  <si>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</si>
  <si>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</si>
  <si>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</si>
  <si>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</si>
  <si>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</si>
  <si>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</si>
  <si>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</si>
  <si>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</si>
  <si>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</si>
  <si>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</si>
  <si>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</si>
  <si>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</si>
  <si>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</si>
  <si>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</si>
  <si>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</si>
  <si>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</si>
  <si>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</si>
  <si>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</si>
  <si>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</si>
  <si>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</si>
  <si>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</si>
  <si>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</si>
  <si>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</si>
  <si>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</si>
  <si>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</si>
  <si>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</si>
  <si>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</si>
  <si>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</si>
  <si>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</si>
  <si>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</si>
  <si>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</si>
  <si>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</si>
  <si>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</si>
  <si>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</si>
  <si>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</si>
  <si>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</si>
  <si>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</si>
  <si>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</si>
  <si>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Invoice No # :156123</t>
  </si>
  <si>
    <t>_SB Traders</t>
  </si>
  <si>
    <t xml:space="preserve">Address: Shadbagh </t>
  </si>
  <si>
    <t>Address: Sabzazaar</t>
  </si>
  <si>
    <t>NTN # : 9725069-2</t>
  </si>
  <si>
    <t xml:space="preserve">TN Traders </t>
  </si>
  <si>
    <t xml:space="preserve">Address:Thoker Niaz Bagh </t>
  </si>
  <si>
    <t>NTN # :  9402653-2</t>
  </si>
  <si>
    <t>Address: Askari 11</t>
  </si>
  <si>
    <t>Shakoor</t>
  </si>
  <si>
    <t>Invoice No # : 156156</t>
  </si>
  <si>
    <t>Invoice No # : 61163</t>
  </si>
  <si>
    <t>Invoice No # : 15613</t>
  </si>
  <si>
    <t>Risen</t>
  </si>
  <si>
    <t xml:space="preserve">MS Rafaqat Sons </t>
  </si>
  <si>
    <t>Number</t>
  </si>
  <si>
    <t>327787628553-1</t>
  </si>
  <si>
    <t>M.B Traders</t>
  </si>
  <si>
    <t>NTN # : 5526536-5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</si>
</sst>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T4" sqref="T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527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46302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_SB Traders</v>
      </c>
      <c r="T3" s="301">
        <f>+'1'!P35</f>
        <v>35203.08327711864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MS Rafaqat Sons </v>
      </c>
      <c r="T4" s="301">
        <f>+'2'!P35</f>
        <v>28458.583594703388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16047.014588389833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M.B Traders</v>
      </c>
      <c r="T6" s="301">
        <f>+'4'!P35</f>
        <v>18185.526621228815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53.196816737288131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MS/SB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53.196816737288131</v>
      </c>
      <c r="P8" s="311">
        <f t="shared" ref="P8:P15" si="2">M8+N8+O8</f>
        <v>10692.560164194916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MS/SB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311">
        <f t="shared" si="2"/>
        <v>8554.0481313559321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280</v>
      </c>
      <c r="I10" s="236">
        <f t="shared" si="0"/>
        <v>20339.2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2847.4880000000003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711.87200000000007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16779.84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3844.0677966101694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103.11953898305083</v>
      </c>
      <c r="P10" s="311">
        <f t="shared" si="2"/>
        <v>20727.027335593219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278</v>
      </c>
      <c r="I11" s="236">
        <f t="shared" si="0"/>
        <v>20193.920000000002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2827.1487999999999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706.78719999999998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16659.984000000004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3816.6101694915251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102.38297084745761</v>
      </c>
      <c r="P11" s="311">
        <f t="shared" si="2"/>
        <v>20578.97714033899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360</v>
      </c>
      <c r="I12" s="236">
        <f t="shared" si="0"/>
        <v>26150.400000000001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3661.0560000000005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915.26400000000012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21574.080000000002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4942.3728813559319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132.58226440677964</v>
      </c>
      <c r="P12" s="311">
        <f t="shared" si="2"/>
        <v>26649.035145762715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36.950000000000003</v>
      </c>
      <c r="H16" s="113">
        <f t="shared" ref="H16:M16" si="3">SUM(H7:H15)</f>
        <v>1478</v>
      </c>
      <c r="I16" s="114">
        <f t="shared" si="3"/>
        <v>96062.51999999999</v>
      </c>
      <c r="J16" s="274">
        <f>SUM(J7:J15)</f>
        <v>13448.752800000002</v>
      </c>
      <c r="K16" s="275">
        <f t="shared" si="3"/>
        <v>3362.1882000000005</v>
      </c>
      <c r="L16" s="276">
        <f t="shared" si="3"/>
        <v>0</v>
      </c>
      <c r="M16" s="232">
        <f t="shared" si="3"/>
        <v>79251.578999999998</v>
      </c>
      <c r="N16" s="233">
        <f>SUM(N7:N15)</f>
        <v>18155.593220338982</v>
      </c>
      <c r="O16" s="101">
        <f>SUM(O7:O15)</f>
        <v>487.03586110169482</v>
      </c>
      <c r="P16" s="113">
        <f>SUM(P7:P15)</f>
        <v>97894.20808144068</v>
      </c>
      <c r="Q16" s="128">
        <f>SUM(Q7:Q15)</f>
        <v>2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96062.51999999999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13448.752800000002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3362.1882000000005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79251.578999999983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18155.593220338982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97407.172220338965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487.03586110169482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97894.208081440665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97894.20808144068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46260</v>
      </c>
      <c r="O5" s="392"/>
      <c r="P5" s="392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523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520</v>
      </c>
      <c r="I25" s="114">
        <f t="shared" ref="I25:M25" si="10">SUM(I16:I24)</f>
        <v>34544.399999999994</v>
      </c>
      <c r="J25" s="274">
        <f>SUM(J16:J24)</f>
        <v>4836.2160000000003</v>
      </c>
      <c r="K25" s="275">
        <f t="shared" si="10"/>
        <v>1209.0540000000001</v>
      </c>
      <c r="L25" s="276">
        <f t="shared" si="10"/>
        <v>0</v>
      </c>
      <c r="M25" s="232">
        <f t="shared" si="10"/>
        <v>28499.129999999997</v>
      </c>
      <c r="N25" s="233">
        <f>SUM(N16:N24)</f>
        <v>6528.8135593220341</v>
      </c>
      <c r="O25" s="101">
        <f>SUM(O16:O24)</f>
        <v>175.13971779661014</v>
      </c>
      <c r="P25" s="113">
        <f>SUM(P16:P24)</f>
        <v>35203.08327711864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34544.399999999994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4836.2160000000003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1209.0540000000001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28499.129999999994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6528.8135593220341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35027.943559322026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175.13971779661014</v>
      </c>
    </row>
    <row r="35" spans="2:16" ht="15.75" customHeight="1" thickBot="1" x14ac:dyDescent="0.4">
      <c r="N35" s="372" t="s">
        <v>88</v>
      </c>
      <c r="O35" s="373"/>
      <c r="P35" s="297">
        <f>+P33+P34</f>
        <v>35203.08327711864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Q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46260</v>
      </c>
      <c r="O5" s="392"/>
      <c r="P5" s="392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93" t="s">
        <v>69</v>
      </c>
      <c r="L6" s="393"/>
      <c r="M6" s="393"/>
      <c r="N6" s="395" t="s">
        <v>523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A13" t="s">
        <v>529</v>
      </c>
      <c r="B13" t="s">
        <v>530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311">
        <f t="shared" si="5"/>
        <v>5922.0078101694908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440</v>
      </c>
      <c r="I25" s="114">
        <f t="shared" si="7"/>
        <v>27926.100000000002</v>
      </c>
      <c r="J25" s="274">
        <f>SUM(J16:J24)</f>
        <v>3909.6540000000009</v>
      </c>
      <c r="K25" s="275">
        <f t="shared" si="7"/>
        <v>977.41350000000023</v>
      </c>
      <c r="L25" s="276">
        <f t="shared" si="7"/>
        <v>0</v>
      </c>
      <c r="M25" s="232">
        <f t="shared" si="7"/>
        <v>23039.032500000001</v>
      </c>
      <c r="N25" s="233">
        <f>SUM(N16:N24)</f>
        <v>5277.966101694914</v>
      </c>
      <c r="O25" s="101">
        <f>SUM(O16:O24)</f>
        <v>141.58499300847456</v>
      </c>
      <c r="P25" s="113">
        <f>SUM(P16:P24)</f>
        <v>28458.583594703385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27926.100000000002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3909.6540000000009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977.41350000000023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23039.032500000001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5277.966101694914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28316.998601694915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141.58499300847458</v>
      </c>
    </row>
    <row r="35" spans="2:16" ht="15.75" customHeight="1" thickBot="1" x14ac:dyDescent="0.4">
      <c r="N35" s="372" t="s">
        <v>88</v>
      </c>
      <c r="O35" s="373"/>
      <c r="P35" s="297">
        <f>+P33+P34</f>
        <v>28458.583594703388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46260</v>
      </c>
      <c r="O5" s="392"/>
      <c r="P5" s="392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523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521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520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39</v>
      </c>
      <c r="I20" s="236">
        <f t="shared" si="0"/>
        <v>2832.96</v>
      </c>
      <c r="J20" s="272">
        <f t="shared" si="1"/>
        <v>396.61440000000005</v>
      </c>
      <c r="K20" s="128">
        <f t="shared" si="1"/>
        <v>99.153600000000012</v>
      </c>
      <c r="L20" s="119">
        <f t="shared" si="1"/>
        <v>0</v>
      </c>
      <c r="M20" s="230">
        <f t="shared" si="2"/>
        <v>2337.192</v>
      </c>
      <c r="N20" s="277">
        <f t="shared" si="3"/>
        <v>535.42372881355936</v>
      </c>
      <c r="O20" s="239">
        <f t="shared" si="4"/>
        <v>14.363078644067796</v>
      </c>
      <c r="P20" s="311">
        <f t="shared" si="5"/>
        <v>2886.9788074576268</v>
      </c>
      <c r="Q20" s="156">
        <v>1</v>
      </c>
      <c r="R20">
        <f>P20/21</f>
        <v>137.47518130750603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239</v>
      </c>
      <c r="I25" s="114">
        <f t="shared" si="7"/>
        <v>15746.760000000002</v>
      </c>
      <c r="J25" s="274">
        <f>SUM(J16:J24)</f>
        <v>2204.5464000000002</v>
      </c>
      <c r="K25" s="275">
        <f t="shared" si="7"/>
        <v>551.13660000000004</v>
      </c>
      <c r="L25" s="276">
        <f t="shared" si="7"/>
        <v>0</v>
      </c>
      <c r="M25" s="232">
        <f t="shared" si="7"/>
        <v>12991.076999999999</v>
      </c>
      <c r="N25" s="233">
        <f>SUM(N16:N24)</f>
        <v>2976.101694915254</v>
      </c>
      <c r="O25" s="101">
        <f>SUM(O16:O24)</f>
        <v>79.835893474576267</v>
      </c>
      <c r="P25" s="113">
        <f>SUM(P16:P24)</f>
        <v>16047.014588389829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15746.760000000002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2204.5464000000002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551.13660000000004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12991.077000000003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2976.101694915254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15967.178694915257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79.835893474576295</v>
      </c>
    </row>
    <row r="35" spans="2:16" ht="15.75" customHeight="1" thickBot="1" x14ac:dyDescent="0.4">
      <c r="N35" s="372" t="s">
        <v>88</v>
      </c>
      <c r="O35" s="373"/>
      <c r="P35" s="297">
        <f>+P33+P34</f>
        <v>16047.014588389833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10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46260</v>
      </c>
      <c r="O5" s="392"/>
      <c r="P5" s="392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93" t="s">
        <v>69</v>
      </c>
      <c r="L6" s="393"/>
      <c r="M6" s="393"/>
      <c r="N6" s="395" t="s">
        <v>523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532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89" t="s">
        <v>56</v>
      </c>
      <c r="Q14" s="413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91" t="s">
        <v>38</v>
      </c>
      <c r="Q15" s="413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414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415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Q18" s="415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Q19" s="415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39</v>
      </c>
      <c r="I20" s="236">
        <f t="shared" si="0"/>
        <v>2832.96</v>
      </c>
      <c r="J20" s="272">
        <f t="shared" si="1"/>
        <v>396.61440000000005</v>
      </c>
      <c r="K20" s="128">
        <f t="shared" si="1"/>
        <v>99.153600000000012</v>
      </c>
      <c r="L20" s="119">
        <f t="shared" si="1"/>
        <v>0</v>
      </c>
      <c r="M20" s="230">
        <f t="shared" si="2"/>
        <v>2337.192</v>
      </c>
      <c r="N20" s="277">
        <f t="shared" si="3"/>
        <v>535.42372881355936</v>
      </c>
      <c r="O20" s="239">
        <f t="shared" si="4"/>
        <v>14.363078644067796</v>
      </c>
      <c r="P20" s="119">
        <f t="shared" si="5"/>
        <v>2886.9788074576268</v>
      </c>
      <c r="Q20" s="153">
        <v>1</v>
      </c>
      <c r="R20">
        <f>P20/21</f>
        <v>137.47518130750603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415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279</v>
      </c>
      <c r="I25" s="114">
        <f t="shared" si="7"/>
        <v>17845.260000000002</v>
      </c>
      <c r="J25" s="274">
        <f>SUM(J16:J24)</f>
        <v>2498.3364000000006</v>
      </c>
      <c r="K25" s="275">
        <f t="shared" si="7"/>
        <v>624.58410000000015</v>
      </c>
      <c r="L25" s="276">
        <f t="shared" si="7"/>
        <v>0</v>
      </c>
      <c r="M25" s="232">
        <f t="shared" si="7"/>
        <v>14722.3395</v>
      </c>
      <c r="N25" s="233">
        <f>SUM(N16:N24)</f>
        <v>3372.7118644067787</v>
      </c>
      <c r="O25" s="101">
        <f>SUM(O16:O24)</f>
        <v>90.475256822033899</v>
      </c>
      <c r="P25" s="234">
        <f>SUM(P16:P24)</f>
        <v>18185.526621228812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17845.260000000002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2498.3364000000006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624.58410000000015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14722.339500000002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3372.7118644067787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18095.05136440678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90.475256822033899</v>
      </c>
    </row>
    <row r="35" spans="2:16" ht="15.75" customHeight="1" thickBot="1" x14ac:dyDescent="0.4">
      <c r="N35" s="372" t="s">
        <v>88</v>
      </c>
      <c r="O35" s="373"/>
      <c r="P35" s="297">
        <f>+P33+P34</f>
        <v>18185.526621228815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46303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46302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2026-10-07T06:54:32Z</dcterms:modified>
</cp:coreProperties>
</file>