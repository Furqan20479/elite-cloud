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DE7411A-DCC8-4C6F-9B08-B083F7C366D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<sst xmlns="http://schemas.openxmlformats.org/spreadsheetml/2006/main" count="3948" uniqueCount="528">
  <si>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</si>
  <si>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</si>
  <si>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</si>
  <si>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</si>
  <si>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</si>
  <si>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</si>
  <si>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</si>
  <si>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</si>
  <si>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</si>
  <si>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</si>
  <si>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</si>
  <si>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</si>
  <si>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</si>
  <si>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</si>
  <si>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</si>
  <si>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</si>
  <si>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</si>
  <si>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</si>
  <si>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</si>
  <si>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</si>
  <si>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</si>
  <si>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</si>
  <si>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</si>
  <si>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</si>
  <si>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</si>
  <si>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</si>
  <si>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</si>
  <si>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</si>
  <si>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</si>
  <si>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</si>
  <si>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</si>
  <si>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</si>
  <si>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</si>
  <si>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</si>
  <si>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</si>
  <si>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</si>
  <si>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</si>
  <si>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</si>
  <si>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</si>
  <si>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</si>
  <si>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</si>
  <si>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</si>
  <si>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</si>
  <si>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</si>
  <si>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</si>
  <si>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</si>
  <si>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</si>
  <si>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</si>
  <si>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</si>
  <si>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</si>
  <si>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</si>
  <si>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</si>
  <si>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</si>
  <si>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</si>
  <si>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</si>
  <si>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</si>
  <si>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</si>
  <si>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</si>
  <si>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</si>
  <si>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</si>
  <si>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</si>
  <si>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</si>
  <si>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</si>
  <si>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</si>
  <si>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</si>
  <si>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</si>
  <si>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</si>
  <si>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</si>
  <si>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</si>
  <si>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</si>
  <si>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</si>
  <si>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</si>
  <si>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</si>
  <si>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</si>
  <si>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</si>
  <si>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</si>
  <si>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</si>
  <si>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</si>
  <si>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</si>
  <si>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</si>
  <si>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</si>
  <si>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</si>
  <si>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</si>
  <si>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</si>
  <si>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</si>
  <si>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</si>
  <si>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</si>
  <si>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</si>
  <si>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</si>
  <si>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</si>
  <si>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</si>
  <si>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</si>
  <si>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</si>
  <si>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</si>
  <si>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</si>
  <si>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</si>
  <si>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</si>
  <si>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</si>
  <si>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</si>
  <si>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</si>
  <si>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</si>
  <si>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</si>
  <si>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</si>
  <si>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</si>
  <si>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</si>
  <si>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</si>
  <si>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</si>
  <si>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</si>
  <si>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</si>
  <si>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</si>
  <si>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</si>
  <si>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</si>
  <si>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</si>
  <si>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</si>
  <si>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</si>
  <si>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</si>
  <si>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</si>
  <si>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</si>
  <si>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</si>
  <si>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</si>
  <si>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</si>
  <si>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</si>
  <si>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</si>
  <si>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</si>
  <si>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</si>
  <si>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</si>
  <si>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</si>
  <si>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</si>
  <si>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</si>
  <si>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</si>
  <si>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</si>
  <si>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</si>
  <si>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</si>
  <si>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</si>
  <si>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</si>
  <si>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</si>
  <si>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</si>
  <si>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</si>
  <si>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</si>
  <si>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</si>
  <si>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</si>
  <si>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</si>
  <si>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</si>
  <si>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</si>
  <si>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</si>
  <si>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</si>
  <si>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</si>
  <si>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</si>
  <si>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</si>
  <si>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</si>
  <si>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</si>
  <si>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</si>
  <si>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</si>
  <si>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</si>
  <si>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</si>
  <si>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</si>
  <si>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</si>
  <si>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</si>
  <si>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</si>
  <si>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</si>
  <si>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</si>
  <si>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</si>
  <si>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</si>
  <si>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</si>
  <si>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</si>
  <si>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</si>
  <si>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</si>
  <si>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</si>
  <si>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</si>
  <si>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</si>
  <si>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</si>
  <si>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</si>
  <si>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</si>
  <si>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</si>
  <si>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</si>
  <si>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</si>
  <si>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</si>
  <si>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</si>
  <si>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</si>
  <si>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</si>
  <si>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</si>
  <si>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</si>
  <si>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</si>
  <si>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</si>
  <si>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</si>
  <si>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</si>
  <si>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</si>
  <si>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</si>
  <si>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</si>
  <si>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</si>
  <si>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</si>
  <si>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</si>
  <si>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</si>
  <si>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</si>
  <si>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</si>
  <si>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</si>
  <si>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</si>
  <si>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</si>
  <si>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</si>
  <si>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</si>
  <si>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</si>
  <si>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</si>
  <si>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</si>
  <si>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</si>
  <si>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</si>
  <si>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</si>
  <si>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</si>
  <si>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</si>
  <si>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</si>
  <si>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</si>
  <si>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</si>
  <si>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</si>
  <si>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</si>
  <si>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</si>
  <si>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</si>
  <si>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</si>
  <si>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</si>
  <si>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</si>
  <si>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</si>
  <si>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</si>
  <si>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</si>
  <si>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</si>
  <si>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</si>
  <si>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</si>
  <si>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</si>
  <si>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</si>
  <si>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</si>
  <si>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</si>
  <si>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</si>
  <si>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</si>
  <si>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</si>
  <si>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</si>
  <si>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</si>
  <si>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</si>
  <si>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</si>
  <si>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</si>
  <si>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</si>
  <si>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</si>
  <si>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</si>
  <si>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</si>
  <si>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</si>
  <si>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</si>
  <si>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</si>
  <si>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</si>
  <si>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</si>
  <si>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</si>
  <si>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</si>
  <si>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</si>
  <si>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</si>
  <si>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</si>
  <si>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</si>
  <si>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</si>
  <si>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</si>
  <si>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</si>
  <si>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</si>
  <si>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</si>
  <si>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</si>
  <si>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</si>
  <si>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</si>
  <si>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</si>
  <si>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</si>
  <si>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</si>
  <si>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</si>
  <si>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</si>
  <si>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</si>
  <si>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</si>
  <si>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</si>
  <si>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</si>
  <si>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</si>
  <si>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</si>
  <si>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</si>
  <si>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</si>
  <si>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</si>
  <si>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</si>
  <si>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</si>
  <si>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</si>
  <si>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</si>
  <si>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</si>
  <si>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</si>
  <si>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</si>
  <si>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</si>
  <si>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</si>
  <si>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</si>
  <si>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</si>
  <si>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</si>
  <si>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</si>
  <si>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</si>
  <si>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</si>
  <si>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</si>
  <si>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</si>
  <si>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</si>
  <si>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</si>
  <si>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</si>
  <si>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</si>
  <si>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</si>
  <si>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</si>
  <si>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</si>
  <si>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</si>
  <si>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</si>
  <si>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</si>
  <si>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</si>
  <si>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</si>
  <si>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</si>
  <si>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</si>
  <si>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</si>
  <si>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</si>
  <si>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</si>
  <si>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</si>
  <si>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</si>
  <si>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</si>
  <si>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</si>
  <si>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</si>
  <si>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</si>
  <si>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</si>
  <si>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</si>
  <si>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</si>
  <si>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</si>
  <si>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</si>
  <si>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</si>
  <si>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</si>
  <si>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</si>
  <si>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</si>
  <si>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</si>
  <si>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</si>
  <si>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</si>
  <si>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</si>
  <si>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</si>
  <si>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</si>
  <si>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</si>
  <si>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</si>
  <si>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</si>
  <si>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</si>
  <si>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</si>
  <si>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</si>
  <si>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</si>
  <si>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</si>
  <si>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</si>
  <si>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</si>
  <si>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</si>
  <si>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</si>
  <si>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</si>
  <si>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</si>
  <si>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</si>
  <si>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</si>
  <si>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</si>
  <si>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</si>
  <si>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</si>
  <si>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</si>
  <si>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</si>
  <si>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</si>
  <si>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</si>
  <si>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</si>
  <si>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</si>
  <si>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</si>
  <si>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</si>
  <si>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</si>
  <si>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</si>
  <si>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</si>
  <si>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</si>
  <si>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</si>
  <si>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</si>
  <si>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</si>
  <si>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</si>
  <si>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</si>
  <si>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</si>
  <si>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</si>
  <si>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</si>
  <si>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</si>
  <si>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</si>
  <si>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</si>
  <si>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</si>
  <si>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</si>
  <si>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</si>
  <si>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</si>
  <si>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</si>
  <si>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</si>
  <si>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</si>
  <si>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</si>
  <si>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</si>
  <si>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</si>
  <si>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</si>
  <si>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</si>
  <si>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</si>
  <si>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</si>
  <si>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</si>
  <si>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</si>
  <si>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</si>
  <si>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</si>
  <si>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</si>
  <si>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</si>
  <si>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</si>
  <si>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</si>
  <si>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</si>
  <si>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</si>
  <si>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</si>
  <si>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</si>
  <si>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</si>
  <si>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</si>
  <si>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</si>
  <si>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</si>
  <si>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</si>
  <si>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</si>
  <si>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</si>
  <si>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</si>
  <si>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</si>
  <si>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</si>
  <si>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</si>
  <si>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</si>
  <si>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</si>
  <si>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</si>
  <si>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</si>
  <si>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</si>
  <si>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</si>
  <si>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</si>
  <si>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</si>
  <si>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</si>
  <si>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</si>
  <si>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</si>
  <si>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</si>
  <si>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</si>
  <si>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</si>
  <si>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</si>
  <si>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</si>
  <si>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</si>
  <si>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</si>
  <si>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</si>
  <si>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</si>
  <si>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</si>
  <si>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</si>
  <si>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</si>
  <si>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</si>
  <si>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</si>
  <si>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</si>
  <si>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</si>
  <si>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</si>
  <si>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</si>
  <si>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</si>
  <si>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</si>
  <si>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</si>
  <si>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</si>
  <si>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</si>
  <si>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</si>
  <si>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</si>
  <si>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</si>
  <si>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</si>
  <si>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</si>
  <si>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</si>
  <si>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</si>
  <si>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</si>
  <si>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</si>
  <si>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</si>
  <si>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</si>
  <si>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</si>
  <si>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</si>
  <si>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</si>
  <si>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</si>
  <si>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</si>
  <si>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</si>
  <si>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</si>
  <si>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</si>
  <si>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</si>
  <si>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</si>
  <si>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</si>
  <si>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</si>
  <si>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</si>
  <si>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</si>
  <si>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</si>
  <si>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</si>
  <si>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</si>
  <si>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</si>
  <si>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</si>
  <si>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</si>
  <si>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</si>
  <si>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</si>
  <si>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</si>
  <si>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</si>
  <si>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</si>
  <si>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</si>
  <si>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</si>
  <si>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</si>
  <si>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</si>
  <si>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</si>
  <si>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</si>
  <si>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</si>
  <si>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</si>
  <si>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</si>
  <si>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</si>
  <si>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</si>
  <si>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</si>
  <si>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</si>
  <si>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</si>
  <si>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</si>
  <si>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</si>
  <si>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</si>
  <si>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</si>
  <si>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</si>
  <si>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</si>
  <si>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</si>
  <si>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</si>
  <si>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</si>
  <si>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</si>
  <si>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</si>
  <si>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</si>
  <si>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</si>
  <si>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</si>
  <si>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</si>
  <si>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</si>
  <si>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</si>
  <si>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</si>
  <si>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</si>
  <si>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</si>
  <si>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</si>
  <si>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</si>
  <si>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</si>
  <si>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Peer Colony</t>
  </si>
  <si>
    <t xml:space="preserve">New Al Madina </t>
  </si>
  <si>
    <t>Tariq Mithu Store</t>
  </si>
  <si>
    <t xml:space="preserve">Address: Gali no 3 Tariq Mithu Chowk </t>
  </si>
  <si>
    <t>Mehar Yaseen Store</t>
  </si>
  <si>
    <t xml:space="preserve">Address: Peer Colony gali no 4 </t>
  </si>
  <si>
    <t>Haq Baho Store</t>
  </si>
  <si>
    <t xml:space="preserve">Address: Peer Colony Near Rana Pan Shop </t>
  </si>
  <si>
    <t>MashaAllah Store</t>
  </si>
  <si>
    <t>Address: Qadri Colony</t>
  </si>
  <si>
    <t>Rana Store</t>
  </si>
  <si>
    <t>Address: Qadri Colony Gali no 3</t>
  </si>
  <si>
    <t>AB Store</t>
  </si>
  <si>
    <t>Address: Qadri Colony Gali no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</si>
</sst>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3" sqref="Q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New Al Madina </v>
      </c>
      <c r="T3" s="301">
        <f>+'1'!P35</f>
        <v>1620.3789503771186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Tariq Mithu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Mehar Yaseen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Haq Baho Store</v>
      </c>
      <c r="T6" s="301">
        <f>+'4'!P35</f>
        <v>2288.0501157737285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MashaAllah Store</v>
      </c>
      <c r="T7" s="301">
        <f>+'5'!P35</f>
        <v>1310.9428492360169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54</v>
      </c>
      <c r="I8" s="236">
        <f t="shared" ref="I8:I14" si="0">(G8*D8)*F8+H8*F8</f>
        <v>2832.9749999999999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226.63799999999998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99.154124999999993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2507.182875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535.42372881355914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15.213033019067796</v>
      </c>
      <c r="P8" s="311">
        <f t="shared" ref="P8:P15" si="2">M8+N8+O8</f>
        <v>3057.8196368326271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Rana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AB Store</v>
      </c>
      <c r="T9" s="301">
        <f>+'7'!P35</f>
        <v>3980.9166481754237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18</v>
      </c>
      <c r="I10" s="236">
        <f t="shared" si="0"/>
        <v>1307.52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104.60160000000002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45.763200000000005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1157.1551999999999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247.11864406779662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7.0213692203389835</v>
      </c>
      <c r="P10" s="311">
        <f t="shared" si="2"/>
        <v>1411.2952132881355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</v>
      </c>
      <c r="I11" s="236">
        <f t="shared" si="0"/>
        <v>1743.3600000000001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139.46880000000002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61.017600000000009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1542.8736000000001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329.49152542372883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9.3618256271186446</v>
      </c>
      <c r="P11" s="311">
        <f t="shared" si="2"/>
        <v>1881.7269510508474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311">
        <f t="shared" si="2"/>
        <v>940.86347552542372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132</v>
      </c>
      <c r="I13" s="236">
        <f t="shared" si="0"/>
        <v>5178.3600000000006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258.91800000000006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181.24260000000004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264.09636</v>
      </c>
      <c r="M13" s="230">
        <f t="shared" si="1"/>
        <v>4474.10304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1006.7796610169486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27.404413505084747</v>
      </c>
      <c r="P13" s="311">
        <f t="shared" si="2"/>
        <v>5508.2871145220333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6.3</v>
      </c>
      <c r="H16" s="113">
        <f t="shared" ref="H16:M16" si="3">SUM(H7:H15)</f>
        <v>252</v>
      </c>
      <c r="I16" s="114">
        <f t="shared" si="3"/>
        <v>12563.445000000002</v>
      </c>
      <c r="J16" s="274">
        <f>SUM(J7:J15)</f>
        <v>849.72480000000019</v>
      </c>
      <c r="K16" s="275">
        <f t="shared" si="3"/>
        <v>439.72057500000005</v>
      </c>
      <c r="L16" s="276">
        <f t="shared" si="3"/>
        <v>264.09636</v>
      </c>
      <c r="M16" s="232">
        <f t="shared" si="3"/>
        <v>11009.903265000001</v>
      </c>
      <c r="N16" s="233">
        <f>SUM(N7:N15)</f>
        <v>2402.5423728813553</v>
      </c>
      <c r="O16" s="101">
        <f>SUM(O7:O15)</f>
        <v>67.062228189406781</v>
      </c>
      <c r="P16" s="113">
        <f>SUM(P7:P15)</f>
        <v>13479.507866070762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12563.445000000002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849.72480000000019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703.81693500000006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11009.903265000001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2402.5423728813553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13412.445637881356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67.062228189406781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13479.507866070762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13479.507866070762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1501.23</v>
      </c>
      <c r="J25" s="274">
        <f>SUM(J16:J24)</f>
        <v>120.0984</v>
      </c>
      <c r="K25" s="275">
        <f t="shared" si="10"/>
        <v>52.543050000000008</v>
      </c>
      <c r="L25" s="276">
        <f t="shared" si="10"/>
        <v>0</v>
      </c>
      <c r="M25" s="232">
        <f t="shared" si="10"/>
        <v>1328.5885499999999</v>
      </c>
      <c r="N25" s="233">
        <f>SUM(N16:N24)</f>
        <v>283.72881355932202</v>
      </c>
      <c r="O25" s="101">
        <f>SUM(O16:O24)</f>
        <v>8.0615868177966092</v>
      </c>
      <c r="P25" s="113">
        <f>SUM(P16:P24)</f>
        <v>1620.3789503771186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1501.23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120.0984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52.543050000000008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1328.5885499999999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1612.3173635593221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73" t="s">
        <v>88</v>
      </c>
      <c r="O35" s="374"/>
      <c r="P35" s="297">
        <f>+P33+P34</f>
        <v>1620.3789503771186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871.68000000000006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69.734400000000008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30.508800000000004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771.43680000000006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936.18256271186442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3" t="s">
        <v>88</v>
      </c>
      <c r="O35" s="374"/>
      <c r="P35" s="297">
        <f>+P33+P34</f>
        <v>940.86347552542372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311">
        <f t="shared" si="5"/>
        <v>667.67116539661015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2128.91</v>
      </c>
      <c r="J25" s="274">
        <f>SUM(J16:J24)</f>
        <v>151.48240000000001</v>
      </c>
      <c r="K25" s="275">
        <f t="shared" si="7"/>
        <v>74.51185000000001</v>
      </c>
      <c r="L25" s="276">
        <f t="shared" si="7"/>
        <v>32.011679999999998</v>
      </c>
      <c r="M25" s="232">
        <f t="shared" si="7"/>
        <v>1870.90407</v>
      </c>
      <c r="N25" s="233">
        <f>SUM(N16:N24)</f>
        <v>405.7627118644067</v>
      </c>
      <c r="O25" s="101">
        <f>SUM(O16:O24)</f>
        <v>11.383333909322033</v>
      </c>
      <c r="P25" s="113">
        <f>SUM(P16:P24)</f>
        <v>2288.050115773729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2128.91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151.48240000000001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106.52353000000001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1870.9040699999998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405.7627118644067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2276.6667818644064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11.383333909322031</v>
      </c>
    </row>
    <row r="35" spans="2:16" ht="15.75" customHeight="1" thickBot="1" x14ac:dyDescent="0.4">
      <c r="N35" s="373" t="s">
        <v>88</v>
      </c>
      <c r="O35" s="374"/>
      <c r="P35" s="297">
        <f>+P33+P34</f>
        <v>2288.0501157737285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1221.375</v>
      </c>
      <c r="J25" s="274">
        <f>SUM(J16:J24)</f>
        <v>83.587199999999996</v>
      </c>
      <c r="K25" s="275">
        <f t="shared" si="7"/>
        <v>42.748125000000009</v>
      </c>
      <c r="L25" s="276">
        <f t="shared" si="7"/>
        <v>24.008760000000002</v>
      </c>
      <c r="M25" s="232">
        <f t="shared" si="7"/>
        <v>1071.030915</v>
      </c>
      <c r="N25" s="233">
        <f>SUM(N16:N24)</f>
        <v>233.38983050847452</v>
      </c>
      <c r="O25" s="101">
        <f>SUM(O16:O24)</f>
        <v>6.5221037275423726</v>
      </c>
      <c r="P25" s="113">
        <f>SUM(P16:P24)</f>
        <v>1310.9428492360169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1221.375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83.587199999999996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66.756885000000011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1071.030915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233.38983050847452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1304.4207455084745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6.5221037275423726</v>
      </c>
    </row>
    <row r="35" spans="2:16" ht="15.75" customHeight="1" thickBot="1" x14ac:dyDescent="0.4">
      <c r="N35" s="373" t="s">
        <v>88</v>
      </c>
      <c r="O35" s="374"/>
      <c r="P35" s="297">
        <f>+P33+P34</f>
        <v>1310.9428492360169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24</v>
      </c>
      <c r="I17" s="236">
        <f t="shared" ref="I17:I23" si="0">(G17*D17)*F17+H17*F17</f>
        <v>1259.0999999999999</v>
      </c>
      <c r="J17" s="272">
        <f t="shared" ref="J17:L24" si="1">$I17*S17</f>
        <v>100.72799999999999</v>
      </c>
      <c r="K17" s="128">
        <f>$I17*T17</f>
        <v>44.0685</v>
      </c>
      <c r="L17" s="119">
        <f>$I17*U17</f>
        <v>0</v>
      </c>
      <c r="M17" s="230">
        <f t="shared" ref="M17:M24" si="2">I17-SUM(J17:L17)</f>
        <v>1114.3035</v>
      </c>
      <c r="N17" s="277">
        <f t="shared" ref="N17:N24" si="3">+(G17*D17+H17)*V17</f>
        <v>237.96610169491515</v>
      </c>
      <c r="O17" s="239">
        <f t="shared" ref="O17:O24" si="4">(N17+M17)*$O$15</f>
        <v>6.7613480084745756</v>
      </c>
      <c r="P17" s="311">
        <f t="shared" ref="P17:P24" si="5">M17+N17+O17</f>
        <v>1359.0309497033898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72</v>
      </c>
      <c r="I25" s="114">
        <f t="shared" si="7"/>
        <v>3701.85</v>
      </c>
      <c r="J25" s="274">
        <f>SUM(J16:J24)</f>
        <v>267.9024</v>
      </c>
      <c r="K25" s="275">
        <f t="shared" si="7"/>
        <v>129.56475</v>
      </c>
      <c r="L25" s="276">
        <f t="shared" si="7"/>
        <v>48.017520000000005</v>
      </c>
      <c r="M25" s="232">
        <f t="shared" si="7"/>
        <v>3256.3653300000001</v>
      </c>
      <c r="N25" s="233">
        <f>SUM(N16:N24)</f>
        <v>704.74576271186424</v>
      </c>
      <c r="O25" s="101">
        <f>SUM(O16:O24)</f>
        <v>19.805555463559319</v>
      </c>
      <c r="P25" s="113">
        <f>SUM(P16:P24)</f>
        <v>3980.9166481754237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3701.85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267.9024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177.58226999999999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3256.3653300000001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704.74576271186424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3961.1110927118643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19.805555463559323</v>
      </c>
    </row>
    <row r="35" spans="2:16" ht="15.75" customHeight="1" thickBot="1" x14ac:dyDescent="0.4">
      <c r="N35" s="373" t="s">
        <v>88</v>
      </c>
      <c r="O35" s="374"/>
      <c r="P35" s="297">
        <f>+P33+P34</f>
        <v>3980.9166481754237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2026-08-25T11:05:02Z</dcterms:modified>
</cp:coreProperties>
</file>