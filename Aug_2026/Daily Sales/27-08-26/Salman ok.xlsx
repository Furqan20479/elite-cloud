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7289EFC-C061-413D-AA8B-81639EDAC11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<sst xmlns="http://schemas.openxmlformats.org/spreadsheetml/2006/main" count="3978" uniqueCount="520">
  <si>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</si>
  <si>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</si>
  <si>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</si>
  <si>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</si>
  <si>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</si>
  <si>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</si>
  <si>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</si>
  <si>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</si>
  <si>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</si>
  <si>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</si>
  <si>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</si>
  <si>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</si>
  <si>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</si>
  <si>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</si>
  <si>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</si>
  <si>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</si>
  <si>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</si>
  <si>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</si>
  <si>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</si>
  <si>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</si>
  <si>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</si>
  <si>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</si>
  <si>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</si>
  <si>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</si>
  <si>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</si>
  <si>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</si>
  <si>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</si>
  <si>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</si>
  <si>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</si>
  <si>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</si>
  <si>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</si>
  <si>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</si>
  <si>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</si>
  <si>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</si>
  <si>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</si>
  <si>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</si>
  <si>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</si>
  <si>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</si>
  <si>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</si>
  <si>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</si>
  <si>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</si>
  <si>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</si>
  <si>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</si>
  <si>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</si>
  <si>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</si>
  <si>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</si>
  <si>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</si>
  <si>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</si>
  <si>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</si>
  <si>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</si>
  <si>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</si>
  <si>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</si>
  <si>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</si>
  <si>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</si>
  <si>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</si>
  <si>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</si>
  <si>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</si>
  <si>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</si>
  <si>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</si>
  <si>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</si>
  <si>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</si>
  <si>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</si>
  <si>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</si>
  <si>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</si>
  <si>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</si>
  <si>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</si>
  <si>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</si>
  <si>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</si>
  <si>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</si>
  <si>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</si>
  <si>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</si>
  <si>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</si>
  <si>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</si>
  <si>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</si>
  <si>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</si>
  <si>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</si>
  <si>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</si>
  <si>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</si>
  <si>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</si>
  <si>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</si>
  <si>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</si>
  <si>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</si>
  <si>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</si>
  <si>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</si>
  <si>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</si>
  <si>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</si>
  <si>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</si>
  <si>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</si>
  <si>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</si>
  <si>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</si>
  <si>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</si>
  <si>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</si>
  <si>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</si>
  <si>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</si>
  <si>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</si>
  <si>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</si>
  <si>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</si>
  <si>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</si>
  <si>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</si>
  <si>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</si>
  <si>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</si>
  <si>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</si>
  <si>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</si>
  <si>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</si>
  <si>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</si>
  <si>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</si>
  <si>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</si>
  <si>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</si>
  <si>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</si>
  <si>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</si>
  <si>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</si>
  <si>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</si>
  <si>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</si>
  <si>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</si>
  <si>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</si>
  <si>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</si>
  <si>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</si>
  <si>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</si>
  <si>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</si>
  <si>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</si>
  <si>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</si>
  <si>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</si>
  <si>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</si>
  <si>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</si>
  <si>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</si>
  <si>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</si>
  <si>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</si>
  <si>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</si>
  <si>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</si>
  <si>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</si>
  <si>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</si>
  <si>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</si>
  <si>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</si>
  <si>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</si>
  <si>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</si>
  <si>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</si>
  <si>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</si>
  <si>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</si>
  <si>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</si>
  <si>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</si>
  <si>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</si>
  <si>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</si>
  <si>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</si>
  <si>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</si>
  <si>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</si>
  <si>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</si>
  <si>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</si>
  <si>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</si>
  <si>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</si>
  <si>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</si>
  <si>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</si>
  <si>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</si>
  <si>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</si>
  <si>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</si>
  <si>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</si>
  <si>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</si>
  <si>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</si>
  <si>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</si>
  <si>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</si>
  <si>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</si>
  <si>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</si>
  <si>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</si>
  <si>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</si>
  <si>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</si>
  <si>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</si>
  <si>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</si>
  <si>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</si>
  <si>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</si>
  <si>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</si>
  <si>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</si>
  <si>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</si>
  <si>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</si>
  <si>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</si>
  <si>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</si>
  <si>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</si>
  <si>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</si>
  <si>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</si>
  <si>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</si>
  <si>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</si>
  <si>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</si>
  <si>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</si>
  <si>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</si>
  <si>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</si>
  <si>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</si>
  <si>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</si>
  <si>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</si>
  <si>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</si>
  <si>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</si>
  <si>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</si>
  <si>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</si>
  <si>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</si>
  <si>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</si>
  <si>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</si>
  <si>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</si>
  <si>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</si>
  <si>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</si>
  <si>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</si>
  <si>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</si>
  <si>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</si>
  <si>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</si>
  <si>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</si>
  <si>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</si>
  <si>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</si>
  <si>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</si>
  <si>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</si>
  <si>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</si>
  <si>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</si>
  <si>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</si>
  <si>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</si>
  <si>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</si>
  <si>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</si>
  <si>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</si>
  <si>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</si>
  <si>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</si>
  <si>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</si>
  <si>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</si>
  <si>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</si>
  <si>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</si>
  <si>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</si>
  <si>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</si>
  <si>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</si>
  <si>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</si>
  <si>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</si>
  <si>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</si>
  <si>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</si>
  <si>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</si>
  <si>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</si>
  <si>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</si>
  <si>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</si>
  <si>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</si>
  <si>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</si>
  <si>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</si>
  <si>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</si>
  <si>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</si>
  <si>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</si>
  <si>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</si>
  <si>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</si>
  <si>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</si>
  <si>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</si>
  <si>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</si>
  <si>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</si>
  <si>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</si>
  <si>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</si>
  <si>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</si>
  <si>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</si>
  <si>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</si>
  <si>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</si>
  <si>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</si>
  <si>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</si>
  <si>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</si>
  <si>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</si>
  <si>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</si>
  <si>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</si>
  <si>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</si>
  <si>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</si>
  <si>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</si>
  <si>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</si>
  <si>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</si>
  <si>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</si>
  <si>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</si>
  <si>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</si>
  <si>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</si>
  <si>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</si>
  <si>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</si>
  <si>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</si>
  <si>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</si>
  <si>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</si>
  <si>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</si>
  <si>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</si>
  <si>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</si>
  <si>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</si>
  <si>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</si>
  <si>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</si>
  <si>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</si>
  <si>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</si>
  <si>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</si>
  <si>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</si>
  <si>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</si>
  <si>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</si>
  <si>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</si>
  <si>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</si>
  <si>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</si>
  <si>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</si>
  <si>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</si>
  <si>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</si>
  <si>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</si>
  <si>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</si>
  <si>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</si>
  <si>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</si>
  <si>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</si>
  <si>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</si>
  <si>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</si>
  <si>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</si>
  <si>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</si>
  <si>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</si>
  <si>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</si>
  <si>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</si>
  <si>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</si>
  <si>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</si>
  <si>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</si>
  <si>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</si>
  <si>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</si>
  <si>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</si>
  <si>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</si>
  <si>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</si>
  <si>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</si>
  <si>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</si>
  <si>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</si>
  <si>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</si>
  <si>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</si>
  <si>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</si>
  <si>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</si>
  <si>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</si>
  <si>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</si>
  <si>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</si>
  <si>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</si>
  <si>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</si>
  <si>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</si>
  <si>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</si>
  <si>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</si>
  <si>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</si>
  <si>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</si>
  <si>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</si>
  <si>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</si>
  <si>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</si>
  <si>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</si>
  <si>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</si>
  <si>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</si>
  <si>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</si>
  <si>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</si>
  <si>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</si>
  <si>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</si>
  <si>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</si>
  <si>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</si>
  <si>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</si>
  <si>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</si>
  <si>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</si>
  <si>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</si>
  <si>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</si>
  <si>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</si>
  <si>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</si>
  <si>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</si>
  <si>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</si>
  <si>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</si>
  <si>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</si>
  <si>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</si>
  <si>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</si>
  <si>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</si>
  <si>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</si>
  <si>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</si>
  <si>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</si>
  <si>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</si>
  <si>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</si>
  <si>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</si>
  <si>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</si>
  <si>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</si>
  <si>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</si>
  <si>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</si>
  <si>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</si>
  <si>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</si>
  <si>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</si>
  <si>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</si>
  <si>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</si>
  <si>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</si>
  <si>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</si>
  <si>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</si>
  <si>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</si>
  <si>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</si>
  <si>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</si>
  <si>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</si>
  <si>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</si>
  <si>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</si>
  <si>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</si>
  <si>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</si>
  <si>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</si>
  <si>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</si>
  <si>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</si>
  <si>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</si>
  <si>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</si>
  <si>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</si>
  <si>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</si>
  <si>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</si>
  <si>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</si>
  <si>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</si>
  <si>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</si>
  <si>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</si>
  <si>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</si>
  <si>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</si>
  <si>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</si>
  <si>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</si>
  <si>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</si>
  <si>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</si>
  <si>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</si>
  <si>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</si>
  <si>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</si>
  <si>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</si>
  <si>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</si>
  <si>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</si>
  <si>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</si>
  <si>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</si>
  <si>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</si>
  <si>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</si>
  <si>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</si>
  <si>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</si>
  <si>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</si>
  <si>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</si>
  <si>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</si>
  <si>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</si>
  <si>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</si>
  <si>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</si>
  <si>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</si>
  <si>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</si>
  <si>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</si>
  <si>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</si>
  <si>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</si>
  <si>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</si>
  <si>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</si>
  <si>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</si>
  <si>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</si>
  <si>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</si>
  <si>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</si>
  <si>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</si>
  <si>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</si>
  <si>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</si>
  <si>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</si>
  <si>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</si>
  <si>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</si>
  <si>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</si>
  <si>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</si>
  <si>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</si>
  <si>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</si>
  <si>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</si>
  <si>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</si>
  <si>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</si>
  <si>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</si>
  <si>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</si>
  <si>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</si>
  <si>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</si>
  <si>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</si>
  <si>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</si>
  <si>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</si>
  <si>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</si>
  <si>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</si>
  <si>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</si>
  <si>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</si>
  <si>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</si>
  <si>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</si>
  <si>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</si>
  <si>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</si>
  <si>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</si>
  <si>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</si>
  <si>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</si>
  <si>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</si>
  <si>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</si>
  <si>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</si>
  <si>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</si>
  <si>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</si>
  <si>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</si>
  <si>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</si>
  <si>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</si>
  <si>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</si>
  <si>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</si>
  <si>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</si>
  <si>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</si>
  <si>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</si>
  <si>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</si>
  <si>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</si>
  <si>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</si>
  <si>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</si>
  <si>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</si>
  <si>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</si>
  <si>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</si>
  <si>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</si>
  <si>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</si>
  <si>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</si>
  <si>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</si>
  <si>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</si>
  <si>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</si>
  <si>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</si>
  <si>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</si>
  <si>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</si>
  <si>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</si>
  <si>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</si>
  <si>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</si>
  <si>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</si>
  <si>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</si>
  <si>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</si>
  <si>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</si>
  <si>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</si>
  <si>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</si>
  <si>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</si>
  <si>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</si>
  <si>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</si>
  <si>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</si>
  <si>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</si>
  <si>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</si>
  <si>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</si>
  <si>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</si>
  <si>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</si>
  <si>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</si>
  <si>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</si>
  <si>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</si>
  <si>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</si>
  <si>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</si>
  <si>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</si>
  <si>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</si>
  <si>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</si>
  <si>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</si>
  <si>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</si>
  <si>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</si>
  <si>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</si>
  <si>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</si>
  <si>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</si>
  <si>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</si>
  <si>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 Pepsi Road</t>
  </si>
  <si>
    <t xml:space="preserve">Classic Mart </t>
  </si>
  <si>
    <t>Asakri Store</t>
  </si>
  <si>
    <t xml:space="preserve">Smart Pharmacy </t>
  </si>
  <si>
    <t>Cant Store</t>
  </si>
  <si>
    <t xml:space="preserve">City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</si>
</sst>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46261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Classic Mart </v>
      </c>
      <c r="T3" s="301">
        <f>+'1'!P35</f>
        <v>2822.5904265762711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Asakri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Smart Pharmacy </v>
      </c>
      <c r="T5" s="301">
        <f>+'3'!P35</f>
        <v>940.86347552542372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Cant Store</v>
      </c>
      <c r="T6" s="301">
        <f>+'4'!P35</f>
        <v>9335.4926642542378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15</v>
      </c>
      <c r="R7" s="314">
        <v>5</v>
      </c>
      <c r="S7" s="300" t="str">
        <f>+'5'!A6:A6</f>
        <v xml:space="preserve">City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5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87.168000000000006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5.8511410169491533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</v>
      </c>
      <c r="I11" s="236">
        <f t="shared" si="0"/>
        <v>1089.5999999999999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87.168000000000006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38.136000000000003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964.29599999999994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205.93220338983053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5.8511410169491533</v>
      </c>
      <c r="P11" s="311">
        <f t="shared" si="2"/>
        <v>1176.0793444067797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58</v>
      </c>
      <c r="I12" s="236">
        <f t="shared" si="0"/>
        <v>4213.12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337.04960000000005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147.45920000000001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3728.6111999999998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796.27118644067798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22.62441193220339</v>
      </c>
      <c r="P12" s="311">
        <f t="shared" si="2"/>
        <v>4547.5067983728813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20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5.2</v>
      </c>
      <c r="H16" s="113">
        <f t="shared" ref="H16:M16" si="3">SUM(H7:H15)</f>
        <v>208</v>
      </c>
      <c r="I16" s="114">
        <f t="shared" si="3"/>
        <v>12158.52</v>
      </c>
      <c r="J16" s="274">
        <f>SUM(J7:J15)</f>
        <v>925.60560000000009</v>
      </c>
      <c r="K16" s="275">
        <f t="shared" si="3"/>
        <v>425.54820000000007</v>
      </c>
      <c r="L16" s="276">
        <f t="shared" si="3"/>
        <v>80.029200000000003</v>
      </c>
      <c r="M16" s="232">
        <f t="shared" si="3"/>
        <v>10727.337000000001</v>
      </c>
      <c r="N16" s="233">
        <f>SUM(N7:N15)</f>
        <v>2306.4406779661012</v>
      </c>
      <c r="O16" s="101">
        <f>SUM(O7:O15)</f>
        <v>65.168888389830514</v>
      </c>
      <c r="P16" s="113">
        <f>SUM(P7:P15)</f>
        <v>13098.946566355931</v>
      </c>
      <c r="Q16" s="128">
        <f>SUM(Q7:Q15)</f>
        <v>200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12158.52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925.60560000000009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505.57740000000007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10727.337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2306.4406779661012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13033.7776779661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65.168888389830514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13098.946566355931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13098.946566355933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7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36</v>
      </c>
      <c r="I25" s="114">
        <f t="shared" ref="I25:M25" si="10">SUM(I16:I24)</f>
        <v>2615.04</v>
      </c>
      <c r="J25" s="274">
        <f>SUM(J16:J24)</f>
        <v>209.20320000000004</v>
      </c>
      <c r="K25" s="275">
        <f t="shared" si="10"/>
        <v>91.52640000000001</v>
      </c>
      <c r="L25" s="276">
        <f t="shared" si="10"/>
        <v>0</v>
      </c>
      <c r="M25" s="232">
        <f t="shared" si="10"/>
        <v>2314.3104000000003</v>
      </c>
      <c r="N25" s="233">
        <f>SUM(N16:N24)</f>
        <v>494.23728813559325</v>
      </c>
      <c r="O25" s="101">
        <f>SUM(O16:O24)</f>
        <v>14.042738440677967</v>
      </c>
      <c r="P25" s="113">
        <f>SUM(P16:P24)</f>
        <v>2822.5904265762711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2615.04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209.20320000000004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91.52640000000001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2314.3103999999998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494.23728813559325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2808.547688135593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14.042738440677965</v>
      </c>
    </row>
    <row r="35" spans="2:16" ht="15.75" customHeight="1" thickBot="1" x14ac:dyDescent="0.4">
      <c r="N35" s="373" t="s">
        <v>88</v>
      </c>
      <c r="O35" s="374"/>
      <c r="P35" s="297">
        <f>+P33+P34</f>
        <v>2822.5904265762711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22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871.68000000000006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69.734400000000008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30.508800000000004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771.43680000000006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936.18256271186442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3" t="s">
        <v>88</v>
      </c>
      <c r="O35" s="374"/>
      <c r="P35" s="297">
        <f>+P33+P34</f>
        <v>940.86347552542372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8671.8000000000011</v>
      </c>
      <c r="J25" s="274">
        <f>SUM(J16:J24)</f>
        <v>646.66800000000001</v>
      </c>
      <c r="K25" s="275">
        <f t="shared" si="7"/>
        <v>303.51300000000003</v>
      </c>
      <c r="L25" s="276">
        <f t="shared" si="7"/>
        <v>80.029200000000003</v>
      </c>
      <c r="M25" s="232">
        <f t="shared" si="7"/>
        <v>7641.5898000000007</v>
      </c>
      <c r="N25" s="233">
        <f>SUM(N16:N24)</f>
        <v>1647.4576271186436</v>
      </c>
      <c r="O25" s="101">
        <f>SUM(O16:O24)</f>
        <v>46.445237135593217</v>
      </c>
      <c r="P25" s="113">
        <f>SUM(P16:P24)</f>
        <v>9335.4926642542378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8671.8000000000011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646.66800000000001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383.54220000000004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7641.5898000000016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1647.4576271186436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9289.0474271186449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46.445237135593224</v>
      </c>
    </row>
    <row r="35" spans="2:16" ht="15.75" customHeight="1" thickBot="1" x14ac:dyDescent="0.4">
      <c r="N35" s="373" t="s">
        <v>88</v>
      </c>
      <c r="O35" s="374"/>
      <c r="P35" s="297">
        <f>+P33+P34</f>
        <v>9335.4926642542378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H21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40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40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46262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46261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2026-08-27T12:05:18Z</dcterms:modified>
</cp:coreProperties>
</file>