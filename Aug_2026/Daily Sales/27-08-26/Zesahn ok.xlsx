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13F05F7-D13B-4BDD-8752-31DA0584A28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<sst xmlns="http://schemas.openxmlformats.org/spreadsheetml/2006/main" count="3978" uniqueCount="527">
  <si>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</si>
  <si>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</si>
  <si>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</si>
  <si>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</si>
  <si>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</si>
  <si>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</si>
  <si>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</si>
  <si>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</si>
  <si>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</si>
  <si>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</si>
  <si>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</si>
  <si>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</si>
  <si>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</si>
  <si>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</si>
  <si>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</si>
  <si>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</si>
  <si>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</si>
  <si>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</si>
  <si>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</si>
  <si>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</si>
  <si>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</si>
  <si>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</si>
  <si>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</si>
  <si>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</si>
  <si>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</si>
  <si>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</si>
  <si>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</si>
  <si>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</si>
  <si>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</si>
  <si>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</si>
  <si>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</si>
  <si>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</si>
  <si>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</si>
  <si>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</si>
  <si>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</si>
  <si>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</si>
  <si>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</si>
  <si>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</si>
  <si>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</si>
  <si>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</si>
  <si>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</si>
  <si>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</si>
  <si>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</si>
  <si>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</si>
  <si>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</si>
  <si>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</si>
  <si>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</si>
  <si>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</si>
  <si>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</si>
  <si>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</si>
  <si>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</si>
  <si>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</si>
  <si>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</si>
  <si>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</si>
  <si>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</si>
  <si>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</si>
  <si>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</si>
  <si>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</si>
  <si>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</si>
  <si>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</si>
  <si>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</si>
  <si>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</si>
  <si>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</si>
  <si>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</si>
  <si>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</si>
  <si>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</si>
  <si>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</si>
  <si>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</si>
  <si>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</si>
  <si>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</si>
  <si>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</si>
  <si>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</si>
  <si>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</si>
  <si>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</si>
  <si>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</si>
  <si>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</si>
  <si>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</si>
  <si>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</si>
  <si>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</si>
  <si>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</si>
  <si>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</si>
  <si>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</si>
  <si>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</si>
  <si>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</si>
  <si>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</si>
  <si>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</si>
  <si>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</si>
  <si>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</si>
  <si>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</si>
  <si>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</si>
  <si>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</si>
  <si>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</si>
  <si>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</si>
  <si>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</si>
  <si>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</si>
  <si>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</si>
  <si>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</si>
  <si>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</si>
  <si>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</si>
  <si>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</si>
  <si>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</si>
  <si>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</si>
  <si>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</si>
  <si>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</si>
  <si>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</si>
  <si>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</si>
  <si>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</si>
  <si>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</si>
  <si>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</si>
  <si>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</si>
  <si>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</si>
  <si>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</si>
  <si>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</si>
  <si>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</si>
  <si>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</si>
  <si>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</si>
  <si>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</si>
  <si>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</si>
  <si>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</si>
  <si>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</si>
  <si>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</si>
  <si>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</si>
  <si>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</si>
  <si>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</si>
  <si>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</si>
  <si>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</si>
  <si>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</si>
  <si>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</si>
  <si>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</si>
  <si>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</si>
  <si>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</si>
  <si>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</si>
  <si>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</si>
  <si>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</si>
  <si>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</si>
  <si>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</si>
  <si>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</si>
  <si>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</si>
  <si>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</si>
  <si>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</si>
  <si>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</si>
  <si>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</si>
  <si>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</si>
  <si>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</si>
  <si>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</si>
  <si>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</si>
  <si>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</si>
  <si>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</si>
  <si>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</si>
  <si>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</si>
  <si>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</si>
  <si>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</si>
  <si>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</si>
  <si>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</si>
  <si>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</si>
  <si>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</si>
  <si>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</si>
  <si>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</si>
  <si>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</si>
  <si>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</si>
  <si>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</si>
  <si>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</si>
  <si>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</si>
  <si>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</si>
  <si>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</si>
  <si>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</si>
  <si>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</si>
  <si>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</si>
  <si>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</si>
  <si>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</si>
  <si>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</si>
  <si>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</si>
  <si>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</si>
  <si>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</si>
  <si>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</si>
  <si>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</si>
  <si>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</si>
  <si>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</si>
  <si>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</si>
  <si>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</si>
  <si>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</si>
  <si>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</si>
  <si>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</si>
  <si>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</si>
  <si>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</si>
  <si>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</si>
  <si>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</si>
  <si>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</si>
  <si>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</si>
  <si>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</si>
  <si>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</si>
  <si>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</si>
  <si>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</si>
  <si>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</si>
  <si>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</si>
  <si>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</si>
  <si>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</si>
  <si>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</si>
  <si>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</si>
  <si>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</si>
  <si>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</si>
  <si>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</si>
  <si>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</si>
  <si>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</si>
  <si>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</si>
  <si>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</si>
  <si>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</si>
  <si>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</si>
  <si>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</si>
  <si>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</si>
  <si>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</si>
  <si>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</si>
  <si>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</si>
  <si>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</si>
  <si>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</si>
  <si>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</si>
  <si>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</si>
  <si>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</si>
  <si>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</si>
  <si>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</si>
  <si>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</si>
  <si>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</si>
  <si>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</si>
  <si>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</si>
  <si>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</si>
  <si>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</si>
  <si>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</si>
  <si>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</si>
  <si>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</si>
  <si>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</si>
  <si>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</si>
  <si>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</si>
  <si>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</si>
  <si>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</si>
  <si>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</si>
  <si>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</si>
  <si>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</si>
  <si>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</si>
  <si>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</si>
  <si>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</si>
  <si>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</si>
  <si>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</si>
  <si>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</si>
  <si>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</si>
  <si>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</si>
  <si>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</si>
  <si>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</si>
  <si>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</si>
  <si>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</si>
  <si>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</si>
  <si>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</si>
  <si>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</si>
  <si>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</si>
  <si>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</si>
  <si>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</si>
  <si>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</si>
  <si>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</si>
  <si>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</si>
  <si>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</si>
  <si>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</si>
  <si>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</si>
  <si>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</si>
  <si>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</si>
  <si>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</si>
  <si>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</si>
  <si>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</si>
  <si>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</si>
  <si>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</si>
  <si>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</si>
  <si>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</si>
  <si>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</si>
  <si>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</si>
  <si>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</si>
  <si>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</si>
  <si>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</si>
  <si>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</si>
  <si>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</si>
  <si>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</si>
  <si>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</si>
  <si>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</si>
  <si>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</si>
  <si>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</si>
  <si>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</si>
  <si>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</si>
  <si>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</si>
  <si>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</si>
  <si>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</si>
  <si>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</si>
  <si>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</si>
  <si>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</si>
  <si>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</si>
  <si>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</si>
  <si>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</si>
  <si>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</si>
  <si>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</si>
  <si>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</si>
  <si>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</si>
  <si>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</si>
  <si>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</si>
  <si>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</si>
  <si>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</si>
  <si>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</si>
  <si>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</si>
  <si>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</si>
  <si>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</si>
  <si>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</si>
  <si>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</si>
  <si>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</si>
  <si>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</si>
  <si>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</si>
  <si>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</si>
  <si>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</si>
  <si>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</si>
  <si>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</si>
  <si>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</si>
  <si>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</si>
  <si>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</si>
  <si>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</si>
  <si>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</si>
  <si>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</si>
  <si>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</si>
  <si>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</si>
  <si>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</si>
  <si>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</si>
  <si>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</si>
  <si>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</si>
  <si>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</si>
  <si>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</si>
  <si>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</si>
  <si>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</si>
  <si>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</si>
  <si>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</si>
  <si>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</si>
  <si>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</si>
  <si>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</si>
  <si>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</si>
  <si>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</si>
  <si>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</si>
  <si>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</si>
  <si>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</si>
  <si>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</si>
  <si>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</si>
  <si>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</si>
  <si>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</si>
  <si>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</si>
  <si>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</si>
  <si>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</si>
  <si>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</si>
  <si>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</si>
  <si>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</si>
  <si>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</si>
  <si>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</si>
  <si>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</si>
  <si>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</si>
  <si>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</si>
  <si>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</si>
  <si>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</si>
  <si>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</si>
  <si>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</si>
  <si>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</si>
  <si>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</si>
  <si>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</si>
  <si>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</si>
  <si>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</si>
  <si>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</si>
  <si>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</si>
  <si>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</si>
  <si>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</si>
  <si>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</si>
  <si>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</si>
  <si>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</si>
  <si>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</si>
  <si>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</si>
  <si>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</si>
  <si>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</si>
  <si>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</si>
  <si>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</si>
  <si>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</si>
  <si>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</si>
  <si>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</si>
  <si>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</si>
  <si>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</si>
  <si>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</si>
  <si>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</si>
  <si>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</si>
  <si>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</si>
  <si>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</si>
  <si>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</si>
  <si>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</si>
  <si>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</si>
  <si>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</si>
  <si>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</si>
  <si>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</si>
  <si>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</si>
  <si>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</si>
  <si>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</si>
  <si>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</si>
  <si>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</si>
  <si>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</si>
  <si>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</si>
  <si>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</si>
  <si>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</si>
  <si>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</si>
  <si>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</si>
  <si>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</si>
  <si>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</si>
  <si>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</si>
  <si>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</si>
  <si>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</si>
  <si>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</si>
  <si>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</si>
  <si>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</si>
  <si>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</si>
  <si>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</si>
  <si>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</si>
  <si>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</si>
  <si>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</si>
  <si>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</si>
  <si>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</si>
  <si>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</si>
  <si>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</si>
  <si>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</si>
  <si>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</si>
  <si>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</si>
  <si>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</si>
  <si>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</si>
  <si>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</si>
  <si>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</si>
  <si>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</si>
  <si>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</si>
  <si>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</si>
  <si>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</si>
  <si>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</si>
  <si>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</si>
  <si>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</si>
  <si>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</si>
  <si>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</si>
  <si>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</si>
  <si>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</si>
  <si>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</si>
  <si>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</si>
  <si>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</si>
  <si>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</si>
  <si>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</si>
  <si>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</si>
  <si>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</si>
  <si>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</si>
  <si>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</si>
  <si>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</si>
  <si>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</si>
  <si>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</si>
  <si>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</si>
  <si>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</si>
  <si>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</si>
  <si>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</si>
  <si>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</si>
  <si>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</si>
  <si>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</si>
  <si>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</si>
  <si>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</si>
  <si>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</si>
  <si>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</si>
  <si>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</si>
  <si>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</si>
  <si>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</si>
  <si>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</si>
  <si>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</si>
  <si>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</si>
  <si>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</si>
  <si>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</si>
  <si>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</si>
  <si>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</si>
  <si>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</si>
  <si>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</si>
  <si>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</si>
  <si>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</si>
  <si>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</si>
  <si>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</si>
  <si>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</si>
  <si>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</si>
  <si>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</si>
  <si>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</si>
  <si>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</si>
  <si>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</si>
  <si>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</si>
  <si>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</si>
  <si>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</si>
  <si>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</si>
  <si>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</si>
  <si>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</si>
  <si>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</si>
  <si>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</si>
  <si>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</si>
  <si>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</si>
  <si>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</si>
  <si>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</si>
  <si>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</si>
  <si>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</si>
  <si>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</si>
  <si>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</si>
  <si>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</si>
  <si>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</si>
  <si>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</si>
  <si>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</si>
  <si>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</si>
  <si>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</si>
  <si>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</si>
  <si>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</si>
  <si>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</si>
  <si>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</si>
  <si>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</si>
  <si>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</si>
  <si>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</si>
  <si>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</si>
  <si>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 xml:space="preserve">Zeshan Mehrban </t>
  </si>
  <si>
    <t xml:space="preserve">Address: Peer Colony </t>
  </si>
  <si>
    <t>Ahmad Store</t>
  </si>
  <si>
    <t xml:space="preserve">Rana Mart </t>
  </si>
  <si>
    <t>Madina Store</t>
  </si>
  <si>
    <t>Awan Store</t>
  </si>
  <si>
    <t>Hiper Store</t>
  </si>
  <si>
    <t>Khan Store</t>
  </si>
  <si>
    <t>Makkah Store</t>
  </si>
  <si>
    <t>Daim Store</t>
  </si>
  <si>
    <t xml:space="preserve">Premier Mart </t>
  </si>
  <si>
    <t>Defence Store</t>
  </si>
  <si>
    <t>Fakhir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</si>
</sst>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5" workbookViewId="0">
      <selection activeCell="H15" sqref="H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46261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Ahmad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Rana Mart 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Madina Store</v>
      </c>
      <c r="T5" s="301">
        <f>+'3'!P35</f>
        <v>1132.5257914194915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Awan Store</v>
      </c>
      <c r="T6" s="301">
        <f>+'4'!P35</f>
        <v>1132.5257914194915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Hiper Store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Khan Store</v>
      </c>
      <c r="T8" s="301">
        <f>+'6'!P35</f>
        <v>417.29447837288137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Makkah Store</v>
      </c>
      <c r="T9" s="301">
        <f>+'7'!P35</f>
        <v>417.29447837288137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Daim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Premier Mart </v>
      </c>
      <c r="T11" s="301">
        <f>+'9'!P35</f>
        <v>7070.4410814152552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87.167999999999992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5.8511410169491525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Defence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100</v>
      </c>
      <c r="I13" s="236">
        <f t="shared" si="0"/>
        <v>3923.0000000000005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196.15000000000006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137.30500000000004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200.07300000000001</v>
      </c>
      <c r="M13" s="230">
        <f t="shared" si="1"/>
        <v>3389.4720000000002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762.71186440677923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20.760919322033899</v>
      </c>
      <c r="P13" s="311">
        <f t="shared" si="2"/>
        <v>4172.9447837288135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120</v>
      </c>
      <c r="R13" s="314">
        <v>11</v>
      </c>
      <c r="S13" s="300" t="str">
        <f>+'11'!A6:A6</f>
        <v>Fakhir Store</v>
      </c>
      <c r="T13" s="301">
        <f>+'11'!P35</f>
        <v>3136.2115850847458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6.5</v>
      </c>
      <c r="H16" s="113">
        <f t="shared" ref="H16:M16" si="3">SUM(H7:H15)</f>
        <v>260</v>
      </c>
      <c r="I16" s="114">
        <f t="shared" si="3"/>
        <v>13931.2</v>
      </c>
      <c r="J16" s="274">
        <f>SUM(J7:J15)</f>
        <v>996.80600000000004</v>
      </c>
      <c r="K16" s="275">
        <f t="shared" si="3"/>
        <v>487.5920000000001</v>
      </c>
      <c r="L16" s="276">
        <f t="shared" si="3"/>
        <v>200.07300000000001</v>
      </c>
      <c r="M16" s="232">
        <f t="shared" si="3"/>
        <v>12246.728999999999</v>
      </c>
      <c r="N16" s="233">
        <f>SUM(N7:N15)</f>
        <v>2654.2372881355927</v>
      </c>
      <c r="O16" s="101">
        <f>SUM(O7:O15)</f>
        <v>74.504831440677975</v>
      </c>
      <c r="P16" s="113">
        <f>SUM(P7:P15)</f>
        <v>14975.471119576272</v>
      </c>
      <c r="Q16" s="128">
        <f>SUM(Q7:Q15)</f>
        <v>120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13931.2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996.80600000000004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687.66500000000008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12246.728999999999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2654.2372881355927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14900.966288135593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74.504831440677975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14975.47111957627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14975.471119576274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1049.25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83.94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36.723750000000003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928.58624999999995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1126.8913347457626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3" t="s">
        <v>88</v>
      </c>
      <c r="O35" s="374"/>
      <c r="P35" s="297">
        <f>+P33+P34</f>
        <v>1132.5257914194915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1049.25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83.94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36.723750000000003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928.58624999999995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1126.8913347457626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3" t="s">
        <v>88</v>
      </c>
      <c r="O35" s="374"/>
      <c r="P35" s="297">
        <f>+P33+P34</f>
        <v>1132.5257914194915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478.78800000000001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6573.3000000000011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478.78800000000001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310.09470000000005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5784.417300000001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7035.2647576271193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3" t="s">
        <v>88</v>
      </c>
      <c r="O35" s="374"/>
      <c r="P35" s="297">
        <f>+P33+P34</f>
        <v>7070.4410814152552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514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46262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46261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2026-08-27T11:00:42Z</dcterms:modified>
</cp:coreProperties>
</file>