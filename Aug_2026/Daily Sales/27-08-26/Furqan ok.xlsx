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6BF8DA2-931F-467C-A8AB-6109D6003697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4" i="45"/>
  <c r="N4" i="49"/>
  <c r="N4" i="53"/>
  <c r="N4" i="57"/>
  <c r="N4" i="61"/>
  <c r="N4" i="66"/>
  <c r="N4" i="70"/>
  <c r="N4" i="46"/>
  <c r="N4" i="50"/>
  <c r="N4" i="54"/>
  <c r="N4" i="58"/>
  <c r="N4" i="63"/>
  <c r="N4" i="67"/>
  <c r="N5" i="67" s="1"/>
  <c r="N4" i="7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8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<sst xmlns="http://schemas.openxmlformats.org/spreadsheetml/2006/main" count="3948" uniqueCount="530">
  <si>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</si>
  <si>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</si>
  <si>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</si>
  <si>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</si>
  <si>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</si>
  <si>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</si>
  <si>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</si>
  <si>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</si>
  <si>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</si>
  <si>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</si>
  <si>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</si>
  <si>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</si>
  <si>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</si>
  <si>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</si>
  <si>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</si>
  <si>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</si>
  <si>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</si>
  <si>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</si>
  <si>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</si>
  <si>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</si>
  <si>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</si>
  <si>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</si>
  <si>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</si>
  <si>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</si>
  <si>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</si>
  <si>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</si>
  <si>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</si>
  <si>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</si>
  <si>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</si>
  <si>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</si>
  <si>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</si>
  <si>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</si>
  <si>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</si>
  <si>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</si>
  <si>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</si>
  <si>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</si>
  <si>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</si>
  <si>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</si>
  <si>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</si>
  <si>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</si>
  <si>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</si>
  <si>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</si>
  <si>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</si>
  <si>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</si>
  <si>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</si>
  <si>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</si>
  <si>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</si>
  <si>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</si>
  <si>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</si>
  <si>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</si>
  <si>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</si>
  <si>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</si>
  <si>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</si>
  <si>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</si>
  <si>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</si>
  <si>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</si>
  <si>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</si>
  <si>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</si>
  <si>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</si>
  <si>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</si>
  <si>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</si>
  <si>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</si>
  <si>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</si>
  <si>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</si>
  <si>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</si>
  <si>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</si>
  <si>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</si>
  <si>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</si>
  <si>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</si>
  <si>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</si>
  <si>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</si>
  <si>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</si>
  <si>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</si>
  <si>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</si>
  <si>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</si>
  <si>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</si>
  <si>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</si>
  <si>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</si>
  <si>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</si>
  <si>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</si>
  <si>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</si>
  <si>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</si>
  <si>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</si>
  <si>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</si>
  <si>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</si>
  <si>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</si>
  <si>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</si>
  <si>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</si>
  <si>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</si>
  <si>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</si>
  <si>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</si>
  <si>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</si>
  <si>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</si>
  <si>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</si>
  <si>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</si>
  <si>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</si>
  <si>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</si>
  <si>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</si>
  <si>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</si>
  <si>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</si>
  <si>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</si>
  <si>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</si>
  <si>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</si>
  <si>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</si>
  <si>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</si>
  <si>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</si>
  <si>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</si>
  <si>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</si>
  <si>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</si>
  <si>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</si>
  <si>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</si>
  <si>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</si>
  <si>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</si>
  <si>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</si>
  <si>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</si>
  <si>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</si>
  <si>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</si>
  <si>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</si>
  <si>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</si>
  <si>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</si>
  <si>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</si>
  <si>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</si>
  <si>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</si>
  <si>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</si>
  <si>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</si>
  <si>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</si>
  <si>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</si>
  <si>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</si>
  <si>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</si>
  <si>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</si>
  <si>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</si>
  <si>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</si>
  <si>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</si>
  <si>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</si>
  <si>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</si>
  <si>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</si>
  <si>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</si>
  <si>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</si>
  <si>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</si>
  <si>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</si>
  <si>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</si>
  <si>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</si>
  <si>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</si>
  <si>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</si>
  <si>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</si>
  <si>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</si>
  <si>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</si>
  <si>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</si>
  <si>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</si>
  <si>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</si>
  <si>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</si>
  <si>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</si>
  <si>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</si>
  <si>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</si>
  <si>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</si>
  <si>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</si>
  <si>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</si>
  <si>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</si>
  <si>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</si>
  <si>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</si>
  <si>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</si>
  <si>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</si>
  <si>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</si>
  <si>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</si>
  <si>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</si>
  <si>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</si>
  <si>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</si>
  <si>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</si>
  <si>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</si>
  <si>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</si>
  <si>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</si>
  <si>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</si>
  <si>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</si>
  <si>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</si>
  <si>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</si>
  <si>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</si>
  <si>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</si>
  <si>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</si>
  <si>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</si>
  <si>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</si>
  <si>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</si>
  <si>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</si>
  <si>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</si>
  <si>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</si>
  <si>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</si>
  <si>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</si>
  <si>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</si>
  <si>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</si>
  <si>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</si>
  <si>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</si>
  <si>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</si>
  <si>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</si>
  <si>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</si>
  <si>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</si>
  <si>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</si>
  <si>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</si>
  <si>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</si>
  <si>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</si>
  <si>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</si>
  <si>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</si>
  <si>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</si>
  <si>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</si>
  <si>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</si>
  <si>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</si>
  <si>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</si>
  <si>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</si>
  <si>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</si>
  <si>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</si>
  <si>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</si>
  <si>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</si>
  <si>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</si>
  <si>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</si>
  <si>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</si>
  <si>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</si>
  <si>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</si>
  <si>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</si>
  <si>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</si>
  <si>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</si>
  <si>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</si>
  <si>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</si>
  <si>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</si>
  <si>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</si>
  <si>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</si>
  <si>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</si>
  <si>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</si>
  <si>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</si>
  <si>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</si>
  <si>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</si>
  <si>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</si>
  <si>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</si>
  <si>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</si>
  <si>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</si>
  <si>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</si>
  <si>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</si>
  <si>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</si>
  <si>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</si>
  <si>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</si>
  <si>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</si>
  <si>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</si>
  <si>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</si>
  <si>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</si>
  <si>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</si>
  <si>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</si>
  <si>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</si>
  <si>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</si>
  <si>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</si>
  <si>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</si>
  <si>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</si>
  <si>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</si>
  <si>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</si>
  <si>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</si>
  <si>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</si>
  <si>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</si>
  <si>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</si>
  <si>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</si>
  <si>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</si>
  <si>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</si>
  <si>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</si>
  <si>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</si>
  <si>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</si>
  <si>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</si>
  <si>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</si>
  <si>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</si>
  <si>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</si>
  <si>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</si>
  <si>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</si>
  <si>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</si>
  <si>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</si>
  <si>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</si>
  <si>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</si>
  <si>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</si>
  <si>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</si>
  <si>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</si>
  <si>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</si>
  <si>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</si>
  <si>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</si>
  <si>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</si>
  <si>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</si>
  <si>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</si>
  <si>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</si>
  <si>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</si>
  <si>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</si>
  <si>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</si>
  <si>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</si>
  <si>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</si>
  <si>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</si>
  <si>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</si>
  <si>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</si>
  <si>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</si>
  <si>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</si>
  <si>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</si>
  <si>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</si>
  <si>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</si>
  <si>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</si>
  <si>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</si>
  <si>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</si>
  <si>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</si>
  <si>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</si>
  <si>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</si>
  <si>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</si>
  <si>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</si>
  <si>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</si>
  <si>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</si>
  <si>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</si>
  <si>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</si>
  <si>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</si>
  <si>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</si>
  <si>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</si>
  <si>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</si>
  <si>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</si>
  <si>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</si>
  <si>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</si>
  <si>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</si>
  <si>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</si>
  <si>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</si>
  <si>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</si>
  <si>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</si>
  <si>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</si>
  <si>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</si>
  <si>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</si>
  <si>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</si>
  <si>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</si>
  <si>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</si>
  <si>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</si>
  <si>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</si>
  <si>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</si>
  <si>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</si>
  <si>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</si>
  <si>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</si>
  <si>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</si>
  <si>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</si>
  <si>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</si>
  <si>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</si>
  <si>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</si>
  <si>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</si>
  <si>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</si>
  <si>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</si>
  <si>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</si>
  <si>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</si>
  <si>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</si>
  <si>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</si>
  <si>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</si>
  <si>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</si>
  <si>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</si>
  <si>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</si>
  <si>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</si>
  <si>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</si>
  <si>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</si>
  <si>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</si>
  <si>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</si>
  <si>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</si>
  <si>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</si>
  <si>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</si>
  <si>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</si>
  <si>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</si>
  <si>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</si>
  <si>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</si>
  <si>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</si>
  <si>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</si>
  <si>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</si>
  <si>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</si>
  <si>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</si>
  <si>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</si>
  <si>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</si>
  <si>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</si>
  <si>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</si>
  <si>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</si>
  <si>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</si>
  <si>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</si>
  <si>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</si>
  <si>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</si>
  <si>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</si>
  <si>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</si>
  <si>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</si>
  <si>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</si>
  <si>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</si>
  <si>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</si>
  <si>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</si>
  <si>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</si>
  <si>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</si>
  <si>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</si>
  <si>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</si>
  <si>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</si>
  <si>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</si>
  <si>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</si>
  <si>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</si>
  <si>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</si>
  <si>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</si>
  <si>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</si>
  <si>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</si>
  <si>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</si>
  <si>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</si>
  <si>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</si>
  <si>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</si>
  <si>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</si>
  <si>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</si>
  <si>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</si>
  <si>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</si>
  <si>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</si>
  <si>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</si>
  <si>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</si>
  <si>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</si>
  <si>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</si>
  <si>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</si>
  <si>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</si>
  <si>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</si>
  <si>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</si>
  <si>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</si>
  <si>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</si>
  <si>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</si>
  <si>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</si>
  <si>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</si>
  <si>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</si>
  <si>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</si>
  <si>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</si>
  <si>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</si>
  <si>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</si>
  <si>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</si>
  <si>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</si>
  <si>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</si>
  <si>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</si>
  <si>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</si>
  <si>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</si>
  <si>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</si>
  <si>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</si>
  <si>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</si>
  <si>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</si>
  <si>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</si>
  <si>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</si>
  <si>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</si>
  <si>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</si>
  <si>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</si>
  <si>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</si>
  <si>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</si>
  <si>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</si>
  <si>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</si>
  <si>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</si>
  <si>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</si>
  <si>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</si>
  <si>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</si>
  <si>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</si>
  <si>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</si>
  <si>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</si>
  <si>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</si>
  <si>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</si>
  <si>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</si>
  <si>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</si>
  <si>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</si>
  <si>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</si>
  <si>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</si>
  <si>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</si>
  <si>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</si>
  <si>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</si>
  <si>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</si>
  <si>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</si>
  <si>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</si>
  <si>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</si>
  <si>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</si>
  <si>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</si>
  <si>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</si>
  <si>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</si>
  <si>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</si>
  <si>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</si>
  <si>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</si>
  <si>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</si>
  <si>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</si>
  <si>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</si>
  <si>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</si>
  <si>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</si>
  <si>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</si>
  <si>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</si>
  <si>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</si>
  <si>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</si>
  <si>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</si>
  <si>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</si>
  <si>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</si>
  <si>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</si>
  <si>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</si>
  <si>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</si>
  <si>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</si>
  <si>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</si>
  <si>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</si>
  <si>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</si>
  <si>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</si>
  <si>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</si>
  <si>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</si>
  <si>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</si>
  <si>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</si>
  <si>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</si>
  <si>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</si>
  <si>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</si>
  <si>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</si>
  <si>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</si>
  <si>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</si>
  <si>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</si>
  <si>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</si>
  <si>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</si>
  <si>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</si>
  <si>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</si>
  <si>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</si>
  <si>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</si>
  <si>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</si>
  <si>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</si>
  <si>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</si>
  <si>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</si>
  <si>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</si>
  <si>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</si>
  <si>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</si>
  <si>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</si>
  <si>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</si>
  <si>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</si>
  <si>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</si>
  <si>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</si>
  <si>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Furqan</t>
  </si>
  <si>
    <t>Address: Peer Colony</t>
  </si>
  <si>
    <t xml:space="preserve">New Al Madina </t>
  </si>
  <si>
    <t>Tariq Mithu Store</t>
  </si>
  <si>
    <t xml:space="preserve">Address: Gali no 3 Tariq Mithu Chowk </t>
  </si>
  <si>
    <t>Mehar Yaseen Store</t>
  </si>
  <si>
    <t xml:space="preserve">Address: Peer Colony gali no 4 </t>
  </si>
  <si>
    <t>Haq Baho Store</t>
  </si>
  <si>
    <t xml:space="preserve">Address: Peer Colony Near Rana Pan Shop </t>
  </si>
  <si>
    <t>MashaAllah Store</t>
  </si>
  <si>
    <t>Address: Qadri Colony</t>
  </si>
  <si>
    <t>Rana Store</t>
  </si>
  <si>
    <t>Address: Qadri Colony Gali no 3</t>
  </si>
  <si>
    <t>AB Store</t>
  </si>
  <si>
    <t>Address: Qadri Colony Gali no 4</t>
  </si>
  <si>
    <t xml:space="preserve">Ch Frozen </t>
  </si>
  <si>
    <t>Address: Fazlia Colony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</si>
</sst>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H10" sqref="H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513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v>46261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 xml:space="preserve">New Al Madina </v>
      </c>
      <c r="T3" s="301">
        <f>+'1'!P35</f>
        <v>1620.3789503771186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Tariq Mithu Store</v>
      </c>
      <c r="T4" s="301">
        <f>+'2'!P35</f>
        <v>1669.1779134915255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Mehar Yaseen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Haq Baho Store</v>
      </c>
      <c r="T6" s="301">
        <f>+'4'!P35</f>
        <v>2288.0501157737285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</v>
      </c>
      <c r="I7" s="235">
        <f>(G7*D7)*F7+H7*F7</f>
        <v>629.54999999999995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50.363999999999997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22.03425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557.15174999999999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118.98305084745758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3.3806740042372878</v>
      </c>
      <c r="P7" s="310">
        <f>M7+N7+O7</f>
        <v>679.51547485169488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MashaAllah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48</v>
      </c>
      <c r="I8" s="236">
        <f t="shared" ref="I8:I14" si="0">(G8*D8)*F8+H8*F8</f>
        <v>2518.1999999999998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201.45599999999999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88.137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2228.607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475.93220338983031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13.522696016949151</v>
      </c>
      <c r="P8" s="311">
        <f t="shared" ref="P8:P15" si="2">M8+N8+O8</f>
        <v>2718.0618994067795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6</v>
      </c>
      <c r="R8" s="314">
        <v>6</v>
      </c>
      <c r="S8" s="300" t="str">
        <f>+'6'!A6:A6</f>
        <v>Rana Store</v>
      </c>
      <c r="T8" s="301">
        <f>+'6'!P35</f>
        <v>1669.1779134915255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AB Store</v>
      </c>
      <c r="T9" s="301">
        <f>+'7'!P35</f>
        <v>3980.9166481754237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27</v>
      </c>
      <c r="I10" s="236">
        <f t="shared" si="0"/>
        <v>1961.28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156.9024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68.644800000000004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1735.7328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370.67796610169495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10.532053830508474</v>
      </c>
      <c r="P10" s="311">
        <f t="shared" si="2"/>
        <v>2116.9428199322037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6</v>
      </c>
      <c r="R10" s="314">
        <v>8</v>
      </c>
      <c r="S10" s="300" t="str">
        <f>+'8'!A6:A6</f>
        <v xml:space="preserve">Ch Frozen </v>
      </c>
      <c r="T10" s="301">
        <f>+'8'!P35</f>
        <v>3970.8005418305079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27</v>
      </c>
      <c r="I11" s="236">
        <f t="shared" si="0"/>
        <v>1961.28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156.9024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68.644800000000004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1735.7328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370.67796610169495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10.532053830508474</v>
      </c>
      <c r="P11" s="311">
        <f t="shared" si="2"/>
        <v>2116.9428199322037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12</v>
      </c>
      <c r="R11" s="314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22</v>
      </c>
      <c r="I12" s="236">
        <f t="shared" si="0"/>
        <v>1598.08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127.84640000000002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55.932800000000007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1414.3008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302.03389830508479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8.5816734915254251</v>
      </c>
      <c r="P12" s="311">
        <f t="shared" si="2"/>
        <v>1724.9163717966101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140</v>
      </c>
      <c r="I13" s="236">
        <f t="shared" si="0"/>
        <v>5492.2000000000007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274.61000000000007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192.22700000000006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280.10220000000004</v>
      </c>
      <c r="M13" s="230">
        <f t="shared" si="1"/>
        <v>4745.2608000000009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1067.796610169491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29.065287050847459</v>
      </c>
      <c r="P13" s="311">
        <f t="shared" si="2"/>
        <v>5842.1226972203394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12</v>
      </c>
      <c r="R13" s="314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6.9</v>
      </c>
      <c r="H16" s="113">
        <f t="shared" ref="H16:M16" si="3">SUM(H7:H15)</f>
        <v>276</v>
      </c>
      <c r="I16" s="114">
        <f t="shared" si="3"/>
        <v>14160.59</v>
      </c>
      <c r="J16" s="274">
        <f>SUM(J7:J15)</f>
        <v>968.08120000000008</v>
      </c>
      <c r="K16" s="275">
        <f t="shared" si="3"/>
        <v>495.62065000000007</v>
      </c>
      <c r="L16" s="276">
        <f t="shared" si="3"/>
        <v>280.10220000000004</v>
      </c>
      <c r="M16" s="232">
        <f t="shared" si="3"/>
        <v>12416.785950000001</v>
      </c>
      <c r="N16" s="233">
        <f>SUM(N7:N15)</f>
        <v>2706.1016949152536</v>
      </c>
      <c r="O16" s="101">
        <f>SUM(O7:O15)</f>
        <v>75.614438224576276</v>
      </c>
      <c r="P16" s="113">
        <f>SUM(P7:P15)</f>
        <v>15198.502083139832</v>
      </c>
      <c r="Q16" s="128">
        <f>SUM(Q7:Q15)</f>
        <v>36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14160.59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968.08120000000008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775.72285000000011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12416.78595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2706.1016949152536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15122.887644915252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75.614438224576276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15198.502083139829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15198.502083139829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Summary!H3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311">
        <f t="shared" ref="P17:P24" si="5">M17+N17+O17</f>
        <v>679.51547485169488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7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311">
        <f t="shared" si="5"/>
        <v>940.86347552542372</v>
      </c>
      <c r="Q20" s="156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24</v>
      </c>
      <c r="I25" s="114">
        <f t="shared" ref="I25:M25" si="10">SUM(I16:I24)</f>
        <v>1501.23</v>
      </c>
      <c r="J25" s="274">
        <f>SUM(J16:J24)</f>
        <v>120.0984</v>
      </c>
      <c r="K25" s="275">
        <f t="shared" si="10"/>
        <v>52.543050000000008</v>
      </c>
      <c r="L25" s="276">
        <f t="shared" si="10"/>
        <v>0</v>
      </c>
      <c r="M25" s="232">
        <f t="shared" si="10"/>
        <v>1328.5885499999999</v>
      </c>
      <c r="N25" s="233">
        <f>SUM(N16:N24)</f>
        <v>283.72881355932202</v>
      </c>
      <c r="O25" s="101">
        <f>SUM(O16:O24)</f>
        <v>8.0615868177966092</v>
      </c>
      <c r="P25" s="113">
        <f>SUM(P16:P24)</f>
        <v>1620.3789503771186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1501.23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120.0984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52.543050000000008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1328.5885499999999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283.72881355932202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1612.3173635593221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8.061586817796611</v>
      </c>
    </row>
    <row r="35" spans="2:16" ht="15.75" customHeight="1" thickBot="1" x14ac:dyDescent="0.4">
      <c r="N35" s="373" t="s">
        <v>88</v>
      </c>
      <c r="O35" s="374"/>
      <c r="P35" s="297">
        <f>+P33+P34</f>
        <v>1620.3789503771186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activeCell="C17" sqref="C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517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1569.2000000000003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78.460000000000022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134.95120000000003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1355.7888000000003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1660.873545762712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3" t="s">
        <v>88</v>
      </c>
      <c r="O35" s="374"/>
      <c r="P35" s="297">
        <f>+P33+P34</f>
        <v>1669.1779134915255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7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8.75" customHeight="1" x14ac:dyDescent="0.4">
      <c r="A6" s="399" t="s">
        <v>518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519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12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521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311">
        <f t="shared" ref="P17:P24" si="5">M17+N17+O17</f>
        <v>679.51547485169488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311">
        <f t="shared" si="5"/>
        <v>940.86347552542372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16</v>
      </c>
      <c r="I22" s="236">
        <f t="shared" si="0"/>
        <v>627.68000000000006</v>
      </c>
      <c r="J22" s="272">
        <f t="shared" si="1"/>
        <v>31.384000000000004</v>
      </c>
      <c r="K22" s="128">
        <f t="shared" si="1"/>
        <v>21.968800000000005</v>
      </c>
      <c r="L22" s="119">
        <f t="shared" si="1"/>
        <v>32.011679999999998</v>
      </c>
      <c r="M22" s="230">
        <f t="shared" si="2"/>
        <v>542.31552000000011</v>
      </c>
      <c r="N22" s="277">
        <f t="shared" si="3"/>
        <v>122.03389830508468</v>
      </c>
      <c r="O22" s="239">
        <f t="shared" si="4"/>
        <v>3.3217470915254239</v>
      </c>
      <c r="P22" s="311">
        <f t="shared" si="5"/>
        <v>667.67116539661015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2128.91</v>
      </c>
      <c r="J25" s="274">
        <f>SUM(J16:J24)</f>
        <v>151.48240000000001</v>
      </c>
      <c r="K25" s="275">
        <f t="shared" si="7"/>
        <v>74.51185000000001</v>
      </c>
      <c r="L25" s="276">
        <f t="shared" si="7"/>
        <v>32.011679999999998</v>
      </c>
      <c r="M25" s="232">
        <f t="shared" si="7"/>
        <v>1870.90407</v>
      </c>
      <c r="N25" s="233">
        <f>SUM(N16:N24)</f>
        <v>405.7627118644067</v>
      </c>
      <c r="O25" s="101">
        <f>SUM(O16:O24)</f>
        <v>11.383333909322033</v>
      </c>
      <c r="P25" s="113">
        <f>SUM(P16:P24)</f>
        <v>2288.050115773729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2128.91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151.48240000000001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106.52353000000001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1870.9040699999998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405.7627118644067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2276.6667818644064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11.383333909322031</v>
      </c>
    </row>
    <row r="35" spans="2:16" ht="15.75" customHeight="1" thickBot="1" x14ac:dyDescent="0.4">
      <c r="N35" s="373" t="s">
        <v>88</v>
      </c>
      <c r="O35" s="374"/>
      <c r="P35" s="297">
        <f>+P33+P34</f>
        <v>2288.0501157737285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9" workbookViewId="0">
      <selection activeCell="Q17" sqref="Q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>
        <v>6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6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1569.2000000000003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78.460000000000022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134.95120000000003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1355.7888000000003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1660.873545762712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3" t="s">
        <v>88</v>
      </c>
      <c r="O35" s="374"/>
      <c r="P35" s="297">
        <f>+P33+P34</f>
        <v>1669.1779134915255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527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310">
        <f>M16+N16+O16</f>
        <v>679.51547485169488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24</v>
      </c>
      <c r="I17" s="236">
        <f t="shared" ref="I17:I23" si="0">(G17*D17)*F17+H17*F17</f>
        <v>1259.0999999999999</v>
      </c>
      <c r="J17" s="272">
        <f t="shared" ref="J17:L24" si="1">$I17*S17</f>
        <v>100.72799999999999</v>
      </c>
      <c r="K17" s="128">
        <f>$I17*T17</f>
        <v>44.0685</v>
      </c>
      <c r="L17" s="119">
        <f>$I17*U17</f>
        <v>0</v>
      </c>
      <c r="M17" s="230">
        <f t="shared" ref="M17:M24" si="2">I17-SUM(J17:L17)</f>
        <v>1114.3035</v>
      </c>
      <c r="N17" s="277">
        <f t="shared" ref="N17:N24" si="3">+(G17*D17+H17)*V17</f>
        <v>237.96610169491515</v>
      </c>
      <c r="O17" s="239">
        <f t="shared" ref="O17:O24" si="4">(N17+M17)*$O$15</f>
        <v>6.7613480084745756</v>
      </c>
      <c r="P17" s="311">
        <f t="shared" ref="P17:P24" si="5">M17+N17+O17</f>
        <v>1359.0309497033898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311">
        <f t="shared" si="5"/>
        <v>940.86347552542372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24</v>
      </c>
      <c r="I22" s="236">
        <f t="shared" si="0"/>
        <v>941.5200000000001</v>
      </c>
      <c r="J22" s="272">
        <f t="shared" si="1"/>
        <v>47.076000000000008</v>
      </c>
      <c r="K22" s="128">
        <f t="shared" si="1"/>
        <v>32.95320000000001</v>
      </c>
      <c r="L22" s="119">
        <f t="shared" si="1"/>
        <v>48.017520000000005</v>
      </c>
      <c r="M22" s="230">
        <f t="shared" si="2"/>
        <v>813.47328000000005</v>
      </c>
      <c r="N22" s="277">
        <f t="shared" si="3"/>
        <v>183.05084745762701</v>
      </c>
      <c r="O22" s="239">
        <f t="shared" si="4"/>
        <v>4.982620637288135</v>
      </c>
      <c r="P22" s="311">
        <f t="shared" si="5"/>
        <v>1001.5067480949152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72</v>
      </c>
      <c r="I25" s="114">
        <f t="shared" si="7"/>
        <v>3701.85</v>
      </c>
      <c r="J25" s="274">
        <f>SUM(J16:J24)</f>
        <v>267.9024</v>
      </c>
      <c r="K25" s="275">
        <f t="shared" si="7"/>
        <v>129.56475</v>
      </c>
      <c r="L25" s="276">
        <f t="shared" si="7"/>
        <v>48.017520000000005</v>
      </c>
      <c r="M25" s="232">
        <f t="shared" si="7"/>
        <v>3256.3653300000001</v>
      </c>
      <c r="N25" s="233">
        <f>SUM(N16:N24)</f>
        <v>704.74576271186424</v>
      </c>
      <c r="O25" s="101">
        <f>SUM(O16:O24)</f>
        <v>19.805555463559319</v>
      </c>
      <c r="P25" s="113">
        <f>SUM(P16:P24)</f>
        <v>3980.9166481754237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3701.85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267.9024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177.58226999999999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3256.3653300000001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704.74576271186424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3961.1110927118643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19.805555463559323</v>
      </c>
    </row>
    <row r="35" spans="2:16" ht="15.75" customHeight="1" thickBot="1" x14ac:dyDescent="0.4">
      <c r="N35" s="373" t="s">
        <v>88</v>
      </c>
      <c r="O35" s="374"/>
      <c r="P35" s="297">
        <f>+P33+P34</f>
        <v>3980.9166481754237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10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529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311">
        <f t="shared" si="5"/>
        <v>1176.0793444067797</v>
      </c>
      <c r="Q20" s="156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311">
        <f t="shared" si="5"/>
        <v>834.58895674576274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60</v>
      </c>
      <c r="I25" s="114">
        <f t="shared" si="7"/>
        <v>3690.2</v>
      </c>
      <c r="J25" s="274">
        <f>SUM(J16:J24)</f>
        <v>271.678</v>
      </c>
      <c r="K25" s="275">
        <f t="shared" si="7"/>
        <v>129.15700000000001</v>
      </c>
      <c r="L25" s="276">
        <f t="shared" si="7"/>
        <v>40.014600000000002</v>
      </c>
      <c r="M25" s="232">
        <f t="shared" si="7"/>
        <v>3249.3504000000003</v>
      </c>
      <c r="N25" s="233">
        <f>SUM(N16:N24)</f>
        <v>701.69491525423723</v>
      </c>
      <c r="O25" s="101">
        <f>SUM(O16:O24)</f>
        <v>19.755226576271188</v>
      </c>
      <c r="P25" s="113">
        <f>SUM(P16:P24)</f>
        <v>3970.8005418305083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3690.2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271.678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169.17160000000001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3249.3503999999998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701.69491525423723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3951.0453152542368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19.755226576271184</v>
      </c>
    </row>
    <row r="35" spans="2:16" ht="15.75" customHeight="1" thickBot="1" x14ac:dyDescent="0.4">
      <c r="N35" s="373" t="s">
        <v>88</v>
      </c>
      <c r="O35" s="374"/>
      <c r="P35" s="297">
        <f>+P33+P34</f>
        <v>3970.8005418305079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46262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46261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2026-08-27T11:04:12Z</dcterms:modified>
</cp:coreProperties>
</file>