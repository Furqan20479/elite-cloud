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A3D59A1-63B5-4F4B-BE3E-C3F21BF6A81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<sst xmlns="http://schemas.openxmlformats.org/spreadsheetml/2006/main" count="3978" uniqueCount="524">
  <si>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</si>
  <si>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</si>
  <si>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</si>
  <si>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</si>
  <si>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</si>
  <si>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</si>
  <si>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</si>
  <si>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</si>
  <si>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</si>
  <si>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</si>
  <si>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</si>
  <si>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</si>
  <si>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</si>
  <si>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</si>
  <si>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</si>
  <si>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</si>
  <si>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</si>
  <si>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</si>
  <si>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</si>
  <si>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</si>
  <si>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</si>
  <si>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</si>
  <si>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</si>
  <si>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</si>
  <si>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</si>
  <si>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</si>
  <si>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</si>
  <si>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</si>
  <si>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</si>
  <si>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</si>
  <si>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</si>
  <si>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</si>
  <si>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</si>
  <si>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</si>
  <si>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</si>
  <si>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</si>
  <si>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</si>
  <si>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</si>
  <si>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</si>
  <si>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</si>
  <si>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</si>
  <si>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</si>
  <si>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</si>
  <si>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</si>
  <si>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</si>
  <si>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</si>
  <si>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</si>
  <si>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</si>
  <si>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</si>
  <si>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</si>
  <si>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</si>
  <si>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</si>
  <si>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</si>
  <si>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</si>
  <si>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</si>
  <si>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</si>
  <si>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</si>
  <si>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</si>
  <si>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</si>
  <si>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</si>
  <si>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</si>
  <si>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</si>
  <si>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</si>
  <si>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</si>
  <si>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</si>
  <si>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</si>
  <si>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</si>
  <si>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</si>
  <si>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</si>
  <si>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</si>
  <si>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</si>
  <si>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</si>
  <si>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</si>
  <si>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</si>
  <si>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</si>
  <si>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</si>
  <si>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</si>
  <si>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</si>
  <si>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</si>
  <si>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</si>
  <si>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</si>
  <si>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</si>
  <si>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</si>
  <si>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</si>
  <si>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</si>
  <si>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</si>
  <si>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</si>
  <si>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</si>
  <si>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</si>
  <si>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</si>
  <si>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</si>
  <si>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</si>
  <si>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</si>
  <si>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</si>
  <si>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</si>
  <si>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</si>
  <si>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</si>
  <si>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</si>
  <si>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</si>
  <si>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</si>
  <si>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</si>
  <si>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</si>
  <si>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</si>
  <si>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</si>
  <si>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</si>
  <si>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</si>
  <si>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</si>
  <si>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</si>
  <si>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</si>
  <si>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</si>
  <si>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</si>
  <si>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</si>
  <si>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</si>
  <si>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</si>
  <si>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</si>
  <si>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</si>
  <si>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</si>
  <si>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</si>
  <si>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</si>
  <si>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</si>
  <si>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</si>
  <si>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</si>
  <si>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</si>
  <si>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</si>
  <si>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</si>
  <si>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</si>
  <si>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</si>
  <si>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</si>
  <si>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</si>
  <si>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</si>
  <si>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</si>
  <si>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</si>
  <si>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</si>
  <si>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</si>
  <si>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</si>
  <si>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</si>
  <si>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</si>
  <si>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</si>
  <si>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</si>
  <si>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</si>
  <si>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</si>
  <si>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</si>
  <si>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</si>
  <si>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</si>
  <si>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</si>
  <si>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</si>
  <si>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</si>
  <si>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</si>
  <si>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</si>
  <si>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</si>
  <si>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</si>
  <si>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</si>
  <si>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</si>
  <si>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</si>
  <si>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</si>
  <si>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</si>
  <si>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</si>
  <si>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</si>
  <si>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</si>
  <si>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</si>
  <si>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</si>
  <si>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</si>
  <si>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</si>
  <si>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</si>
  <si>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</si>
  <si>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</si>
  <si>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</si>
  <si>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</si>
  <si>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</si>
  <si>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</si>
  <si>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</si>
  <si>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</si>
  <si>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</si>
  <si>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</si>
  <si>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</si>
  <si>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</si>
  <si>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</si>
  <si>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</si>
  <si>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</si>
  <si>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</si>
  <si>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</si>
  <si>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</si>
  <si>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</si>
  <si>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</si>
  <si>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</si>
  <si>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</si>
  <si>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</si>
  <si>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</si>
  <si>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</si>
  <si>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</si>
  <si>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</si>
  <si>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</si>
  <si>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</si>
  <si>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</si>
  <si>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</si>
  <si>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</si>
  <si>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</si>
  <si>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</si>
  <si>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</si>
  <si>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</si>
  <si>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</si>
  <si>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</si>
  <si>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</si>
  <si>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</si>
  <si>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</si>
  <si>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</si>
  <si>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</si>
  <si>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</si>
  <si>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</si>
  <si>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</si>
  <si>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</si>
  <si>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</si>
  <si>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</si>
  <si>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</si>
  <si>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</si>
  <si>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</si>
  <si>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</si>
  <si>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</si>
  <si>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</si>
  <si>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</si>
  <si>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</si>
  <si>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</si>
  <si>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</si>
  <si>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</si>
  <si>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</si>
  <si>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</si>
  <si>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</si>
  <si>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</si>
  <si>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</si>
  <si>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</si>
  <si>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</si>
  <si>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</si>
  <si>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</si>
  <si>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</si>
  <si>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</si>
  <si>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</si>
  <si>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</si>
  <si>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</si>
  <si>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</si>
  <si>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</si>
  <si>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</si>
  <si>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</si>
  <si>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</si>
  <si>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</si>
  <si>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</si>
  <si>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</si>
  <si>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</si>
  <si>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</si>
  <si>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</si>
  <si>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</si>
  <si>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</si>
  <si>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</si>
  <si>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</si>
  <si>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</si>
  <si>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</si>
  <si>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</si>
  <si>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</si>
  <si>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</si>
  <si>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</si>
  <si>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</si>
  <si>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</si>
  <si>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</si>
  <si>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</si>
  <si>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</si>
  <si>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</si>
  <si>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</si>
  <si>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</si>
  <si>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</si>
  <si>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</si>
  <si>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</si>
  <si>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</si>
  <si>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</si>
  <si>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</si>
  <si>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</si>
  <si>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</si>
  <si>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</si>
  <si>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</si>
  <si>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</si>
  <si>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</si>
  <si>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</si>
  <si>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</si>
  <si>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</si>
  <si>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</si>
  <si>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</si>
  <si>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</si>
  <si>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</si>
  <si>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</si>
  <si>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</si>
  <si>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</si>
  <si>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</si>
  <si>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</si>
  <si>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</si>
  <si>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</si>
  <si>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</si>
  <si>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</si>
  <si>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</si>
  <si>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</si>
  <si>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</si>
  <si>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</si>
  <si>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</si>
  <si>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</si>
  <si>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</si>
  <si>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</si>
  <si>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</si>
  <si>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</si>
  <si>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</si>
  <si>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</si>
  <si>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</si>
  <si>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</si>
  <si>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</si>
  <si>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</si>
  <si>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</si>
  <si>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</si>
  <si>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</si>
  <si>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</si>
  <si>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</si>
  <si>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</si>
  <si>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</si>
  <si>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</si>
  <si>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</si>
  <si>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</si>
  <si>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</si>
  <si>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</si>
  <si>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</si>
  <si>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</si>
  <si>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</si>
  <si>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</si>
  <si>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</si>
  <si>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</si>
  <si>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</si>
  <si>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</si>
  <si>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</si>
  <si>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</si>
  <si>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</si>
  <si>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</si>
  <si>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</si>
  <si>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</si>
  <si>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</si>
  <si>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</si>
  <si>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</si>
  <si>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</si>
  <si>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</si>
  <si>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</si>
  <si>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</si>
  <si>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</si>
  <si>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</si>
  <si>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</si>
  <si>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</si>
  <si>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</si>
  <si>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</si>
  <si>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</si>
  <si>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</si>
  <si>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</si>
  <si>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</si>
  <si>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</si>
  <si>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</si>
  <si>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</si>
  <si>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</si>
  <si>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</si>
  <si>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</si>
  <si>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</si>
  <si>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</si>
  <si>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</si>
  <si>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</si>
  <si>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</si>
  <si>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</si>
  <si>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</si>
  <si>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</si>
  <si>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</si>
  <si>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</si>
  <si>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</si>
  <si>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</si>
  <si>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</si>
  <si>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</si>
  <si>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</si>
  <si>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</si>
  <si>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</si>
  <si>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</si>
  <si>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</si>
  <si>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</si>
  <si>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</si>
  <si>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</si>
  <si>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</si>
  <si>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</si>
  <si>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</si>
  <si>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</si>
  <si>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</si>
  <si>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</si>
  <si>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</si>
  <si>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</si>
  <si>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</si>
  <si>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</si>
  <si>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</si>
  <si>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</si>
  <si>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</si>
  <si>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</si>
  <si>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</si>
  <si>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</si>
  <si>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</si>
  <si>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</si>
  <si>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</si>
  <si>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</si>
  <si>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</si>
  <si>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</si>
  <si>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</si>
  <si>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</si>
  <si>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</si>
  <si>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</si>
  <si>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</si>
  <si>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</si>
  <si>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</si>
  <si>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</si>
  <si>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</si>
  <si>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</si>
  <si>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</si>
  <si>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</si>
  <si>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</si>
  <si>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</si>
  <si>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</si>
  <si>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</si>
  <si>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</si>
  <si>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</si>
  <si>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</si>
  <si>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</si>
  <si>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</si>
  <si>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</si>
  <si>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</si>
  <si>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</si>
  <si>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</si>
  <si>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</si>
  <si>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</si>
  <si>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</si>
  <si>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</si>
  <si>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</si>
  <si>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</si>
  <si>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</si>
  <si>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</si>
  <si>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</si>
  <si>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</si>
  <si>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</si>
  <si>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</si>
  <si>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</si>
  <si>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</si>
  <si>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</si>
  <si>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</si>
  <si>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</si>
  <si>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</si>
  <si>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</si>
  <si>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</si>
  <si>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</si>
  <si>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</si>
  <si>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</si>
  <si>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</si>
  <si>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</si>
  <si>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</si>
  <si>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</si>
  <si>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</si>
  <si>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</si>
  <si>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</si>
  <si>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</si>
  <si>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</si>
  <si>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</si>
  <si>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</si>
  <si>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</si>
  <si>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</si>
  <si>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</si>
  <si>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</si>
  <si>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</si>
  <si>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</si>
  <si>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</si>
  <si>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</si>
  <si>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</si>
  <si>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</si>
  <si>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</si>
  <si>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</si>
  <si>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</si>
  <si>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</si>
  <si>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</si>
  <si>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</si>
  <si>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</si>
  <si>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</si>
  <si>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</si>
  <si>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</si>
  <si>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</si>
  <si>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</si>
  <si>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</si>
  <si>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</si>
  <si>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</si>
  <si>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</si>
  <si>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</si>
  <si>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</si>
  <si>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</si>
  <si>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</si>
  <si>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</si>
  <si>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</si>
  <si>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</si>
  <si>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</si>
  <si>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</si>
  <si>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</si>
  <si>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</si>
  <si>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</si>
  <si>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</si>
  <si>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</si>
  <si>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</si>
  <si>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</si>
  <si>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</si>
  <si>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</si>
  <si>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</si>
  <si>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</si>
  <si>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</si>
  <si>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</si>
  <si>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</si>
  <si>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</si>
  <si>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Umair </t>
  </si>
  <si>
    <t xml:space="preserve">Umair Rehman </t>
  </si>
  <si>
    <t>Address: Nashter Bazar</t>
  </si>
  <si>
    <t xml:space="preserve">Al Ahmad Bakers </t>
  </si>
  <si>
    <t xml:space="preserve">SS Bakers </t>
  </si>
  <si>
    <t>Khubaib Store</t>
  </si>
  <si>
    <t>Mahi GS</t>
  </si>
  <si>
    <t>Bismillah GS</t>
  </si>
  <si>
    <t xml:space="preserve">Gulshan Bakers </t>
  </si>
  <si>
    <t xml:space="preserve">MS Mart </t>
  </si>
  <si>
    <t>Hussain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</si>
</sst>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Q35" sqref="Q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Al Ahmad Bakers </v>
      </c>
      <c r="T3" s="301">
        <f>+'1'!P35</f>
        <v>3550.9048645423727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SS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Khubaib Store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Mahi GS</v>
      </c>
      <c r="T6" s="301">
        <f>+'4'!P35</f>
        <v>3080.473126779661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Bismillah GS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Gulshan Bakers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</v>
      </c>
      <c r="I9" s="236">
        <f t="shared" si="0"/>
        <v>839.4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67.152000000000001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29.379000000000001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742.86899999999991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158.6440677966101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4.5075653389830501</v>
      </c>
      <c r="P9" s="311">
        <f t="shared" si="2"/>
        <v>906.02063313559302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MS Mart 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66</v>
      </c>
      <c r="I10" s="236">
        <f t="shared" si="0"/>
        <v>4794.24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383.53920000000005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167.79840000000002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4242.9023999999999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906.10169491525426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25.745020474576275</v>
      </c>
      <c r="P10" s="311">
        <f t="shared" si="2"/>
        <v>5174.7491153898309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Hussain Store</v>
      </c>
      <c r="T10" s="301">
        <f>+'8'!P35</f>
        <v>2265.051582838983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63</v>
      </c>
      <c r="I11" s="236">
        <f t="shared" si="0"/>
        <v>4576.32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366.10560000000004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160.17120000000003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4050.0431999999996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864.9152542372882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24.574792271186443</v>
      </c>
      <c r="P11" s="311">
        <f t="shared" si="2"/>
        <v>4939.5332465084739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</v>
      </c>
      <c r="I12" s="236">
        <f t="shared" si="0"/>
        <v>2397.12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191.76960000000003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83.899200000000008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2121.4512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453.05084745762713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12.872510237288136</v>
      </c>
      <c r="P12" s="311">
        <f t="shared" si="2"/>
        <v>2587.3745576949154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172</v>
      </c>
      <c r="I13" s="236">
        <f t="shared" si="0"/>
        <v>6747.56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337.3780000000001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236.16460000000006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344.12556000000001</v>
      </c>
      <c r="M13" s="230">
        <f t="shared" si="1"/>
        <v>5829.8918400000002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1311.8644067796604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35.708781233898307</v>
      </c>
      <c r="P13" s="311">
        <f t="shared" si="2"/>
        <v>7177.4650280135593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9.35</v>
      </c>
      <c r="H16" s="113">
        <f t="shared" ref="H16:M16" si="3">SUM(H7:H15)</f>
        <v>374</v>
      </c>
      <c r="I16" s="114">
        <f t="shared" si="3"/>
        <v>20613.740000000002</v>
      </c>
      <c r="J16" s="274">
        <f>SUM(J7:J15)</f>
        <v>1446.6724000000004</v>
      </c>
      <c r="K16" s="275">
        <f t="shared" si="3"/>
        <v>721.48090000000002</v>
      </c>
      <c r="L16" s="276">
        <f t="shared" si="3"/>
        <v>344.12556000000001</v>
      </c>
      <c r="M16" s="232">
        <f t="shared" si="3"/>
        <v>18101.461139999999</v>
      </c>
      <c r="N16" s="233">
        <f>SUM(N7:N15)</f>
        <v>3932.5423728813553</v>
      </c>
      <c r="O16" s="101">
        <f>SUM(O7:O15)</f>
        <v>110.17001756440679</v>
      </c>
      <c r="P16" s="113">
        <f>SUM(P7:P15)</f>
        <v>22144.173530445762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20613.740000000002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1446.6724000000004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1065.60646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18101.461140000003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3932.5423728813553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22034.003512881358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110.17001756440679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22144.173530445765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22144.173530445762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64</v>
      </c>
      <c r="I25" s="114">
        <f t="shared" ref="I25:M25" si="10">SUM(I16:I24)</f>
        <v>3312.5600000000004</v>
      </c>
      <c r="J25" s="274">
        <f>SUM(J16:J24)</f>
        <v>217.92880000000002</v>
      </c>
      <c r="K25" s="275">
        <f t="shared" si="10"/>
        <v>115.93960000000001</v>
      </c>
      <c r="L25" s="276">
        <f t="shared" si="10"/>
        <v>80.029200000000003</v>
      </c>
      <c r="M25" s="232">
        <f t="shared" si="10"/>
        <v>2898.6624000000002</v>
      </c>
      <c r="N25" s="233">
        <f>SUM(N16:N24)</f>
        <v>634.57627118644052</v>
      </c>
      <c r="O25" s="101">
        <f>SUM(O16:O24)</f>
        <v>17.666193355932204</v>
      </c>
      <c r="P25" s="113">
        <f>SUM(P16:P24)</f>
        <v>3550.9048645423727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3312.5600000000004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217.92880000000002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195.96880000000002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2898.6624000000002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634.57627118644052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3533.2386711864406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17.666193355932204</v>
      </c>
    </row>
    <row r="35" spans="2:16" ht="15.75" customHeight="1" thickBot="1" x14ac:dyDescent="0.4">
      <c r="N35" s="373" t="s">
        <v>88</v>
      </c>
      <c r="O35" s="374"/>
      <c r="P35" s="297">
        <f>+P33+P34</f>
        <v>3550.9048645423727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3136.2115850847463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183.06160000000006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2876.7200000000003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183.06160000000006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180.71440000000001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2512.9440000000004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3065.1473898305085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73" t="s">
        <v>88</v>
      </c>
      <c r="O35" s="374"/>
      <c r="P35" s="297">
        <f>+P33+P34</f>
        <v>3080.473126779661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4474.8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310.90800000000002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236.6472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3927.2447999999999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4781.4820881355927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3" t="s">
        <v>88</v>
      </c>
      <c r="O35" s="374"/>
      <c r="P35" s="297">
        <f>+P33+P34</f>
        <v>4805.3894985762709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</v>
      </c>
      <c r="I18" s="236">
        <f t="shared" si="0"/>
        <v>839.4</v>
      </c>
      <c r="J18" s="272">
        <f t="shared" si="1"/>
        <v>67.152000000000001</v>
      </c>
      <c r="K18" s="128">
        <f t="shared" si="1"/>
        <v>29.379000000000001</v>
      </c>
      <c r="L18" s="119">
        <f t="shared" si="1"/>
        <v>0</v>
      </c>
      <c r="M18" s="230">
        <f t="shared" si="2"/>
        <v>742.86899999999991</v>
      </c>
      <c r="N18" s="277">
        <f t="shared" si="3"/>
        <v>158.6440677966101</v>
      </c>
      <c r="O18" s="239">
        <f t="shared" si="4"/>
        <v>4.5075653389830501</v>
      </c>
      <c r="P18" s="311">
        <f t="shared" si="5"/>
        <v>906.02063313559302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2026-08-25T12:20:06Z</dcterms:modified>
</cp:coreProperties>
</file>