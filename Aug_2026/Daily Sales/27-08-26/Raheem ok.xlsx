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164231B-BE1A-48CA-8EBC-EDD1A56D57BC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J16" i="11" s="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7" i="62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<sst xmlns="http://schemas.openxmlformats.org/spreadsheetml/2006/main" count="3948" uniqueCount="518">
  <si>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</si>
  <si>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</si>
  <si>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</si>
  <si>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</si>
  <si>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</si>
  <si>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</si>
  <si>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</si>
  <si>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</si>
  <si>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</si>
  <si>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</si>
  <si>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</si>
  <si>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</si>
  <si>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</si>
  <si>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</si>
  <si>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</si>
  <si>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</si>
  <si>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</si>
  <si>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</si>
  <si>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</si>
  <si>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</si>
  <si>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</si>
  <si>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</si>
  <si>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</si>
  <si>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</si>
  <si>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</si>
  <si>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</si>
  <si>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</si>
  <si>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</si>
  <si>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</si>
  <si>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</si>
  <si>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</si>
  <si>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</si>
  <si>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</si>
  <si>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</si>
  <si>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</si>
  <si>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</si>
  <si>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</si>
  <si>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</si>
  <si>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</si>
  <si>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</si>
  <si>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</si>
  <si>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</si>
  <si>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</si>
  <si>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</si>
  <si>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</si>
  <si>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</si>
  <si>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</si>
  <si>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</si>
  <si>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</si>
  <si>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</si>
  <si>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</si>
  <si>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</si>
  <si>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</si>
  <si>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</si>
  <si>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</si>
  <si>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</si>
  <si>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</si>
  <si>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</si>
  <si>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</si>
  <si>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</si>
  <si>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</si>
  <si>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</si>
  <si>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</si>
  <si>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</si>
  <si>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</si>
  <si>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</si>
  <si>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</si>
  <si>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</si>
  <si>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</si>
  <si>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</si>
  <si>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</si>
  <si>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</si>
  <si>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</si>
  <si>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</si>
  <si>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</si>
  <si>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</si>
  <si>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</si>
  <si>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</si>
  <si>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</si>
  <si>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</si>
  <si>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</si>
  <si>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</si>
  <si>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</si>
  <si>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</si>
  <si>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</si>
  <si>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</si>
  <si>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</si>
  <si>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</si>
  <si>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</si>
  <si>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</si>
  <si>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</si>
  <si>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</si>
  <si>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</si>
  <si>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</si>
  <si>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</si>
  <si>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</si>
  <si>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</si>
  <si>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</si>
  <si>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</si>
  <si>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</si>
  <si>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</si>
  <si>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</si>
  <si>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</si>
  <si>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</si>
  <si>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</si>
  <si>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</si>
  <si>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</si>
  <si>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</si>
  <si>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</si>
  <si>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</si>
  <si>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</si>
  <si>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</si>
  <si>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</si>
  <si>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</si>
  <si>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</si>
  <si>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</si>
  <si>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</si>
  <si>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</si>
  <si>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</si>
  <si>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</si>
  <si>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</si>
  <si>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</si>
  <si>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</si>
  <si>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</si>
  <si>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</si>
  <si>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</si>
  <si>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</si>
  <si>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</si>
  <si>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</si>
  <si>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</si>
  <si>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</si>
  <si>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</si>
  <si>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</si>
  <si>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</si>
  <si>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</si>
  <si>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</si>
  <si>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</si>
  <si>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</si>
  <si>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</si>
  <si>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</si>
  <si>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</si>
  <si>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</si>
  <si>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</si>
  <si>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</si>
  <si>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</si>
  <si>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</si>
  <si>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</si>
  <si>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</si>
  <si>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</si>
  <si>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</si>
  <si>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</si>
  <si>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</si>
  <si>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</si>
  <si>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</si>
  <si>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</si>
  <si>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</si>
  <si>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</si>
  <si>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</si>
  <si>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</si>
  <si>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</si>
  <si>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</si>
  <si>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</si>
  <si>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</si>
  <si>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</si>
  <si>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</si>
  <si>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</si>
  <si>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</si>
  <si>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</si>
  <si>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</si>
  <si>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</si>
  <si>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</si>
  <si>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</si>
  <si>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</si>
  <si>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</si>
  <si>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</si>
  <si>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</si>
  <si>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</si>
  <si>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</si>
  <si>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</si>
  <si>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</si>
  <si>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</si>
  <si>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</si>
  <si>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</si>
  <si>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</si>
  <si>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</si>
  <si>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</si>
  <si>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</si>
  <si>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</si>
  <si>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</si>
  <si>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</si>
  <si>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</si>
  <si>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</si>
  <si>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</si>
  <si>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</si>
  <si>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</si>
  <si>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</si>
  <si>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</si>
  <si>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</si>
  <si>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</si>
  <si>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</si>
  <si>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</si>
  <si>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</si>
  <si>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</si>
  <si>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</si>
  <si>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</si>
  <si>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</si>
  <si>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</si>
  <si>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</si>
  <si>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</si>
  <si>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</si>
  <si>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</si>
  <si>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</si>
  <si>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</si>
  <si>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</si>
  <si>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</si>
  <si>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</si>
  <si>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</si>
  <si>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</si>
  <si>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</si>
  <si>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</si>
  <si>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</si>
  <si>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</si>
  <si>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</si>
  <si>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</si>
  <si>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</si>
  <si>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</si>
  <si>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</si>
  <si>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</si>
  <si>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</si>
  <si>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</si>
  <si>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</si>
  <si>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</si>
  <si>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</si>
  <si>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</si>
  <si>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</si>
  <si>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</si>
  <si>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</si>
  <si>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</si>
  <si>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</si>
  <si>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</si>
  <si>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</si>
  <si>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</si>
  <si>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</si>
  <si>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</si>
  <si>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</si>
  <si>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</si>
  <si>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</si>
  <si>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</si>
  <si>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</si>
  <si>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</si>
  <si>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</si>
  <si>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</si>
  <si>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</si>
  <si>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</si>
  <si>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</si>
  <si>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</si>
  <si>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</si>
  <si>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</si>
  <si>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</si>
  <si>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</si>
  <si>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</si>
  <si>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</si>
  <si>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</si>
  <si>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</si>
  <si>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</si>
  <si>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</si>
  <si>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</si>
  <si>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</si>
  <si>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</si>
  <si>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</si>
  <si>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</si>
  <si>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</si>
  <si>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</si>
  <si>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</si>
  <si>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</si>
  <si>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</si>
  <si>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</si>
  <si>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</si>
  <si>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</si>
  <si>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</si>
  <si>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</si>
  <si>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</si>
  <si>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</si>
  <si>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</si>
  <si>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</si>
  <si>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</si>
  <si>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</si>
  <si>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</si>
  <si>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</si>
  <si>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</si>
  <si>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</si>
  <si>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</si>
  <si>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</si>
  <si>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</si>
  <si>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</si>
  <si>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</si>
  <si>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</si>
  <si>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</si>
  <si>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</si>
  <si>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</si>
  <si>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</si>
  <si>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</si>
  <si>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</si>
  <si>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</si>
  <si>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</si>
  <si>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</si>
  <si>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</si>
  <si>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</si>
  <si>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</si>
  <si>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</si>
  <si>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</si>
  <si>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</si>
  <si>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</si>
  <si>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</si>
  <si>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</si>
  <si>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</si>
  <si>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</si>
  <si>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</si>
  <si>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</si>
  <si>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</si>
  <si>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</si>
  <si>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</si>
  <si>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</si>
  <si>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</si>
  <si>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</si>
  <si>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</si>
  <si>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</si>
  <si>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</si>
  <si>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</si>
  <si>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</si>
  <si>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</si>
  <si>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</si>
  <si>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</si>
  <si>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</si>
  <si>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</si>
  <si>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</si>
  <si>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</si>
  <si>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</si>
  <si>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</si>
  <si>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</si>
  <si>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</si>
  <si>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</si>
  <si>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</si>
  <si>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</si>
  <si>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</si>
  <si>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</si>
  <si>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</si>
  <si>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</si>
  <si>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</si>
  <si>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</si>
  <si>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</si>
  <si>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</si>
  <si>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</si>
  <si>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</si>
  <si>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</si>
  <si>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</si>
  <si>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</si>
  <si>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</si>
  <si>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</si>
  <si>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</si>
  <si>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</si>
  <si>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</si>
  <si>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</si>
  <si>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</si>
  <si>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</si>
  <si>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</si>
  <si>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</si>
  <si>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</si>
  <si>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</si>
  <si>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</si>
  <si>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</si>
  <si>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</si>
  <si>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</si>
  <si>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</si>
  <si>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</si>
  <si>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</si>
  <si>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</si>
  <si>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</si>
  <si>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</si>
  <si>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</si>
  <si>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</si>
  <si>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</si>
  <si>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</si>
  <si>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</si>
  <si>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</si>
  <si>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</si>
  <si>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</si>
  <si>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</si>
  <si>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</si>
  <si>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</si>
  <si>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</si>
  <si>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</si>
  <si>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</si>
  <si>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</si>
  <si>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</si>
  <si>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</si>
  <si>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</si>
  <si>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</si>
  <si>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</si>
  <si>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</si>
  <si>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</si>
  <si>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</si>
  <si>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</si>
  <si>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</si>
  <si>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</si>
  <si>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</si>
  <si>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</si>
  <si>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</si>
  <si>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</si>
  <si>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</si>
  <si>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</si>
  <si>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</si>
  <si>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</si>
  <si>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</si>
  <si>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</si>
  <si>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</si>
  <si>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</si>
  <si>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</si>
  <si>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</si>
  <si>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</si>
  <si>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</si>
  <si>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</si>
  <si>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</si>
  <si>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</si>
  <si>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</si>
  <si>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</si>
  <si>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</si>
  <si>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</si>
  <si>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</si>
  <si>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</si>
  <si>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</si>
  <si>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</si>
  <si>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</si>
  <si>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</si>
  <si>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</si>
  <si>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</si>
  <si>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</si>
  <si>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</si>
  <si>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</si>
  <si>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</si>
  <si>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</si>
  <si>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</si>
  <si>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</si>
  <si>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</si>
  <si>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</si>
  <si>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</si>
  <si>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</si>
  <si>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</si>
  <si>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</si>
  <si>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</si>
  <si>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</si>
  <si>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</si>
  <si>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</si>
  <si>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</si>
  <si>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</si>
  <si>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</si>
  <si>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</si>
  <si>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</si>
  <si>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</si>
  <si>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</si>
  <si>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</si>
  <si>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</si>
  <si>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</si>
  <si>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</si>
  <si>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</si>
  <si>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</si>
  <si>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</si>
  <si>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</si>
  <si>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</si>
  <si>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</si>
  <si>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</si>
  <si>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</si>
  <si>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</si>
  <si>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</si>
  <si>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</si>
  <si>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</si>
  <si>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</si>
  <si>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</si>
  <si>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</si>
  <si>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</si>
  <si>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</si>
  <si>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</si>
  <si>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</si>
  <si>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</si>
  <si>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</si>
  <si>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</si>
  <si>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</si>
  <si>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</si>
  <si>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</si>
  <si>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</si>
  <si>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</si>
  <si>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</si>
  <si>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</si>
  <si>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</si>
  <si>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</si>
  <si>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</si>
  <si>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</si>
  <si>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</si>
  <si>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</si>
  <si>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</si>
  <si>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</si>
  <si>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</si>
  <si>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</si>
  <si>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</si>
  <si>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</si>
  <si>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</si>
  <si>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</si>
  <si>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</si>
  <si>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</si>
  <si>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</si>
  <si>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</si>
  <si>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</si>
  <si>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Raheem</t>
  </si>
  <si>
    <t>Raheem Store</t>
  </si>
  <si>
    <t xml:space="preserve">Address: Iqbal Town </t>
  </si>
  <si>
    <t xml:space="preserve">NTN : // : A244322-8 </t>
  </si>
  <si>
    <t>Address:  Raiwind Road</t>
  </si>
  <si>
    <t>Invoice No # : 7262132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</si>
</sst>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512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46261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Raheem Store</v>
      </c>
      <c r="T3" s="301">
        <f>+'1'!P35</f>
        <v>48521.000884051908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199</v>
      </c>
      <c r="I9" s="236">
        <f t="shared" si="0"/>
        <v>10440.0375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1461.6052500000003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365.40131250000007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8613.0309374999997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1973.1355932203383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52.930832653601691</v>
      </c>
      <c r="P9" s="311">
        <f t="shared" si="2"/>
        <v>10639.09736337394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</v>
      </c>
      <c r="R9" s="314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199</v>
      </c>
      <c r="I11" s="236">
        <f t="shared" si="0"/>
        <v>14455.36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2023.7504000000004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505.93760000000009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11925.672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2732.0338983050847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73.288529491525424</v>
      </c>
      <c r="P11" s="311">
        <f t="shared" si="2"/>
        <v>14730.99442779661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</v>
      </c>
      <c r="R11" s="314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311">
        <f t="shared" si="2"/>
        <v>14805.019525423728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200</v>
      </c>
      <c r="I13" s="236">
        <f t="shared" si="0"/>
        <v>7846.0000000000009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392.30000000000007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274.61000000000007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400.14600000000002</v>
      </c>
      <c r="M13" s="230">
        <f t="shared" si="1"/>
        <v>6778.9440000000013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1525.4237288135585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41.521838644067806</v>
      </c>
      <c r="P13" s="311">
        <f t="shared" si="2"/>
        <v>8345.8895674576288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19.95</v>
      </c>
      <c r="H16" s="113">
        <f t="shared" ref="H16:M16" si="3">SUM(H7:H15)</f>
        <v>798</v>
      </c>
      <c r="I16" s="114">
        <f t="shared" si="3"/>
        <v>47269.397499999999</v>
      </c>
      <c r="J16" s="274">
        <f>SUM(J7:J15)</f>
        <v>5911.5756500000007</v>
      </c>
      <c r="K16" s="275">
        <f t="shared" si="3"/>
        <v>1654.4289125000003</v>
      </c>
      <c r="L16" s="276">
        <f t="shared" si="3"/>
        <v>400.14600000000002</v>
      </c>
      <c r="M16" s="232">
        <f t="shared" si="3"/>
        <v>39303.2469375</v>
      </c>
      <c r="N16" s="233">
        <f>SUM(N7:N15)</f>
        <v>8976.3559322033889</v>
      </c>
      <c r="O16" s="101">
        <f>SUM(O7:O15)</f>
        <v>241.39801434851697</v>
      </c>
      <c r="P16" s="113">
        <f>SUM(P7:P15)</f>
        <v>48521.0008840519</v>
      </c>
      <c r="Q16" s="128">
        <f>SUM(Q7:Q15)</f>
        <v>2</v>
      </c>
      <c r="R16" s="314">
        <v>14</v>
      </c>
      <c r="S16" s="300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47269.397499999999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5911.5756500000007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2054.5749125000002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39303.2469375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8976.3559322033889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48279.602869703391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241.39801434851697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48521.000884051908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48521.000884051908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46260</v>
      </c>
      <c r="O5" s="392"/>
      <c r="P5" s="392"/>
      <c r="R5" s="85"/>
      <c r="S5" s="266"/>
    </row>
    <row r="6" spans="1:22 16383:16384" ht="17.2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199</v>
      </c>
      <c r="I18" s="236">
        <f t="shared" ref="I18:I21" si="7">(G18*D18)*F18+H18*F18</f>
        <v>10440.0375</v>
      </c>
      <c r="J18" s="272">
        <f t="shared" si="1"/>
        <v>1461.6052500000003</v>
      </c>
      <c r="K18" s="128">
        <f t="shared" si="1"/>
        <v>365.40131250000007</v>
      </c>
      <c r="L18" s="119">
        <f t="shared" si="1"/>
        <v>0</v>
      </c>
      <c r="M18" s="230">
        <f t="shared" si="2"/>
        <v>8613.0309374999997</v>
      </c>
      <c r="N18" s="277">
        <f t="shared" si="3"/>
        <v>1973.1355932203383</v>
      </c>
      <c r="O18" s="239">
        <f t="shared" si="4"/>
        <v>52.930832653601691</v>
      </c>
      <c r="P18" s="311">
        <f t="shared" si="5"/>
        <v>10639.09736337394</v>
      </c>
      <c r="Q18" s="156">
        <v>1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199</v>
      </c>
      <c r="I20" s="236">
        <f t="shared" si="7"/>
        <v>14455.36</v>
      </c>
      <c r="J20" s="272">
        <f t="shared" si="1"/>
        <v>2023.7504000000004</v>
      </c>
      <c r="K20" s="128">
        <f t="shared" si="1"/>
        <v>505.93760000000009</v>
      </c>
      <c r="L20" s="119">
        <f t="shared" si="1"/>
        <v>0</v>
      </c>
      <c r="M20" s="230">
        <f t="shared" si="2"/>
        <v>11925.672</v>
      </c>
      <c r="N20" s="277">
        <f t="shared" si="3"/>
        <v>2732.0338983050847</v>
      </c>
      <c r="O20" s="239">
        <f t="shared" si="4"/>
        <v>73.288529491525424</v>
      </c>
      <c r="P20" s="311">
        <f t="shared" si="5"/>
        <v>14730.99442779661</v>
      </c>
      <c r="Q20" s="156">
        <v>1</v>
      </c>
      <c r="R20">
        <f>P20/21</f>
        <v>701.47592513317193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311">
        <f t="shared" si="5"/>
        <v>14805.019525423728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200</v>
      </c>
      <c r="I22" s="236">
        <f t="shared" si="0"/>
        <v>7846.0000000000009</v>
      </c>
      <c r="J22" s="272">
        <f t="shared" si="1"/>
        <v>392.30000000000007</v>
      </c>
      <c r="K22" s="128">
        <f t="shared" si="1"/>
        <v>274.61000000000007</v>
      </c>
      <c r="L22" s="119">
        <f t="shared" si="1"/>
        <v>400.14600000000002</v>
      </c>
      <c r="M22" s="230">
        <f t="shared" si="2"/>
        <v>6778.9440000000013</v>
      </c>
      <c r="N22" s="277">
        <f t="shared" si="3"/>
        <v>1525.4237288135585</v>
      </c>
      <c r="O22" s="239">
        <f t="shared" si="4"/>
        <v>41.521838644067806</v>
      </c>
      <c r="P22" s="311">
        <f t="shared" si="5"/>
        <v>8345.8895674576288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798</v>
      </c>
      <c r="I25" s="114">
        <f t="shared" ref="I25:M25" si="10">SUM(I16:I24)</f>
        <v>47269.397499999999</v>
      </c>
      <c r="J25" s="274">
        <f>SUM(J16:J24)</f>
        <v>5911.5756500000007</v>
      </c>
      <c r="K25" s="275">
        <f t="shared" si="10"/>
        <v>1654.4289125000003</v>
      </c>
      <c r="L25" s="276">
        <f t="shared" si="10"/>
        <v>400.14600000000002</v>
      </c>
      <c r="M25" s="232">
        <f t="shared" si="10"/>
        <v>39303.2469375</v>
      </c>
      <c r="N25" s="233">
        <f>SUM(N16:N24)</f>
        <v>8976.3559322033889</v>
      </c>
      <c r="O25" s="101">
        <f>SUM(O16:O24)</f>
        <v>241.39801434851697</v>
      </c>
      <c r="P25" s="113">
        <f>SUM(P16:P24)</f>
        <v>48521.0008840519</v>
      </c>
      <c r="Q25" s="128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47269.397499999999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5911.5756500000007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2054.5749125000002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39303.2469375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8976.3559322033889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48279.602869703391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241.39801434851697</v>
      </c>
    </row>
    <row r="35" spans="2:16" ht="15.75" customHeight="1" thickBot="1" x14ac:dyDescent="0.4">
      <c r="N35" s="372" t="s">
        <v>88</v>
      </c>
      <c r="O35" s="373"/>
      <c r="P35" s="297">
        <f>+P33+P34</f>
        <v>48521.000884051908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46262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46261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2026-08-27T12:38:03Z</dcterms:modified>
</cp:coreProperties>
</file>