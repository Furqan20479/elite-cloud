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3BB531B7-15D3-4E95-BA8B-08B723522D57}" xr6:coauthVersionLast="47" xr6:coauthVersionMax="47" xr10:uidLastSave="{00000000-0000-0000-0000-000000000000}"/>
  <bookViews>
    <workbookView xWindow="-110" yWindow="-110" windowWidth="19420" windowHeight="1056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9" l="1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22" i="43"/>
  <c r="P22" i="43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<sst xmlns="http://schemas.openxmlformats.org/spreadsheetml/2006/main" count="3913" uniqueCount="518">
  <si>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</si>
  <si>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</si>
  <si>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</si>
  <si>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</si>
  <si>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</si>
  <si>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</si>
  <si>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</si>
  <si>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</si>
  <si>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</si>
  <si>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</si>
  <si>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</si>
  <si>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</si>
  <si>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</si>
  <si>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</si>
  <si>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</si>
  <si>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</si>
  <si>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</si>
  <si>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</si>
  <si>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</si>
  <si>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</si>
  <si>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</si>
  <si>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</si>
  <si>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</si>
  <si>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</si>
  <si>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</si>
  <si>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</si>
  <si>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</si>
  <si>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</si>
  <si>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</si>
  <si>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</si>
  <si>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</si>
  <si>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</si>
  <si>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</si>
  <si>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</si>
  <si>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</si>
  <si>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</si>
  <si>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</si>
  <si>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</si>
  <si>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</si>
  <si>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</si>
  <si>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</si>
  <si>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</si>
  <si>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</si>
  <si>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</si>
  <si>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</si>
  <si>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</si>
  <si>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</si>
  <si>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</si>
  <si>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</si>
  <si>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</si>
  <si>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</si>
  <si>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</si>
  <si>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</si>
  <si>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</si>
  <si>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</si>
  <si>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</si>
  <si>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</si>
  <si>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</si>
  <si>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</si>
  <si>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</si>
  <si>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</si>
  <si>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</si>
  <si>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</si>
  <si>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</si>
  <si>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</si>
  <si>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</si>
  <si>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</si>
  <si>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</si>
  <si>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</si>
  <si>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</si>
  <si>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</si>
  <si>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</si>
  <si>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</si>
  <si>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</si>
  <si>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</si>
  <si>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</si>
  <si>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</si>
  <si>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</si>
  <si>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</si>
  <si>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</si>
  <si>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</si>
  <si>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</si>
  <si>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</si>
  <si>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</si>
  <si>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</si>
  <si>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</si>
  <si>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</si>
  <si>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</si>
  <si>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</si>
  <si>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</si>
  <si>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</si>
  <si>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</si>
  <si>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</si>
  <si>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</si>
  <si>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</si>
  <si>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</si>
  <si>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</si>
  <si>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</si>
  <si>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</si>
  <si>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</si>
  <si>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</si>
  <si>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</si>
  <si>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</si>
  <si>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</si>
  <si>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</si>
  <si>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</si>
  <si>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</si>
  <si>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</si>
  <si>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</si>
  <si>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</si>
  <si>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</si>
  <si>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</si>
  <si>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</si>
  <si>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</si>
  <si>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</si>
  <si>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</si>
  <si>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</si>
  <si>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</si>
  <si>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</si>
  <si>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</si>
  <si>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</si>
  <si>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</si>
  <si>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</si>
  <si>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</si>
  <si>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</si>
  <si>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</si>
  <si>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</si>
  <si>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</si>
  <si>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</si>
  <si>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</si>
  <si>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</si>
  <si>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</si>
  <si>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</si>
  <si>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</si>
  <si>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</si>
  <si>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</si>
  <si>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</si>
  <si>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</si>
  <si>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</si>
  <si>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</si>
  <si>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</si>
  <si>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</si>
  <si>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</si>
  <si>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</si>
  <si>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</si>
  <si>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</si>
  <si>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</si>
  <si>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</si>
  <si>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</si>
  <si>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</si>
  <si>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</si>
  <si>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</si>
  <si>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</si>
  <si>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</si>
  <si>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</si>
  <si>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</si>
  <si>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</si>
  <si>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</si>
  <si>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</si>
  <si>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</si>
  <si>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</si>
  <si>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</si>
  <si>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</si>
  <si>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</si>
  <si>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</si>
  <si>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</si>
  <si>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</si>
  <si>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</si>
  <si>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</si>
  <si>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</si>
  <si>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</si>
  <si>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</si>
  <si>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</si>
  <si>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</si>
  <si>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</si>
  <si>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</si>
  <si>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</si>
  <si>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</si>
  <si>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</si>
  <si>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</si>
  <si>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</si>
  <si>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</si>
  <si>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</si>
  <si>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</si>
  <si>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</si>
  <si>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</si>
  <si>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</si>
  <si>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</si>
  <si>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</si>
  <si>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</si>
  <si>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</si>
  <si>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</si>
  <si>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</si>
  <si>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</si>
  <si>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</si>
  <si>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</si>
  <si>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</si>
  <si>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</si>
  <si>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</si>
  <si>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</si>
  <si>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</si>
  <si>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</si>
  <si>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</si>
  <si>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</si>
  <si>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</si>
  <si>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</si>
  <si>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</si>
  <si>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</si>
  <si>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</si>
  <si>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</si>
  <si>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</si>
  <si>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</si>
  <si>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</si>
  <si>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</si>
  <si>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</si>
  <si>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</si>
  <si>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</si>
  <si>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</si>
  <si>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</si>
  <si>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</si>
  <si>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</si>
  <si>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</si>
  <si>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</si>
  <si>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</si>
  <si>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</si>
  <si>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</si>
  <si>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</si>
  <si>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</si>
  <si>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</si>
  <si>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</si>
  <si>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</si>
  <si>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</si>
  <si>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</si>
  <si>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</si>
  <si>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</si>
  <si>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</si>
  <si>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</si>
  <si>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</si>
  <si>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</si>
  <si>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</si>
  <si>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</si>
  <si>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</si>
  <si>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</si>
  <si>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</si>
  <si>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</si>
  <si>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</si>
  <si>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</si>
  <si>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</si>
  <si>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</si>
  <si>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</si>
  <si>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</si>
  <si>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</si>
  <si>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</si>
  <si>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</si>
  <si>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</si>
  <si>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</si>
  <si>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</si>
  <si>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</si>
  <si>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</si>
  <si>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</si>
  <si>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</si>
  <si>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</si>
  <si>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</si>
  <si>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</si>
  <si>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</si>
  <si>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</si>
  <si>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</si>
  <si>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</si>
  <si>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</si>
  <si>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</si>
  <si>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</si>
  <si>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</si>
  <si>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</si>
  <si>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</si>
  <si>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</si>
  <si>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</si>
  <si>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</si>
  <si>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</si>
  <si>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</si>
  <si>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</si>
  <si>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</si>
  <si>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</si>
  <si>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</si>
  <si>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</si>
  <si>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</si>
  <si>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</si>
  <si>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</si>
  <si>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</si>
  <si>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</si>
  <si>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</si>
  <si>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</si>
  <si>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</si>
  <si>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</si>
  <si>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</si>
  <si>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</si>
  <si>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</si>
  <si>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</si>
  <si>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</si>
  <si>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</si>
  <si>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</si>
  <si>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</si>
  <si>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</si>
  <si>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</si>
  <si>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</si>
  <si>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</si>
  <si>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</si>
  <si>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</si>
  <si>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</si>
  <si>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</si>
  <si>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</si>
  <si>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</si>
  <si>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</si>
  <si>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</si>
  <si>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</si>
  <si>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</si>
  <si>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</si>
  <si>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</si>
  <si>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</si>
  <si>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</si>
  <si>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</si>
  <si>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</si>
  <si>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</si>
  <si>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</si>
  <si>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</si>
  <si>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</si>
  <si>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</si>
  <si>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</si>
  <si>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</si>
  <si>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</si>
  <si>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</si>
  <si>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</si>
  <si>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</si>
  <si>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</si>
  <si>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</si>
  <si>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</si>
  <si>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</si>
  <si>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</si>
  <si>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</si>
  <si>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</si>
  <si>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</si>
  <si>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</si>
  <si>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</si>
  <si>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</si>
  <si>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</si>
  <si>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</si>
  <si>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</si>
  <si>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</si>
  <si>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</si>
  <si>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</si>
  <si>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</si>
  <si>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</si>
  <si>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</si>
  <si>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</si>
  <si>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</si>
  <si>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</si>
  <si>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</si>
  <si>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</si>
  <si>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</si>
  <si>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</si>
  <si>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</si>
  <si>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</si>
  <si>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</si>
  <si>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</si>
  <si>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</si>
  <si>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</si>
  <si>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</si>
  <si>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</si>
  <si>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</si>
  <si>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</si>
  <si>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</si>
  <si>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</si>
  <si>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</si>
  <si>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</si>
  <si>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</si>
  <si>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</si>
  <si>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</si>
  <si>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</si>
  <si>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</si>
  <si>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</si>
  <si>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</si>
  <si>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</si>
  <si>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</si>
  <si>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</si>
  <si>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</si>
  <si>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</si>
  <si>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</si>
  <si>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</si>
  <si>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</si>
  <si>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</si>
  <si>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</si>
  <si>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</si>
  <si>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</si>
  <si>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</si>
  <si>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</si>
  <si>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</si>
  <si>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</si>
  <si>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</si>
  <si>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</si>
  <si>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</si>
  <si>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</si>
  <si>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</si>
  <si>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</si>
  <si>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</si>
  <si>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</si>
  <si>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</si>
  <si>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</si>
  <si>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</si>
  <si>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</si>
  <si>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</si>
  <si>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</si>
  <si>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</si>
  <si>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</si>
  <si>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</si>
  <si>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</si>
  <si>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</si>
  <si>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</si>
  <si>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</si>
  <si>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</si>
  <si>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</si>
  <si>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</si>
  <si>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</si>
  <si>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</si>
  <si>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</si>
  <si>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</si>
  <si>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</si>
  <si>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</si>
  <si>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</si>
  <si>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</si>
  <si>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</si>
  <si>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</si>
  <si>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</si>
  <si>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</si>
  <si>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</si>
  <si>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</si>
  <si>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</si>
  <si>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</si>
  <si>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</si>
  <si>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</si>
  <si>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</si>
  <si>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</si>
  <si>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</si>
  <si>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</si>
  <si>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</si>
  <si>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</si>
  <si>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</si>
  <si>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</si>
  <si>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</si>
  <si>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</si>
  <si>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</si>
  <si>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</si>
  <si>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</si>
  <si>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</si>
  <si>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</si>
  <si>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</si>
  <si>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</si>
  <si>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</si>
  <si>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</si>
  <si>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</si>
  <si>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</si>
  <si>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</si>
  <si>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</si>
  <si>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</si>
  <si>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</si>
  <si>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</si>
  <si>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</si>
  <si>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</si>
  <si>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</si>
  <si>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</si>
  <si>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</si>
  <si>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</si>
  <si>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</si>
  <si>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</si>
  <si>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</si>
  <si>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</si>
  <si>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</si>
  <si>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</si>
  <si>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</si>
  <si>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</si>
  <si>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</si>
  <si>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</si>
  <si>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</si>
  <si>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</si>
  <si>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</si>
  <si>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</si>
  <si>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</si>
  <si>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</si>
  <si>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</si>
  <si>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</si>
  <si>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</si>
  <si>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</si>
  <si>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</si>
  <si>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</si>
  <si>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</si>
  <si>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</si>
  <si>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</si>
  <si>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</si>
  <si>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</si>
  <si>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</si>
  <si>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</si>
  <si>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</si>
  <si>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</si>
  <si>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</si>
  <si>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</si>
  <si>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</si>
  <si>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</si>
  <si>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</si>
  <si>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</si>
  <si>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</si>
  <si>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</si>
  <si>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</si>
  <si>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Wapda Town </t>
  </si>
  <si>
    <t xml:space="preserve">Address: Model Town </t>
  </si>
  <si>
    <t xml:space="preserve">Address: Gujranwala </t>
  </si>
  <si>
    <t xml:space="preserve">Address:  Shadra </t>
  </si>
  <si>
    <t>Invoice No # :16156</t>
  </si>
  <si>
    <t>Invoice No # :451261</t>
  </si>
  <si>
    <t>Address: Shekhupura</t>
  </si>
  <si>
    <t>Invoice No # : 54165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</si>
</sst>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18" fillId="0" borderId="48" xfId="0" applyFont="1" applyBorder="1" applyAlignment="1">
      <alignment horizontal="center" wrapText="1"/>
    </xf>
    <xf numFmtId="167" fontId="0" fillId="0" borderId="0" xfId="0" applyNumberFormat="1" applyAlignment="1">
      <alignment horizontal="left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56" t="s">
        <v>24</v>
      </c>
      <c r="B2" s="356"/>
      <c r="C2" s="356"/>
      <c r="D2" s="356"/>
      <c r="E2" s="356"/>
      <c r="F2" s="356"/>
      <c r="G2" s="356"/>
      <c r="H2" s="356"/>
    </row>
    <row r="3" spans="1:21" ht="18" thickBot="1" x14ac:dyDescent="0.35">
      <c r="A3" s="357" t="s">
        <v>15</v>
      </c>
      <c r="B3" s="357"/>
      <c r="C3" s="357"/>
      <c r="D3" s="357"/>
      <c r="E3" s="357"/>
      <c r="F3" s="357"/>
      <c r="G3" s="357"/>
      <c r="H3" s="35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58" t="s">
        <v>37</v>
      </c>
      <c r="P3" s="35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60" t="s">
        <v>25</v>
      </c>
      <c r="D4" s="36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54" t="s">
        <v>30</v>
      </c>
      <c r="H13" s="35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54" t="s">
        <v>30</v>
      </c>
      <c r="H26" s="35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54" t="s">
        <v>30</v>
      </c>
      <c r="H37" s="35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56" t="s">
        <v>24</v>
      </c>
      <c r="B2" s="356"/>
      <c r="C2" s="356"/>
      <c r="D2" s="356"/>
      <c r="E2" s="356"/>
      <c r="F2" s="356"/>
      <c r="G2" s="356"/>
      <c r="H2" s="356"/>
    </row>
    <row r="3" spans="1:21" ht="18" thickBot="1" x14ac:dyDescent="0.35">
      <c r="A3" s="357" t="s">
        <v>15</v>
      </c>
      <c r="B3" s="357"/>
      <c r="C3" s="357"/>
      <c r="D3" s="357"/>
      <c r="E3" s="357"/>
      <c r="F3" s="357"/>
      <c r="G3" s="357"/>
      <c r="H3" s="35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58" t="s">
        <v>37</v>
      </c>
      <c r="P3" s="35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60" t="s">
        <v>25</v>
      </c>
      <c r="D4" s="36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54" t="s">
        <v>30</v>
      </c>
      <c r="H13" s="35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54" t="s">
        <v>30</v>
      </c>
      <c r="H26" s="35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54" t="s">
        <v>30</v>
      </c>
      <c r="H37" s="35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62"/>
      <c r="B3" s="362"/>
      <c r="C3" s="362"/>
      <c r="D3" s="362"/>
      <c r="E3" s="362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</row>
    <row r="4" spans="1:29" x14ac:dyDescent="0.35">
      <c r="A4" s="364" t="s">
        <v>436</v>
      </c>
      <c r="B4" s="165" t="s">
        <v>437</v>
      </c>
      <c r="C4" s="165"/>
      <c r="D4" s="366" t="s">
        <v>438</v>
      </c>
      <c r="E4" s="368" t="s">
        <v>439</v>
      </c>
      <c r="F4" s="370" t="s">
        <v>58</v>
      </c>
      <c r="G4" s="370"/>
      <c r="H4" s="371" t="s">
        <v>440</v>
      </c>
      <c r="I4" s="371"/>
      <c r="J4" s="372" t="s">
        <v>441</v>
      </c>
      <c r="K4" s="373"/>
      <c r="L4" s="372" t="s">
        <v>442</v>
      </c>
      <c r="M4" s="373"/>
      <c r="N4" s="374" t="s">
        <v>443</v>
      </c>
      <c r="O4" s="374"/>
      <c r="P4" s="372" t="s">
        <v>86</v>
      </c>
      <c r="Q4" s="373"/>
      <c r="R4" s="372" t="s">
        <v>444</v>
      </c>
      <c r="S4" s="373"/>
      <c r="T4" s="375" t="s">
        <v>445</v>
      </c>
      <c r="U4" s="375"/>
      <c r="V4" s="376" t="s">
        <v>446</v>
      </c>
      <c r="W4" s="377"/>
      <c r="X4" s="376" t="s">
        <v>447</v>
      </c>
      <c r="Y4" s="377"/>
    </row>
    <row r="5" spans="1:29" ht="26.25" customHeight="1" thickBot="1" x14ac:dyDescent="0.4">
      <c r="A5" s="365"/>
      <c r="B5" s="167" t="s">
        <v>448</v>
      </c>
      <c r="C5" s="167" t="s">
        <v>438</v>
      </c>
      <c r="D5" s="367"/>
      <c r="E5" s="36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T33" sqref="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25" t="s">
        <v>91</v>
      </c>
      <c r="B2" s="325"/>
      <c r="C2" s="325"/>
      <c r="E2" s="383" t="s">
        <v>497</v>
      </c>
      <c r="F2" s="381"/>
      <c r="G2" s="381"/>
      <c r="H2" s="381" t="s">
        <v>507</v>
      </c>
      <c r="I2" s="381"/>
      <c r="J2" s="382"/>
      <c r="R2" s="378" t="s">
        <v>506</v>
      </c>
      <c r="S2" s="379"/>
      <c r="T2" s="380"/>
    </row>
    <row r="3" spans="1:20 16377:16378" ht="21.75" customHeight="1" thickBot="1" x14ac:dyDescent="0.4">
      <c r="A3" s="326" t="s">
        <v>92</v>
      </c>
      <c r="B3" s="326"/>
      <c r="C3" s="326"/>
      <c r="E3" s="386" t="s">
        <v>498</v>
      </c>
      <c r="F3" s="387"/>
      <c r="G3" s="387"/>
      <c r="H3" s="384">
        <f>+'1'!N4:N4</f>
        <v>46259</v>
      </c>
      <c r="I3" s="384"/>
      <c r="J3" s="385"/>
      <c r="K3" s="310" t="s">
        <v>43</v>
      </c>
      <c r="L3" s="310"/>
      <c r="M3" s="310"/>
      <c r="N3" s="326"/>
      <c r="O3" s="326"/>
      <c r="P3" s="326"/>
      <c r="R3" s="299">
        <v>1</v>
      </c>
      <c r="S3" s="300" t="str">
        <f>+'1'!A6:A6</f>
        <v>Rainbow Cash &amp; Carry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17766.023430508474</v>
      </c>
      <c r="XEX4" t="s">
        <v>105</v>
      </c>
    </row>
    <row r="5" spans="1:20 16377:16378" ht="21.75" customHeight="1" thickBot="1" x14ac:dyDescent="0.4">
      <c r="A5" s="345" t="s">
        <v>51</v>
      </c>
      <c r="B5" s="321"/>
      <c r="C5" s="308" t="s">
        <v>90</v>
      </c>
      <c r="D5" s="115" t="s">
        <v>52</v>
      </c>
      <c r="E5" s="312" t="s">
        <v>58</v>
      </c>
      <c r="F5" s="313"/>
      <c r="G5" s="319" t="s">
        <v>54</v>
      </c>
      <c r="H5" s="320"/>
      <c r="I5" s="347" t="s">
        <v>77</v>
      </c>
      <c r="J5" s="318" t="s">
        <v>55</v>
      </c>
      <c r="K5" s="319"/>
      <c r="L5" s="320"/>
      <c r="M5" s="321" t="s">
        <v>84</v>
      </c>
      <c r="N5" s="32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14805.01952542373</v>
      </c>
      <c r="XEX5" t="s">
        <v>106</v>
      </c>
    </row>
    <row r="6" spans="1:20 16377:16378" ht="21.75" customHeight="1" thickBot="1" x14ac:dyDescent="0.4">
      <c r="A6" s="346"/>
      <c r="B6" s="322"/>
      <c r="C6" s="30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24"/>
      <c r="J6" s="143" t="s">
        <v>59</v>
      </c>
      <c r="K6" s="144" t="s">
        <v>39</v>
      </c>
      <c r="L6" s="145" t="s">
        <v>493</v>
      </c>
      <c r="M6" s="322"/>
      <c r="N6" s="32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119">
        <f t="shared" si="2"/>
        <v>11844.015620338982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2847.4880000000003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16779.84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103.11953898305084</v>
      </c>
      <c r="P12" s="119">
        <f t="shared" si="2"/>
        <v>20727.027335593219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52">
        <f>COUNT(A7:A15)</f>
        <v>0</v>
      </c>
      <c r="B16" s="350"/>
      <c r="C16" s="350" t="s">
        <v>40</v>
      </c>
      <c r="D16" s="350"/>
      <c r="E16" s="350"/>
      <c r="F16" s="351"/>
      <c r="G16" s="117">
        <f t="shared" ref="G16:M16" si="3">SUM(G7:G15)</f>
        <v>0</v>
      </c>
      <c r="H16" s="113">
        <f t="shared" si="3"/>
        <v>600</v>
      </c>
      <c r="I16" s="114">
        <f t="shared" si="3"/>
        <v>41969.8</v>
      </c>
      <c r="J16" s="274">
        <f>SUM(J7:J15)</f>
        <v>5875.7720000000008</v>
      </c>
      <c r="K16" s="275">
        <f t="shared" si="3"/>
        <v>1468.9430000000002</v>
      </c>
      <c r="L16" s="276">
        <f t="shared" si="3"/>
        <v>0</v>
      </c>
      <c r="M16" s="232">
        <f t="shared" si="3"/>
        <v>34625.084999999999</v>
      </c>
      <c r="N16" s="233">
        <f>SUM(N7:N15)</f>
        <v>7932.203389830509</v>
      </c>
      <c r="O16" s="101">
        <f>SUM(O7:O15)</f>
        <v>212.78644194915253</v>
      </c>
      <c r="P16" s="234">
        <f>SUM(P7:P15)</f>
        <v>42770.074831779653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34" t="s">
        <v>64</v>
      </c>
      <c r="C19" s="335"/>
      <c r="D19" s="335"/>
      <c r="E19" s="335"/>
      <c r="F19" s="335"/>
      <c r="G19" s="335"/>
      <c r="H19" s="335"/>
      <c r="I19" s="335"/>
      <c r="J19" s="335"/>
      <c r="K19" s="335"/>
      <c r="L19" s="336"/>
      <c r="N19" s="348" t="s">
        <v>60</v>
      </c>
      <c r="O19" s="349"/>
      <c r="P19" s="139">
        <f>I16</f>
        <v>41969.8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37"/>
      <c r="C20" s="338"/>
      <c r="D20" s="338"/>
      <c r="E20" s="338"/>
      <c r="F20" s="338"/>
      <c r="G20" s="338"/>
      <c r="H20" s="338"/>
      <c r="I20" s="338"/>
      <c r="J20" s="338"/>
      <c r="K20" s="338"/>
      <c r="L20" s="339"/>
      <c r="N20" s="316" t="s">
        <v>85</v>
      </c>
      <c r="O20" s="317"/>
      <c r="P20" s="140">
        <f>+J16</f>
        <v>5875.7720000000008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37"/>
      <c r="C21" s="338"/>
      <c r="D21" s="338"/>
      <c r="E21" s="338"/>
      <c r="F21" s="338"/>
      <c r="G21" s="338"/>
      <c r="H21" s="338"/>
      <c r="I21" s="338"/>
      <c r="J21" s="338"/>
      <c r="K21" s="338"/>
      <c r="L21" s="339"/>
      <c r="N21" s="316" t="s">
        <v>86</v>
      </c>
      <c r="O21" s="317"/>
      <c r="P21" s="140">
        <f>+K16+L16</f>
        <v>1468.9430000000002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37"/>
      <c r="C22" s="338"/>
      <c r="D22" s="338"/>
      <c r="E22" s="338"/>
      <c r="F22" s="338"/>
      <c r="G22" s="338"/>
      <c r="H22" s="338"/>
      <c r="I22" s="338"/>
      <c r="J22" s="338"/>
      <c r="K22" s="338"/>
      <c r="L22" s="339"/>
      <c r="M22" s="131"/>
      <c r="N22" s="316" t="s">
        <v>87</v>
      </c>
      <c r="O22" s="317"/>
      <c r="P22" s="140">
        <f>P19-P20-P21</f>
        <v>34625.085000000006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37"/>
      <c r="C23" s="338"/>
      <c r="D23" s="338"/>
      <c r="E23" s="338"/>
      <c r="F23" s="338"/>
      <c r="G23" s="338"/>
      <c r="H23" s="338"/>
      <c r="I23" s="338"/>
      <c r="J23" s="338"/>
      <c r="K23" s="338"/>
      <c r="L23" s="339"/>
      <c r="M23" s="131"/>
      <c r="N23" s="136" t="s">
        <v>61</v>
      </c>
      <c r="O23" s="133">
        <v>0.18</v>
      </c>
      <c r="P23" s="140">
        <f>+N16</f>
        <v>7932.203389830509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37"/>
      <c r="C24" s="338"/>
      <c r="D24" s="338"/>
      <c r="E24" s="338"/>
      <c r="F24" s="338"/>
      <c r="G24" s="338"/>
      <c r="H24" s="338"/>
      <c r="I24" s="338"/>
      <c r="J24" s="338"/>
      <c r="K24" s="338"/>
      <c r="L24" s="339"/>
      <c r="M24" s="131"/>
      <c r="N24" s="314" t="s">
        <v>76</v>
      </c>
      <c r="O24" s="315"/>
      <c r="P24" s="140">
        <f>P22+P23</f>
        <v>42557.288389830515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40"/>
      <c r="C25" s="341"/>
      <c r="D25" s="341"/>
      <c r="E25" s="341"/>
      <c r="F25" s="341"/>
      <c r="G25" s="341"/>
      <c r="H25" s="341"/>
      <c r="I25" s="341"/>
      <c r="J25" s="341"/>
      <c r="K25" s="341"/>
      <c r="L25" s="342"/>
      <c r="M25" s="99"/>
      <c r="N25" s="138" t="s">
        <v>83</v>
      </c>
      <c r="O25" s="137" t="e">
        <f>IF(#REF!="Filer",0.5%,2.5%)</f>
        <v>#REF!</v>
      </c>
      <c r="P25" s="140">
        <f>+O16</f>
        <v>212.78644194915253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42770.074831779668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29"/>
      <c r="D27" s="329"/>
      <c r="E27" s="329"/>
      <c r="F27" s="329"/>
      <c r="G27" s="329"/>
      <c r="H27" s="329"/>
      <c r="I27" s="330"/>
      <c r="J27" s="331"/>
      <c r="K27" s="332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42770.074831779661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K10" sqref="K10:M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515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7.2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500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512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0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234">
        <f>SUM(P16:P24)</f>
        <v>10199.031875847457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10008.200000000001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1401.1480000000001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350.28700000000003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8256.7649999999994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10148.290423728813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43" t="s">
        <v>88</v>
      </c>
      <c r="O35" s="344"/>
      <c r="P35" s="297">
        <f>+P33+P34</f>
        <v>10199.031875847457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514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500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513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119">
        <f t="shared" si="5"/>
        <v>11844.015620338982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2440.7040000000002</v>
      </c>
      <c r="K25" s="275">
        <f t="shared" si="7"/>
        <v>610.17600000000004</v>
      </c>
      <c r="L25" s="276">
        <f t="shared" si="7"/>
        <v>0</v>
      </c>
      <c r="M25" s="232">
        <f t="shared" si="7"/>
        <v>14382.72</v>
      </c>
      <c r="N25" s="233">
        <f>SUM(N16:N24)</f>
        <v>3294.9152542372885</v>
      </c>
      <c r="O25" s="101">
        <f>SUM(O16:O24)</f>
        <v>88.388176271186438</v>
      </c>
      <c r="P25" s="234">
        <f>SUM(P16:P24)</f>
        <v>17766.023430508474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17433.599999999999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2440.7040000000002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610.17600000000004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14382.72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17677.635254237288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88.388176271186438</v>
      </c>
    </row>
    <row r="35" spans="2:16" ht="15.75" customHeight="1" thickBot="1" x14ac:dyDescent="0.4">
      <c r="N35" s="343" t="s">
        <v>88</v>
      </c>
      <c r="O35" s="344"/>
      <c r="P35" s="297">
        <f>+P33+P34</f>
        <v>17766.023430508474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517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8.7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500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516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2033.9200000000003</v>
      </c>
      <c r="K25" s="275">
        <f t="shared" si="7"/>
        <v>508.48000000000008</v>
      </c>
      <c r="L25" s="276">
        <f t="shared" si="7"/>
        <v>0</v>
      </c>
      <c r="M25" s="232">
        <f t="shared" si="7"/>
        <v>11985.599999999999</v>
      </c>
      <c r="N25" s="233">
        <f>SUM(N16:N24)</f>
        <v>2745.7627118644068</v>
      </c>
      <c r="O25" s="101">
        <f>SUM(O16:O24)</f>
        <v>73.656813559322032</v>
      </c>
      <c r="P25" s="234">
        <f>SUM(P16:P24)</f>
        <v>14805.019525423726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14528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2033.9200000000003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508.48000000000008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11985.6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14731.362711864407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73.656813559322032</v>
      </c>
    </row>
    <row r="35" spans="2:16" ht="15.75" customHeight="1" thickBot="1" x14ac:dyDescent="0.4">
      <c r="N35" s="343" t="s">
        <v>88</v>
      </c>
      <c r="O35" s="344"/>
      <c r="P35" s="297">
        <f>+P33+P34</f>
        <v>14805.01952542373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500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510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500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511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8.7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25" t="s">
        <v>91</v>
      </c>
      <c r="B2" s="325"/>
      <c r="C2" s="325"/>
    </row>
    <row r="3" spans="1:22 16383:16384" ht="15" customHeight="1" x14ac:dyDescent="0.35">
      <c r="A3" s="326" t="s">
        <v>92</v>
      </c>
      <c r="B3" s="326"/>
      <c r="C3" s="326"/>
      <c r="F3" s="85"/>
      <c r="G3" s="1"/>
      <c r="K3" s="310" t="s">
        <v>43</v>
      </c>
      <c r="L3" s="310"/>
      <c r="M3" s="310"/>
      <c r="N3" s="326"/>
      <c r="O3" s="326"/>
      <c r="P3" s="32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6" t="s">
        <v>499</v>
      </c>
      <c r="B4" s="326"/>
      <c r="C4" s="326"/>
      <c r="F4" s="85"/>
      <c r="G4" s="1"/>
      <c r="K4" s="310" t="s">
        <v>44</v>
      </c>
      <c r="L4" s="310"/>
      <c r="M4" s="310"/>
      <c r="N4" s="353">
        <v>46259</v>
      </c>
      <c r="O4" s="353"/>
      <c r="P4" s="35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27" t="s">
        <v>492</v>
      </c>
      <c r="B5" s="327"/>
      <c r="C5" s="327"/>
      <c r="F5" s="85"/>
      <c r="G5" s="1"/>
      <c r="K5" s="310" t="s">
        <v>45</v>
      </c>
      <c r="L5" s="310"/>
      <c r="M5" s="310"/>
      <c r="N5" s="353">
        <f>N4-1</f>
        <v>46258</v>
      </c>
      <c r="O5" s="326"/>
      <c r="P5" s="326"/>
      <c r="R5" s="85"/>
      <c r="S5" s="266"/>
    </row>
    <row r="6" spans="1:22 16383:16384" ht="15" customHeight="1" x14ac:dyDescent="0.4">
      <c r="A6" s="328" t="s">
        <v>508</v>
      </c>
      <c r="B6" s="328"/>
      <c r="C6" s="328"/>
      <c r="F6" s="85"/>
      <c r="G6" s="86"/>
      <c r="K6" s="310" t="s">
        <v>69</v>
      </c>
      <c r="L6" s="310"/>
      <c r="M6" s="310"/>
      <c r="N6" s="333" t="s">
        <v>62</v>
      </c>
      <c r="O6" s="333"/>
      <c r="P6" s="33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10" t="s">
        <v>509</v>
      </c>
      <c r="B7" s="310"/>
      <c r="C7" s="310"/>
      <c r="F7" s="85"/>
      <c r="G7" s="86"/>
      <c r="K7" s="310" t="s">
        <v>66</v>
      </c>
      <c r="L7" s="310"/>
      <c r="M7" s="310"/>
      <c r="N7" s="333" t="s">
        <v>505</v>
      </c>
      <c r="O7" s="333"/>
      <c r="P7" s="33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11" t="s">
        <v>95</v>
      </c>
      <c r="B8" s="311"/>
      <c r="C8" s="311"/>
      <c r="F8" s="85"/>
      <c r="G8" s="86"/>
      <c r="K8" s="310" t="s">
        <v>67</v>
      </c>
      <c r="L8" s="310"/>
      <c r="M8" s="310"/>
      <c r="N8" s="333" t="s">
        <v>505</v>
      </c>
      <c r="O8" s="333"/>
      <c r="P8" s="333"/>
      <c r="R8" s="85"/>
      <c r="S8" s="267"/>
    </row>
    <row r="9" spans="1:22 16383:16384" x14ac:dyDescent="0.35">
      <c r="A9" s="311" t="s">
        <v>96</v>
      </c>
      <c r="B9" s="311"/>
      <c r="C9" s="311"/>
      <c r="F9" s="85"/>
      <c r="G9" s="86"/>
      <c r="K9" s="310" t="s">
        <v>68</v>
      </c>
      <c r="L9" s="310"/>
      <c r="M9" s="310"/>
      <c r="N9" s="333" t="s">
        <v>104</v>
      </c>
      <c r="O9" s="333"/>
      <c r="P9" s="333"/>
      <c r="R9" s="85"/>
      <c r="S9" s="267"/>
      <c r="XFD9" t="s">
        <v>49</v>
      </c>
    </row>
    <row r="10" spans="1:22 16383:16384" x14ac:dyDescent="0.35">
      <c r="A10" s="311" t="s">
        <v>97</v>
      </c>
      <c r="B10" s="311"/>
      <c r="C10" s="311"/>
      <c r="F10" s="85"/>
      <c r="G10" s="1"/>
      <c r="K10" s="310" t="s">
        <v>46</v>
      </c>
      <c r="L10" s="310"/>
      <c r="M10" s="310"/>
      <c r="N10" s="326" t="s">
        <v>47</v>
      </c>
      <c r="O10" s="326"/>
      <c r="P10" s="32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10" t="s">
        <v>48</v>
      </c>
      <c r="L11" s="310"/>
      <c r="M11" s="310"/>
      <c r="N11" s="333" t="s">
        <v>49</v>
      </c>
      <c r="O11" s="333"/>
      <c r="P11" s="33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10" t="s">
        <v>50</v>
      </c>
      <c r="L12" s="310"/>
      <c r="M12" s="310"/>
      <c r="N12" s="326"/>
      <c r="O12" s="326"/>
      <c r="P12" s="32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21"/>
      <c r="C14" s="308" t="s">
        <v>90</v>
      </c>
      <c r="D14" s="115" t="s">
        <v>52</v>
      </c>
      <c r="E14" s="312" t="s">
        <v>58</v>
      </c>
      <c r="F14" s="313"/>
      <c r="G14" s="319" t="s">
        <v>54</v>
      </c>
      <c r="H14" s="320"/>
      <c r="I14" s="347" t="s">
        <v>77</v>
      </c>
      <c r="J14" s="318" t="s">
        <v>55</v>
      </c>
      <c r="K14" s="319"/>
      <c r="L14" s="320"/>
      <c r="M14" s="321" t="s">
        <v>84</v>
      </c>
      <c r="N14" s="32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6"/>
      <c r="B15" s="322"/>
      <c r="C15" s="30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24"/>
      <c r="J15" s="143" t="s">
        <v>59</v>
      </c>
      <c r="K15" s="144" t="s">
        <v>39</v>
      </c>
      <c r="L15" s="145" t="s">
        <v>493</v>
      </c>
      <c r="M15" s="322"/>
      <c r="N15" s="32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8" t="s">
        <v>60</v>
      </c>
      <c r="O28" s="349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16" t="s">
        <v>85</v>
      </c>
      <c r="O29" s="317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16" t="s">
        <v>86</v>
      </c>
      <c r="O30" s="317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16" t="s">
        <v>87</v>
      </c>
      <c r="O31" s="317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14" t="s">
        <v>76</v>
      </c>
      <c r="O33" s="315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331"/>
      <c r="K36" s="33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25" t="s">
        <v>91</v>
      </c>
      <c r="B2" s="325"/>
      <c r="C2" s="325"/>
    </row>
    <row r="3" spans="1:18 16382:16383" ht="15" customHeight="1" x14ac:dyDescent="0.35">
      <c r="A3" s="326" t="s">
        <v>92</v>
      </c>
      <c r="B3" s="326"/>
      <c r="C3" s="326"/>
      <c r="F3" s="85"/>
      <c r="G3" s="1"/>
      <c r="J3" s="310" t="s">
        <v>43</v>
      </c>
      <c r="K3" s="310"/>
      <c r="L3" s="310"/>
      <c r="M3" s="326"/>
      <c r="N3" s="326"/>
      <c r="O3" s="32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26" t="s">
        <v>65</v>
      </c>
      <c r="B4" s="326"/>
      <c r="C4" s="326"/>
      <c r="F4" s="85"/>
      <c r="G4" s="1"/>
      <c r="J4" s="310" t="s">
        <v>44</v>
      </c>
      <c r="K4" s="310"/>
      <c r="L4" s="310"/>
      <c r="M4" s="353">
        <f ca="1">TODAY()+1</f>
        <v>46262</v>
      </c>
      <c r="N4" s="353"/>
      <c r="O4" s="35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27" t="s">
        <v>93</v>
      </c>
      <c r="B5" s="327"/>
      <c r="C5" s="327"/>
      <c r="F5" s="85"/>
      <c r="G5" s="1"/>
      <c r="J5" s="310" t="s">
        <v>45</v>
      </c>
      <c r="K5" s="310"/>
      <c r="L5" s="310"/>
      <c r="M5" s="353">
        <f ca="1">M4-1</f>
        <v>46261</v>
      </c>
      <c r="N5" s="326"/>
      <c r="O5" s="326"/>
      <c r="Q5" s="85"/>
      <c r="R5" s="1"/>
    </row>
    <row r="6" spans="1:18 16382:16383" ht="15" customHeight="1" x14ac:dyDescent="0.35">
      <c r="A6" s="310" t="s">
        <v>94</v>
      </c>
      <c r="B6" s="310"/>
      <c r="C6" s="310"/>
      <c r="F6" s="85"/>
      <c r="G6" s="86"/>
      <c r="J6" s="310" t="s">
        <v>69</v>
      </c>
      <c r="K6" s="310"/>
      <c r="L6" s="310"/>
      <c r="M6" s="333" t="s">
        <v>62</v>
      </c>
      <c r="N6" s="333"/>
      <c r="O6" s="33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10" t="s">
        <v>73</v>
      </c>
      <c r="B7" s="310"/>
      <c r="C7" s="310"/>
      <c r="F7" s="85"/>
      <c r="G7" s="86"/>
      <c r="J7" s="310" t="s">
        <v>66</v>
      </c>
      <c r="K7" s="310"/>
      <c r="L7" s="310"/>
      <c r="M7" s="333" t="s">
        <v>70</v>
      </c>
      <c r="N7" s="333"/>
      <c r="O7" s="33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11" t="s">
        <v>95</v>
      </c>
      <c r="B8" s="311"/>
      <c r="C8" s="311"/>
      <c r="F8" s="85"/>
      <c r="G8" s="86"/>
      <c r="J8" s="310" t="s">
        <v>67</v>
      </c>
      <c r="K8" s="310"/>
      <c r="L8" s="310"/>
      <c r="M8" s="333" t="s">
        <v>71</v>
      </c>
      <c r="N8" s="333"/>
      <c r="O8" s="333"/>
      <c r="Q8" s="85"/>
      <c r="R8" s="86"/>
    </row>
    <row r="9" spans="1:18 16382:16383" x14ac:dyDescent="0.35">
      <c r="A9" s="311" t="s">
        <v>96</v>
      </c>
      <c r="B9" s="311"/>
      <c r="C9" s="311"/>
      <c r="F9" s="85"/>
      <c r="G9" s="86"/>
      <c r="J9" s="310" t="s">
        <v>68</v>
      </c>
      <c r="K9" s="310"/>
      <c r="L9" s="310"/>
      <c r="M9" s="333" t="s">
        <v>104</v>
      </c>
      <c r="N9" s="333"/>
      <c r="O9" s="333"/>
      <c r="Q9" s="85"/>
      <c r="R9" s="86"/>
      <c r="XFC9" t="s">
        <v>49</v>
      </c>
    </row>
    <row r="10" spans="1:18 16382:16383" x14ac:dyDescent="0.35">
      <c r="A10" s="311" t="s">
        <v>97</v>
      </c>
      <c r="B10" s="311"/>
      <c r="C10" s="311"/>
      <c r="F10" s="85"/>
      <c r="G10" s="1"/>
      <c r="J10" s="310" t="s">
        <v>46</v>
      </c>
      <c r="K10" s="310"/>
      <c r="L10" s="310"/>
      <c r="M10" s="326" t="s">
        <v>47</v>
      </c>
      <c r="N10" s="326"/>
      <c r="O10" s="32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10" t="s">
        <v>48</v>
      </c>
      <c r="K11" s="310"/>
      <c r="L11" s="310"/>
      <c r="M11" s="326" t="s">
        <v>49</v>
      </c>
      <c r="N11" s="326"/>
      <c r="O11" s="32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10" t="s">
        <v>50</v>
      </c>
      <c r="K12" s="310"/>
      <c r="L12" s="310"/>
      <c r="M12" s="326"/>
      <c r="N12" s="326"/>
      <c r="O12" s="32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21"/>
      <c r="C14" s="308" t="s">
        <v>90</v>
      </c>
      <c r="D14" s="88" t="s">
        <v>52</v>
      </c>
      <c r="E14" s="95" t="s">
        <v>74</v>
      </c>
      <c r="F14" s="115" t="s">
        <v>53</v>
      </c>
      <c r="G14" s="318" t="s">
        <v>54</v>
      </c>
      <c r="H14" s="320"/>
      <c r="I14" s="347" t="s">
        <v>77</v>
      </c>
      <c r="J14" s="319" t="s">
        <v>55</v>
      </c>
      <c r="K14" s="320"/>
      <c r="L14" s="34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22"/>
      <c r="C15" s="30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24"/>
      <c r="J15" s="144" t="s">
        <v>39</v>
      </c>
      <c r="K15" s="145" t="s">
        <v>59</v>
      </c>
      <c r="L15" s="32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2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6"/>
      <c r="M28" s="348" t="s">
        <v>60</v>
      </c>
      <c r="N28" s="349"/>
      <c r="O28" s="139">
        <f>I25</f>
        <v>1452.8</v>
      </c>
    </row>
    <row r="29" spans="1:18 16383:16383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9"/>
      <c r="M29" s="316" t="s">
        <v>85</v>
      </c>
      <c r="N29" s="317"/>
      <c r="O29" s="140">
        <f>K25</f>
        <v>0</v>
      </c>
    </row>
    <row r="30" spans="1:18 16383:16383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9"/>
      <c r="M30" s="316" t="s">
        <v>86</v>
      </c>
      <c r="N30" s="317"/>
      <c r="O30" s="140">
        <f>J25</f>
        <v>50.848000000000006</v>
      </c>
    </row>
    <row r="31" spans="1:18 16383:16383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9"/>
      <c r="L31" s="131"/>
      <c r="M31" s="316" t="s">
        <v>87</v>
      </c>
      <c r="N31" s="317"/>
      <c r="O31" s="140">
        <f>O28-O29-O30</f>
        <v>1401.952</v>
      </c>
    </row>
    <row r="32" spans="1:18 16383:16383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9"/>
      <c r="L33" s="131"/>
      <c r="M33" s="314" t="s">
        <v>76</v>
      </c>
      <c r="N33" s="315"/>
      <c r="O33" s="140">
        <f>O31+O32</f>
        <v>1710.3814400000001</v>
      </c>
    </row>
    <row r="34" spans="2:15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29"/>
      <c r="D36" s="329"/>
      <c r="E36" s="329"/>
      <c r="F36" s="329"/>
      <c r="G36" s="329"/>
      <c r="H36" s="329"/>
      <c r="I36" s="330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70" t="s">
        <v>438</v>
      </c>
      <c r="D1" s="390" t="s">
        <v>439</v>
      </c>
      <c r="E1" s="370" t="s">
        <v>58</v>
      </c>
      <c r="F1" s="370"/>
      <c r="G1" s="371" t="s">
        <v>440</v>
      </c>
      <c r="H1" s="371"/>
      <c r="I1" s="397" t="s">
        <v>441</v>
      </c>
      <c r="J1" s="397"/>
      <c r="K1" s="397" t="s">
        <v>442</v>
      </c>
      <c r="L1" s="397"/>
      <c r="M1" s="392" t="s">
        <v>484</v>
      </c>
      <c r="N1" s="393"/>
      <c r="O1" s="394"/>
    </row>
    <row r="2" spans="3:24" ht="29" x14ac:dyDescent="0.35">
      <c r="C2" s="370"/>
      <c r="D2" s="390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5" t="s">
        <v>476</v>
      </c>
      <c r="D6" s="395"/>
      <c r="E6" s="395"/>
      <c r="F6" s="395"/>
      <c r="G6" s="395"/>
      <c r="T6" s="257" t="s">
        <v>487</v>
      </c>
      <c r="U6" s="257" t="s">
        <v>488</v>
      </c>
    </row>
    <row r="7" spans="3:24" ht="14.5" customHeight="1" x14ac:dyDescent="0.35">
      <c r="C7" s="365" t="s">
        <v>438</v>
      </c>
      <c r="D7" s="369" t="s">
        <v>439</v>
      </c>
      <c r="E7" s="391" t="s">
        <v>58</v>
      </c>
      <c r="F7" s="391"/>
      <c r="G7" s="389" t="s">
        <v>440</v>
      </c>
      <c r="H7" s="371"/>
      <c r="I7" s="372" t="s">
        <v>441</v>
      </c>
      <c r="J7" s="373"/>
      <c r="K7" s="372" t="s">
        <v>442</v>
      </c>
      <c r="L7" s="373"/>
      <c r="M7" s="392" t="s">
        <v>484</v>
      </c>
      <c r="N7" s="393"/>
      <c r="O7" s="394"/>
      <c r="P7" s="256" t="s">
        <v>475</v>
      </c>
      <c r="Q7" s="242" t="s">
        <v>473</v>
      </c>
      <c r="R7" s="390" t="s">
        <v>475</v>
      </c>
      <c r="S7" s="390" t="s">
        <v>485</v>
      </c>
      <c r="T7" s="388" t="s">
        <v>486</v>
      </c>
      <c r="U7" s="388" t="s">
        <v>486</v>
      </c>
    </row>
    <row r="8" spans="3:24" ht="15" customHeight="1" thickBot="1" x14ac:dyDescent="0.4">
      <c r="C8" s="367"/>
      <c r="D8" s="36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0"/>
      <c r="S8" s="390"/>
      <c r="T8" s="389"/>
      <c r="U8" s="38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6" t="s">
        <v>477</v>
      </c>
      <c r="D12" s="396"/>
      <c r="E12" s="396"/>
      <c r="F12" s="396"/>
      <c r="G12" s="396"/>
    </row>
    <row r="13" spans="3:24" x14ac:dyDescent="0.35">
      <c r="C13" s="366" t="s">
        <v>438</v>
      </c>
      <c r="D13" s="368" t="s">
        <v>439</v>
      </c>
      <c r="E13" s="370" t="s">
        <v>58</v>
      </c>
      <c r="F13" s="370"/>
      <c r="G13" s="371" t="s">
        <v>440</v>
      </c>
      <c r="H13" s="371"/>
      <c r="I13" s="372" t="s">
        <v>441</v>
      </c>
      <c r="J13" s="373"/>
      <c r="K13" s="372" t="s">
        <v>442</v>
      </c>
      <c r="L13" s="373"/>
      <c r="M13" s="392" t="s">
        <v>484</v>
      </c>
      <c r="N13" s="393"/>
      <c r="O13" s="394"/>
      <c r="P13" s="256" t="s">
        <v>475</v>
      </c>
      <c r="Q13" s="242" t="s">
        <v>473</v>
      </c>
      <c r="R13" s="390" t="s">
        <v>475</v>
      </c>
      <c r="S13" s="390" t="s">
        <v>485</v>
      </c>
      <c r="T13" s="388" t="s">
        <v>486</v>
      </c>
      <c r="U13" s="388" t="s">
        <v>486</v>
      </c>
    </row>
    <row r="14" spans="3:24" ht="29.5" thickBot="1" x14ac:dyDescent="0.4">
      <c r="C14" s="367"/>
      <c r="D14" s="36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0"/>
      <c r="S14" s="390"/>
      <c r="T14" s="389"/>
      <c r="U14" s="38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5" t="s">
        <v>478</v>
      </c>
      <c r="D19" s="395"/>
      <c r="E19" s="395"/>
      <c r="F19" s="395"/>
      <c r="G19" s="395"/>
    </row>
    <row r="20" spans="3:21" x14ac:dyDescent="0.35">
      <c r="C20" s="366" t="s">
        <v>438</v>
      </c>
      <c r="D20" s="368" t="s">
        <v>439</v>
      </c>
      <c r="E20" s="370" t="s">
        <v>58</v>
      </c>
      <c r="F20" s="370"/>
      <c r="G20" s="371" t="s">
        <v>440</v>
      </c>
      <c r="H20" s="371"/>
      <c r="I20" s="372" t="s">
        <v>441</v>
      </c>
      <c r="J20" s="373"/>
      <c r="K20" s="372" t="s">
        <v>442</v>
      </c>
      <c r="L20" s="373"/>
      <c r="M20" s="392" t="s">
        <v>484</v>
      </c>
      <c r="N20" s="393"/>
      <c r="O20" s="394"/>
      <c r="P20" s="256" t="s">
        <v>475</v>
      </c>
      <c r="Q20" s="242" t="s">
        <v>473</v>
      </c>
      <c r="R20" s="390" t="s">
        <v>475</v>
      </c>
      <c r="S20" s="390" t="s">
        <v>485</v>
      </c>
      <c r="T20" s="388" t="s">
        <v>486</v>
      </c>
      <c r="U20" s="388" t="s">
        <v>486</v>
      </c>
    </row>
    <row r="21" spans="3:21" ht="29.5" thickBot="1" x14ac:dyDescent="0.4">
      <c r="C21" s="367"/>
      <c r="D21" s="36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0"/>
      <c r="S21" s="390"/>
      <c r="T21" s="389"/>
      <c r="U21" s="38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5" t="s">
        <v>479</v>
      </c>
      <c r="D26" s="395"/>
      <c r="E26" s="395"/>
      <c r="F26" s="395"/>
      <c r="G26" s="395"/>
    </row>
    <row r="27" spans="3:21" x14ac:dyDescent="0.35">
      <c r="C27" s="366" t="s">
        <v>438</v>
      </c>
      <c r="D27" s="368" t="s">
        <v>439</v>
      </c>
      <c r="E27" s="370" t="s">
        <v>58</v>
      </c>
      <c r="F27" s="370"/>
      <c r="G27" s="371" t="s">
        <v>440</v>
      </c>
      <c r="H27" s="371"/>
      <c r="I27" s="372" t="s">
        <v>441</v>
      </c>
      <c r="J27" s="373"/>
      <c r="K27" s="372" t="s">
        <v>442</v>
      </c>
      <c r="L27" s="373"/>
      <c r="M27" s="392" t="s">
        <v>484</v>
      </c>
      <c r="N27" s="393"/>
      <c r="O27" s="394"/>
      <c r="P27" s="256" t="s">
        <v>475</v>
      </c>
      <c r="Q27" s="242" t="s">
        <v>473</v>
      </c>
      <c r="R27" s="390" t="s">
        <v>475</v>
      </c>
      <c r="S27" s="390" t="s">
        <v>485</v>
      </c>
      <c r="T27" s="388" t="s">
        <v>486</v>
      </c>
      <c r="U27" s="388" t="s">
        <v>486</v>
      </c>
    </row>
    <row r="28" spans="3:21" ht="29.5" thickBot="1" x14ac:dyDescent="0.4">
      <c r="C28" s="367"/>
      <c r="D28" s="36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0"/>
      <c r="S28" s="390"/>
      <c r="T28" s="389"/>
      <c r="U28" s="38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70" t="s">
        <v>438</v>
      </c>
      <c r="C1" s="390" t="s">
        <v>439</v>
      </c>
      <c r="D1" s="370" t="s">
        <v>58</v>
      </c>
      <c r="E1" s="370"/>
      <c r="F1" s="371" t="s">
        <v>440</v>
      </c>
      <c r="G1" s="371"/>
      <c r="H1" s="397" t="s">
        <v>441</v>
      </c>
      <c r="I1" s="397"/>
      <c r="J1" s="397" t="s">
        <v>442</v>
      </c>
      <c r="K1" s="397"/>
      <c r="L1" s="392" t="s">
        <v>484</v>
      </c>
      <c r="M1" s="393"/>
      <c r="N1" s="394"/>
    </row>
    <row r="2" spans="2:17" ht="29" x14ac:dyDescent="0.35">
      <c r="B2" s="370"/>
      <c r="C2" s="390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399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9"/>
      <c r="G60" s="160" t="s">
        <v>195</v>
      </c>
      <c r="H60" s="161" t="s">
        <v>100</v>
      </c>
    </row>
    <row r="61" spans="5:8" x14ac:dyDescent="0.35">
      <c r="E61" s="159" t="s">
        <v>192</v>
      </c>
      <c r="F61" s="399"/>
      <c r="G61" s="160" t="s">
        <v>196</v>
      </c>
      <c r="H61" s="161" t="s">
        <v>98</v>
      </c>
    </row>
    <row r="62" spans="5:8" x14ac:dyDescent="0.35">
      <c r="E62" s="159" t="s">
        <v>192</v>
      </c>
      <c r="F62" s="399"/>
      <c r="G62" s="160" t="s">
        <v>197</v>
      </c>
      <c r="H62" s="161" t="s">
        <v>101</v>
      </c>
    </row>
    <row r="63" spans="5:8" x14ac:dyDescent="0.35">
      <c r="E63" s="159" t="s">
        <v>192</v>
      </c>
      <c r="F63" s="399"/>
      <c r="G63" s="160" t="s">
        <v>198</v>
      </c>
      <c r="H63" s="161" t="s">
        <v>102</v>
      </c>
    </row>
    <row r="64" spans="5:8" x14ac:dyDescent="0.35">
      <c r="E64" s="159" t="s">
        <v>192</v>
      </c>
      <c r="F64" s="399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9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9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9"/>
      <c r="G121" s="160" t="s">
        <v>273</v>
      </c>
      <c r="H121" s="161" t="s">
        <v>98</v>
      </c>
    </row>
    <row r="122" spans="5:8" x14ac:dyDescent="0.35">
      <c r="E122" s="159" t="s">
        <v>269</v>
      </c>
      <c r="F122" s="399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9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9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9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9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9"/>
      <c r="G241" s="160" t="s">
        <v>432</v>
      </c>
      <c r="H241" s="161" t="s">
        <v>98</v>
      </c>
    </row>
    <row r="242" spans="5:8" x14ac:dyDescent="0.35">
      <c r="E242" s="159" t="s">
        <v>428</v>
      </c>
      <c r="F242" s="399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9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9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2026-08-27T03:43:57Z</dcterms:modified>
</cp:coreProperties>
</file>