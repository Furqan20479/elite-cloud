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EE3E2B5-3D66-47D3-BAAC-E03B49A43C7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<sst xmlns="http://schemas.openxmlformats.org/spreadsheetml/2006/main" count="3978" uniqueCount="524">
  <si>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</si>
  <si>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</si>
  <si>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</si>
  <si>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</si>
  <si>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</si>
  <si>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</si>
  <si>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</si>
  <si>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</si>
  <si>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</si>
  <si>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</si>
  <si>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</si>
  <si>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</si>
  <si>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</si>
  <si>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</si>
  <si>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</si>
  <si>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</si>
  <si>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</si>
  <si>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</si>
  <si>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</si>
  <si>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</si>
  <si>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</si>
  <si>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</si>
  <si>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</si>
  <si>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</si>
  <si>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</si>
  <si>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</si>
  <si>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</si>
  <si>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</si>
  <si>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</si>
  <si>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</si>
  <si>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</si>
  <si>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</si>
  <si>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</si>
  <si>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</si>
  <si>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</si>
  <si>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</si>
  <si>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</si>
  <si>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</si>
  <si>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</si>
  <si>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</si>
  <si>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</si>
  <si>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</si>
  <si>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</si>
  <si>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</si>
  <si>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</si>
  <si>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</si>
  <si>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</si>
  <si>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</si>
  <si>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</si>
  <si>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</si>
  <si>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</si>
  <si>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</si>
  <si>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</si>
  <si>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</si>
  <si>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</si>
  <si>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</si>
  <si>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</si>
  <si>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</si>
  <si>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</si>
  <si>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</si>
  <si>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</si>
  <si>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</si>
  <si>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</si>
  <si>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</si>
  <si>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</si>
  <si>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</si>
  <si>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</si>
  <si>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</si>
  <si>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</si>
  <si>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</si>
  <si>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</si>
  <si>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</si>
  <si>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</si>
  <si>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</si>
  <si>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</si>
  <si>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</si>
  <si>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</si>
  <si>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</si>
  <si>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</si>
  <si>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</si>
  <si>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</si>
  <si>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</si>
  <si>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</si>
  <si>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</si>
  <si>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</si>
  <si>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</si>
  <si>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</si>
  <si>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</si>
  <si>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</si>
  <si>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</si>
  <si>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</si>
  <si>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</si>
  <si>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</si>
  <si>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</si>
  <si>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</si>
  <si>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</si>
  <si>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</si>
  <si>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</si>
  <si>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</si>
  <si>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</si>
  <si>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</si>
  <si>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</si>
  <si>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</si>
  <si>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</si>
  <si>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</si>
  <si>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</si>
  <si>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</si>
  <si>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</si>
  <si>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</si>
  <si>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</si>
  <si>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</si>
  <si>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</si>
  <si>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</si>
  <si>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</si>
  <si>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</si>
  <si>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</si>
  <si>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</si>
  <si>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</si>
  <si>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</si>
  <si>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</si>
  <si>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</si>
  <si>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</si>
  <si>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</si>
  <si>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</si>
  <si>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</si>
  <si>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</si>
  <si>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</si>
  <si>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</si>
  <si>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</si>
  <si>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</si>
  <si>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</si>
  <si>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</si>
  <si>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</si>
  <si>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</si>
  <si>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</si>
  <si>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</si>
  <si>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</si>
  <si>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</si>
  <si>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</si>
  <si>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</si>
  <si>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</si>
  <si>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</si>
  <si>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</si>
  <si>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</si>
  <si>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</si>
  <si>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</si>
  <si>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</si>
  <si>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</si>
  <si>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</si>
  <si>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</si>
  <si>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</si>
  <si>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</si>
  <si>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</si>
  <si>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</si>
  <si>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</si>
  <si>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</si>
  <si>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</si>
  <si>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</si>
  <si>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</si>
  <si>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</si>
  <si>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</si>
  <si>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</si>
  <si>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</si>
  <si>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</si>
  <si>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</si>
  <si>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</si>
  <si>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</si>
  <si>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</si>
  <si>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</si>
  <si>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</si>
  <si>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</si>
  <si>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</si>
  <si>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</si>
  <si>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</si>
  <si>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</si>
  <si>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</si>
  <si>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</si>
  <si>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</si>
  <si>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</si>
  <si>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</si>
  <si>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</si>
  <si>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</si>
  <si>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</si>
  <si>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</si>
  <si>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</si>
  <si>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</si>
  <si>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</si>
  <si>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</si>
  <si>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</si>
  <si>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</si>
  <si>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</si>
  <si>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</si>
  <si>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</si>
  <si>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</si>
  <si>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</si>
  <si>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</si>
  <si>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</si>
  <si>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</si>
  <si>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</si>
  <si>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</si>
  <si>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</si>
  <si>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</si>
  <si>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</si>
  <si>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</si>
  <si>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</si>
  <si>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</si>
  <si>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</si>
  <si>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</si>
  <si>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</si>
  <si>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</si>
  <si>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</si>
  <si>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</si>
  <si>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</si>
  <si>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</si>
  <si>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</si>
  <si>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</si>
  <si>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</si>
  <si>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</si>
  <si>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</si>
  <si>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</si>
  <si>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</si>
  <si>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</si>
  <si>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</si>
  <si>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</si>
  <si>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</si>
  <si>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</si>
  <si>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</si>
  <si>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</si>
  <si>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</si>
  <si>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</si>
  <si>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</si>
  <si>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</si>
  <si>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</si>
  <si>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</si>
  <si>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</si>
  <si>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</si>
  <si>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</si>
  <si>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</si>
  <si>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</si>
  <si>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</si>
  <si>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</si>
  <si>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</si>
  <si>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</si>
  <si>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</si>
  <si>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</si>
  <si>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</si>
  <si>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</si>
  <si>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</si>
  <si>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</si>
  <si>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</si>
  <si>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</si>
  <si>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</si>
  <si>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</si>
  <si>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</si>
  <si>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</si>
  <si>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</si>
  <si>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</si>
  <si>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</si>
  <si>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</si>
  <si>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</si>
  <si>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</si>
  <si>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</si>
  <si>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</si>
  <si>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</si>
  <si>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</si>
  <si>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</si>
  <si>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</si>
  <si>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</si>
  <si>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</si>
  <si>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</si>
  <si>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</si>
  <si>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</si>
  <si>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</si>
  <si>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</si>
  <si>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</si>
  <si>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</si>
  <si>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</si>
  <si>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</si>
  <si>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</si>
  <si>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</si>
  <si>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</si>
  <si>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</si>
  <si>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</si>
  <si>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</si>
  <si>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</si>
  <si>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</si>
  <si>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</si>
  <si>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</si>
  <si>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</si>
  <si>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</si>
  <si>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</si>
  <si>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</si>
  <si>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</si>
  <si>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</si>
  <si>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</si>
  <si>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</si>
  <si>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</si>
  <si>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</si>
  <si>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</si>
  <si>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</si>
  <si>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</si>
  <si>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</si>
  <si>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</si>
  <si>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</si>
  <si>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</si>
  <si>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</si>
  <si>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</si>
  <si>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</si>
  <si>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</si>
  <si>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</si>
  <si>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</si>
  <si>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</si>
  <si>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</si>
  <si>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</si>
  <si>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</si>
  <si>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</si>
  <si>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</si>
  <si>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</si>
  <si>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</si>
  <si>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</si>
  <si>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</si>
  <si>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</si>
  <si>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</si>
  <si>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</si>
  <si>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</si>
  <si>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</si>
  <si>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</si>
  <si>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</si>
  <si>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</si>
  <si>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</si>
  <si>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</si>
  <si>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</si>
  <si>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</si>
  <si>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</si>
  <si>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</si>
  <si>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</si>
  <si>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</si>
  <si>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</si>
  <si>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</si>
  <si>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</si>
  <si>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</si>
  <si>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</si>
  <si>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</si>
  <si>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</si>
  <si>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</si>
  <si>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</si>
  <si>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</si>
  <si>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</si>
  <si>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</si>
  <si>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</si>
  <si>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</si>
  <si>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</si>
  <si>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</si>
  <si>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</si>
  <si>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</si>
  <si>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</si>
  <si>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</si>
  <si>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</si>
  <si>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</si>
  <si>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</si>
  <si>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</si>
  <si>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</si>
  <si>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</si>
  <si>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</si>
  <si>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</si>
  <si>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</si>
  <si>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</si>
  <si>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</si>
  <si>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</si>
  <si>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</si>
  <si>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</si>
  <si>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</si>
  <si>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</si>
  <si>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</si>
  <si>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</si>
  <si>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</si>
  <si>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</si>
  <si>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</si>
  <si>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</si>
  <si>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</si>
  <si>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</si>
  <si>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</si>
  <si>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</si>
  <si>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</si>
  <si>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</si>
  <si>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</si>
  <si>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</si>
  <si>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</si>
  <si>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</si>
  <si>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</si>
  <si>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</si>
  <si>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</si>
  <si>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</si>
  <si>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</si>
  <si>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</si>
  <si>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</si>
  <si>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</si>
  <si>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</si>
  <si>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</si>
  <si>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</si>
  <si>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</si>
  <si>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</si>
  <si>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</si>
  <si>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</si>
  <si>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</si>
  <si>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</si>
  <si>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</si>
  <si>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</si>
  <si>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</si>
  <si>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</si>
  <si>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</si>
  <si>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</si>
  <si>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</si>
  <si>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</si>
  <si>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</si>
  <si>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</si>
  <si>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</si>
  <si>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</si>
  <si>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</si>
  <si>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</si>
  <si>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</si>
  <si>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</si>
  <si>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</si>
  <si>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</si>
  <si>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</si>
  <si>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</si>
  <si>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</si>
  <si>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</si>
  <si>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</si>
  <si>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</si>
  <si>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</si>
  <si>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</si>
  <si>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</si>
  <si>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</si>
  <si>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</si>
  <si>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</si>
  <si>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</si>
  <si>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</si>
  <si>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</si>
  <si>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</si>
  <si>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</si>
  <si>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</si>
  <si>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</si>
  <si>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</si>
  <si>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</si>
  <si>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</si>
  <si>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</si>
  <si>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</si>
  <si>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</si>
  <si>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</si>
  <si>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</si>
  <si>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</si>
  <si>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</si>
  <si>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</si>
  <si>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</si>
  <si>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</si>
  <si>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</si>
  <si>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</si>
  <si>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</si>
  <si>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</si>
  <si>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</si>
  <si>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</si>
  <si>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</si>
  <si>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</si>
  <si>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</si>
  <si>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</si>
  <si>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</si>
  <si>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</si>
  <si>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</si>
  <si>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</si>
  <si>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</si>
  <si>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</si>
  <si>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</si>
  <si>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</si>
  <si>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</si>
  <si>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</si>
  <si>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</si>
  <si>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</si>
  <si>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</si>
  <si>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</si>
  <si>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</si>
  <si>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</si>
  <si>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</si>
  <si>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</si>
  <si>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</si>
  <si>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</si>
  <si>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</si>
  <si>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</si>
  <si>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</si>
  <si>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</si>
  <si>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</si>
  <si>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</si>
  <si>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</si>
  <si>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</si>
  <si>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</si>
  <si>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</si>
  <si>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</si>
  <si>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</si>
  <si>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</si>
  <si>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</si>
  <si>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</si>
  <si>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</si>
  <si>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</si>
  <si>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</si>
  <si>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</si>
  <si>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</si>
  <si>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</si>
  <si>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</si>
  <si>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</si>
  <si>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</si>
  <si>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</si>
  <si>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</si>
  <si>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</si>
  <si>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</si>
  <si>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>Address: Nishat</t>
  </si>
  <si>
    <t xml:space="preserve">Rice Cash N Carry </t>
  </si>
  <si>
    <t>Nishter Store</t>
  </si>
  <si>
    <t xml:space="preserve">Value Mart </t>
  </si>
  <si>
    <t>Mian Store</t>
  </si>
  <si>
    <t>Sheikh Store</t>
  </si>
  <si>
    <t>MS Store</t>
  </si>
  <si>
    <t>Khan Store</t>
  </si>
  <si>
    <t>Bilal Store</t>
  </si>
  <si>
    <t>Rana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</si>
</sst>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J37" sqref="J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46259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Rice Cash N Carry </v>
      </c>
      <c r="T3" s="301">
        <f>+'1'!P35</f>
        <v>18148.253750161017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Nishter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Value Mart 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Mian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Sheikh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 Store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Khan Store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Bilal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Rana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320.1167999999999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9</v>
      </c>
      <c r="H16" s="113">
        <f t="shared" ref="H16:M16" si="3">SUM(H7:H15)</f>
        <v>360</v>
      </c>
      <c r="I16" s="114">
        <f t="shared" si="3"/>
        <v>19997.700000000004</v>
      </c>
      <c r="J16" s="274">
        <f>SUM(J7:J15)</f>
        <v>1411.5120000000002</v>
      </c>
      <c r="K16" s="275">
        <f t="shared" si="3"/>
        <v>699.9195000000002</v>
      </c>
      <c r="L16" s="276">
        <f t="shared" si="3"/>
        <v>320.1167999999999</v>
      </c>
      <c r="M16" s="232">
        <f t="shared" si="3"/>
        <v>17566.151700000002</v>
      </c>
      <c r="N16" s="233">
        <f>SUM(N7:N15)</f>
        <v>3813.5593220338974</v>
      </c>
      <c r="O16" s="101">
        <f>SUM(O7:O15)</f>
        <v>106.8985551101695</v>
      </c>
      <c r="P16" s="113">
        <f>SUM(P7:P15)</f>
        <v>21486.609577144067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19997.700000000004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1411.5120000000002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1020.0363000000001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17566.151700000006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3813.5593220338974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21379.711022033902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106.8985551101695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21486.60957714407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21486.60957714407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16859.300000000003</v>
      </c>
      <c r="J25" s="274">
        <f>SUM(J16:J24)</f>
        <v>1254.5920000000001</v>
      </c>
      <c r="K25" s="275">
        <f t="shared" si="10"/>
        <v>590.07550000000015</v>
      </c>
      <c r="L25" s="276">
        <f t="shared" si="10"/>
        <v>160.05840000000001</v>
      </c>
      <c r="M25" s="232">
        <f t="shared" si="10"/>
        <v>14854.574100000002</v>
      </c>
      <c r="N25" s="233">
        <f>SUM(N16:N24)</f>
        <v>3203.3898305084745</v>
      </c>
      <c r="O25" s="101">
        <f>SUM(O16:O24)</f>
        <v>90.289819652542377</v>
      </c>
      <c r="P25" s="113">
        <f>SUM(P16:P24)</f>
        <v>18148.253750161017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16859.300000000003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1254.5920000000001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750.13390000000015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14854.574100000002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3203.3898305084745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18057.963930508475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90.289819652542377</v>
      </c>
    </row>
    <row r="35" spans="2:16" ht="15.75" customHeight="1" thickBot="1" x14ac:dyDescent="0.4">
      <c r="N35" s="344" t="s">
        <v>88</v>
      </c>
      <c r="O35" s="345"/>
      <c r="P35" s="297">
        <f>+P33+P34</f>
        <v>18148.253750161017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7" sqref="N7:P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2026-08-25T04:21:15Z</dcterms:modified>
</cp:coreProperties>
</file>