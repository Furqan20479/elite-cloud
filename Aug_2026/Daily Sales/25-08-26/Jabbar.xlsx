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A2CE9E7-D7A0-4462-99BC-0F52975E624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17" i="72"/>
  <c r="O17" i="72" s="1"/>
  <c r="P17" i="72" s="1"/>
  <c r="M24" i="45"/>
  <c r="O24" i="45" s="1"/>
  <c r="P24" i="45" s="1"/>
  <c r="M16" i="64"/>
  <c r="M17" i="60"/>
  <c r="O17" i="60" s="1"/>
  <c r="P17" i="60" s="1"/>
  <c r="M22" i="43"/>
  <c r="M23" i="56"/>
  <c r="M16" i="65"/>
  <c r="M22" i="63"/>
  <c r="O22" i="63" s="1"/>
  <c r="P22" i="63" s="1"/>
  <c r="M24" i="47"/>
  <c r="O24" i="47" s="1"/>
  <c r="P24" i="47" s="1"/>
  <c r="M23" i="60"/>
  <c r="M16" i="48"/>
  <c r="O16" i="48" s="1"/>
  <c r="P16" i="48" s="1"/>
  <c r="M24" i="53"/>
  <c r="O24" i="53" s="1"/>
  <c r="P24" i="53" s="1"/>
  <c r="M23" i="58"/>
  <c r="O23" i="58" s="1"/>
  <c r="P23" i="58" s="1"/>
  <c r="M16" i="60"/>
  <c r="M21" i="51"/>
  <c r="M23" i="72"/>
  <c r="O23" i="72" s="1"/>
  <c r="P23" i="72" s="1"/>
  <c r="M23" i="64"/>
  <c r="M23" i="59"/>
  <c r="M23" i="44"/>
  <c r="O23" i="44" s="1"/>
  <c r="P23" i="44" s="1"/>
  <c r="M16" i="66"/>
  <c r="M16" i="44"/>
  <c r="M24" i="44"/>
  <c r="O24" i="44" s="1"/>
  <c r="P24" i="44" s="1"/>
  <c r="M23" i="65"/>
  <c r="J15" i="62"/>
  <c r="M16" i="72"/>
  <c r="M24" i="58"/>
  <c r="M24" i="43"/>
  <c r="O24" i="43" s="1"/>
  <c r="P24" i="43" s="1"/>
  <c r="M23" i="66"/>
  <c r="M23" i="54"/>
  <c r="O23" i="54" s="1"/>
  <c r="P23" i="54" s="1"/>
  <c r="M18" i="67"/>
  <c r="O18" i="67" s="1"/>
  <c r="P18" i="67" s="1"/>
  <c r="M21" i="53"/>
  <c r="O21" i="53" s="1"/>
  <c r="P21" i="53" s="1"/>
  <c r="M23" i="69"/>
  <c r="O23" i="69" s="1"/>
  <c r="P23" i="69" s="1"/>
  <c r="M23" i="53"/>
  <c r="O23" i="53" s="1"/>
  <c r="P23" i="53" s="1"/>
  <c r="M24" i="63"/>
  <c r="O24" i="63" s="1"/>
  <c r="P24" i="63" s="1"/>
  <c r="M21" i="68"/>
  <c r="O21" i="68" s="1"/>
  <c r="P21" i="68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 s="1"/>
  <c r="O23" i="59"/>
  <c r="P23" i="59" s="1"/>
  <c r="O16" i="67"/>
  <c r="P16" i="67" s="1"/>
  <c r="O24" i="48"/>
  <c r="P24" i="48" s="1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24" i="55"/>
  <c r="O25" i="55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<sst xmlns="http://schemas.openxmlformats.org/spreadsheetml/2006/main" count="3978" uniqueCount="525">
  <si>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</si>
  <si>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</si>
  <si>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</si>
  <si>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</si>
  <si>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</si>
  <si>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</si>
  <si>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</si>
  <si>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</si>
  <si>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</si>
  <si>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</si>
  <si>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</si>
  <si>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</si>
  <si>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</si>
  <si>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</si>
  <si>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</si>
  <si>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</si>
  <si>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</si>
  <si>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</si>
  <si>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</si>
  <si>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</si>
  <si>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</si>
  <si>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</si>
  <si>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</si>
  <si>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</si>
  <si>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</si>
  <si>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</si>
  <si>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</si>
  <si>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</si>
  <si>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</si>
  <si>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</si>
  <si>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</si>
  <si>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</si>
  <si>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</si>
  <si>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</si>
  <si>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</si>
  <si>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</si>
  <si>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</si>
  <si>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</si>
  <si>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</si>
  <si>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</si>
  <si>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</si>
  <si>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</si>
  <si>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</si>
  <si>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</si>
  <si>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</si>
  <si>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</si>
  <si>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</si>
  <si>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</si>
  <si>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</si>
  <si>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</si>
  <si>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</si>
  <si>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</si>
  <si>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</si>
  <si>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</si>
  <si>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</si>
  <si>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</si>
  <si>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</si>
  <si>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</si>
  <si>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</si>
  <si>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</si>
  <si>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</si>
  <si>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</si>
  <si>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</si>
  <si>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</si>
  <si>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</si>
  <si>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</si>
  <si>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</si>
  <si>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</si>
  <si>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</si>
  <si>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</si>
  <si>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</si>
  <si>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</si>
  <si>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</si>
  <si>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</si>
  <si>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</si>
  <si>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</si>
  <si>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</si>
  <si>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</si>
  <si>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</si>
  <si>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</si>
  <si>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</si>
  <si>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</si>
  <si>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</si>
  <si>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</si>
  <si>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</si>
  <si>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</si>
  <si>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</si>
  <si>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</si>
  <si>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</si>
  <si>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</si>
  <si>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</si>
  <si>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</si>
  <si>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</si>
  <si>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</si>
  <si>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</si>
  <si>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</si>
  <si>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</si>
  <si>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</si>
  <si>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</si>
  <si>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</si>
  <si>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</si>
  <si>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</si>
  <si>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</si>
  <si>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</si>
  <si>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</si>
  <si>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</si>
  <si>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</si>
  <si>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</si>
  <si>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</si>
  <si>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</si>
  <si>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</si>
  <si>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</si>
  <si>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</si>
  <si>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</si>
  <si>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</si>
  <si>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</si>
  <si>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</si>
  <si>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</si>
  <si>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</si>
  <si>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</si>
  <si>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</si>
  <si>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</si>
  <si>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</si>
  <si>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</si>
  <si>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</si>
  <si>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</si>
  <si>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</si>
  <si>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</si>
  <si>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</si>
  <si>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</si>
  <si>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</si>
  <si>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</si>
  <si>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</si>
  <si>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</si>
  <si>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</si>
  <si>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</si>
  <si>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</si>
  <si>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</si>
  <si>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</si>
  <si>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</si>
  <si>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</si>
  <si>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</si>
  <si>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</si>
  <si>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</si>
  <si>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</si>
  <si>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</si>
  <si>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</si>
  <si>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</si>
  <si>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</si>
  <si>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</si>
  <si>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</si>
  <si>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</si>
  <si>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</si>
  <si>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</si>
  <si>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</si>
  <si>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</si>
  <si>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</si>
  <si>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</si>
  <si>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</si>
  <si>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</si>
  <si>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</si>
  <si>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</si>
  <si>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</si>
  <si>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</si>
  <si>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</si>
  <si>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</si>
  <si>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</si>
  <si>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</si>
  <si>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</si>
  <si>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</si>
  <si>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</si>
  <si>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</si>
  <si>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</si>
  <si>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</si>
  <si>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</si>
  <si>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</si>
  <si>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</si>
  <si>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</si>
  <si>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</si>
  <si>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</si>
  <si>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</si>
  <si>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</si>
  <si>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</si>
  <si>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</si>
  <si>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</si>
  <si>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</si>
  <si>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</si>
  <si>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</si>
  <si>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</si>
  <si>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</si>
  <si>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</si>
  <si>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</si>
  <si>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</si>
  <si>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</si>
  <si>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</si>
  <si>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</si>
  <si>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</si>
  <si>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</si>
  <si>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</si>
  <si>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</si>
  <si>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</si>
  <si>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</si>
  <si>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</si>
  <si>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</si>
  <si>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</si>
  <si>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</si>
  <si>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</si>
  <si>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</si>
  <si>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</si>
  <si>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</si>
  <si>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</si>
  <si>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</si>
  <si>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</si>
  <si>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</si>
  <si>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</si>
  <si>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</si>
  <si>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</si>
  <si>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</si>
  <si>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</si>
  <si>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</si>
  <si>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</si>
  <si>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</si>
  <si>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</si>
  <si>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</si>
  <si>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</si>
  <si>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</si>
  <si>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</si>
  <si>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</si>
  <si>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</si>
  <si>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</si>
  <si>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</si>
  <si>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</si>
  <si>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</si>
  <si>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</si>
  <si>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</si>
  <si>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</si>
  <si>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</si>
  <si>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</si>
  <si>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</si>
  <si>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</si>
  <si>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</si>
  <si>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</si>
  <si>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</si>
  <si>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</si>
  <si>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</si>
  <si>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</si>
  <si>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</si>
  <si>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</si>
  <si>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</si>
  <si>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</si>
  <si>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</si>
  <si>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</si>
  <si>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</si>
  <si>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</si>
  <si>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</si>
  <si>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</si>
  <si>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</si>
  <si>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</si>
  <si>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</si>
  <si>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</si>
  <si>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</si>
  <si>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</si>
  <si>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</si>
  <si>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</si>
  <si>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</si>
  <si>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</si>
  <si>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</si>
  <si>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</si>
  <si>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</si>
  <si>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</si>
  <si>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</si>
  <si>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</si>
  <si>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</si>
  <si>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</si>
  <si>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</si>
  <si>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</si>
  <si>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</si>
  <si>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</si>
  <si>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</si>
  <si>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</si>
  <si>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</si>
  <si>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</si>
  <si>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</si>
  <si>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</si>
  <si>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</si>
  <si>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</si>
  <si>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</si>
  <si>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</si>
  <si>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</si>
  <si>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</si>
  <si>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</si>
  <si>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</si>
  <si>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</si>
  <si>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</si>
  <si>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</si>
  <si>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</si>
  <si>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</si>
  <si>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</si>
  <si>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</si>
  <si>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</si>
  <si>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</si>
  <si>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</si>
  <si>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</si>
  <si>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</si>
  <si>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</si>
  <si>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</si>
  <si>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</si>
  <si>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</si>
  <si>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</si>
  <si>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</si>
  <si>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</si>
  <si>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</si>
  <si>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</si>
  <si>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</si>
  <si>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</si>
  <si>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</si>
  <si>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</si>
  <si>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</si>
  <si>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</si>
  <si>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</si>
  <si>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</si>
  <si>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</si>
  <si>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</si>
  <si>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</si>
  <si>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</si>
  <si>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</si>
  <si>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</si>
  <si>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</si>
  <si>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</si>
  <si>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</si>
  <si>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</si>
  <si>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</si>
  <si>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</si>
  <si>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</si>
  <si>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</si>
  <si>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</si>
  <si>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</si>
  <si>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</si>
  <si>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</si>
  <si>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</si>
  <si>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</si>
  <si>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</si>
  <si>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</si>
  <si>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</si>
  <si>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</si>
  <si>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</si>
  <si>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</si>
  <si>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</si>
  <si>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</si>
  <si>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</si>
  <si>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</si>
  <si>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</si>
  <si>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</si>
  <si>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</si>
  <si>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</si>
  <si>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</si>
  <si>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</si>
  <si>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</si>
  <si>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</si>
  <si>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</si>
  <si>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</si>
  <si>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</si>
  <si>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</si>
  <si>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</si>
  <si>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</si>
  <si>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</si>
  <si>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</si>
  <si>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</si>
  <si>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</si>
  <si>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</si>
  <si>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</si>
  <si>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</si>
  <si>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</si>
  <si>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</si>
  <si>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</si>
  <si>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</si>
  <si>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</si>
  <si>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</si>
  <si>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</si>
  <si>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</si>
  <si>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</si>
  <si>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</si>
  <si>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</si>
  <si>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</si>
  <si>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</si>
  <si>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</si>
  <si>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</si>
  <si>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</si>
  <si>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</si>
  <si>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</si>
  <si>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</si>
  <si>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</si>
  <si>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</si>
  <si>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</si>
  <si>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</si>
  <si>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</si>
  <si>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</si>
  <si>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</si>
  <si>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</si>
  <si>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</si>
  <si>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</si>
  <si>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</si>
  <si>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</si>
  <si>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</si>
  <si>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</si>
  <si>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</si>
  <si>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</si>
  <si>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</si>
  <si>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</si>
  <si>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</si>
  <si>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</si>
  <si>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</si>
  <si>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</si>
  <si>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</si>
  <si>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</si>
  <si>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</si>
  <si>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</si>
  <si>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</si>
  <si>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</si>
  <si>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</si>
  <si>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</si>
  <si>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</si>
  <si>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</si>
  <si>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</si>
  <si>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</si>
  <si>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</si>
  <si>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</si>
  <si>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</si>
  <si>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</si>
  <si>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</si>
  <si>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</si>
  <si>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</si>
  <si>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</si>
  <si>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</si>
  <si>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</si>
  <si>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</si>
  <si>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</si>
  <si>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</si>
  <si>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</si>
  <si>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</si>
  <si>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</si>
  <si>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</si>
  <si>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</si>
  <si>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</si>
  <si>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</si>
  <si>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</si>
  <si>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</si>
  <si>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</si>
  <si>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</si>
  <si>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</si>
  <si>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</si>
  <si>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</si>
  <si>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</si>
  <si>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</si>
  <si>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</si>
  <si>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</si>
  <si>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</si>
  <si>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</si>
  <si>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</si>
  <si>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</si>
  <si>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</si>
  <si>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</si>
  <si>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</si>
  <si>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</si>
  <si>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</si>
  <si>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</si>
  <si>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</si>
  <si>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</si>
  <si>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</si>
  <si>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</si>
  <si>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</si>
  <si>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</si>
  <si>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</si>
  <si>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</si>
  <si>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</si>
  <si>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</si>
  <si>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</si>
  <si>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</si>
  <si>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</si>
  <si>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</si>
  <si>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</si>
  <si>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</si>
  <si>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</si>
  <si>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</si>
  <si>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</si>
  <si>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</si>
  <si>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</si>
  <si>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</si>
  <si>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</si>
  <si>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</si>
  <si>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</si>
  <si>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</si>
  <si>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</si>
  <si>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</si>
  <si>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</si>
  <si>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</si>
  <si>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</si>
  <si>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</si>
  <si>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</si>
  <si>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</si>
  <si>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</si>
  <si>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</si>
  <si>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</si>
  <si>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</si>
  <si>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</si>
  <si>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</si>
  <si>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</si>
  <si>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</si>
  <si>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</si>
  <si>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</si>
  <si>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</si>
  <si>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</si>
  <si>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</si>
  <si>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</si>
  <si>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Address: Hajweri Colony</t>
  </si>
  <si>
    <t>Gullistan Store</t>
  </si>
  <si>
    <t>Khan Store</t>
  </si>
  <si>
    <t>Al Makkah Store</t>
  </si>
  <si>
    <t>Azeem Store</t>
  </si>
  <si>
    <t>Address: Deyal house</t>
  </si>
  <si>
    <t>Hafiz Super Store</t>
  </si>
  <si>
    <t xml:space="preserve">Address: Nazeer Garden </t>
  </si>
  <si>
    <t>786 Store</t>
  </si>
  <si>
    <t>Address: Rehman Store</t>
  </si>
  <si>
    <t xml:space="preserve">Address: Azeem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</si>
</sst>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46259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Gullistan Store</v>
      </c>
      <c r="T3" s="301">
        <f>+'1'!P35</f>
        <v>196.7114748165254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Khan Store</v>
      </c>
      <c r="T4" s="301">
        <f>+'2'!P35</f>
        <v>670.63224276038125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Al Makkah Store</v>
      </c>
      <c r="T5" s="301">
        <f>+'3'!P35</f>
        <v>5361.890225178814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Azeem Store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22</v>
      </c>
      <c r="I7" s="235">
        <f>(G7*D7)*F7+H7*F7</f>
        <v>1154.175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92.333999999999989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40.396124999999998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1021.4448749999999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218.13559322033888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6.1979023411016945</v>
      </c>
      <c r="P7" s="310">
        <f>M7+N7+O7</f>
        <v>1245.7783705614406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Hafiz Super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21</v>
      </c>
      <c r="I8" s="236">
        <f t="shared" ref="I8:I14" si="0">(G8*D8)*F8+H8*F8</f>
        <v>1101.7124999999999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88.136999999999986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38.559937500000004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975.01556249999987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208.22033898305074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5.9161795074152534</v>
      </c>
      <c r="P8" s="311">
        <f t="shared" ref="P8:P15" si="2">M8+N8+O8</f>
        <v>1189.1520809904659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786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19</v>
      </c>
      <c r="I9" s="236">
        <f t="shared" si="0"/>
        <v>996.78750000000002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79.742999999999995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34.887562500000001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882.15693750000003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188.38983050847449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5.3527338400423723</v>
      </c>
      <c r="P9" s="311">
        <f t="shared" si="2"/>
        <v>1075.899501848517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786 Store</v>
      </c>
      <c r="T9" s="301">
        <f>+'7'!P35</f>
        <v>1340.4725562947035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87.168000000000006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5.8511410169491533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</v>
      </c>
      <c r="I11" s="236">
        <f t="shared" si="0"/>
        <v>1089.5999999999999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87.168000000000006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38.136000000000003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964.29599999999994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205.93220338983053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5.8511410169491533</v>
      </c>
      <c r="P11" s="311">
        <f t="shared" si="2"/>
        <v>1176.0793444067797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87.168000000000006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5.8511410169491533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53</v>
      </c>
      <c r="I13" s="236">
        <f t="shared" si="0"/>
        <v>2079.19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103.95950000000002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72.771650000000022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106.03869000000002</v>
      </c>
      <c r="M13" s="230">
        <f t="shared" si="1"/>
        <v>1796.4201600000001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404.23728813559296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11.003287240677965</v>
      </c>
      <c r="P13" s="311">
        <f t="shared" si="2"/>
        <v>2211.6607353762706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4</v>
      </c>
      <c r="H16" s="113">
        <f t="shared" ref="H16:M16" si="3">SUM(H7:H15)</f>
        <v>160</v>
      </c>
      <c r="I16" s="114">
        <f t="shared" si="3"/>
        <v>8600.6650000000009</v>
      </c>
      <c r="J16" s="274">
        <f>SUM(J7:J15)</f>
        <v>625.67750000000001</v>
      </c>
      <c r="K16" s="275">
        <f t="shared" si="3"/>
        <v>301.02327500000001</v>
      </c>
      <c r="L16" s="276">
        <f t="shared" si="3"/>
        <v>106.03869000000002</v>
      </c>
      <c r="M16" s="232">
        <f t="shared" si="3"/>
        <v>7567.9255350000003</v>
      </c>
      <c r="N16" s="233">
        <f>SUM(N7:N15)</f>
        <v>1636.7796610169487</v>
      </c>
      <c r="O16" s="101">
        <f>SUM(O7:O15)</f>
        <v>46.023525980084742</v>
      </c>
      <c r="P16" s="113">
        <f>SUM(P7:P15)</f>
        <v>9250.7287219970331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8600.6650000000009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625.67750000000001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407.06196500000004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7567.9255350000012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1636.7796610169487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9204.7051960169501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46.023525980084742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9250.7287219970349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9250.7287219970349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4</v>
      </c>
      <c r="I25" s="114">
        <f t="shared" ref="I25:M25" si="10">SUM(I16:I24)</f>
        <v>183.38499999999999</v>
      </c>
      <c r="J25" s="274">
        <f>SUM(J16:J24)</f>
        <v>12.317</v>
      </c>
      <c r="K25" s="275">
        <f t="shared" si="10"/>
        <v>6.4184750000000008</v>
      </c>
      <c r="L25" s="276">
        <f t="shared" si="10"/>
        <v>4.0014599999999998</v>
      </c>
      <c r="M25" s="232">
        <f t="shared" si="10"/>
        <v>160.648065</v>
      </c>
      <c r="N25" s="233">
        <f>SUM(N16:N24)</f>
        <v>35.084745762711847</v>
      </c>
      <c r="O25" s="101">
        <f>SUM(O16:O24)</f>
        <v>0.97866405381355925</v>
      </c>
      <c r="P25" s="113">
        <f>SUM(P16:P24)</f>
        <v>196.7114748165254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183.38499999999999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12.317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10.419935000000001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160.64806499999997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35.084745762711847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195.73281076271184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0.97866405381355925</v>
      </c>
    </row>
    <row r="35" spans="2:16" ht="15.75" customHeight="1" thickBot="1" x14ac:dyDescent="0.4">
      <c r="N35" s="344" t="s">
        <v>88</v>
      </c>
      <c r="O35" s="345"/>
      <c r="P35" s="297">
        <f>+P33+P34</f>
        <v>196.7114748165254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15</v>
      </c>
      <c r="I25" s="114">
        <f t="shared" si="7"/>
        <v>628.14750000000004</v>
      </c>
      <c r="J25" s="274">
        <f>SUM(J16:J24)</f>
        <v>36.129000000000005</v>
      </c>
      <c r="K25" s="275">
        <f t="shared" si="7"/>
        <v>21.985162500000005</v>
      </c>
      <c r="L25" s="276">
        <f t="shared" si="7"/>
        <v>24.008760000000002</v>
      </c>
      <c r="M25" s="232">
        <f t="shared" si="7"/>
        <v>546.02457750000008</v>
      </c>
      <c r="N25" s="233">
        <f>SUM(N16:N24)</f>
        <v>121.27118644067789</v>
      </c>
      <c r="O25" s="101">
        <f>SUM(O16:O24)</f>
        <v>3.3364788197033892</v>
      </c>
      <c r="P25" s="113">
        <f>SUM(P16:P24)</f>
        <v>670.63224276038136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628.14750000000004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36.129000000000005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45.993922500000011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546.02457749999996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121.27118644067789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667.29576394067783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3.3364788197033892</v>
      </c>
    </row>
    <row r="35" spans="2:16" ht="15.75" customHeight="1" thickBot="1" x14ac:dyDescent="0.4">
      <c r="N35" s="344" t="s">
        <v>88</v>
      </c>
      <c r="O35" s="345"/>
      <c r="P35" s="297">
        <f>+P33+P34</f>
        <v>670.63224276038125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84</v>
      </c>
      <c r="I25" s="114">
        <f t="shared" si="7"/>
        <v>4974.4500000000007</v>
      </c>
      <c r="J25" s="274">
        <f>SUM(J16:J24)</f>
        <v>383.83319999999998</v>
      </c>
      <c r="K25" s="275">
        <f t="shared" si="7"/>
        <v>174.10575</v>
      </c>
      <c r="L25" s="276">
        <f t="shared" si="7"/>
        <v>24.008760000000002</v>
      </c>
      <c r="M25" s="232">
        <f t="shared" si="7"/>
        <v>4392.5022899999994</v>
      </c>
      <c r="N25" s="233">
        <f>SUM(N16:N24)</f>
        <v>942.71186440677968</v>
      </c>
      <c r="O25" s="101">
        <f>SUM(O16:O24)</f>
        <v>26.676070772033896</v>
      </c>
      <c r="P25" s="113">
        <f>SUM(P16:P24)</f>
        <v>5361.8902251788131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4974.4500000000007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383.83319999999998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198.11451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4392.5022900000004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942.71186440677968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5335.2141544067799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26.676070772033899</v>
      </c>
    </row>
    <row r="35" spans="2:16" ht="15.75" customHeight="1" thickBot="1" x14ac:dyDescent="0.4">
      <c r="N35" s="344" t="s">
        <v>88</v>
      </c>
      <c r="O35" s="345"/>
      <c r="P35" s="297">
        <f>+P33+P34</f>
        <v>5361.890225178814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629.54999999999995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50.364000000000004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22.03425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557.15174999999988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676.13480084745743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4" t="s">
        <v>88</v>
      </c>
      <c r="O35" s="345"/>
      <c r="P35" s="297">
        <f>+P33+P34</f>
        <v>679.51547485169476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521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21</v>
      </c>
      <c r="I25" s="114">
        <f t="shared" si="7"/>
        <v>1243.6125000000002</v>
      </c>
      <c r="J25" s="274">
        <f>SUM(J16:J24)</f>
        <v>95.958299999999994</v>
      </c>
      <c r="K25" s="275">
        <f t="shared" si="7"/>
        <v>43.5264375</v>
      </c>
      <c r="L25" s="276">
        <f t="shared" si="7"/>
        <v>6.0021900000000006</v>
      </c>
      <c r="M25" s="232">
        <f t="shared" si="7"/>
        <v>1098.1255724999999</v>
      </c>
      <c r="N25" s="233">
        <f>SUM(N16:N24)</f>
        <v>235.67796610169492</v>
      </c>
      <c r="O25" s="101">
        <f>SUM(O16:O24)</f>
        <v>6.6690176930084739</v>
      </c>
      <c r="P25" s="113">
        <f>SUM(P16:P24)</f>
        <v>1340.4725562947033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1243.6125000000002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95.958299999999994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49.528627499999999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1098.1255725000001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235.67796610169492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1333.803538601695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6.6690176930084748</v>
      </c>
    </row>
    <row r="35" spans="2:16" ht="15.75" customHeight="1" thickBot="1" x14ac:dyDescent="0.4">
      <c r="N35" s="344" t="s">
        <v>88</v>
      </c>
      <c r="O35" s="345"/>
      <c r="P35" s="297">
        <f>+P33+P34</f>
        <v>1340.4725562947035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46259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2026-08-25T04:47:13Z</dcterms:modified>
</cp:coreProperties>
</file>