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EF925CCD-A348-42FD-8877-80CD037DC020}" xr6:coauthVersionLast="47" xr6:coauthVersionMax="47" xr10:uidLastSave="{00000000-0000-0000-0000-000000000000}"/>
  <bookViews>
    <workbookView xWindow="-110" yWindow="-110" windowWidth="19420" windowHeight="1056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C11" i="69"/>
  <c r="O34" i="68"/>
  <c r="C11" i="68" s="1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C11" i="67"/>
  <c r="O34" i="66"/>
  <c r="C11" i="66" s="1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70" l="1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C16" i="58"/>
  <c r="B16" i="58"/>
  <c r="O15" i="58"/>
  <c r="C12" i="58"/>
  <c r="C11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C16" i="56"/>
  <c r="B16" i="56"/>
  <c r="O15" i="56"/>
  <c r="C12" i="56"/>
  <c r="C11" i="56"/>
  <c r="N5" i="56"/>
  <c r="O34" i="55"/>
  <c r="C11" i="55" s="1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N5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6" l="1"/>
  <c r="N16" i="58"/>
  <c r="N16" i="50"/>
  <c r="N16" i="63"/>
  <c r="N16" i="44"/>
  <c r="N16" i="53"/>
  <c r="N24" i="50"/>
  <c r="N16" i="59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9" i="41" l="1"/>
  <c r="P49" i="41" s="1"/>
  <c r="O35" i="41"/>
  <c r="P35" i="41" s="1"/>
  <c r="O9" i="41"/>
  <c r="P9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W6" i="6" s="1"/>
  <c r="Y6" i="6" s="1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M24" i="72" s="1"/>
  <c r="L24" i="72"/>
  <c r="K24" i="72"/>
  <c r="K20" i="48"/>
  <c r="L20" i="48"/>
  <c r="M20" i="48" s="1"/>
  <c r="O20" i="48" s="1"/>
  <c r="P20" i="48" s="1"/>
  <c r="R20" i="48" s="1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O8" i="6"/>
  <c r="U8" i="6" s="1"/>
  <c r="N9" i="6"/>
  <c r="C12" i="11"/>
  <c r="O34" i="11"/>
  <c r="C11" i="11" s="1"/>
  <c r="T6" i="6" l="1"/>
  <c r="M21" i="44"/>
  <c r="O21" i="44" s="1"/>
  <c r="P21" i="44" s="1"/>
  <c r="J7" i="62"/>
  <c r="M20" i="71"/>
  <c r="O20" i="71" s="1"/>
  <c r="P20" i="71" s="1"/>
  <c r="R20" i="71" s="1"/>
  <c r="M24" i="56"/>
  <c r="O24" i="56" s="1"/>
  <c r="P24" i="56" s="1"/>
  <c r="M23" i="51"/>
  <c r="O23" i="51" s="1"/>
  <c r="P23" i="51" s="1"/>
  <c r="M16" i="52"/>
  <c r="M21" i="52"/>
  <c r="O21" i="52" s="1"/>
  <c r="P21" i="52" s="1"/>
  <c r="M16" i="43"/>
  <c r="M20" i="70"/>
  <c r="O20" i="70" s="1"/>
  <c r="P20" i="70" s="1"/>
  <c r="R20" i="70" s="1"/>
  <c r="M24" i="50"/>
  <c r="O24" i="50" s="1"/>
  <c r="P24" i="50" s="1"/>
  <c r="M20" i="53"/>
  <c r="O20" i="53" s="1"/>
  <c r="P20" i="53" s="1"/>
  <c r="R20" i="53" s="1"/>
  <c r="J25" i="61"/>
  <c r="P29" i="61" s="1"/>
  <c r="M17" i="61"/>
  <c r="O17" i="61" s="1"/>
  <c r="P17" i="61" s="1"/>
  <c r="M23" i="61"/>
  <c r="O23" i="61" s="1"/>
  <c r="P23" i="61" s="1"/>
  <c r="M22" i="70"/>
  <c r="M22" i="51"/>
  <c r="K15" i="62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2" i="52"/>
  <c r="O22" i="52" s="1"/>
  <c r="P22" i="52" s="1"/>
  <c r="M23" i="49"/>
  <c r="O23" i="49" s="1"/>
  <c r="P23" i="49" s="1"/>
  <c r="M21" i="69"/>
  <c r="O21" i="69" s="1"/>
  <c r="P21" i="69" s="1"/>
  <c r="M24" i="71"/>
  <c r="L21" i="16"/>
  <c r="K12" i="62"/>
  <c r="M16" i="59"/>
  <c r="M20" i="50"/>
  <c r="O20" i="50" s="1"/>
  <c r="P20" i="50" s="1"/>
  <c r="R20" i="50" s="1"/>
  <c r="M18" i="48"/>
  <c r="M17" i="72"/>
  <c r="O17" i="72" s="1"/>
  <c r="P17" i="72" s="1"/>
  <c r="M24" i="45"/>
  <c r="O24" i="45" s="1"/>
  <c r="P24" i="45" s="1"/>
  <c r="M16" i="64"/>
  <c r="O16" i="64" s="1"/>
  <c r="P16" i="64" s="1"/>
  <c r="M17" i="60"/>
  <c r="O17" i="60" s="1"/>
  <c r="P17" i="60" s="1"/>
  <c r="M22" i="43"/>
  <c r="M23" i="56"/>
  <c r="M16" i="65"/>
  <c r="M22" i="63"/>
  <c r="O22" i="63" s="1"/>
  <c r="P22" i="63" s="1"/>
  <c r="M24" i="47"/>
  <c r="O24" i="47" s="1"/>
  <c r="P24" i="47" s="1"/>
  <c r="M23" i="60"/>
  <c r="M16" i="48"/>
  <c r="O16" i="48" s="1"/>
  <c r="P16" i="48" s="1"/>
  <c r="M24" i="53"/>
  <c r="O24" i="53" s="1"/>
  <c r="P24" i="53" s="1"/>
  <c r="M23" i="58"/>
  <c r="O23" i="58" s="1"/>
  <c r="P23" i="58" s="1"/>
  <c r="M16" i="60"/>
  <c r="O16" i="60" s="1"/>
  <c r="P16" i="60" s="1"/>
  <c r="M21" i="51"/>
  <c r="O21" i="51" s="1"/>
  <c r="P21" i="51" s="1"/>
  <c r="M23" i="72"/>
  <c r="O23" i="72" s="1"/>
  <c r="P23" i="72" s="1"/>
  <c r="M23" i="64"/>
  <c r="M23" i="59"/>
  <c r="M23" i="44"/>
  <c r="O23" i="44" s="1"/>
  <c r="P23" i="44" s="1"/>
  <c r="M16" i="66"/>
  <c r="M16" i="44"/>
  <c r="M24" i="44"/>
  <c r="O24" i="44" s="1"/>
  <c r="P24" i="44" s="1"/>
  <c r="M23" i="65"/>
  <c r="J15" i="62"/>
  <c r="M16" i="72"/>
  <c r="M24" i="58"/>
  <c r="O24" i="58" s="1"/>
  <c r="P24" i="58" s="1"/>
  <c r="M24" i="43"/>
  <c r="O24" i="43" s="1"/>
  <c r="P24" i="43" s="1"/>
  <c r="M23" i="66"/>
  <c r="M23" i="54"/>
  <c r="O23" i="54" s="1"/>
  <c r="P23" i="54" s="1"/>
  <c r="M18" i="67"/>
  <c r="O18" i="67" s="1"/>
  <c r="P18" i="67" s="1"/>
  <c r="M21" i="53"/>
  <c r="O21" i="53" s="1"/>
  <c r="P21" i="53" s="1"/>
  <c r="M23" i="69"/>
  <c r="O23" i="69" s="1"/>
  <c r="P23" i="69" s="1"/>
  <c r="M23" i="53"/>
  <c r="O23" i="53" s="1"/>
  <c r="P23" i="53" s="1"/>
  <c r="M24" i="63"/>
  <c r="O24" i="63" s="1"/>
  <c r="P24" i="63" s="1"/>
  <c r="M21" i="68"/>
  <c r="O21" i="68" s="1"/>
  <c r="P21" i="68" s="1"/>
  <c r="M20" i="46"/>
  <c r="O20" i="46" s="1"/>
  <c r="P20" i="46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8" i="43"/>
  <c r="P18" i="43" s="1"/>
  <c r="O23" i="64"/>
  <c r="P23" i="64" s="1"/>
  <c r="O24" i="71"/>
  <c r="P24" i="71" s="1"/>
  <c r="O23" i="59"/>
  <c r="P23" i="59" s="1"/>
  <c r="O16" i="67"/>
  <c r="P16" i="67" s="1"/>
  <c r="O24" i="48"/>
  <c r="P24" i="48" s="1"/>
  <c r="O16" i="44"/>
  <c r="O22" i="51"/>
  <c r="P22" i="51" s="1"/>
  <c r="O23" i="60"/>
  <c r="P23" i="60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O22" i="16"/>
  <c r="M15" i="62"/>
  <c r="M12" i="62"/>
  <c r="P30" i="70"/>
  <c r="P31" i="70" s="1"/>
  <c r="P33" i="70" s="1"/>
  <c r="P34" i="70" s="1"/>
  <c r="P35" i="70" s="1"/>
  <c r="T30" i="62" s="1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9" i="16" l="1"/>
  <c r="O15" i="62"/>
  <c r="P15" i="62" s="1"/>
  <c r="O12" i="62"/>
  <c r="P16" i="53"/>
  <c r="P25" i="53" s="1"/>
  <c r="O25" i="70"/>
  <c r="P16" i="70"/>
  <c r="O25" i="48"/>
  <c r="P12" i="62"/>
  <c r="P24" i="55"/>
  <c r="O25" i="55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<sst xmlns="http://schemas.openxmlformats.org/spreadsheetml/2006/main" count="3978" uniqueCount="525">
  <si>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</si>
  <si>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</si>
  <si>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</si>
  <si>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</si>
  <si>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</si>
  <si>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</si>
  <si>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</si>
  <si>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</si>
  <si>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</si>
  <si>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</si>
  <si>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</si>
  <si>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</si>
  <si>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</si>
  <si>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</si>
  <si>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</si>
  <si>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</si>
  <si>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</si>
  <si>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</si>
  <si>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</si>
  <si>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</si>
  <si>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</si>
  <si>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</si>
  <si>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</si>
  <si>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</si>
  <si>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</si>
  <si>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</si>
  <si>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</si>
  <si>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</si>
  <si>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</si>
  <si>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</si>
  <si>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</si>
  <si>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</si>
  <si>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</si>
  <si>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</si>
  <si>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</si>
  <si>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</si>
  <si>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</si>
  <si>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</si>
  <si>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</si>
  <si>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</si>
  <si>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</si>
  <si>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</si>
  <si>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</si>
  <si>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</si>
  <si>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</si>
  <si>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</si>
  <si>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</si>
  <si>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</si>
  <si>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</si>
  <si>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</si>
  <si>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</si>
  <si>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</si>
  <si>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</si>
  <si>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</si>
  <si>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</si>
  <si>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</si>
  <si>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</si>
  <si>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</si>
  <si>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</si>
  <si>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</si>
  <si>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</si>
  <si>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</si>
  <si>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</si>
  <si>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</si>
  <si>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</si>
  <si>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</si>
  <si>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</si>
  <si>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</si>
  <si>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</si>
  <si>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</si>
  <si>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</si>
  <si>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</si>
  <si>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</si>
  <si>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</si>
  <si>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</si>
  <si>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</si>
  <si>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</si>
  <si>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</si>
  <si>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</si>
  <si>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</si>
  <si>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</si>
  <si>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</si>
  <si>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</si>
  <si>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</si>
  <si>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</si>
  <si>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</si>
  <si>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</si>
  <si>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</si>
  <si>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</si>
  <si>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</si>
  <si>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</si>
  <si>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</si>
  <si>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</si>
  <si>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</si>
  <si>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</si>
  <si>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</si>
  <si>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</si>
  <si>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</si>
  <si>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</si>
  <si>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</si>
  <si>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</si>
  <si>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</si>
  <si>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</si>
  <si>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</si>
  <si>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</si>
  <si>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</si>
  <si>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</si>
  <si>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</si>
  <si>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</si>
  <si>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</si>
  <si>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</si>
  <si>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</si>
  <si>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</si>
  <si>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</si>
  <si>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</si>
  <si>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</si>
  <si>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</si>
  <si>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</si>
  <si>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</si>
  <si>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</si>
  <si>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</si>
  <si>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</si>
  <si>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</si>
  <si>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</si>
  <si>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</si>
  <si>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</si>
  <si>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</si>
  <si>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</si>
  <si>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</si>
  <si>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</si>
  <si>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</si>
  <si>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</si>
  <si>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</si>
  <si>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</si>
  <si>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</si>
  <si>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</si>
  <si>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</si>
  <si>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</si>
  <si>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</si>
  <si>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</si>
  <si>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</si>
  <si>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</si>
  <si>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</si>
  <si>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</si>
  <si>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</si>
  <si>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</si>
  <si>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</si>
  <si>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</si>
  <si>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</si>
  <si>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</si>
  <si>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</si>
  <si>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</si>
  <si>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</si>
  <si>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</si>
  <si>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</si>
  <si>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</si>
  <si>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</si>
  <si>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</si>
  <si>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</si>
  <si>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</si>
  <si>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</si>
  <si>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</si>
  <si>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</si>
  <si>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</si>
  <si>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</si>
  <si>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</si>
  <si>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</si>
  <si>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</si>
  <si>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</si>
  <si>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</si>
  <si>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</si>
  <si>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</si>
  <si>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</si>
  <si>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</si>
  <si>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</si>
  <si>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</si>
  <si>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</si>
  <si>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</si>
  <si>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</si>
  <si>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</si>
  <si>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</si>
  <si>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</si>
  <si>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</si>
  <si>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</si>
  <si>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</si>
  <si>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</si>
  <si>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</si>
  <si>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</si>
  <si>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</si>
  <si>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</si>
  <si>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</si>
  <si>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</si>
  <si>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</si>
  <si>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</si>
  <si>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</si>
  <si>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</si>
  <si>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</si>
  <si>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</si>
  <si>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</si>
  <si>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</si>
  <si>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</si>
  <si>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</si>
  <si>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</si>
  <si>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</si>
  <si>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</si>
  <si>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</si>
  <si>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</si>
  <si>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</si>
  <si>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</si>
  <si>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</si>
  <si>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</si>
  <si>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</si>
  <si>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</si>
  <si>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</si>
  <si>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</si>
  <si>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</si>
  <si>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</si>
  <si>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</si>
  <si>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</si>
  <si>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</si>
  <si>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</si>
  <si>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</si>
  <si>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</si>
  <si>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</si>
  <si>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</si>
  <si>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</si>
  <si>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</si>
  <si>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</si>
  <si>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</si>
  <si>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</si>
  <si>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</si>
  <si>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</si>
  <si>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</si>
  <si>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</si>
  <si>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</si>
  <si>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</si>
  <si>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</si>
  <si>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</si>
  <si>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</si>
  <si>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</si>
  <si>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</si>
  <si>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</si>
  <si>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</si>
  <si>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</si>
  <si>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</si>
  <si>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</si>
  <si>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</si>
  <si>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</si>
  <si>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</si>
  <si>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</si>
  <si>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</si>
  <si>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</si>
  <si>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</si>
  <si>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</si>
  <si>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</si>
  <si>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</si>
  <si>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</si>
  <si>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</si>
  <si>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</si>
  <si>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</si>
  <si>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</si>
  <si>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</si>
  <si>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</si>
  <si>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</si>
  <si>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</si>
  <si>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</si>
  <si>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</si>
  <si>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</si>
  <si>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</si>
  <si>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</si>
  <si>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</si>
  <si>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</si>
  <si>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</si>
  <si>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</si>
  <si>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</si>
  <si>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</si>
  <si>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</si>
  <si>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</si>
  <si>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</si>
  <si>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</si>
  <si>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</si>
  <si>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</si>
  <si>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</si>
  <si>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</si>
  <si>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</si>
  <si>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</si>
  <si>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</si>
  <si>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</si>
  <si>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</si>
  <si>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</si>
  <si>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</si>
  <si>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</si>
  <si>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</si>
  <si>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</si>
  <si>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</si>
  <si>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</si>
  <si>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</si>
  <si>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</si>
  <si>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</si>
  <si>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</si>
  <si>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</si>
  <si>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</si>
  <si>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</si>
  <si>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</si>
  <si>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</si>
  <si>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</si>
  <si>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</si>
  <si>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</si>
  <si>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</si>
  <si>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</si>
  <si>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</si>
  <si>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</si>
  <si>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</si>
  <si>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</si>
  <si>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</si>
  <si>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</si>
  <si>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</si>
  <si>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</si>
  <si>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</si>
  <si>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</si>
  <si>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</si>
  <si>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</si>
  <si>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</si>
  <si>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</si>
  <si>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</si>
  <si>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</si>
  <si>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</si>
  <si>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</si>
  <si>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</si>
  <si>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</si>
  <si>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</si>
  <si>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</si>
  <si>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</si>
  <si>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</si>
  <si>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</si>
  <si>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</si>
  <si>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</si>
  <si>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</si>
  <si>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</si>
  <si>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</si>
  <si>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</si>
  <si>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</si>
  <si>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</si>
  <si>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</si>
  <si>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</si>
  <si>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</si>
  <si>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</si>
  <si>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</si>
  <si>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</si>
  <si>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</si>
  <si>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</si>
  <si>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</si>
  <si>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</si>
  <si>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</si>
  <si>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</si>
  <si>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</si>
  <si>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</si>
  <si>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</si>
  <si>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</si>
  <si>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</si>
  <si>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</si>
  <si>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</si>
  <si>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</si>
  <si>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</si>
  <si>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</si>
  <si>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</si>
  <si>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</si>
  <si>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</si>
  <si>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</si>
  <si>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</si>
  <si>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</si>
  <si>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</si>
  <si>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</si>
  <si>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</si>
  <si>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</si>
  <si>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</si>
  <si>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</si>
  <si>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</si>
  <si>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</si>
  <si>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</si>
  <si>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</si>
  <si>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</si>
  <si>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</si>
  <si>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</si>
  <si>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</si>
  <si>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</si>
  <si>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</si>
  <si>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</si>
  <si>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</si>
  <si>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</si>
  <si>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</si>
  <si>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</si>
  <si>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</si>
  <si>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</si>
  <si>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</si>
  <si>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</si>
  <si>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</si>
  <si>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</si>
  <si>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</si>
  <si>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</si>
  <si>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</si>
  <si>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</si>
  <si>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</si>
  <si>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</si>
  <si>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</si>
  <si>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</si>
  <si>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</si>
  <si>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</si>
  <si>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</si>
  <si>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</si>
  <si>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</si>
  <si>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</si>
  <si>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</si>
  <si>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</si>
  <si>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</si>
  <si>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</si>
  <si>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</si>
  <si>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</si>
  <si>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</si>
  <si>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</si>
  <si>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</si>
  <si>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</si>
  <si>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</si>
  <si>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</si>
  <si>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</si>
  <si>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</si>
  <si>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</si>
  <si>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</si>
  <si>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</si>
  <si>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</si>
  <si>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</si>
  <si>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</si>
  <si>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</si>
  <si>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</si>
  <si>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</si>
  <si>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</si>
  <si>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</si>
  <si>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</si>
  <si>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</si>
  <si>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</si>
  <si>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</si>
  <si>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</si>
  <si>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</si>
  <si>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</si>
  <si>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</si>
  <si>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</si>
  <si>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</si>
  <si>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</si>
  <si>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</si>
  <si>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</si>
  <si>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</si>
  <si>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</si>
  <si>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</si>
  <si>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</si>
  <si>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</si>
  <si>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</si>
  <si>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</si>
  <si>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</si>
  <si>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</si>
  <si>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</si>
  <si>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</si>
  <si>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</si>
  <si>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</si>
  <si>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</si>
  <si>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</si>
  <si>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</si>
  <si>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</si>
  <si>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</si>
  <si>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</si>
  <si>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</si>
  <si>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</si>
  <si>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</si>
  <si>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</si>
  <si>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</si>
  <si>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</si>
  <si>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</si>
  <si>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</si>
  <si>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</si>
  <si>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</si>
  <si>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</si>
  <si>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</si>
  <si>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</si>
  <si>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</si>
  <si>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</si>
  <si>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</si>
  <si>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</si>
  <si>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</si>
  <si>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</si>
  <si>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</si>
  <si>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</si>
  <si>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</si>
  <si>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</si>
  <si>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</si>
  <si>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</si>
  <si>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</si>
  <si>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</si>
  <si>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</si>
  <si>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</si>
  <si>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</si>
  <si>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</si>
  <si>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</si>
  <si>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</si>
  <si>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</si>
  <si>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</si>
  <si>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</si>
  <si>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</si>
  <si>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</si>
  <si>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</si>
  <si>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</si>
  <si>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</si>
  <si>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</si>
  <si>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</si>
  <si>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</si>
  <si>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</si>
  <si>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Address: Hajweri Colony</t>
  </si>
  <si>
    <t>Gullistan Store</t>
  </si>
  <si>
    <t>Khan Store</t>
  </si>
  <si>
    <t>Al Makkah Store</t>
  </si>
  <si>
    <t>Azeem Store</t>
  </si>
  <si>
    <t>Address: Deyal house</t>
  </si>
  <si>
    <t>Hafiz Super Store</t>
  </si>
  <si>
    <t xml:space="preserve">Address: Nazeer Garden </t>
  </si>
  <si>
    <t>786 Store</t>
  </si>
  <si>
    <t>Address: Rehman Store</t>
  </si>
  <si>
    <t xml:space="preserve">Address: Azeem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</si>
</sst>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74" t="s">
        <v>24</v>
      </c>
      <c r="B2" s="374"/>
      <c r="C2" s="374"/>
      <c r="D2" s="374"/>
      <c r="E2" s="374"/>
      <c r="F2" s="374"/>
      <c r="G2" s="374"/>
      <c r="H2" s="374"/>
    </row>
    <row r="3" spans="1:21" ht="18" thickBot="1" x14ac:dyDescent="0.35">
      <c r="A3" s="375" t="s">
        <v>15</v>
      </c>
      <c r="B3" s="375"/>
      <c r="C3" s="375"/>
      <c r="D3" s="375"/>
      <c r="E3" s="375"/>
      <c r="F3" s="375"/>
      <c r="G3" s="375"/>
      <c r="H3" s="37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76" t="s">
        <v>37</v>
      </c>
      <c r="P3" s="37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78" t="s">
        <v>25</v>
      </c>
      <c r="D4" s="37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72" t="s">
        <v>30</v>
      </c>
      <c r="H13" s="37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72" t="s">
        <v>30</v>
      </c>
      <c r="H26" s="37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72" t="s">
        <v>30</v>
      </c>
      <c r="H37" s="37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74" t="s">
        <v>24</v>
      </c>
      <c r="B2" s="374"/>
      <c r="C2" s="374"/>
      <c r="D2" s="374"/>
      <c r="E2" s="374"/>
      <c r="F2" s="374"/>
      <c r="G2" s="374"/>
      <c r="H2" s="374"/>
    </row>
    <row r="3" spans="1:21" ht="18" thickBot="1" x14ac:dyDescent="0.35">
      <c r="A3" s="375" t="s">
        <v>15</v>
      </c>
      <c r="B3" s="375"/>
      <c r="C3" s="375"/>
      <c r="D3" s="375"/>
      <c r="E3" s="375"/>
      <c r="F3" s="375"/>
      <c r="G3" s="375"/>
      <c r="H3" s="37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76" t="s">
        <v>37</v>
      </c>
      <c r="P3" s="37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78" t="s">
        <v>25</v>
      </c>
      <c r="D4" s="37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72" t="s">
        <v>30</v>
      </c>
      <c r="H13" s="37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72" t="s">
        <v>30</v>
      </c>
      <c r="H26" s="37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72" t="s">
        <v>30</v>
      </c>
      <c r="H37" s="37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80"/>
      <c r="B3" s="380"/>
      <c r="C3" s="380"/>
      <c r="D3" s="380"/>
      <c r="E3" s="380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</row>
    <row r="4" spans="1:29" x14ac:dyDescent="0.35">
      <c r="A4" s="382" t="s">
        <v>436</v>
      </c>
      <c r="B4" s="165" t="s">
        <v>437</v>
      </c>
      <c r="C4" s="165"/>
      <c r="D4" s="384" t="s">
        <v>438</v>
      </c>
      <c r="E4" s="386" t="s">
        <v>439</v>
      </c>
      <c r="F4" s="388" t="s">
        <v>58</v>
      </c>
      <c r="G4" s="388"/>
      <c r="H4" s="389" t="s">
        <v>440</v>
      </c>
      <c r="I4" s="389"/>
      <c r="J4" s="390" t="s">
        <v>441</v>
      </c>
      <c r="K4" s="391"/>
      <c r="L4" s="390" t="s">
        <v>442</v>
      </c>
      <c r="M4" s="391"/>
      <c r="N4" s="392" t="s">
        <v>443</v>
      </c>
      <c r="O4" s="392"/>
      <c r="P4" s="390" t="s">
        <v>86</v>
      </c>
      <c r="Q4" s="391"/>
      <c r="R4" s="390" t="s">
        <v>444</v>
      </c>
      <c r="S4" s="391"/>
      <c r="T4" s="393" t="s">
        <v>445</v>
      </c>
      <c r="U4" s="393"/>
      <c r="V4" s="394" t="s">
        <v>446</v>
      </c>
      <c r="W4" s="395"/>
      <c r="X4" s="394" t="s">
        <v>447</v>
      </c>
      <c r="Y4" s="395"/>
    </row>
    <row r="5" spans="1:29" ht="26.25" customHeight="1" thickBot="1" x14ac:dyDescent="0.4">
      <c r="A5" s="383"/>
      <c r="B5" s="167" t="s">
        <v>448</v>
      </c>
      <c r="C5" s="167" t="s">
        <v>438</v>
      </c>
      <c r="D5" s="385"/>
      <c r="E5" s="38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E18" zoomScale="120" zoomScaleNormal="120" workbookViewId="0">
      <selection activeCell="P20" sqref="P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6.6328125" bestFit="1" customWidth="1"/>
    <col min="11" max="11" width="5.6328125" bestFit="1" customWidth="1"/>
    <col min="12" max="12" width="8.26953125" bestFit="1" customWidth="1"/>
    <col min="13" max="13" width="11.90625" bestFit="1" customWidth="1"/>
    <col min="14" max="14" width="9.453125" style="61" bestFit="1" customWidth="1"/>
    <col min="15" max="15" width="7.81640625" customWidth="1"/>
    <col min="16" max="16" width="7.36328125" bestFit="1" customWidth="1"/>
    <col min="17" max="17" width="7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60" t="s">
        <v>498</v>
      </c>
      <c r="F2" s="361"/>
      <c r="G2" s="361"/>
      <c r="H2" s="358" t="s">
        <v>513</v>
      </c>
      <c r="I2" s="358"/>
      <c r="J2" s="359"/>
      <c r="R2" s="355" t="s">
        <v>497</v>
      </c>
      <c r="S2" s="356"/>
      <c r="T2" s="357"/>
    </row>
    <row r="3" spans="1:20 16377:16378" ht="21.75" customHeight="1" thickBot="1" x14ac:dyDescent="0.4">
      <c r="A3" s="369" t="s">
        <v>92</v>
      </c>
      <c r="B3" s="369"/>
      <c r="C3" s="369"/>
      <c r="E3" s="364" t="s">
        <v>508</v>
      </c>
      <c r="F3" s="365"/>
      <c r="G3" s="365"/>
      <c r="H3" s="362">
        <v>46259</v>
      </c>
      <c r="I3" s="362"/>
      <c r="J3" s="363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Gullistan Store</v>
      </c>
      <c r="T3" s="301">
        <f>+'1'!P35</f>
        <v>196.7114748165254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Khan Store</v>
      </c>
      <c r="T4" s="301">
        <f>+'2'!P35</f>
        <v>670.63224276038125</v>
      </c>
      <c r="XEX4" t="s">
        <v>105</v>
      </c>
    </row>
    <row r="5" spans="1:20 16377:16378" ht="21.75" customHeight="1" thickBot="1" x14ac:dyDescent="0.4">
      <c r="A5" s="320" t="s">
        <v>51</v>
      </c>
      <c r="B5" s="321"/>
      <c r="C5" s="324" t="s">
        <v>90</v>
      </c>
      <c r="D5" s="115" t="s">
        <v>52</v>
      </c>
      <c r="E5" s="326" t="s">
        <v>58</v>
      </c>
      <c r="F5" s="327"/>
      <c r="G5" s="328" t="s">
        <v>54</v>
      </c>
      <c r="H5" s="329"/>
      <c r="I5" s="330" t="s">
        <v>77</v>
      </c>
      <c r="J5" s="367" t="s">
        <v>55</v>
      </c>
      <c r="K5" s="328"/>
      <c r="L5" s="329"/>
      <c r="M5" s="321" t="s">
        <v>84</v>
      </c>
      <c r="N5" s="366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Al Makkah Store</v>
      </c>
      <c r="T5" s="301">
        <f>+'3'!P35</f>
        <v>5361.890225178814</v>
      </c>
      <c r="XEX5" t="s">
        <v>106</v>
      </c>
    </row>
    <row r="6" spans="1:20 16377:16378" ht="21.75" customHeight="1" thickBot="1" x14ac:dyDescent="0.4">
      <c r="A6" s="322"/>
      <c r="B6" s="323"/>
      <c r="C6" s="32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31"/>
      <c r="J6" s="143" t="s">
        <v>59</v>
      </c>
      <c r="K6" s="144" t="s">
        <v>39</v>
      </c>
      <c r="L6" s="145" t="s">
        <v>493</v>
      </c>
      <c r="M6" s="323"/>
      <c r="N6" s="331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Azeem Store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22</v>
      </c>
      <c r="I7" s="235">
        <f>(G7*D7)*F7+H7*F7</f>
        <v>1154.175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92.333999999999989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40.396124999999998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1021.4448749999999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218.13559322033888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6.1979023411016945</v>
      </c>
      <c r="P7" s="310">
        <f>M7+N7+O7</f>
        <v>1245.7783705614406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Hafiz Super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21</v>
      </c>
      <c r="I8" s="236">
        <f t="shared" ref="I8:I14" si="0">(G8*D8)*F8+H8*F8</f>
        <v>1101.7124999999999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88.136999999999986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38.559937500000004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975.01556249999987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208.22033898305074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5.9161795074152534</v>
      </c>
      <c r="P8" s="311">
        <f t="shared" ref="P8:P15" si="2">M8+N8+O8</f>
        <v>1189.1520809904659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786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19</v>
      </c>
      <c r="I9" s="236">
        <f t="shared" si="0"/>
        <v>996.78750000000002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79.742999999999995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34.887562500000001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882.15693750000003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188.38983050847449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5.3527338400423723</v>
      </c>
      <c r="P9" s="311">
        <f t="shared" si="2"/>
        <v>1075.899501848517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786 Store</v>
      </c>
      <c r="T9" s="301">
        <f>+'7'!P35</f>
        <v>1340.4725562947035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87.168000000000006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5.8511410169491533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87.168000000000006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5.8511410169491533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87.168000000000006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5.8511410169491533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53</v>
      </c>
      <c r="I13" s="236">
        <f t="shared" si="0"/>
        <v>2079.19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103.95950000000002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72.771650000000022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106.03869000000002</v>
      </c>
      <c r="M13" s="230">
        <f t="shared" si="1"/>
        <v>1796.4201600000001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404.23728813559296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11.003287240677965</v>
      </c>
      <c r="P13" s="311">
        <f t="shared" si="2"/>
        <v>2211.6607353762706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32"/>
      <c r="C16" s="332" t="s">
        <v>40</v>
      </c>
      <c r="D16" s="332"/>
      <c r="E16" s="332"/>
      <c r="F16" s="333"/>
      <c r="G16" s="117">
        <f>H16/40</f>
        <v>4</v>
      </c>
      <c r="H16" s="113">
        <f t="shared" ref="H16:M16" si="3">SUM(H7:H15)</f>
        <v>160</v>
      </c>
      <c r="I16" s="114">
        <f t="shared" si="3"/>
        <v>8600.6650000000009</v>
      </c>
      <c r="J16" s="274">
        <f>SUM(J7:J15)</f>
        <v>625.67750000000001</v>
      </c>
      <c r="K16" s="275">
        <f t="shared" si="3"/>
        <v>301.02327500000001</v>
      </c>
      <c r="L16" s="276">
        <f t="shared" si="3"/>
        <v>106.03869000000002</v>
      </c>
      <c r="M16" s="232">
        <f t="shared" si="3"/>
        <v>7567.9255350000003</v>
      </c>
      <c r="N16" s="233">
        <f>SUM(N7:N15)</f>
        <v>1636.7796610169487</v>
      </c>
      <c r="O16" s="101">
        <f>SUM(O7:O15)</f>
        <v>46.023525980084742</v>
      </c>
      <c r="P16" s="113">
        <f>SUM(P7:P15)</f>
        <v>9250.7287219970331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34" t="s">
        <v>64</v>
      </c>
      <c r="C19" s="335"/>
      <c r="D19" s="335"/>
      <c r="E19" s="335"/>
      <c r="F19" s="335"/>
      <c r="G19" s="335"/>
      <c r="H19" s="335"/>
      <c r="I19" s="335"/>
      <c r="J19" s="335"/>
      <c r="K19" s="335"/>
      <c r="L19" s="336"/>
      <c r="N19" s="343" t="s">
        <v>60</v>
      </c>
      <c r="O19" s="344"/>
      <c r="P19" s="139">
        <f>I16</f>
        <v>8600.6650000000009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37"/>
      <c r="C20" s="338"/>
      <c r="D20" s="338"/>
      <c r="E20" s="338"/>
      <c r="F20" s="338"/>
      <c r="G20" s="338"/>
      <c r="H20" s="338"/>
      <c r="I20" s="338"/>
      <c r="J20" s="338"/>
      <c r="K20" s="338"/>
      <c r="L20" s="339"/>
      <c r="N20" s="345" t="s">
        <v>85</v>
      </c>
      <c r="O20" s="346"/>
      <c r="P20" s="140">
        <f>+J16</f>
        <v>625.67750000000001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37"/>
      <c r="C21" s="338"/>
      <c r="D21" s="338"/>
      <c r="E21" s="338"/>
      <c r="F21" s="338"/>
      <c r="G21" s="338"/>
      <c r="H21" s="338"/>
      <c r="I21" s="338"/>
      <c r="J21" s="338"/>
      <c r="K21" s="338"/>
      <c r="L21" s="339"/>
      <c r="N21" s="345" t="s">
        <v>86</v>
      </c>
      <c r="O21" s="346"/>
      <c r="P21" s="140">
        <f>+K16+L16</f>
        <v>407.06196500000004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37"/>
      <c r="C22" s="338"/>
      <c r="D22" s="338"/>
      <c r="E22" s="338"/>
      <c r="F22" s="338"/>
      <c r="G22" s="338"/>
      <c r="H22" s="338"/>
      <c r="I22" s="338"/>
      <c r="J22" s="338"/>
      <c r="K22" s="338"/>
      <c r="L22" s="339"/>
      <c r="M22" s="131"/>
      <c r="N22" s="345" t="s">
        <v>87</v>
      </c>
      <c r="O22" s="346"/>
      <c r="P22" s="140">
        <f>P19-P20-P21</f>
        <v>7567.9255350000012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37"/>
      <c r="C23" s="338"/>
      <c r="D23" s="338"/>
      <c r="E23" s="338"/>
      <c r="F23" s="338"/>
      <c r="G23" s="338"/>
      <c r="H23" s="338"/>
      <c r="I23" s="338"/>
      <c r="J23" s="338"/>
      <c r="K23" s="338"/>
      <c r="L23" s="339"/>
      <c r="M23" s="131"/>
      <c r="N23" s="136" t="s">
        <v>61</v>
      </c>
      <c r="O23" s="133">
        <v>0.18</v>
      </c>
      <c r="P23" s="140">
        <f>+N16</f>
        <v>1636.7796610169487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37"/>
      <c r="C24" s="338"/>
      <c r="D24" s="338"/>
      <c r="E24" s="338"/>
      <c r="F24" s="338"/>
      <c r="G24" s="338"/>
      <c r="H24" s="338"/>
      <c r="I24" s="338"/>
      <c r="J24" s="338"/>
      <c r="K24" s="338"/>
      <c r="L24" s="339"/>
      <c r="M24" s="131"/>
      <c r="N24" s="347" t="s">
        <v>76</v>
      </c>
      <c r="O24" s="348"/>
      <c r="P24" s="140">
        <f>P22+P23</f>
        <v>9204.7051960169501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40"/>
      <c r="C25" s="341"/>
      <c r="D25" s="341"/>
      <c r="E25" s="341"/>
      <c r="F25" s="341"/>
      <c r="G25" s="341"/>
      <c r="H25" s="341"/>
      <c r="I25" s="341"/>
      <c r="J25" s="341"/>
      <c r="K25" s="341"/>
      <c r="L25" s="342"/>
      <c r="M25" s="99"/>
      <c r="N25" s="138" t="s">
        <v>83</v>
      </c>
      <c r="O25" s="137" t="e">
        <f>IF(#REF!="Filer",0.5%,2.5%)</f>
        <v>#REF!</v>
      </c>
      <c r="P25" s="140">
        <f>+O16</f>
        <v>46.023525980084742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9" t="s">
        <v>88</v>
      </c>
      <c r="O26" s="350"/>
      <c r="P26" s="297">
        <f>+P24+P25</f>
        <v>9250.7287219970349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51"/>
      <c r="D27" s="351"/>
      <c r="E27" s="351"/>
      <c r="F27" s="351"/>
      <c r="G27" s="351"/>
      <c r="H27" s="351"/>
      <c r="I27" s="352"/>
      <c r="J27" s="353"/>
      <c r="K27" s="354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9250.7287219970349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Summary!H3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" si="8">SUM(G16:G24)</f>
        <v>0</v>
      </c>
      <c r="H25" s="113">
        <f t="shared" ref="H25" si="9">SUM(H16:H24)</f>
        <v>4</v>
      </c>
      <c r="I25" s="114">
        <f t="shared" ref="I25:M25" si="10">SUM(I16:I24)</f>
        <v>183.38499999999999</v>
      </c>
      <c r="J25" s="274">
        <f>SUM(J16:J24)</f>
        <v>12.317</v>
      </c>
      <c r="K25" s="275">
        <f t="shared" si="10"/>
        <v>6.4184750000000008</v>
      </c>
      <c r="L25" s="276">
        <f t="shared" si="10"/>
        <v>4.0014599999999998</v>
      </c>
      <c r="M25" s="232">
        <f t="shared" si="10"/>
        <v>160.648065</v>
      </c>
      <c r="N25" s="233">
        <f>SUM(N16:N24)</f>
        <v>35.084745762711847</v>
      </c>
      <c r="O25" s="101">
        <f>SUM(O16:O24)</f>
        <v>0.97866405381355925</v>
      </c>
      <c r="P25" s="113">
        <f>SUM(P16:P24)</f>
        <v>196.7114748165254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183.38499999999999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12.317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10.419935000000001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160.64806499999997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35.084745762711847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195.73281076271184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0.97866405381355925</v>
      </c>
    </row>
    <row r="35" spans="2:16" ht="15.75" customHeight="1" thickBot="1" x14ac:dyDescent="0.4">
      <c r="N35" s="349" t="s">
        <v>88</v>
      </c>
      <c r="O35" s="350"/>
      <c r="P35" s="297">
        <f>+P33+P34</f>
        <v>196.7114748165254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15</v>
      </c>
      <c r="I25" s="114">
        <f t="shared" si="7"/>
        <v>628.14750000000004</v>
      </c>
      <c r="J25" s="274">
        <f>SUM(J16:J24)</f>
        <v>36.129000000000005</v>
      </c>
      <c r="K25" s="275">
        <f t="shared" si="7"/>
        <v>21.985162500000005</v>
      </c>
      <c r="L25" s="276">
        <f t="shared" si="7"/>
        <v>24.008760000000002</v>
      </c>
      <c r="M25" s="232">
        <f t="shared" si="7"/>
        <v>546.02457750000008</v>
      </c>
      <c r="N25" s="233">
        <f>SUM(N16:N24)</f>
        <v>121.27118644067789</v>
      </c>
      <c r="O25" s="101">
        <f>SUM(O16:O24)</f>
        <v>3.3364788197033892</v>
      </c>
      <c r="P25" s="113">
        <f>SUM(P16:P24)</f>
        <v>670.63224276038136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628.14750000000004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36.129000000000005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45.993922500000011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546.02457749999996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121.27118644067789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667.29576394067783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3.3364788197033892</v>
      </c>
    </row>
    <row r="35" spans="2:16" ht="15.75" customHeight="1" thickBot="1" x14ac:dyDescent="0.4">
      <c r="N35" s="349" t="s">
        <v>88</v>
      </c>
      <c r="O35" s="350"/>
      <c r="P35" s="297">
        <f>+P33+P34</f>
        <v>670.63224276038125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84</v>
      </c>
      <c r="I25" s="114">
        <f t="shared" si="7"/>
        <v>4974.4500000000007</v>
      </c>
      <c r="J25" s="274">
        <f>SUM(J16:J24)</f>
        <v>383.83319999999998</v>
      </c>
      <c r="K25" s="275">
        <f t="shared" si="7"/>
        <v>174.10575</v>
      </c>
      <c r="L25" s="276">
        <f t="shared" si="7"/>
        <v>24.008760000000002</v>
      </c>
      <c r="M25" s="232">
        <f t="shared" si="7"/>
        <v>4392.5022899999994</v>
      </c>
      <c r="N25" s="233">
        <f>SUM(N16:N24)</f>
        <v>942.71186440677968</v>
      </c>
      <c r="O25" s="101">
        <f>SUM(O16:O24)</f>
        <v>26.676070772033896</v>
      </c>
      <c r="P25" s="113">
        <f>SUM(P16:P24)</f>
        <v>5361.8902251788131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4974.4500000000007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383.83319999999998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198.11451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4392.5022900000004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942.71186440677968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5335.2141544067799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26.676070772033899</v>
      </c>
    </row>
    <row r="35" spans="2:16" ht="15.75" customHeight="1" thickBot="1" x14ac:dyDescent="0.4">
      <c r="N35" s="349" t="s">
        <v>88</v>
      </c>
      <c r="O35" s="350"/>
      <c r="P35" s="297">
        <f>+P33+P34</f>
        <v>5361.890225178814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310">
        <f>M16+N16+O16</f>
        <v>226.50515828389825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629.54999999999995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50.364000000000004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22.03425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557.15174999999988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676.13480084745743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9" t="s">
        <v>88</v>
      </c>
      <c r="O35" s="350"/>
      <c r="P35" s="297">
        <f>+P33+P34</f>
        <v>679.51547485169476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470.76000000000005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23.538000000000004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40.485360000000007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406.73664000000002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498.26206372881353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9" t="s">
        <v>88</v>
      </c>
      <c r="O35" s="350"/>
      <c r="P35" s="297">
        <f>+P33+P34</f>
        <v>500.75337404745761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470.76000000000005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23.538000000000004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40.485360000000007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406.73664000000002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498.26206372881353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9" t="s">
        <v>88</v>
      </c>
      <c r="O35" s="350"/>
      <c r="P35" s="297">
        <f>+P33+P34</f>
        <v>500.75337404745761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21</v>
      </c>
      <c r="I25" s="114">
        <f t="shared" si="7"/>
        <v>1243.6125000000002</v>
      </c>
      <c r="J25" s="274">
        <f>SUM(J16:J24)</f>
        <v>95.958299999999994</v>
      </c>
      <c r="K25" s="275">
        <f t="shared" si="7"/>
        <v>43.5264375</v>
      </c>
      <c r="L25" s="276">
        <f t="shared" si="7"/>
        <v>6.0021900000000006</v>
      </c>
      <c r="M25" s="232">
        <f t="shared" si="7"/>
        <v>1098.1255724999999</v>
      </c>
      <c r="N25" s="233">
        <f>SUM(N16:N24)</f>
        <v>235.67796610169492</v>
      </c>
      <c r="O25" s="101">
        <f>SUM(O16:O24)</f>
        <v>6.6690176930084739</v>
      </c>
      <c r="P25" s="113">
        <f>SUM(P16:P24)</f>
        <v>1340.4725562947033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1243.6125000000002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95.958299999999994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49.528627499999999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1098.1255725000001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235.67796610169492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1333.803538601695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6.6690176930084748</v>
      </c>
    </row>
    <row r="35" spans="2:16" ht="15.75" customHeight="1" thickBot="1" x14ac:dyDescent="0.4">
      <c r="N35" s="349" t="s">
        <v>88</v>
      </c>
      <c r="O35" s="350"/>
      <c r="P35" s="297">
        <f>+P33+P34</f>
        <v>1340.4725562947035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0" t="s">
        <v>45</v>
      </c>
      <c r="L5" s="370"/>
      <c r="M5" s="370"/>
      <c r="N5" s="397">
        <f>N4-1</f>
        <v>46258</v>
      </c>
      <c r="O5" s="369"/>
      <c r="P5" s="369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0" t="s">
        <v>69</v>
      </c>
      <c r="L6" s="370"/>
      <c r="M6" s="370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70" t="s">
        <v>67</v>
      </c>
      <c r="L8" s="370"/>
      <c r="M8" s="370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0" t="s">
        <v>68</v>
      </c>
      <c r="L9" s="370"/>
      <c r="M9" s="370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20" t="s">
        <v>51</v>
      </c>
      <c r="B14" s="321"/>
      <c r="C14" s="324" t="s">
        <v>90</v>
      </c>
      <c r="D14" s="115" t="s">
        <v>52</v>
      </c>
      <c r="E14" s="326" t="s">
        <v>58</v>
      </c>
      <c r="F14" s="327"/>
      <c r="G14" s="328" t="s">
        <v>54</v>
      </c>
      <c r="H14" s="329"/>
      <c r="I14" s="330" t="s">
        <v>77</v>
      </c>
      <c r="J14" s="367" t="s">
        <v>55</v>
      </c>
      <c r="K14" s="328"/>
      <c r="L14" s="329"/>
      <c r="M14" s="321" t="s">
        <v>84</v>
      </c>
      <c r="N14" s="366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22"/>
      <c r="B15" s="323"/>
      <c r="C15" s="32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1"/>
      <c r="J15" s="143" t="s">
        <v>59</v>
      </c>
      <c r="K15" s="144" t="s">
        <v>39</v>
      </c>
      <c r="L15" s="145" t="s">
        <v>493</v>
      </c>
      <c r="M15" s="323"/>
      <c r="N15" s="331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5"/>
      <c r="L28" s="336"/>
      <c r="N28" s="343" t="s">
        <v>60</v>
      </c>
      <c r="O28" s="344"/>
      <c r="P28" s="139">
        <f>I25</f>
        <v>0</v>
      </c>
    </row>
    <row r="29" spans="1:22 16384:16384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8"/>
      <c r="L29" s="339"/>
      <c r="N29" s="345" t="s">
        <v>85</v>
      </c>
      <c r="O29" s="346"/>
      <c r="P29" s="140">
        <f>+J25</f>
        <v>0</v>
      </c>
    </row>
    <row r="30" spans="1:22 16384:16384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8"/>
      <c r="L30" s="339"/>
      <c r="N30" s="345" t="s">
        <v>86</v>
      </c>
      <c r="O30" s="346"/>
      <c r="P30" s="140">
        <f>+K25+L25</f>
        <v>0</v>
      </c>
    </row>
    <row r="31" spans="1:22 16384:16384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9"/>
      <c r="M31" s="131"/>
      <c r="N31" s="345" t="s">
        <v>87</v>
      </c>
      <c r="O31" s="346"/>
      <c r="P31" s="140">
        <f>P28-P29-P30</f>
        <v>0</v>
      </c>
    </row>
    <row r="32" spans="1:22 16384:16384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8"/>
      <c r="L32" s="33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8"/>
      <c r="L33" s="339"/>
      <c r="M33" s="131"/>
      <c r="N33" s="347" t="s">
        <v>76</v>
      </c>
      <c r="O33" s="348"/>
      <c r="P33" s="140">
        <f>P31+P32</f>
        <v>0</v>
      </c>
    </row>
    <row r="34" spans="2:16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1"/>
      <c r="L34" s="34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397">
        <f ca="1">TODAY()+1</f>
        <v>46260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0" t="s">
        <v>45</v>
      </c>
      <c r="K5" s="370"/>
      <c r="L5" s="370"/>
      <c r="M5" s="397">
        <f ca="1">M4-1</f>
        <v>46259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70" t="s">
        <v>67</v>
      </c>
      <c r="K8" s="370"/>
      <c r="L8" s="370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70" t="s">
        <v>68</v>
      </c>
      <c r="K9" s="370"/>
      <c r="L9" s="370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20" t="s">
        <v>51</v>
      </c>
      <c r="B14" s="321"/>
      <c r="C14" s="324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29"/>
      <c r="I14" s="330" t="s">
        <v>77</v>
      </c>
      <c r="J14" s="328" t="s">
        <v>55</v>
      </c>
      <c r="K14" s="329"/>
      <c r="L14" s="33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22"/>
      <c r="B15" s="323"/>
      <c r="C15" s="32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31"/>
      <c r="J15" s="144" t="s">
        <v>39</v>
      </c>
      <c r="K15" s="145" t="s">
        <v>59</v>
      </c>
      <c r="L15" s="33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32"/>
      <c r="C25" s="332" t="s">
        <v>40</v>
      </c>
      <c r="D25" s="332"/>
      <c r="E25" s="332"/>
      <c r="F25" s="33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34" t="s">
        <v>64</v>
      </c>
      <c r="C28" s="335"/>
      <c r="D28" s="335"/>
      <c r="E28" s="335"/>
      <c r="F28" s="335"/>
      <c r="G28" s="335"/>
      <c r="H28" s="335"/>
      <c r="I28" s="335"/>
      <c r="J28" s="335"/>
      <c r="K28" s="336"/>
      <c r="M28" s="343" t="s">
        <v>60</v>
      </c>
      <c r="N28" s="344"/>
      <c r="O28" s="139">
        <f>I25</f>
        <v>1452.8</v>
      </c>
    </row>
    <row r="29" spans="1:18 16383:16383" ht="15" customHeight="1" x14ac:dyDescent="0.35">
      <c r="B29" s="337"/>
      <c r="C29" s="338"/>
      <c r="D29" s="338"/>
      <c r="E29" s="338"/>
      <c r="F29" s="338"/>
      <c r="G29" s="338"/>
      <c r="H29" s="338"/>
      <c r="I29" s="338"/>
      <c r="J29" s="338"/>
      <c r="K29" s="339"/>
      <c r="M29" s="345" t="s">
        <v>85</v>
      </c>
      <c r="N29" s="346"/>
      <c r="O29" s="140">
        <f>K25</f>
        <v>0</v>
      </c>
    </row>
    <row r="30" spans="1:18 16383:16383" ht="15" customHeight="1" x14ac:dyDescent="0.35">
      <c r="B30" s="337"/>
      <c r="C30" s="338"/>
      <c r="D30" s="338"/>
      <c r="E30" s="338"/>
      <c r="F30" s="338"/>
      <c r="G30" s="338"/>
      <c r="H30" s="338"/>
      <c r="I30" s="338"/>
      <c r="J30" s="338"/>
      <c r="K30" s="339"/>
      <c r="M30" s="345" t="s">
        <v>86</v>
      </c>
      <c r="N30" s="346"/>
      <c r="O30" s="140">
        <f>J25</f>
        <v>50.848000000000006</v>
      </c>
    </row>
    <row r="31" spans="1:18 16383:16383" ht="15" customHeight="1" x14ac:dyDescent="0.35">
      <c r="B31" s="337"/>
      <c r="C31" s="338"/>
      <c r="D31" s="338"/>
      <c r="E31" s="338"/>
      <c r="F31" s="338"/>
      <c r="G31" s="338"/>
      <c r="H31" s="338"/>
      <c r="I31" s="338"/>
      <c r="J31" s="338"/>
      <c r="K31" s="339"/>
      <c r="L31" s="131"/>
      <c r="M31" s="345" t="s">
        <v>87</v>
      </c>
      <c r="N31" s="346"/>
      <c r="O31" s="140">
        <f>O28-O29-O30</f>
        <v>1401.952</v>
      </c>
    </row>
    <row r="32" spans="1:18 16383:16383" ht="15" customHeight="1" x14ac:dyDescent="0.35">
      <c r="B32" s="337"/>
      <c r="C32" s="338"/>
      <c r="D32" s="338"/>
      <c r="E32" s="338"/>
      <c r="F32" s="338"/>
      <c r="G32" s="338"/>
      <c r="H32" s="338"/>
      <c r="I32" s="338"/>
      <c r="J32" s="338"/>
      <c r="K32" s="33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37"/>
      <c r="C33" s="338"/>
      <c r="D33" s="338"/>
      <c r="E33" s="338"/>
      <c r="F33" s="338"/>
      <c r="G33" s="338"/>
      <c r="H33" s="338"/>
      <c r="I33" s="338"/>
      <c r="J33" s="338"/>
      <c r="K33" s="339"/>
      <c r="L33" s="131"/>
      <c r="M33" s="347" t="s">
        <v>76</v>
      </c>
      <c r="N33" s="348"/>
      <c r="O33" s="140">
        <f>O31+O32</f>
        <v>1710.3814400000001</v>
      </c>
    </row>
    <row r="34" spans="2:15" ht="15" customHeight="1" thickBot="1" x14ac:dyDescent="0.4">
      <c r="B34" s="340"/>
      <c r="C34" s="341"/>
      <c r="D34" s="341"/>
      <c r="E34" s="341"/>
      <c r="F34" s="341"/>
      <c r="G34" s="341"/>
      <c r="H34" s="341"/>
      <c r="I34" s="341"/>
      <c r="J34" s="341"/>
      <c r="K34" s="34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9" t="s">
        <v>88</v>
      </c>
      <c r="N35" s="350"/>
      <c r="O35" s="141">
        <f>O28-O29+O31+O34</f>
        <v>2897.511536</v>
      </c>
    </row>
    <row r="36" spans="2:15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88" t="s">
        <v>438</v>
      </c>
      <c r="D1" s="404" t="s">
        <v>439</v>
      </c>
      <c r="E1" s="388" t="s">
        <v>58</v>
      </c>
      <c r="F1" s="388"/>
      <c r="G1" s="389" t="s">
        <v>440</v>
      </c>
      <c r="H1" s="389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88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83" t="s">
        <v>438</v>
      </c>
      <c r="D7" s="387" t="s">
        <v>439</v>
      </c>
      <c r="E7" s="408" t="s">
        <v>58</v>
      </c>
      <c r="F7" s="408"/>
      <c r="G7" s="409" t="s">
        <v>440</v>
      </c>
      <c r="H7" s="389"/>
      <c r="I7" s="390" t="s">
        <v>441</v>
      </c>
      <c r="J7" s="391"/>
      <c r="K7" s="390" t="s">
        <v>442</v>
      </c>
      <c r="L7" s="391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85"/>
      <c r="D8" s="38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84" t="s">
        <v>438</v>
      </c>
      <c r="D13" s="386" t="s">
        <v>439</v>
      </c>
      <c r="E13" s="388" t="s">
        <v>58</v>
      </c>
      <c r="F13" s="388"/>
      <c r="G13" s="389" t="s">
        <v>440</v>
      </c>
      <c r="H13" s="389"/>
      <c r="I13" s="390" t="s">
        <v>441</v>
      </c>
      <c r="J13" s="391"/>
      <c r="K13" s="390" t="s">
        <v>442</v>
      </c>
      <c r="L13" s="391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85"/>
      <c r="D14" s="38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84" t="s">
        <v>438</v>
      </c>
      <c r="D20" s="386" t="s">
        <v>439</v>
      </c>
      <c r="E20" s="388" t="s">
        <v>58</v>
      </c>
      <c r="F20" s="388"/>
      <c r="G20" s="389" t="s">
        <v>440</v>
      </c>
      <c r="H20" s="389"/>
      <c r="I20" s="390" t="s">
        <v>441</v>
      </c>
      <c r="J20" s="391"/>
      <c r="K20" s="390" t="s">
        <v>442</v>
      </c>
      <c r="L20" s="391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85"/>
      <c r="D21" s="38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84" t="s">
        <v>438</v>
      </c>
      <c r="D27" s="386" t="s">
        <v>439</v>
      </c>
      <c r="E27" s="388" t="s">
        <v>58</v>
      </c>
      <c r="F27" s="388"/>
      <c r="G27" s="389" t="s">
        <v>440</v>
      </c>
      <c r="H27" s="389"/>
      <c r="I27" s="390" t="s">
        <v>441</v>
      </c>
      <c r="J27" s="391"/>
      <c r="K27" s="390" t="s">
        <v>442</v>
      </c>
      <c r="L27" s="391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85"/>
      <c r="D28" s="38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88" t="s">
        <v>438</v>
      </c>
      <c r="C1" s="404" t="s">
        <v>439</v>
      </c>
      <c r="D1" s="388" t="s">
        <v>58</v>
      </c>
      <c r="E1" s="388"/>
      <c r="F1" s="389" t="s">
        <v>440</v>
      </c>
      <c r="G1" s="389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88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2026-08-25T13:50:24Z</dcterms:modified>
</cp:coreProperties>
</file>