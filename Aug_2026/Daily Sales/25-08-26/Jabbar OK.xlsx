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DC8A6EE-9E7C-432C-8277-155D5CE93551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4" i="11" l="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5" i="68" s="1"/>
  <c r="N4" i="45"/>
  <c r="N4" i="49"/>
  <c r="N4" i="53"/>
  <c r="N4" i="57"/>
  <c r="N4" i="61"/>
  <c r="N4" i="66"/>
  <c r="N5" i="66" s="1"/>
  <c r="N4" i="70"/>
  <c r="N4" i="46"/>
  <c r="N4" i="50"/>
  <c r="N4" i="54"/>
  <c r="N4" i="58"/>
  <c r="N4" i="63"/>
  <c r="N4" i="67"/>
  <c r="N5" i="67" s="1"/>
  <c r="N4" i="71"/>
  <c r="N5" i="71" s="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E16" i="69"/>
  <c r="V16" i="69" s="1"/>
  <c r="D16" i="69"/>
  <c r="C16" i="69"/>
  <c r="B16" i="69"/>
  <c r="O15" i="69"/>
  <c r="C12" i="69"/>
  <c r="C11" i="69"/>
  <c r="O34" i="68"/>
  <c r="C11" i="68" s="1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E16" i="67"/>
  <c r="V16" i="67" s="1"/>
  <c r="D16" i="67"/>
  <c r="C16" i="67"/>
  <c r="B16" i="67"/>
  <c r="O15" i="67"/>
  <c r="C12" i="67"/>
  <c r="C11" i="67"/>
  <c r="O34" i="66"/>
  <c r="C11" i="66" s="1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24" i="70" l="1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E16" i="59"/>
  <c r="V16" i="59" s="1"/>
  <c r="D16" i="59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C16" i="58"/>
  <c r="B16" i="58"/>
  <c r="O15" i="58"/>
  <c r="C12" i="58"/>
  <c r="C11" i="58"/>
  <c r="N5" i="58"/>
  <c r="O34" i="57"/>
  <c r="C11" i="57" s="1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C16" i="56"/>
  <c r="B16" i="56"/>
  <c r="O15" i="56"/>
  <c r="C12" i="56"/>
  <c r="C11" i="56"/>
  <c r="N5" i="56"/>
  <c r="O34" i="55"/>
  <c r="C11" i="55" s="1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B20" i="51"/>
  <c r="C20" i="51" s="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E16" i="50"/>
  <c r="V16" i="50" s="1"/>
  <c r="D16" i="50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E16" i="48"/>
  <c r="V16" i="48" s="1"/>
  <c r="D16" i="48"/>
  <c r="C16" i="48"/>
  <c r="B16" i="48"/>
  <c r="O15" i="48"/>
  <c r="C12" i="48"/>
  <c r="N5" i="48"/>
  <c r="O34" i="47"/>
  <c r="C11" i="47" s="1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6" l="1"/>
  <c r="N16" i="58"/>
  <c r="N16" i="50"/>
  <c r="N16" i="63"/>
  <c r="N16" i="44"/>
  <c r="N16" i="53"/>
  <c r="N24" i="50"/>
  <c r="N16" i="59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J49" i="41"/>
  <c r="L49" i="41" s="1"/>
  <c r="K49" i="41" s="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J12" i="41"/>
  <c r="L12" i="41" s="1"/>
  <c r="K12" i="41" s="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9" i="41" l="1"/>
  <c r="P49" i="41" s="1"/>
  <c r="O35" i="41"/>
  <c r="P35" i="41" s="1"/>
  <c r="O9" i="41"/>
  <c r="P9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M23" i="48" s="1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J24" i="71"/>
  <c r="K23" i="43"/>
  <c r="J23" i="43"/>
  <c r="L23" i="43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W6" i="6" s="1"/>
  <c r="Y6" i="6" s="1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M24" i="72" s="1"/>
  <c r="L24" i="72"/>
  <c r="K24" i="72"/>
  <c r="K20" i="48"/>
  <c r="L20" i="48"/>
  <c r="M20" i="48" s="1"/>
  <c r="O20" i="48" s="1"/>
  <c r="P20" i="48" s="1"/>
  <c r="R20" i="48" s="1"/>
  <c r="J20" i="48"/>
  <c r="K20" i="53"/>
  <c r="L20" i="53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 s="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O8" i="6"/>
  <c r="U8" i="6" s="1"/>
  <c r="N9" i="6"/>
  <c r="C12" i="11"/>
  <c r="O34" i="11"/>
  <c r="C11" i="11" s="1"/>
  <c r="T6" i="6" l="1"/>
  <c r="M21" i="44"/>
  <c r="O21" i="44" s="1"/>
  <c r="P21" i="44" s="1"/>
  <c r="J7" i="62"/>
  <c r="M20" i="71"/>
  <c r="O20" i="71" s="1"/>
  <c r="P20" i="71" s="1"/>
  <c r="R20" i="71" s="1"/>
  <c r="M24" i="56"/>
  <c r="O24" i="56" s="1"/>
  <c r="P24" i="56" s="1"/>
  <c r="M23" i="51"/>
  <c r="O23" i="51" s="1"/>
  <c r="P23" i="51" s="1"/>
  <c r="M16" i="52"/>
  <c r="M21" i="52"/>
  <c r="O21" i="52" s="1"/>
  <c r="P21" i="52" s="1"/>
  <c r="M16" i="43"/>
  <c r="M20" i="70"/>
  <c r="O20" i="70" s="1"/>
  <c r="P20" i="70" s="1"/>
  <c r="R20" i="70" s="1"/>
  <c r="M24" i="50"/>
  <c r="O24" i="50" s="1"/>
  <c r="P24" i="50" s="1"/>
  <c r="M20" i="53"/>
  <c r="O20" i="53" s="1"/>
  <c r="P20" i="53" s="1"/>
  <c r="R20" i="53" s="1"/>
  <c r="J25" i="61"/>
  <c r="P29" i="61" s="1"/>
  <c r="M17" i="61"/>
  <c r="O17" i="61" s="1"/>
  <c r="P17" i="61" s="1"/>
  <c r="M23" i="61"/>
  <c r="O23" i="61" s="1"/>
  <c r="P23" i="61" s="1"/>
  <c r="M22" i="70"/>
  <c r="M22" i="51"/>
  <c r="K15" i="62"/>
  <c r="M17" i="56"/>
  <c r="O17" i="56" s="1"/>
  <c r="P17" i="56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2" i="52"/>
  <c r="O22" i="52" s="1"/>
  <c r="P22" i="52" s="1"/>
  <c r="M23" i="49"/>
  <c r="O23" i="49" s="1"/>
  <c r="P23" i="49" s="1"/>
  <c r="M21" i="69"/>
  <c r="O21" i="69" s="1"/>
  <c r="P21" i="69" s="1"/>
  <c r="M24" i="71"/>
  <c r="L21" i="16"/>
  <c r="K12" i="62"/>
  <c r="M16" i="59"/>
  <c r="M20" i="50"/>
  <c r="O20" i="50" s="1"/>
  <c r="P20" i="50" s="1"/>
  <c r="R20" i="50" s="1"/>
  <c r="M18" i="48"/>
  <c r="M17" i="72"/>
  <c r="O17" i="72" s="1"/>
  <c r="P17" i="72" s="1"/>
  <c r="M24" i="45"/>
  <c r="O24" i="45" s="1"/>
  <c r="P24" i="45" s="1"/>
  <c r="M16" i="64"/>
  <c r="O16" i="64" s="1"/>
  <c r="P16" i="64" s="1"/>
  <c r="M17" i="60"/>
  <c r="O17" i="60" s="1"/>
  <c r="P17" i="60" s="1"/>
  <c r="M22" i="43"/>
  <c r="M23" i="56"/>
  <c r="M16" i="65"/>
  <c r="M22" i="63"/>
  <c r="O22" i="63" s="1"/>
  <c r="P22" i="63" s="1"/>
  <c r="M24" i="47"/>
  <c r="O24" i="47" s="1"/>
  <c r="P24" i="47" s="1"/>
  <c r="M23" i="60"/>
  <c r="M16" i="48"/>
  <c r="O16" i="48" s="1"/>
  <c r="P16" i="48" s="1"/>
  <c r="M24" i="53"/>
  <c r="O24" i="53" s="1"/>
  <c r="P24" i="53" s="1"/>
  <c r="M23" i="58"/>
  <c r="O23" i="58" s="1"/>
  <c r="P23" i="58" s="1"/>
  <c r="M16" i="60"/>
  <c r="O16" i="60" s="1"/>
  <c r="P16" i="60" s="1"/>
  <c r="M21" i="51"/>
  <c r="O21" i="51" s="1"/>
  <c r="P21" i="51" s="1"/>
  <c r="M23" i="72"/>
  <c r="O23" i="72" s="1"/>
  <c r="P23" i="72" s="1"/>
  <c r="M23" i="64"/>
  <c r="M23" i="59"/>
  <c r="M23" i="44"/>
  <c r="O23" i="44" s="1"/>
  <c r="P23" i="44" s="1"/>
  <c r="M16" i="66"/>
  <c r="M16" i="44"/>
  <c r="M24" i="44"/>
  <c r="O24" i="44" s="1"/>
  <c r="P24" i="44" s="1"/>
  <c r="M23" i="65"/>
  <c r="J15" i="62"/>
  <c r="M16" i="72"/>
  <c r="M24" i="58"/>
  <c r="O24" i="58" s="1"/>
  <c r="P24" i="58" s="1"/>
  <c r="M24" i="43"/>
  <c r="O24" i="43" s="1"/>
  <c r="P24" i="43" s="1"/>
  <c r="M23" i="66"/>
  <c r="M23" i="54"/>
  <c r="O23" i="54" s="1"/>
  <c r="P23" i="54" s="1"/>
  <c r="M18" i="67"/>
  <c r="O18" i="67" s="1"/>
  <c r="P18" i="67" s="1"/>
  <c r="M21" i="53"/>
  <c r="O21" i="53" s="1"/>
  <c r="P21" i="53" s="1"/>
  <c r="M23" i="69"/>
  <c r="O23" i="69" s="1"/>
  <c r="P23" i="69" s="1"/>
  <c r="M23" i="53"/>
  <c r="O23" i="53" s="1"/>
  <c r="P23" i="53" s="1"/>
  <c r="M24" i="63"/>
  <c r="O24" i="63" s="1"/>
  <c r="P24" i="63" s="1"/>
  <c r="M21" i="68"/>
  <c r="O21" i="68" s="1"/>
  <c r="P21" i="68" s="1"/>
  <c r="M20" i="46"/>
  <c r="O20" i="46" s="1"/>
  <c r="P20" i="46" s="1"/>
  <c r="M17" i="45"/>
  <c r="M17" i="57"/>
  <c r="O17" i="57" s="1"/>
  <c r="P17" i="57" s="1"/>
  <c r="M18" i="69"/>
  <c r="O18" i="69" s="1"/>
  <c r="P18" i="69" s="1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18" i="43"/>
  <c r="P18" i="43" s="1"/>
  <c r="O23" i="64"/>
  <c r="P23" i="64" s="1"/>
  <c r="O24" i="71"/>
  <c r="P24" i="71" s="1"/>
  <c r="O23" i="59"/>
  <c r="P23" i="59" s="1"/>
  <c r="O16" i="67"/>
  <c r="P16" i="67" s="1"/>
  <c r="O24" i="48"/>
  <c r="P24" i="48" s="1"/>
  <c r="O16" i="44"/>
  <c r="O22" i="51"/>
  <c r="P22" i="51" s="1"/>
  <c r="O23" i="60"/>
  <c r="P23" i="60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 s="1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7" i="50"/>
  <c r="P17" i="50" s="1"/>
  <c r="O19" i="55"/>
  <c r="P19" i="55" s="1"/>
  <c r="O16" i="72"/>
  <c r="P16" i="72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4" i="16" l="1"/>
  <c r="O22" i="16"/>
  <c r="M15" i="62"/>
  <c r="M12" i="62"/>
  <c r="P30" i="70"/>
  <c r="P31" i="70" s="1"/>
  <c r="P33" i="70" s="1"/>
  <c r="P34" i="70" s="1"/>
  <c r="P35" i="70" s="1"/>
  <c r="T30" i="62" s="1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 s="1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19" i="16" l="1"/>
  <c r="O15" i="62"/>
  <c r="P15" i="62" s="1"/>
  <c r="O12" i="62"/>
  <c r="P16" i="53"/>
  <c r="P25" i="53" s="1"/>
  <c r="O25" i="70"/>
  <c r="P16" i="70"/>
  <c r="O25" i="48"/>
  <c r="P12" i="62"/>
  <c r="P24" i="55"/>
  <c r="O25" i="55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<sst xmlns="http://schemas.openxmlformats.org/spreadsheetml/2006/main" count="3978" uniqueCount="525">
  <si>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</si>
  <si>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</si>
  <si>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</si>
  <si>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</si>
  <si>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</si>
  <si>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</si>
  <si>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</si>
  <si>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</si>
  <si>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</si>
  <si>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</si>
  <si>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</si>
  <si>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</si>
  <si>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</si>
  <si>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</si>
  <si>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</si>
  <si>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</si>
  <si>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</si>
  <si>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</si>
  <si>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</si>
  <si>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</si>
  <si>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</si>
  <si>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</si>
  <si>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</si>
  <si>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</si>
  <si>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</si>
  <si>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</si>
  <si>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</si>
  <si>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</si>
  <si>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</si>
  <si>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</si>
  <si>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</si>
  <si>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</si>
  <si>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</si>
  <si>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</si>
  <si>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</si>
  <si>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</si>
  <si>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</si>
  <si>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</si>
  <si>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</si>
  <si>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</si>
  <si>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</si>
  <si>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</si>
  <si>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</si>
  <si>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</si>
  <si>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</si>
  <si>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</si>
  <si>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</si>
  <si>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</si>
  <si>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</si>
  <si>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</si>
  <si>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</si>
  <si>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</si>
  <si>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</si>
  <si>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</si>
  <si>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</si>
  <si>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</si>
  <si>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</si>
  <si>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</si>
  <si>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</si>
  <si>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</si>
  <si>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</si>
  <si>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</si>
  <si>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</si>
  <si>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</si>
  <si>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</si>
  <si>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</si>
  <si>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</si>
  <si>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</si>
  <si>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</si>
  <si>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</si>
  <si>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</si>
  <si>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</si>
  <si>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</si>
  <si>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</si>
  <si>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</si>
  <si>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</si>
  <si>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</si>
  <si>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</si>
  <si>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</si>
  <si>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</si>
  <si>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</si>
  <si>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</si>
  <si>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</si>
  <si>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</si>
  <si>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</si>
  <si>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</si>
  <si>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</si>
  <si>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</si>
  <si>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</si>
  <si>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</si>
  <si>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</si>
  <si>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</si>
  <si>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</si>
  <si>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</si>
  <si>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</si>
  <si>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</si>
  <si>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</si>
  <si>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</si>
  <si>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</si>
  <si>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</si>
  <si>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</si>
  <si>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</si>
  <si>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</si>
  <si>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</si>
  <si>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</si>
  <si>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</si>
  <si>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</si>
  <si>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</si>
  <si>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</si>
  <si>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</si>
  <si>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</si>
  <si>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</si>
  <si>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</si>
  <si>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</si>
  <si>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</si>
  <si>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</si>
  <si>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</si>
  <si>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</si>
  <si>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</si>
  <si>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</si>
  <si>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</si>
  <si>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</si>
  <si>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</si>
  <si>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</si>
  <si>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</si>
  <si>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</si>
  <si>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</si>
  <si>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</si>
  <si>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</si>
  <si>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</si>
  <si>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</si>
  <si>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</si>
  <si>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</si>
  <si>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</si>
  <si>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</si>
  <si>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</si>
  <si>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</si>
  <si>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</si>
  <si>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</si>
  <si>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</si>
  <si>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</si>
  <si>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</si>
  <si>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</si>
  <si>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</si>
  <si>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</si>
  <si>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</si>
  <si>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</si>
  <si>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</si>
  <si>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</si>
  <si>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</si>
  <si>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</si>
  <si>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</si>
  <si>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</si>
  <si>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</si>
  <si>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</si>
  <si>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</si>
  <si>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</si>
  <si>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</si>
  <si>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</si>
  <si>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</si>
  <si>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</si>
  <si>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</si>
  <si>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</si>
  <si>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</si>
  <si>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</si>
  <si>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</si>
  <si>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</si>
  <si>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</si>
  <si>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</si>
  <si>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</si>
  <si>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</si>
  <si>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</si>
  <si>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</si>
  <si>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</si>
  <si>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</si>
  <si>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</si>
  <si>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</si>
  <si>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</si>
  <si>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</si>
  <si>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</si>
  <si>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</si>
  <si>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</si>
  <si>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</si>
  <si>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</si>
  <si>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</si>
  <si>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</si>
  <si>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</si>
  <si>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</si>
  <si>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</si>
  <si>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</si>
  <si>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</si>
  <si>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</si>
  <si>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</si>
  <si>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</si>
  <si>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</si>
  <si>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</si>
  <si>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</si>
  <si>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</si>
  <si>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</si>
  <si>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</si>
  <si>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</si>
  <si>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</si>
  <si>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</si>
  <si>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</si>
  <si>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</si>
  <si>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</si>
  <si>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</si>
  <si>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</si>
  <si>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</si>
  <si>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</si>
  <si>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</si>
  <si>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</si>
  <si>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</si>
  <si>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</si>
  <si>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</si>
  <si>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</si>
  <si>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</si>
  <si>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</si>
  <si>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</si>
  <si>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</si>
  <si>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</si>
  <si>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</si>
  <si>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</si>
  <si>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</si>
  <si>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</si>
  <si>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</si>
  <si>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</si>
  <si>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</si>
  <si>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</si>
  <si>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</si>
  <si>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</si>
  <si>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</si>
  <si>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</si>
  <si>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</si>
  <si>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</si>
  <si>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</si>
  <si>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</si>
  <si>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</si>
  <si>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</si>
  <si>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</si>
  <si>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</si>
  <si>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</si>
  <si>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</si>
  <si>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</si>
  <si>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</si>
  <si>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</si>
  <si>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</si>
  <si>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</si>
  <si>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</si>
  <si>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</si>
  <si>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</si>
  <si>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</si>
  <si>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</si>
  <si>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</si>
  <si>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</si>
  <si>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</si>
  <si>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</si>
  <si>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</si>
  <si>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</si>
  <si>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</si>
  <si>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</si>
  <si>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</si>
  <si>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</si>
  <si>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</si>
  <si>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</si>
  <si>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</si>
  <si>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</si>
  <si>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</si>
  <si>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</si>
  <si>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</si>
  <si>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</si>
  <si>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</si>
  <si>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</si>
  <si>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</si>
  <si>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</si>
  <si>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</si>
  <si>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</si>
  <si>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</si>
  <si>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</si>
  <si>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</si>
  <si>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</si>
  <si>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</si>
  <si>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</si>
  <si>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</si>
  <si>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</si>
  <si>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</si>
  <si>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</si>
  <si>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</si>
  <si>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</si>
  <si>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</si>
  <si>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</si>
  <si>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</si>
  <si>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</si>
  <si>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</si>
  <si>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</si>
  <si>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</si>
  <si>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</si>
  <si>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</si>
  <si>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</si>
  <si>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</si>
  <si>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</si>
  <si>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</si>
  <si>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</si>
  <si>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</si>
  <si>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</si>
  <si>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</si>
  <si>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</si>
  <si>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</si>
  <si>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</si>
  <si>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</si>
  <si>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</si>
  <si>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</si>
  <si>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</si>
  <si>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</si>
  <si>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</si>
  <si>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</si>
  <si>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</si>
  <si>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</si>
  <si>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</si>
  <si>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</si>
  <si>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</si>
  <si>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</si>
  <si>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</si>
  <si>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</si>
  <si>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</si>
  <si>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</si>
  <si>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</si>
  <si>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</si>
  <si>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</si>
  <si>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</si>
  <si>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</si>
  <si>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</si>
  <si>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</si>
  <si>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</si>
  <si>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</si>
  <si>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</si>
  <si>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</si>
  <si>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</si>
  <si>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</si>
  <si>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</si>
  <si>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</si>
  <si>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</si>
  <si>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</si>
  <si>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</si>
  <si>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</si>
  <si>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</si>
  <si>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</si>
  <si>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</si>
  <si>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</si>
  <si>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</si>
  <si>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</si>
  <si>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</si>
  <si>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</si>
  <si>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</si>
  <si>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</si>
  <si>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</si>
  <si>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</si>
  <si>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</si>
  <si>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</si>
  <si>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</si>
  <si>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</si>
  <si>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</si>
  <si>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</si>
  <si>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</si>
  <si>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</si>
  <si>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</si>
  <si>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</si>
  <si>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</si>
  <si>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</si>
  <si>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</si>
  <si>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</si>
  <si>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</si>
  <si>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</si>
  <si>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</si>
  <si>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</si>
  <si>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</si>
  <si>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</si>
  <si>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</si>
  <si>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</si>
  <si>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</si>
  <si>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</si>
  <si>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</si>
  <si>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</si>
  <si>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</si>
  <si>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</si>
  <si>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</si>
  <si>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</si>
  <si>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</si>
  <si>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</si>
  <si>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</si>
  <si>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</si>
  <si>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</si>
  <si>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</si>
  <si>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</si>
  <si>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</si>
  <si>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</si>
  <si>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</si>
  <si>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</si>
  <si>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</si>
  <si>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</si>
  <si>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</si>
  <si>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</si>
  <si>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</si>
  <si>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</si>
  <si>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</si>
  <si>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</si>
  <si>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</si>
  <si>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</si>
  <si>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</si>
  <si>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</si>
  <si>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</si>
  <si>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</si>
  <si>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</si>
  <si>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</si>
  <si>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</si>
  <si>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</si>
  <si>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</si>
  <si>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</si>
  <si>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</si>
  <si>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</si>
  <si>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</si>
  <si>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</si>
  <si>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</si>
  <si>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</si>
  <si>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</si>
  <si>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</si>
  <si>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</si>
  <si>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</si>
  <si>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</si>
  <si>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</si>
  <si>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</si>
  <si>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</si>
  <si>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</si>
  <si>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</si>
  <si>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</si>
  <si>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</si>
  <si>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</si>
  <si>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</si>
  <si>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</si>
  <si>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</si>
  <si>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</si>
  <si>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</si>
  <si>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</si>
  <si>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</si>
  <si>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</si>
  <si>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</si>
  <si>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</si>
  <si>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</si>
  <si>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</si>
  <si>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</si>
  <si>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</si>
  <si>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</si>
  <si>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</si>
  <si>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</si>
  <si>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</si>
  <si>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</si>
  <si>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</si>
  <si>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</si>
  <si>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</si>
  <si>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</si>
  <si>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</si>
  <si>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</si>
  <si>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</si>
  <si>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</si>
  <si>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</si>
  <si>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</si>
  <si>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</si>
  <si>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</si>
  <si>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</si>
  <si>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</si>
  <si>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</si>
  <si>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</si>
  <si>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</si>
  <si>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</si>
  <si>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</si>
  <si>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</si>
  <si>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</si>
  <si>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</si>
  <si>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</si>
  <si>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</si>
  <si>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</si>
  <si>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</si>
  <si>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</si>
  <si>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</si>
  <si>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</si>
  <si>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</si>
  <si>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</si>
  <si>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</si>
  <si>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</si>
  <si>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</si>
  <si>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</si>
  <si>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</si>
  <si>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</si>
  <si>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</si>
  <si>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</si>
  <si>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</si>
  <si>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</si>
  <si>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</si>
  <si>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</si>
  <si>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</si>
  <si>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</si>
  <si>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</si>
  <si>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</si>
  <si>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</si>
  <si>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</si>
  <si>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</si>
  <si>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</si>
  <si>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</si>
  <si>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</si>
  <si>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</si>
  <si>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</si>
  <si>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</si>
  <si>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</si>
  <si>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Jabbar</t>
  </si>
  <si>
    <t>Address: Hajweri Colony</t>
  </si>
  <si>
    <t>Gullistan Store</t>
  </si>
  <si>
    <t>Khan Store</t>
  </si>
  <si>
    <t>Al Makkah Store</t>
  </si>
  <si>
    <t>Azeem Store</t>
  </si>
  <si>
    <t>Address: Deyal house</t>
  </si>
  <si>
    <t>Hafiz Super Store</t>
  </si>
  <si>
    <t xml:space="preserve">Address: Nazeer Garden </t>
  </si>
  <si>
    <t>786 Store</t>
  </si>
  <si>
    <t>Address: Rehman Store</t>
  </si>
  <si>
    <t xml:space="preserve">Address: Azeem Garden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</si>
</sst>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F4" zoomScale="85" zoomScaleNormal="85" workbookViewId="0">
      <selection activeCell="S13" sqref="S1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6.6328125" bestFit="1" customWidth="1"/>
    <col min="11" max="11" width="5.6328125" bestFit="1" customWidth="1"/>
    <col min="12" max="12" width="8.26953125" bestFit="1" customWidth="1"/>
    <col min="13" max="13" width="11.90625" bestFit="1" customWidth="1"/>
    <col min="14" max="14" width="9.453125" style="61" bestFit="1" customWidth="1"/>
    <col min="15" max="15" width="7.81640625" customWidth="1"/>
    <col min="16" max="16" width="7.36328125" bestFit="1" customWidth="1"/>
    <col min="17" max="17" width="7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513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v>46259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Gullistan Store</v>
      </c>
      <c r="T3" s="301">
        <f>+'1'!P35</f>
        <v>196.7114748165254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Khan Store</v>
      </c>
      <c r="T4" s="301">
        <f>+'2'!P35</f>
        <v>670.63224276038125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Al Makkah Store</v>
      </c>
      <c r="T5" s="301">
        <f>+'3'!P35</f>
        <v>5361.890225178814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Azeem Store</v>
      </c>
      <c r="T6" s="301">
        <f>+'4'!P35</f>
        <v>679.51547485169476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22</v>
      </c>
      <c r="I7" s="235">
        <f>(G7*D7)*F7+H7*F7</f>
        <v>1154.175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92.333999999999989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40.396124999999998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1021.4448749999999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218.13559322033888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6.1979023411016945</v>
      </c>
      <c r="P7" s="310">
        <f>M7+N7+O7</f>
        <v>1245.7783705614406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Hafiz Super Store</v>
      </c>
      <c r="T7" s="301">
        <f>+'5'!P35</f>
        <v>500.75337404745761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21</v>
      </c>
      <c r="I8" s="236">
        <f t="shared" ref="I8:I14" si="0">(G8*D8)*F8+H8*F8</f>
        <v>1101.7124999999999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88.136999999999986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38.559937500000004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975.01556249999987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208.22033898305074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5.9161795074152534</v>
      </c>
      <c r="P8" s="311">
        <f t="shared" ref="P8:P15" si="2">M8+N8+O8</f>
        <v>1189.1520809904659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786 Store</v>
      </c>
      <c r="T8" s="301">
        <f>+'6'!P35</f>
        <v>500.75337404745761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19</v>
      </c>
      <c r="I9" s="236">
        <f t="shared" si="0"/>
        <v>996.78750000000002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79.742999999999995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34.887562500000001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882.15693750000003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188.38983050847449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5.3527338400423723</v>
      </c>
      <c r="P9" s="311">
        <f t="shared" si="2"/>
        <v>1075.899501848517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786 Store</v>
      </c>
      <c r="T9" s="301">
        <f>+'7'!P35</f>
        <v>1340.4725562947035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15</v>
      </c>
      <c r="I10" s="236">
        <f t="shared" si="0"/>
        <v>1089.5999999999999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87.168000000000006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38.136000000000003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964.29599999999994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205.93220338983053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5.8511410169491533</v>
      </c>
      <c r="P10" s="311">
        <f t="shared" si="2"/>
        <v>1176.0793444067797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15</v>
      </c>
      <c r="I11" s="236">
        <f t="shared" si="0"/>
        <v>1089.5999999999999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87.168000000000006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38.136000000000003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964.29599999999994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205.93220338983053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5.8511410169491533</v>
      </c>
      <c r="P11" s="311">
        <f t="shared" si="2"/>
        <v>1176.0793444067797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15</v>
      </c>
      <c r="I12" s="236">
        <f t="shared" si="0"/>
        <v>1089.5999999999999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87.168000000000006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38.136000000000003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964.29599999999994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205.93220338983053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5.8511410169491533</v>
      </c>
      <c r="P12" s="311">
        <f t="shared" si="2"/>
        <v>1176.0793444067797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53</v>
      </c>
      <c r="I13" s="236">
        <f t="shared" si="0"/>
        <v>2079.19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103.95950000000002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72.771650000000022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106.03869000000002</v>
      </c>
      <c r="M13" s="230">
        <f t="shared" si="1"/>
        <v>1796.4201600000001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404.23728813559296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11.003287240677965</v>
      </c>
      <c r="P13" s="311">
        <f t="shared" si="2"/>
        <v>2211.6607353762706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4</v>
      </c>
      <c r="H16" s="113">
        <f t="shared" ref="H16:M16" si="3">SUM(H7:H15)</f>
        <v>160</v>
      </c>
      <c r="I16" s="114">
        <f t="shared" si="3"/>
        <v>8600.6650000000009</v>
      </c>
      <c r="J16" s="274">
        <f>SUM(J7:J15)</f>
        <v>625.67750000000001</v>
      </c>
      <c r="K16" s="275">
        <f t="shared" si="3"/>
        <v>301.02327500000001</v>
      </c>
      <c r="L16" s="276">
        <f t="shared" si="3"/>
        <v>106.03869000000002</v>
      </c>
      <c r="M16" s="232">
        <f t="shared" si="3"/>
        <v>7567.9255350000003</v>
      </c>
      <c r="N16" s="233">
        <f>SUM(N7:N15)</f>
        <v>1636.7796610169487</v>
      </c>
      <c r="O16" s="101">
        <f>SUM(O7:O15)</f>
        <v>46.023525980084742</v>
      </c>
      <c r="P16" s="113">
        <f>SUM(P7:P15)</f>
        <v>9250.7287219970331</v>
      </c>
      <c r="Q16" s="128">
        <f>SUM(Q7:Q15)</f>
        <v>0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8600.6650000000009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625.67750000000001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407.06196500000004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7567.9255350000012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1636.7796610169487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9204.7051960169501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46.023525980084742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9250.7287219970349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9250.7287219970349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Summary!H3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7.2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</v>
      </c>
      <c r="I17" s="236">
        <f t="shared" ref="I17:I23" si="0">(G17*D17)*F17+H17*F17</f>
        <v>104.925</v>
      </c>
      <c r="J17" s="272">
        <f t="shared" ref="J17:L24" si="1">$I17*S17</f>
        <v>8.3940000000000001</v>
      </c>
      <c r="K17" s="128">
        <f>$I17*T17</f>
        <v>3.6723750000000002</v>
      </c>
      <c r="L17" s="119">
        <f>$I17*U17</f>
        <v>0</v>
      </c>
      <c r="M17" s="230">
        <f t="shared" ref="M17:M24" si="2">I17-SUM(J17:L17)</f>
        <v>92.858624999999989</v>
      </c>
      <c r="N17" s="277">
        <f t="shared" ref="N17:N24" si="3">+(G17*D17+H17)*V17</f>
        <v>19.830508474576263</v>
      </c>
      <c r="O17" s="239">
        <f t="shared" ref="O17:O24" si="4">(N17+M17)*$O$15</f>
        <v>0.56344566737288126</v>
      </c>
      <c r="P17" s="311">
        <f t="shared" ref="P17:P24" si="5">M17+N17+O17</f>
        <v>113.25257914194913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</v>
      </c>
      <c r="I22" s="236">
        <f t="shared" si="0"/>
        <v>78.460000000000008</v>
      </c>
      <c r="J22" s="272">
        <f t="shared" si="1"/>
        <v>3.9230000000000005</v>
      </c>
      <c r="K22" s="128">
        <f t="shared" si="1"/>
        <v>2.7461000000000007</v>
      </c>
      <c r="L22" s="119">
        <f t="shared" si="1"/>
        <v>4.0014599999999998</v>
      </c>
      <c r="M22" s="230">
        <f t="shared" si="2"/>
        <v>67.789440000000013</v>
      </c>
      <c r="N22" s="277">
        <f t="shared" si="3"/>
        <v>15.254237288135585</v>
      </c>
      <c r="O22" s="239">
        <f t="shared" si="4"/>
        <v>0.41521838644067799</v>
      </c>
      <c r="P22" s="311">
        <f t="shared" si="5"/>
        <v>83.458895674576269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4</v>
      </c>
      <c r="I25" s="114">
        <f t="shared" ref="I25:M25" si="10">SUM(I16:I24)</f>
        <v>183.38499999999999</v>
      </c>
      <c r="J25" s="274">
        <f>SUM(J16:J24)</f>
        <v>12.317</v>
      </c>
      <c r="K25" s="275">
        <f t="shared" si="10"/>
        <v>6.4184750000000008</v>
      </c>
      <c r="L25" s="276">
        <f t="shared" si="10"/>
        <v>4.0014599999999998</v>
      </c>
      <c r="M25" s="232">
        <f t="shared" si="10"/>
        <v>160.648065</v>
      </c>
      <c r="N25" s="233">
        <f>SUM(N16:N24)</f>
        <v>35.084745762711847</v>
      </c>
      <c r="O25" s="101">
        <f>SUM(O16:O24)</f>
        <v>0.97866405381355925</v>
      </c>
      <c r="P25" s="113">
        <f>SUM(P16:P24)</f>
        <v>196.7114748165254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183.38499999999999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12.317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10.419935000000001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160.64806499999997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35.084745762711847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195.73281076271184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0.97866405381355925</v>
      </c>
    </row>
    <row r="35" spans="2:16" ht="15.75" customHeight="1" thickBot="1" x14ac:dyDescent="0.4">
      <c r="N35" s="344" t="s">
        <v>88</v>
      </c>
      <c r="O35" s="345"/>
      <c r="P35" s="297">
        <f>+P33+P34</f>
        <v>196.7114748165254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9" workbookViewId="0">
      <selection activeCell="A24" sqref="A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310">
        <f>M16+N16+O16</f>
        <v>169.87886871292372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15</v>
      </c>
      <c r="I25" s="114">
        <f t="shared" si="7"/>
        <v>628.14750000000004</v>
      </c>
      <c r="J25" s="274">
        <f>SUM(J16:J24)</f>
        <v>36.129000000000005</v>
      </c>
      <c r="K25" s="275">
        <f t="shared" si="7"/>
        <v>21.985162500000005</v>
      </c>
      <c r="L25" s="276">
        <f t="shared" si="7"/>
        <v>24.008760000000002</v>
      </c>
      <c r="M25" s="232">
        <f t="shared" si="7"/>
        <v>546.02457750000008</v>
      </c>
      <c r="N25" s="233">
        <f>SUM(N16:N24)</f>
        <v>121.27118644067789</v>
      </c>
      <c r="O25" s="101">
        <f>SUM(O16:O24)</f>
        <v>3.3364788197033892</v>
      </c>
      <c r="P25" s="113">
        <f>SUM(P16:P24)</f>
        <v>670.63224276038136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628.14750000000004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36.129000000000005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45.993922500000011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546.02457749999996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121.27118644067789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667.29576394067783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3.3364788197033892</v>
      </c>
    </row>
    <row r="35" spans="2:16" ht="15.75" customHeight="1" thickBot="1" x14ac:dyDescent="0.4">
      <c r="N35" s="344" t="s">
        <v>88</v>
      </c>
      <c r="O35" s="345"/>
      <c r="P35" s="297">
        <f>+P33+P34</f>
        <v>670.63224276038125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activeCell="A24" sqref="A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8.75" customHeight="1" x14ac:dyDescent="0.4">
      <c r="A6" s="398" t="s">
        <v>517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310">
        <f>M16+N16+O16</f>
        <v>679.51547485169488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311">
        <f t="shared" si="5"/>
        <v>679.51547485169488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311">
        <f t="shared" si="5"/>
        <v>940.86347552542372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311">
        <f t="shared" si="5"/>
        <v>940.86347552542372</v>
      </c>
      <c r="Q20" s="156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311">
        <f t="shared" si="5"/>
        <v>940.86347552542372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84</v>
      </c>
      <c r="I25" s="114">
        <f t="shared" si="7"/>
        <v>4974.4500000000007</v>
      </c>
      <c r="J25" s="274">
        <f>SUM(J16:J24)</f>
        <v>383.83319999999998</v>
      </c>
      <c r="K25" s="275">
        <f t="shared" si="7"/>
        <v>174.10575</v>
      </c>
      <c r="L25" s="276">
        <f t="shared" si="7"/>
        <v>24.008760000000002</v>
      </c>
      <c r="M25" s="232">
        <f t="shared" si="7"/>
        <v>4392.5022899999994</v>
      </c>
      <c r="N25" s="233">
        <f>SUM(N16:N24)</f>
        <v>942.71186440677968</v>
      </c>
      <c r="O25" s="101">
        <f>SUM(O16:O24)</f>
        <v>26.676070772033896</v>
      </c>
      <c r="P25" s="113">
        <f>SUM(P16:P24)</f>
        <v>5361.8902251788131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4974.4500000000007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383.83319999999998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198.11451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4392.5022900000004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942.71186440677968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5335.2141544067799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26.676070772033899</v>
      </c>
    </row>
    <row r="35" spans="2:16" ht="15.75" customHeight="1" thickBot="1" x14ac:dyDescent="0.4">
      <c r="N35" s="344" t="s">
        <v>88</v>
      </c>
      <c r="O35" s="345"/>
      <c r="P35" s="297">
        <f>+P33+P34</f>
        <v>5361.890225178814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519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310">
        <f>M16+N16+O16</f>
        <v>226.50515828389825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311">
        <f t="shared" ref="P17:P24" si="5">M17+N17+O17</f>
        <v>226.50515828389825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311">
        <f t="shared" si="5"/>
        <v>226.50515828389825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50.364000000000004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113">
        <f>SUM(P16:P24)</f>
        <v>679.51547485169476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629.54999999999995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50.364000000000004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22.03425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557.15174999999988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676.13480084745743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44" t="s">
        <v>88</v>
      </c>
      <c r="O35" s="345"/>
      <c r="P35" s="297">
        <f>+P33+P34</f>
        <v>679.51547485169476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520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521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470.76000000000005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23.538000000000004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40.485360000000007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406.73664000000002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498.26206372881353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4" t="s">
        <v>88</v>
      </c>
      <c r="O35" s="345"/>
      <c r="P35" s="297">
        <f>+P33+P34</f>
        <v>500.75337404745761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1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522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470.76000000000005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23.538000000000004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40.485360000000007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406.73664000000002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498.26206372881353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4" t="s">
        <v>88</v>
      </c>
      <c r="O35" s="345"/>
      <c r="P35" s="297">
        <f>+P33+P34</f>
        <v>500.75337404745761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522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310">
        <f>M16+N16+O16</f>
        <v>169.87886871292372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3</v>
      </c>
      <c r="I17" s="236">
        <f t="shared" ref="I17:I23" si="0">(G17*D17)*F17+H17*F17</f>
        <v>157.38749999999999</v>
      </c>
      <c r="J17" s="272">
        <f t="shared" ref="J17:L24" si="1">$I17*S17</f>
        <v>12.590999999999999</v>
      </c>
      <c r="K17" s="128">
        <f>$I17*T17</f>
        <v>5.5085625</v>
      </c>
      <c r="L17" s="119">
        <f>$I17*U17</f>
        <v>0</v>
      </c>
      <c r="M17" s="230">
        <f t="shared" ref="M17:M24" si="2">I17-SUM(J17:L17)</f>
        <v>139.2879375</v>
      </c>
      <c r="N17" s="277">
        <f t="shared" ref="N17:N24" si="3">+(G17*D17+H17)*V17</f>
        <v>29.745762711864394</v>
      </c>
      <c r="O17" s="239">
        <f t="shared" ref="O17:O24" si="4">(N17+M17)*$O$15</f>
        <v>0.84516850105932195</v>
      </c>
      <c r="P17" s="311">
        <f t="shared" ref="P17:P24" si="5">M17+N17+O17</f>
        <v>169.87886871292372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311">
        <f t="shared" si="5"/>
        <v>169.87886871292372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311">
        <f t="shared" si="5"/>
        <v>235.21586888135593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3</v>
      </c>
      <c r="I20" s="236">
        <f t="shared" si="0"/>
        <v>217.92000000000002</v>
      </c>
      <c r="J20" s="272">
        <f t="shared" si="1"/>
        <v>17.433600000000002</v>
      </c>
      <c r="K20" s="128">
        <f t="shared" si="1"/>
        <v>7.6272000000000011</v>
      </c>
      <c r="L20" s="119">
        <f t="shared" si="1"/>
        <v>0</v>
      </c>
      <c r="M20" s="230">
        <f t="shared" si="2"/>
        <v>192.85920000000002</v>
      </c>
      <c r="N20" s="277">
        <f t="shared" si="3"/>
        <v>41.186440677966104</v>
      </c>
      <c r="O20" s="239">
        <f t="shared" si="4"/>
        <v>1.1702282033898306</v>
      </c>
      <c r="P20" s="311">
        <f t="shared" si="5"/>
        <v>235.21586888135593</v>
      </c>
      <c r="Q20" s="156"/>
      <c r="R20">
        <f>P20/21</f>
        <v>11.200755661016949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311">
        <f t="shared" si="5"/>
        <v>235.21586888135593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112">
        <v>3</v>
      </c>
      <c r="I22" s="236">
        <f t="shared" si="0"/>
        <v>117.69000000000001</v>
      </c>
      <c r="J22" s="272">
        <f t="shared" si="1"/>
        <v>5.884500000000001</v>
      </c>
      <c r="K22" s="128">
        <f t="shared" si="1"/>
        <v>4.1191500000000012</v>
      </c>
      <c r="L22" s="119">
        <f t="shared" si="1"/>
        <v>6.0021900000000006</v>
      </c>
      <c r="M22" s="230">
        <f t="shared" si="2"/>
        <v>101.68416000000001</v>
      </c>
      <c r="N22" s="277">
        <f t="shared" si="3"/>
        <v>22.881355932203377</v>
      </c>
      <c r="O22" s="239">
        <f t="shared" si="4"/>
        <v>0.62282757966101687</v>
      </c>
      <c r="P22" s="311">
        <f t="shared" si="5"/>
        <v>125.1883435118644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21</v>
      </c>
      <c r="I25" s="114">
        <f t="shared" si="7"/>
        <v>1243.6125000000002</v>
      </c>
      <c r="J25" s="274">
        <f>SUM(J16:J24)</f>
        <v>95.958299999999994</v>
      </c>
      <c r="K25" s="275">
        <f t="shared" si="7"/>
        <v>43.5264375</v>
      </c>
      <c r="L25" s="276">
        <f t="shared" si="7"/>
        <v>6.0021900000000006</v>
      </c>
      <c r="M25" s="232">
        <f t="shared" si="7"/>
        <v>1098.1255724999999</v>
      </c>
      <c r="N25" s="233">
        <f>SUM(N16:N24)</f>
        <v>235.67796610169492</v>
      </c>
      <c r="O25" s="101">
        <f>SUM(O16:O24)</f>
        <v>6.6690176930084739</v>
      </c>
      <c r="P25" s="113">
        <f>SUM(P16:P24)</f>
        <v>1340.4725562947033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1243.6125000000002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95.958299999999994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49.528627499999999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1098.1255725000001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235.67796610169492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1333.803538601695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6.6690176930084748</v>
      </c>
    </row>
    <row r="35" spans="2:16" ht="15.75" customHeight="1" thickBot="1" x14ac:dyDescent="0.4">
      <c r="N35" s="344" t="s">
        <v>88</v>
      </c>
      <c r="O35" s="345"/>
      <c r="P35" s="297">
        <f>+P33+P34</f>
        <v>1340.4725562947035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46259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46258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513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46267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46266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2026-09-01T06:54:47Z</dcterms:modified>
</cp:coreProperties>
</file>