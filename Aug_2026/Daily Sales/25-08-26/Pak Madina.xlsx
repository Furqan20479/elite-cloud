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50EAAE9-EA6A-47AF-983C-37D427FE983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4" l="1"/>
  <c r="O22" i="64" s="1"/>
  <c r="P22" i="64" s="1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<sst xmlns="http://schemas.openxmlformats.org/spreadsheetml/2006/main" count="3977" uniqueCount="524">
  <si>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</si>
  <si>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</si>
  <si>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</si>
  <si>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</si>
  <si>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</si>
  <si>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</si>
  <si>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</si>
  <si>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</si>
  <si>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</si>
  <si>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</si>
  <si>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</si>
  <si>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</si>
  <si>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</si>
  <si>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</si>
  <si>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</si>
  <si>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</si>
  <si>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</si>
  <si>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</si>
  <si>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</si>
  <si>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</si>
  <si>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</si>
  <si>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</si>
  <si>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</si>
  <si>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</si>
  <si>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</si>
  <si>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</si>
  <si>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</si>
  <si>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</si>
  <si>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</si>
  <si>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</si>
  <si>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</si>
  <si>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</si>
  <si>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</si>
  <si>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</si>
  <si>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</si>
  <si>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</si>
  <si>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</si>
  <si>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</si>
  <si>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</si>
  <si>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</si>
  <si>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</si>
  <si>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</si>
  <si>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</si>
  <si>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</si>
  <si>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</si>
  <si>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</si>
  <si>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</si>
  <si>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</si>
  <si>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</si>
  <si>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</si>
  <si>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</si>
  <si>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</si>
  <si>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</si>
  <si>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</si>
  <si>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</si>
  <si>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</si>
  <si>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</si>
  <si>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</si>
  <si>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</si>
  <si>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</si>
  <si>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</si>
  <si>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</si>
  <si>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</si>
  <si>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</si>
  <si>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</si>
  <si>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</si>
  <si>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</si>
  <si>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</si>
  <si>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</si>
  <si>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</si>
  <si>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</si>
  <si>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</si>
  <si>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</si>
  <si>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</si>
  <si>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</si>
  <si>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</si>
  <si>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</si>
  <si>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</si>
  <si>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</si>
  <si>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</si>
  <si>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</si>
  <si>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</si>
  <si>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</si>
  <si>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</si>
  <si>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</si>
  <si>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</si>
  <si>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</si>
  <si>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</si>
  <si>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</si>
  <si>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</si>
  <si>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</si>
  <si>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</si>
  <si>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</si>
  <si>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</si>
  <si>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</si>
  <si>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</si>
  <si>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</si>
  <si>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</si>
  <si>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</si>
  <si>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</si>
  <si>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</si>
  <si>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</si>
  <si>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</si>
  <si>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</si>
  <si>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</si>
  <si>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</si>
  <si>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</si>
  <si>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</si>
  <si>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</si>
  <si>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</si>
  <si>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</si>
  <si>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</si>
  <si>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</si>
  <si>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</si>
  <si>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</si>
  <si>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</si>
  <si>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</si>
  <si>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</si>
  <si>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</si>
  <si>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</si>
  <si>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</si>
  <si>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</si>
  <si>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</si>
  <si>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</si>
  <si>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</si>
  <si>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</si>
  <si>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</si>
  <si>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</si>
  <si>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</si>
  <si>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</si>
  <si>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</si>
  <si>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</si>
  <si>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</si>
  <si>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</si>
  <si>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</si>
  <si>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</si>
  <si>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</si>
  <si>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</si>
  <si>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</si>
  <si>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</si>
  <si>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</si>
  <si>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</si>
  <si>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</si>
  <si>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</si>
  <si>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</si>
  <si>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</si>
  <si>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</si>
  <si>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</si>
  <si>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</si>
  <si>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</si>
  <si>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</si>
  <si>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</si>
  <si>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</si>
  <si>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</si>
  <si>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</si>
  <si>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</si>
  <si>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</si>
  <si>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</si>
  <si>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</si>
  <si>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</si>
  <si>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</si>
  <si>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</si>
  <si>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</si>
  <si>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</si>
  <si>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</si>
  <si>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</si>
  <si>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</si>
  <si>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</si>
  <si>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</si>
  <si>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</si>
  <si>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</si>
  <si>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</si>
  <si>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</si>
  <si>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</si>
  <si>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</si>
  <si>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</si>
  <si>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</si>
  <si>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</si>
  <si>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</si>
  <si>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</si>
  <si>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</si>
  <si>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</si>
  <si>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</si>
  <si>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</si>
  <si>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</si>
  <si>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</si>
  <si>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</si>
  <si>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</si>
  <si>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</si>
  <si>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</si>
  <si>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</si>
  <si>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</si>
  <si>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</si>
  <si>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</si>
  <si>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</si>
  <si>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</si>
  <si>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</si>
  <si>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</si>
  <si>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</si>
  <si>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</si>
  <si>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</si>
  <si>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</si>
  <si>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</si>
  <si>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</si>
  <si>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</si>
  <si>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</si>
  <si>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</si>
  <si>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</si>
  <si>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</si>
  <si>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</si>
  <si>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</si>
  <si>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</si>
  <si>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</si>
  <si>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</si>
  <si>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</si>
  <si>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</si>
  <si>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</si>
  <si>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</si>
  <si>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</si>
  <si>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</si>
  <si>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</si>
  <si>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</si>
  <si>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</si>
  <si>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</si>
  <si>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</si>
  <si>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</si>
  <si>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</si>
  <si>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</si>
  <si>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</si>
  <si>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</si>
  <si>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</si>
  <si>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</si>
  <si>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</si>
  <si>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</si>
  <si>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</si>
  <si>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</si>
  <si>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</si>
  <si>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</si>
  <si>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</si>
  <si>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</si>
  <si>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</si>
  <si>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</si>
  <si>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</si>
  <si>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</si>
  <si>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</si>
  <si>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</si>
  <si>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</si>
  <si>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</si>
  <si>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</si>
  <si>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</si>
  <si>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</si>
  <si>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</si>
  <si>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</si>
  <si>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</si>
  <si>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</si>
  <si>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</si>
  <si>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</si>
  <si>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</si>
  <si>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</si>
  <si>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</si>
  <si>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</si>
  <si>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</si>
  <si>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</si>
  <si>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</si>
  <si>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</si>
  <si>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</si>
  <si>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</si>
  <si>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</si>
  <si>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</si>
  <si>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</si>
  <si>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</si>
  <si>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</si>
  <si>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</si>
  <si>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</si>
  <si>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</si>
  <si>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</si>
  <si>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</si>
  <si>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</si>
  <si>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</si>
  <si>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</si>
  <si>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</si>
  <si>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</si>
  <si>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</si>
  <si>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</si>
  <si>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</si>
  <si>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</si>
  <si>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</si>
  <si>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</si>
  <si>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</si>
  <si>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</si>
  <si>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</si>
  <si>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</si>
  <si>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</si>
  <si>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</si>
  <si>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</si>
  <si>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</si>
  <si>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</si>
  <si>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</si>
  <si>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</si>
  <si>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</si>
  <si>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</si>
  <si>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</si>
  <si>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</si>
  <si>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</si>
  <si>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</si>
  <si>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</si>
  <si>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</si>
  <si>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</si>
  <si>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</si>
  <si>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</si>
  <si>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</si>
  <si>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</si>
  <si>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</si>
  <si>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</si>
  <si>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</si>
  <si>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</si>
  <si>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</si>
  <si>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</si>
  <si>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</si>
  <si>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</si>
  <si>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</si>
  <si>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</si>
  <si>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</si>
  <si>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</si>
  <si>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</si>
  <si>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</si>
  <si>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</si>
  <si>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</si>
  <si>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</si>
  <si>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</si>
  <si>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</si>
  <si>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</si>
  <si>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</si>
  <si>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</si>
  <si>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</si>
  <si>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</si>
  <si>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</si>
  <si>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</si>
  <si>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</si>
  <si>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</si>
  <si>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</si>
  <si>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</si>
  <si>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</si>
  <si>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</si>
  <si>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</si>
  <si>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</si>
  <si>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</si>
  <si>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</si>
  <si>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</si>
  <si>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</si>
  <si>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</si>
  <si>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</si>
  <si>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</si>
  <si>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</si>
  <si>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</si>
  <si>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</si>
  <si>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</si>
  <si>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</si>
  <si>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</si>
  <si>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</si>
  <si>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</si>
  <si>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</si>
  <si>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</si>
  <si>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</si>
  <si>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</si>
  <si>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</si>
  <si>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</si>
  <si>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</si>
  <si>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</si>
  <si>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</si>
  <si>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</si>
  <si>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</si>
  <si>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</si>
  <si>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</si>
  <si>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</si>
  <si>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</si>
  <si>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</si>
  <si>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</si>
  <si>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</si>
  <si>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</si>
  <si>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</si>
  <si>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</si>
  <si>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</si>
  <si>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</si>
  <si>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</si>
  <si>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</si>
  <si>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</si>
  <si>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</si>
  <si>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</si>
  <si>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</si>
  <si>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</si>
  <si>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</si>
  <si>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</si>
  <si>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</si>
  <si>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</si>
  <si>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</si>
  <si>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</si>
  <si>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</si>
  <si>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</si>
  <si>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</si>
  <si>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</si>
  <si>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</si>
  <si>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</si>
  <si>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</si>
  <si>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</si>
  <si>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</si>
  <si>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</si>
  <si>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</si>
  <si>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</si>
  <si>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</si>
  <si>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</si>
  <si>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</si>
  <si>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</si>
  <si>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</si>
  <si>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</si>
  <si>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</si>
  <si>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</si>
  <si>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</si>
  <si>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</si>
  <si>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</si>
  <si>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</si>
  <si>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</si>
  <si>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</si>
  <si>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</si>
  <si>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</si>
  <si>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</si>
  <si>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</si>
  <si>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</si>
  <si>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</si>
  <si>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</si>
  <si>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</si>
  <si>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</si>
  <si>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</si>
  <si>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</si>
  <si>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</si>
  <si>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</si>
  <si>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</si>
  <si>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</si>
  <si>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</si>
  <si>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</si>
  <si>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</si>
  <si>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</si>
  <si>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</si>
  <si>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</si>
  <si>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</si>
  <si>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</si>
  <si>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</si>
  <si>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</si>
  <si>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</si>
  <si>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</si>
  <si>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</si>
  <si>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</si>
  <si>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</si>
  <si>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</si>
  <si>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</si>
  <si>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</si>
  <si>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</si>
  <si>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</si>
  <si>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</si>
  <si>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</si>
  <si>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</si>
  <si>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</si>
  <si>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</si>
  <si>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</si>
  <si>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</si>
  <si>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</si>
  <si>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</si>
  <si>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</si>
  <si>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</si>
  <si>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</si>
  <si>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</si>
  <si>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</si>
  <si>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</si>
  <si>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</si>
  <si>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</si>
  <si>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</si>
  <si>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</si>
  <si>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</si>
  <si>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</si>
  <si>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</si>
  <si>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</si>
  <si>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</si>
  <si>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</si>
  <si>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</si>
  <si>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</si>
  <si>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</si>
  <si>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</si>
  <si>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</si>
  <si>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</si>
  <si>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</si>
  <si>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</si>
  <si>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</si>
  <si>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</si>
  <si>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</si>
  <si>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</si>
  <si>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</si>
  <si>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</si>
  <si>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</si>
  <si>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</si>
  <si>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</si>
  <si>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</si>
  <si>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</si>
  <si>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</si>
  <si>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</si>
  <si>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</si>
  <si>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</si>
  <si>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</si>
  <si>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</si>
  <si>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</si>
  <si>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</si>
  <si>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</si>
  <si>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</si>
  <si>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</si>
  <si>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</si>
  <si>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</si>
  <si>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</si>
  <si>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</si>
  <si>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</si>
  <si>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Pak Madina </t>
  </si>
  <si>
    <t>NTN:  C857167-7</t>
  </si>
  <si>
    <t>Shakoor</t>
  </si>
  <si>
    <t>Invoice No # :1056</t>
  </si>
  <si>
    <t xml:space="preserve">Address:  Shokhu </t>
  </si>
  <si>
    <t>Address:  Sharakpur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</si>
</sst>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16" sqref="S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/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514</v>
      </c>
      <c r="F3" s="389"/>
      <c r="G3" s="389"/>
      <c r="H3" s="386">
        <f ca="1">TODAY()</f>
        <v>46259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Pak Madina </v>
      </c>
      <c r="T3" s="301">
        <f>+'1'!P35</f>
        <v>30376.656014745768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1007.28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7092.93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43.396853389830504</v>
      </c>
      <c r="P7" s="310">
        <f>M7+N7+O7</f>
        <v>8722.7675313559303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9820.9279999999999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60.087690847457623</v>
      </c>
      <c r="P12" s="311">
        <f t="shared" si="2"/>
        <v>12077.625860338983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753.21600000000012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5303.8960000000006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32.621174915254237</v>
      </c>
      <c r="P13" s="311">
        <f t="shared" si="2"/>
        <v>6556.8561579661018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13</v>
      </c>
      <c r="H16" s="113">
        <f t="shared" ref="H16:M16" si="3">SUM(H7:H15)</f>
        <v>520</v>
      </c>
      <c r="I16" s="114">
        <f t="shared" si="3"/>
        <v>29198.800000000003</v>
      </c>
      <c r="J16" s="274">
        <f>SUM(J7:J15)</f>
        <v>3503.8559999999998</v>
      </c>
      <c r="K16" s="275">
        <f t="shared" si="3"/>
        <v>1021.9580000000001</v>
      </c>
      <c r="L16" s="276">
        <f t="shared" si="3"/>
        <v>0</v>
      </c>
      <c r="M16" s="232">
        <f t="shared" si="3"/>
        <v>24672.986000000001</v>
      </c>
      <c r="N16" s="233">
        <f>SUM(N7:N15)</f>
        <v>5552.5423728813548</v>
      </c>
      <c r="O16" s="101">
        <f>SUM(O7:O15)</f>
        <v>151.12764186440677</v>
      </c>
      <c r="P16" s="113">
        <f>SUM(P7:P15)</f>
        <v>30376.656014745764</v>
      </c>
      <c r="Q16" s="128">
        <f>SUM(Q7:Q15)</f>
        <v>0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29198.800000000003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3503.8559999999998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1021.9580000000001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24672.986000000004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5552.5423728813548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30225.528372881359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151.12764186440677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30376.656014745768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30376.656014745768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T30" sqref="T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1007.28</v>
      </c>
      <c r="K16" s="127">
        <f>$I16*T16</f>
        <v>293.79000000000002</v>
      </c>
      <c r="L16" s="118">
        <f>$I16*U16</f>
        <v>0</v>
      </c>
      <c r="M16" s="229">
        <f>I16-SUM(J16:L16)</f>
        <v>7092.93</v>
      </c>
      <c r="N16" s="248">
        <f>+(G16*D16+H16)*V16</f>
        <v>1586.440677966101</v>
      </c>
      <c r="O16" s="238">
        <f>(N16+M16)*$O$15</f>
        <v>43.396853389830504</v>
      </c>
      <c r="P16" s="310">
        <f>M16+N16+O16</f>
        <v>8722.7675313559303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1394.6879999999999</v>
      </c>
      <c r="K21" s="128">
        <f t="shared" si="1"/>
        <v>406.78400000000005</v>
      </c>
      <c r="L21" s="119">
        <f t="shared" si="1"/>
        <v>0</v>
      </c>
      <c r="M21" s="230">
        <f t="shared" si="2"/>
        <v>9820.9279999999999</v>
      </c>
      <c r="N21" s="277">
        <f t="shared" si="3"/>
        <v>2196.6101694915255</v>
      </c>
      <c r="O21" s="239">
        <f t="shared" si="4"/>
        <v>60.087690847457623</v>
      </c>
      <c r="P21" s="311">
        <f t="shared" si="5"/>
        <v>12077.625860338983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160</v>
      </c>
      <c r="I22" s="236">
        <f t="shared" si="0"/>
        <v>6276.8000000000011</v>
      </c>
      <c r="J22" s="272">
        <f t="shared" si="1"/>
        <v>753.21600000000012</v>
      </c>
      <c r="K22" s="128">
        <f t="shared" si="1"/>
        <v>219.68800000000005</v>
      </c>
      <c r="L22" s="119">
        <f t="shared" si="1"/>
        <v>0</v>
      </c>
      <c r="M22" s="230">
        <f t="shared" si="2"/>
        <v>5303.8960000000006</v>
      </c>
      <c r="N22" s="277">
        <f t="shared" si="3"/>
        <v>1220.3389830508468</v>
      </c>
      <c r="O22" s="239">
        <f t="shared" si="4"/>
        <v>32.621174915254237</v>
      </c>
      <c r="P22" s="311">
        <f t="shared" si="5"/>
        <v>6556.8561579661018</v>
      </c>
      <c r="Q22" s="156"/>
      <c r="S22" s="269">
        <v>0.12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0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520</v>
      </c>
      <c r="I25" s="114">
        <f t="shared" ref="I25:M25" si="10">SUM(I16:I24)</f>
        <v>29198.800000000003</v>
      </c>
      <c r="J25" s="274">
        <f>SUM(J16:J24)</f>
        <v>3503.8559999999998</v>
      </c>
      <c r="K25" s="275">
        <f t="shared" si="10"/>
        <v>1021.9580000000001</v>
      </c>
      <c r="L25" s="276">
        <f t="shared" si="10"/>
        <v>0</v>
      </c>
      <c r="M25" s="232">
        <f t="shared" si="10"/>
        <v>24672.986000000001</v>
      </c>
      <c r="N25" s="233">
        <f>SUM(N16:N24)</f>
        <v>5552.5423728813548</v>
      </c>
      <c r="O25" s="101">
        <f>SUM(O16:O24)</f>
        <v>151.12764186440677</v>
      </c>
      <c r="P25" s="113">
        <f>SUM(P16:P24)</f>
        <v>30376.656014745764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29198.800000000003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3503.8559999999998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1021.9580000000001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24672.986000000004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5552.5423728813548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30225.528372881359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151.1276418644068</v>
      </c>
    </row>
    <row r="35" spans="2:16" ht="15.75" customHeight="1" thickBot="1" x14ac:dyDescent="0.4">
      <c r="N35" s="373" t="s">
        <v>88</v>
      </c>
      <c r="O35" s="374"/>
      <c r="P35" s="297">
        <f>+P33+P34</f>
        <v>30376.656014745768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8.75" customHeight="1" x14ac:dyDescent="0.4">
      <c r="A6" s="399" t="s">
        <v>500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502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503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8.75" customHeight="1" x14ac:dyDescent="0.4">
      <c r="A6" s="399" t="s">
        <v>504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505</v>
      </c>
      <c r="B4" s="393"/>
      <c r="C4" s="393"/>
      <c r="F4" s="85"/>
      <c r="G4" s="1"/>
      <c r="K4" s="394" t="s">
        <v>44</v>
      </c>
      <c r="L4" s="394"/>
      <c r="M4" s="394"/>
      <c r="N4" s="397"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520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511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511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46259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2026-08-25T05:09:07Z</dcterms:modified>
</cp:coreProperties>
</file>