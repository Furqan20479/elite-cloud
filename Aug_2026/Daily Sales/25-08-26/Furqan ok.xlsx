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55A782E-B0FE-4461-937A-5EB610968EF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5" i="66" s="1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16" i="43"/>
  <c r="M22" i="43"/>
  <c r="M24" i="45"/>
  <c r="O24" i="45" s="1"/>
  <c r="P24" i="45" s="1"/>
  <c r="M16" i="64"/>
  <c r="M23" i="56"/>
  <c r="M16" i="65"/>
  <c r="O16" i="65" s="1"/>
  <c r="M24" i="47"/>
  <c r="O24" i="47" s="1"/>
  <c r="P24" i="47" s="1"/>
  <c r="M23" i="60"/>
  <c r="M16" i="48"/>
  <c r="M20" i="71"/>
  <c r="O20" i="71" s="1"/>
  <c r="P20" i="71" s="1"/>
  <c r="R20" i="71" s="1"/>
  <c r="M24" i="53"/>
  <c r="O24" i="53" s="1"/>
  <c r="P24" i="53" s="1"/>
  <c r="M23" i="58"/>
  <c r="O23" i="58" s="1"/>
  <c r="P23" i="58" s="1"/>
  <c r="M16" i="60"/>
  <c r="M16" i="58"/>
  <c r="O16" i="58" s="1"/>
  <c r="P16" i="58" s="1"/>
  <c r="M16" i="59"/>
  <c r="M24" i="46"/>
  <c r="O24" i="46" s="1"/>
  <c r="P24" i="46" s="1"/>
  <c r="M21" i="51"/>
  <c r="M23" i="72"/>
  <c r="O23" i="72" s="1"/>
  <c r="P23" i="72" s="1"/>
  <c r="M23" i="64"/>
  <c r="M24" i="71"/>
  <c r="M23" i="59"/>
  <c r="M23" i="44"/>
  <c r="O23" i="44" s="1"/>
  <c r="P23" i="44" s="1"/>
  <c r="M16" i="66"/>
  <c r="M16" i="44"/>
  <c r="M20" i="70"/>
  <c r="O20" i="70" s="1"/>
  <c r="P20" i="70" s="1"/>
  <c r="R20" i="70" s="1"/>
  <c r="M24" i="44"/>
  <c r="O24" i="44" s="1"/>
  <c r="P24" i="44" s="1"/>
  <c r="M23" i="65"/>
  <c r="J15" i="62"/>
  <c r="M16" i="72"/>
  <c r="M24" i="58"/>
  <c r="O24" i="58" s="1"/>
  <c r="P24" i="58" s="1"/>
  <c r="M24" i="43"/>
  <c r="O24" i="43" s="1"/>
  <c r="P24" i="43" s="1"/>
  <c r="M23" i="66"/>
  <c r="M23" i="54"/>
  <c r="O23" i="54" s="1"/>
  <c r="P23" i="54" s="1"/>
  <c r="M18" i="67"/>
  <c r="O18" i="67" s="1"/>
  <c r="P18" i="67" s="1"/>
  <c r="M21" i="53"/>
  <c r="O21" i="53" s="1"/>
  <c r="P21" i="53" s="1"/>
  <c r="M23" i="69"/>
  <c r="M23" i="53"/>
  <c r="O23" i="53" s="1"/>
  <c r="P23" i="53" s="1"/>
  <c r="M24" i="63"/>
  <c r="O24" i="63" s="1"/>
  <c r="P24" i="63" s="1"/>
  <c r="M21" i="68"/>
  <c r="O21" i="68" s="1"/>
  <c r="P21" i="68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8" i="43"/>
  <c r="P18" i="43" s="1"/>
  <c r="O23" i="64"/>
  <c r="P23" i="64" s="1"/>
  <c r="O24" i="71"/>
  <c r="P24" i="71" s="1"/>
  <c r="O23" i="59"/>
  <c r="P23" i="59" s="1"/>
  <c r="O23" i="69"/>
  <c r="P23" i="69" s="1"/>
  <c r="O16" i="67"/>
  <c r="P16" i="67" s="1"/>
  <c r="O24" i="48"/>
  <c r="P24" i="48" s="1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5" l="1"/>
  <c r="O25" i="48"/>
  <c r="P16" i="70"/>
  <c r="P25" i="70" s="1"/>
  <c r="O25" i="69"/>
  <c r="P24" i="55"/>
  <c r="P16" i="53"/>
  <c r="P25" i="53" s="1"/>
  <c r="O25" i="64"/>
  <c r="P23" i="55"/>
  <c r="P25" i="55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<sst xmlns="http://schemas.openxmlformats.org/spreadsheetml/2006/main" count="3978" uniqueCount="521">
  <si>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</si>
  <si>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</si>
  <si>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</si>
  <si>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</si>
  <si>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</si>
  <si>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</si>
  <si>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</si>
  <si>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</si>
  <si>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</si>
  <si>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</si>
  <si>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</si>
  <si>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</si>
  <si>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</si>
  <si>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</si>
  <si>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</si>
  <si>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</si>
  <si>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</si>
  <si>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</si>
  <si>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</si>
  <si>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</si>
  <si>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</si>
  <si>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</si>
  <si>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</si>
  <si>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</si>
  <si>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</si>
  <si>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</si>
  <si>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</si>
  <si>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</si>
  <si>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</si>
  <si>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</si>
  <si>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</si>
  <si>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</si>
  <si>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</si>
  <si>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</si>
  <si>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</si>
  <si>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</si>
  <si>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</si>
  <si>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</si>
  <si>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</si>
  <si>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</si>
  <si>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</si>
  <si>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</si>
  <si>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</si>
  <si>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</si>
  <si>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</si>
  <si>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</si>
  <si>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</si>
  <si>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</si>
  <si>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</si>
  <si>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</si>
  <si>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</si>
  <si>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</si>
  <si>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</si>
  <si>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</si>
  <si>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</si>
  <si>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</si>
  <si>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</si>
  <si>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</si>
  <si>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</si>
  <si>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</si>
  <si>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</si>
  <si>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</si>
  <si>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</si>
  <si>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</si>
  <si>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</si>
  <si>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</si>
  <si>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</si>
  <si>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</si>
  <si>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</si>
  <si>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</si>
  <si>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</si>
  <si>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</si>
  <si>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</si>
  <si>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</si>
  <si>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</si>
  <si>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</si>
  <si>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</si>
  <si>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</si>
  <si>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</si>
  <si>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</si>
  <si>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</si>
  <si>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</si>
  <si>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</si>
  <si>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</si>
  <si>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</si>
  <si>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</si>
  <si>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</si>
  <si>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</si>
  <si>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</si>
  <si>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</si>
  <si>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</si>
  <si>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</si>
  <si>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</si>
  <si>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</si>
  <si>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</si>
  <si>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</si>
  <si>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</si>
  <si>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</si>
  <si>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</si>
  <si>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</si>
  <si>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</si>
  <si>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</si>
  <si>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</si>
  <si>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</si>
  <si>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</si>
  <si>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</si>
  <si>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</si>
  <si>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</si>
  <si>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</si>
  <si>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</si>
  <si>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</si>
  <si>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</si>
  <si>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</si>
  <si>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</si>
  <si>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</si>
  <si>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</si>
  <si>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</si>
  <si>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</si>
  <si>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</si>
  <si>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</si>
  <si>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</si>
  <si>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</si>
  <si>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</si>
  <si>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</si>
  <si>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</si>
  <si>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</si>
  <si>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</si>
  <si>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</si>
  <si>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</si>
  <si>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</si>
  <si>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</si>
  <si>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</si>
  <si>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</si>
  <si>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</si>
  <si>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</si>
  <si>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</si>
  <si>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</si>
  <si>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</si>
  <si>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</si>
  <si>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</si>
  <si>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</si>
  <si>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</si>
  <si>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</si>
  <si>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</si>
  <si>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</si>
  <si>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</si>
  <si>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</si>
  <si>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</si>
  <si>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</si>
  <si>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</si>
  <si>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</si>
  <si>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</si>
  <si>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</si>
  <si>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</si>
  <si>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</si>
  <si>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</si>
  <si>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</si>
  <si>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</si>
  <si>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</si>
  <si>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</si>
  <si>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</si>
  <si>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</si>
  <si>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</si>
  <si>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</si>
  <si>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</si>
  <si>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</si>
  <si>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</si>
  <si>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</si>
  <si>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</si>
  <si>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</si>
  <si>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</si>
  <si>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</si>
  <si>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</si>
  <si>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</si>
  <si>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</si>
  <si>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</si>
  <si>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</si>
  <si>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</si>
  <si>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</si>
  <si>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</si>
  <si>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</si>
  <si>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</si>
  <si>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</si>
  <si>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</si>
  <si>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</si>
  <si>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</si>
  <si>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</si>
  <si>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</si>
  <si>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</si>
  <si>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</si>
  <si>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</si>
  <si>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</si>
  <si>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</si>
  <si>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</si>
  <si>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</si>
  <si>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</si>
  <si>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</si>
  <si>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</si>
  <si>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</si>
  <si>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</si>
  <si>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</si>
  <si>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</si>
  <si>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</si>
  <si>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</si>
  <si>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</si>
  <si>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</si>
  <si>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</si>
  <si>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</si>
  <si>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</si>
  <si>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</si>
  <si>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</si>
  <si>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</si>
  <si>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</si>
  <si>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</si>
  <si>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</si>
  <si>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</si>
  <si>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</si>
  <si>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</si>
  <si>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</si>
  <si>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</si>
  <si>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</si>
  <si>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</si>
  <si>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</si>
  <si>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</si>
  <si>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</si>
  <si>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</si>
  <si>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</si>
  <si>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</si>
  <si>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</si>
  <si>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</si>
  <si>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</si>
  <si>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</si>
  <si>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</si>
  <si>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</si>
  <si>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</si>
  <si>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</si>
  <si>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</si>
  <si>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</si>
  <si>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</si>
  <si>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</si>
  <si>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</si>
  <si>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</si>
  <si>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</si>
  <si>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</si>
  <si>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</si>
  <si>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</si>
  <si>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</si>
  <si>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</si>
  <si>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</si>
  <si>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</si>
  <si>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</si>
  <si>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</si>
  <si>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</si>
  <si>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</si>
  <si>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</si>
  <si>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</si>
  <si>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</si>
  <si>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</si>
  <si>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</si>
  <si>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</si>
  <si>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</si>
  <si>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</si>
  <si>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</si>
  <si>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</si>
  <si>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</si>
  <si>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</si>
  <si>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</si>
  <si>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</si>
  <si>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</si>
  <si>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</si>
  <si>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</si>
  <si>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</si>
  <si>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</si>
  <si>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</si>
  <si>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</si>
  <si>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</si>
  <si>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</si>
  <si>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</si>
  <si>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</si>
  <si>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</si>
  <si>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</si>
  <si>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</si>
  <si>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</si>
  <si>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</si>
  <si>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</si>
  <si>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</si>
  <si>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</si>
  <si>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</si>
  <si>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</si>
  <si>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</si>
  <si>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</si>
  <si>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</si>
  <si>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</si>
  <si>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</si>
  <si>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</si>
  <si>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</si>
  <si>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</si>
  <si>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</si>
  <si>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</si>
  <si>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</si>
  <si>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</si>
  <si>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</si>
  <si>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</si>
  <si>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</si>
  <si>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</si>
  <si>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</si>
  <si>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</si>
  <si>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</si>
  <si>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</si>
  <si>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</si>
  <si>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</si>
  <si>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</si>
  <si>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</si>
  <si>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</si>
  <si>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</si>
  <si>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</si>
  <si>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</si>
  <si>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</si>
  <si>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</si>
  <si>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</si>
  <si>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</si>
  <si>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</si>
  <si>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</si>
  <si>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</si>
  <si>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</si>
  <si>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</si>
  <si>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</si>
  <si>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</si>
  <si>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</si>
  <si>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</si>
  <si>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</si>
  <si>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</si>
  <si>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</si>
  <si>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</si>
  <si>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</si>
  <si>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</si>
  <si>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</si>
  <si>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</si>
  <si>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</si>
  <si>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</si>
  <si>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</si>
  <si>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</si>
  <si>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</si>
  <si>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</si>
  <si>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</si>
  <si>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</si>
  <si>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</si>
  <si>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</si>
  <si>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</si>
  <si>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</si>
  <si>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</si>
  <si>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</si>
  <si>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</si>
  <si>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</si>
  <si>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</si>
  <si>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</si>
  <si>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</si>
  <si>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</si>
  <si>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</si>
  <si>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</si>
  <si>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</si>
  <si>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</si>
  <si>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</si>
  <si>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</si>
  <si>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</si>
  <si>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</si>
  <si>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</si>
  <si>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</si>
  <si>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</si>
  <si>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</si>
  <si>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</si>
  <si>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</si>
  <si>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</si>
  <si>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</si>
  <si>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</si>
  <si>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</si>
  <si>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</si>
  <si>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</si>
  <si>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</si>
  <si>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</si>
  <si>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</si>
  <si>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</si>
  <si>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</si>
  <si>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</si>
  <si>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</si>
  <si>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</si>
  <si>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</si>
  <si>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</si>
  <si>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</si>
  <si>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</si>
  <si>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</si>
  <si>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</si>
  <si>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</si>
  <si>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</si>
  <si>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</si>
  <si>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</si>
  <si>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</si>
  <si>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</si>
  <si>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</si>
  <si>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</si>
  <si>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</si>
  <si>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</si>
  <si>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</si>
  <si>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</si>
  <si>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</si>
  <si>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</si>
  <si>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</si>
  <si>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</si>
  <si>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</si>
  <si>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</si>
  <si>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</si>
  <si>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</si>
  <si>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</si>
  <si>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</si>
  <si>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</si>
  <si>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</si>
  <si>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</si>
  <si>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</si>
  <si>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</si>
  <si>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</si>
  <si>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</si>
  <si>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</si>
  <si>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</si>
  <si>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</si>
  <si>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</si>
  <si>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</si>
  <si>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</si>
  <si>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</si>
  <si>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</si>
  <si>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</si>
  <si>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</si>
  <si>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</si>
  <si>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</si>
  <si>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</si>
  <si>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</si>
  <si>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</si>
  <si>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</si>
  <si>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</si>
  <si>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</si>
  <si>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</si>
  <si>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</si>
  <si>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</si>
  <si>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</si>
  <si>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</si>
  <si>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</si>
  <si>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</si>
  <si>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</si>
  <si>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</si>
  <si>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</si>
  <si>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</si>
  <si>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</si>
  <si>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</si>
  <si>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</si>
  <si>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</si>
  <si>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</si>
  <si>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</si>
  <si>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</si>
  <si>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</si>
  <si>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</si>
  <si>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</si>
  <si>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</si>
  <si>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</si>
  <si>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</si>
  <si>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</si>
  <si>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</si>
  <si>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</si>
  <si>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</si>
  <si>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</si>
  <si>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</si>
  <si>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</si>
  <si>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</si>
  <si>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</si>
  <si>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</si>
  <si>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</si>
  <si>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</si>
  <si>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</si>
  <si>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</si>
  <si>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</si>
  <si>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</si>
  <si>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</si>
  <si>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</si>
  <si>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</si>
  <si>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</si>
  <si>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</si>
  <si>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</si>
  <si>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</si>
  <si>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</si>
  <si>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</si>
  <si>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</si>
  <si>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</si>
  <si>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</si>
  <si>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</si>
  <si>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</si>
  <si>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</si>
  <si>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</si>
  <si>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</si>
  <si>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</si>
  <si>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</si>
  <si>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</si>
  <si>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</si>
  <si>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</si>
  <si>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</si>
  <si>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</si>
  <si>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</si>
  <si>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</si>
  <si>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</si>
  <si>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</si>
  <si>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</si>
  <si>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</si>
  <si>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</si>
  <si>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</si>
  <si>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</si>
  <si>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</si>
  <si>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</si>
  <si>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Address:  Rifal Range Road</t>
  </si>
  <si>
    <t>Haidre Store</t>
  </si>
  <si>
    <t>Aliza &amp; Brothers</t>
  </si>
  <si>
    <t>Imtyaz Store</t>
  </si>
  <si>
    <t>Al Aziz Store</t>
  </si>
  <si>
    <t>Address:  Fazlia Colony</t>
  </si>
  <si>
    <t xml:space="preserve">Chaudry Ferozen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</si>
</sst>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U10" sqref="U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46259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Haidre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Aliza &amp; Brothers</v>
      </c>
      <c r="T4" s="301">
        <f>+'2'!P35</f>
        <v>464.94608093771183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Imtyaz Store</v>
      </c>
      <c r="T5" s="301">
        <f>+'3'!P35</f>
        <v>1568.1057925423729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Al Aziz Store</v>
      </c>
      <c r="T6" s="301">
        <f>+'4'!P35</f>
        <v>1620.3789503771186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Chaudry Ferozen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22</v>
      </c>
      <c r="I10" s="236">
        <f t="shared" si="0"/>
        <v>1598.08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127.84640000000002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55.932800000000007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1414.3008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302.03389830508479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8.5816734915254251</v>
      </c>
      <c r="P10" s="311">
        <f t="shared" si="2"/>
        <v>1724.9163717966101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</v>
      </c>
      <c r="I13" s="236">
        <f t="shared" si="0"/>
        <v>117.69000000000001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5.884500000000001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4.1191500000000012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6.0021900000000006</v>
      </c>
      <c r="M13" s="230">
        <f t="shared" si="1"/>
        <v>101.68416000000001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22.881355932203377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0.62282757966101687</v>
      </c>
      <c r="P13" s="311">
        <f t="shared" si="2"/>
        <v>125.1883435118644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1.325</v>
      </c>
      <c r="H16" s="113">
        <f t="shared" ref="H16:M16" si="3">SUM(H7:H15)</f>
        <v>53</v>
      </c>
      <c r="I16" s="114">
        <f t="shared" si="3"/>
        <v>3386.4949999999999</v>
      </c>
      <c r="J16" s="274">
        <f>SUM(J7:J15)</f>
        <v>267.38890000000004</v>
      </c>
      <c r="K16" s="275">
        <f t="shared" si="3"/>
        <v>118.52732500000002</v>
      </c>
      <c r="L16" s="276">
        <f t="shared" si="3"/>
        <v>6.0021900000000006</v>
      </c>
      <c r="M16" s="232">
        <f t="shared" si="3"/>
        <v>2994.5765849999998</v>
      </c>
      <c r="N16" s="233">
        <f>SUM(N7:N15)</f>
        <v>640.67796610169489</v>
      </c>
      <c r="O16" s="101">
        <f>SUM(O7:O15)</f>
        <v>18.176272755508474</v>
      </c>
      <c r="P16" s="113">
        <f>SUM(P7:P15)</f>
        <v>3653.4308238572034</v>
      </c>
      <c r="Q16" s="128">
        <f>SUM(Q7:Q15)</f>
        <v>6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3386.4949999999999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267.38890000000004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124.52951500000002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2994.5765849999998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640.67796610169489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3635.2545511016947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18.176272755508474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3653.430823857203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3653.4308238572034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3</v>
      </c>
      <c r="I22" s="236">
        <f t="shared" si="0"/>
        <v>117.69000000000001</v>
      </c>
      <c r="J22" s="272">
        <f t="shared" si="1"/>
        <v>5.884500000000001</v>
      </c>
      <c r="K22" s="128">
        <f t="shared" si="1"/>
        <v>4.1191500000000012</v>
      </c>
      <c r="L22" s="119">
        <f t="shared" si="1"/>
        <v>6.0021900000000006</v>
      </c>
      <c r="M22" s="230">
        <f t="shared" si="2"/>
        <v>101.68416000000001</v>
      </c>
      <c r="N22" s="277">
        <f t="shared" si="3"/>
        <v>22.881355932203377</v>
      </c>
      <c r="O22" s="239">
        <f t="shared" si="4"/>
        <v>0.62282757966101687</v>
      </c>
      <c r="P22" s="311">
        <f t="shared" si="5"/>
        <v>125.1883435118644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9</v>
      </c>
      <c r="I25" s="114">
        <f t="shared" si="7"/>
        <v>432.46499999999997</v>
      </c>
      <c r="J25" s="274">
        <f>SUM(J16:J24)</f>
        <v>31.066499999999998</v>
      </c>
      <c r="K25" s="275">
        <f t="shared" si="7"/>
        <v>15.136275000000001</v>
      </c>
      <c r="L25" s="276">
        <f t="shared" si="7"/>
        <v>6.0021900000000006</v>
      </c>
      <c r="M25" s="232">
        <f t="shared" si="7"/>
        <v>380.26003500000002</v>
      </c>
      <c r="N25" s="233">
        <f>SUM(N16:N24)</f>
        <v>82.372881355932165</v>
      </c>
      <c r="O25" s="101">
        <f>SUM(O16:O24)</f>
        <v>2.3131645817796609</v>
      </c>
      <c r="P25" s="113">
        <f>SUM(P16:P24)</f>
        <v>464.94608093771183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432.46499999999997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31.066499999999998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21.138465000000004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380.26003499999996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82.372881355932165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462.63291635593214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2.3131645817796609</v>
      </c>
    </row>
    <row r="35" spans="2:16" ht="15.75" customHeight="1" thickBot="1" x14ac:dyDescent="0.4">
      <c r="N35" s="344" t="s">
        <v>88</v>
      </c>
      <c r="O35" s="345"/>
      <c r="P35" s="297">
        <f>+P33+P34</f>
        <v>464.94608093771183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1452.8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116.224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50.848000000000006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1285.7280000000001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1560.3042711864407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4" t="s">
        <v>88</v>
      </c>
      <c r="O35" s="345"/>
      <c r="P35" s="297">
        <f>+P33+P34</f>
        <v>1568.1057925423729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</v>
      </c>
      <c r="I25" s="114">
        <f t="shared" si="7"/>
        <v>1501.23</v>
      </c>
      <c r="J25" s="274">
        <f>SUM(J16:J24)</f>
        <v>120.0984</v>
      </c>
      <c r="K25" s="275">
        <f t="shared" si="7"/>
        <v>52.543050000000008</v>
      </c>
      <c r="L25" s="276">
        <f t="shared" si="7"/>
        <v>0</v>
      </c>
      <c r="M25" s="232">
        <f t="shared" si="7"/>
        <v>1328.5885499999999</v>
      </c>
      <c r="N25" s="233">
        <f>SUM(N16:N24)</f>
        <v>283.72881355932202</v>
      </c>
      <c r="O25" s="101">
        <f>SUM(O16:O24)</f>
        <v>8.0615868177966092</v>
      </c>
      <c r="P25" s="113">
        <f>SUM(P16:P24)</f>
        <v>1620.3789503771186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1501.23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120.0984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52.543050000000008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1328.5885499999999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1612.3173635593221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8.061586817796611</v>
      </c>
    </row>
    <row r="35" spans="2:16" ht="15.75" customHeight="1" thickBot="1" x14ac:dyDescent="0.4">
      <c r="N35" s="344" t="s">
        <v>88</v>
      </c>
      <c r="O35" s="345"/>
      <c r="P35" s="297">
        <f>+P33+P34</f>
        <v>1620.3789503771186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18" sqref="H18: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5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5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5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5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46260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46259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2026-08-25T09:53:36Z</dcterms:modified>
</cp:coreProperties>
</file>