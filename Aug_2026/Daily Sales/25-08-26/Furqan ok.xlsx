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F24F3A67-5E04-4C31-8DD8-9A0173AB68D0}" xr6:coauthVersionLast="47" xr6:coauthVersionMax="47" xr10:uidLastSave="{00000000-0000-0000-0000-000000000000}"/>
  <bookViews>
    <workbookView xWindow="-110" yWindow="-110" windowWidth="19420" windowHeight="10420" tabRatio="948" firstSheet="3" activeTab="8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N4" i="11" l="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44" l="1"/>
  <c r="N4" i="48"/>
  <c r="N4" i="52"/>
  <c r="N4" i="56"/>
  <c r="N4" i="60"/>
  <c r="N4" i="65"/>
  <c r="N4" i="69"/>
  <c r="N5" i="69" s="1"/>
  <c r="N4" i="43"/>
  <c r="N4" i="47"/>
  <c r="N4" i="55"/>
  <c r="N4" i="68"/>
  <c r="N4" i="45"/>
  <c r="N4" i="49"/>
  <c r="N4" i="53"/>
  <c r="N4" i="57"/>
  <c r="N4" i="61"/>
  <c r="N4" i="66"/>
  <c r="N5" i="66" s="1"/>
  <c r="N4" i="70"/>
  <c r="N4" i="46"/>
  <c r="N4" i="50"/>
  <c r="N4" i="54"/>
  <c r="N4" i="58"/>
  <c r="N4" i="63"/>
  <c r="N4" i="67"/>
  <c r="N5" i="67" s="1"/>
  <c r="N4" i="71"/>
  <c r="N4" i="51"/>
  <c r="N4" i="59"/>
  <c r="N4" i="64"/>
  <c r="N5" i="64" s="1"/>
  <c r="N4" i="72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M18" i="48" s="1"/>
  <c r="L18" i="51"/>
  <c r="K18" i="51"/>
  <c r="J18" i="51"/>
  <c r="J18" i="66"/>
  <c r="L18" i="66"/>
  <c r="K18" i="66"/>
  <c r="K24" i="47"/>
  <c r="J24" i="47"/>
  <c r="L24" i="47"/>
  <c r="L24" i="44"/>
  <c r="K24" i="44"/>
  <c r="J24" i="44"/>
  <c r="J24" i="63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J24" i="71"/>
  <c r="K23" i="43"/>
  <c r="J23" i="43"/>
  <c r="L23" i="43"/>
  <c r="L23" i="53"/>
  <c r="K23" i="53"/>
  <c r="J23" i="53"/>
  <c r="L23" i="52"/>
  <c r="K23" i="52"/>
  <c r="J23" i="52"/>
  <c r="M23" i="52" s="1"/>
  <c r="O23" i="52" s="1"/>
  <c r="P23" i="52" s="1"/>
  <c r="J23" i="57"/>
  <c r="K23" i="57"/>
  <c r="L23" i="57"/>
  <c r="J23" i="61"/>
  <c r="M23" i="61" s="1"/>
  <c r="O23" i="61" s="1"/>
  <c r="P23" i="61" s="1"/>
  <c r="K23" i="61"/>
  <c r="L23" i="61"/>
  <c r="L23" i="64"/>
  <c r="K23" i="64"/>
  <c r="J23" i="64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M24" i="56" s="1"/>
  <c r="O24" i="56" s="1"/>
  <c r="P24" i="56" s="1"/>
  <c r="K24" i="56"/>
  <c r="L24" i="56"/>
  <c r="L24" i="43"/>
  <c r="K24" i="43"/>
  <c r="J24" i="43"/>
  <c r="K24" i="53"/>
  <c r="L24" i="53"/>
  <c r="J24" i="53"/>
  <c r="J24" i="58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M23" i="49" s="1"/>
  <c r="O23" i="49" s="1"/>
  <c r="P23" i="49" s="1"/>
  <c r="K23" i="49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K12" i="62" l="1"/>
  <c r="M16" i="43"/>
  <c r="M22" i="43"/>
  <c r="M24" i="45"/>
  <c r="O24" i="45" s="1"/>
  <c r="P24" i="45" s="1"/>
  <c r="M16" i="64"/>
  <c r="M23" i="56"/>
  <c r="M16" i="65"/>
  <c r="O16" i="65" s="1"/>
  <c r="M24" i="47"/>
  <c r="O24" i="47" s="1"/>
  <c r="P24" i="47" s="1"/>
  <c r="M23" i="60"/>
  <c r="M16" i="48"/>
  <c r="M20" i="71"/>
  <c r="O20" i="71" s="1"/>
  <c r="P20" i="71" s="1"/>
  <c r="R20" i="71" s="1"/>
  <c r="M24" i="53"/>
  <c r="O24" i="53" s="1"/>
  <c r="P24" i="53" s="1"/>
  <c r="M23" i="58"/>
  <c r="O23" i="58" s="1"/>
  <c r="P23" i="58" s="1"/>
  <c r="M16" i="60"/>
  <c r="M16" i="58"/>
  <c r="O16" i="58" s="1"/>
  <c r="P16" i="58" s="1"/>
  <c r="M16" i="59"/>
  <c r="M24" i="46"/>
  <c r="O24" i="46" s="1"/>
  <c r="P24" i="46" s="1"/>
  <c r="M21" i="51"/>
  <c r="M23" i="72"/>
  <c r="O23" i="72" s="1"/>
  <c r="P23" i="72" s="1"/>
  <c r="M23" i="64"/>
  <c r="M24" i="71"/>
  <c r="M23" i="59"/>
  <c r="M23" i="44"/>
  <c r="O23" i="44" s="1"/>
  <c r="P23" i="44" s="1"/>
  <c r="M16" i="66"/>
  <c r="M16" i="44"/>
  <c r="M20" i="70"/>
  <c r="O20" i="70" s="1"/>
  <c r="P20" i="70" s="1"/>
  <c r="R20" i="70" s="1"/>
  <c r="M24" i="44"/>
  <c r="O24" i="44" s="1"/>
  <c r="P24" i="44" s="1"/>
  <c r="M23" i="65"/>
  <c r="J15" i="62"/>
  <c r="M16" i="72"/>
  <c r="M24" i="58"/>
  <c r="O24" i="58" s="1"/>
  <c r="P24" i="58" s="1"/>
  <c r="M24" i="43"/>
  <c r="O24" i="43" s="1"/>
  <c r="P24" i="43" s="1"/>
  <c r="M23" i="66"/>
  <c r="M23" i="54"/>
  <c r="O23" i="54" s="1"/>
  <c r="P23" i="54" s="1"/>
  <c r="M18" i="67"/>
  <c r="O18" i="67" s="1"/>
  <c r="P18" i="67" s="1"/>
  <c r="M21" i="53"/>
  <c r="O21" i="53" s="1"/>
  <c r="P21" i="53" s="1"/>
  <c r="M23" i="69"/>
  <c r="M23" i="53"/>
  <c r="O23" i="53" s="1"/>
  <c r="P23" i="53" s="1"/>
  <c r="M24" i="63"/>
  <c r="O24" i="63" s="1"/>
  <c r="P24" i="63" s="1"/>
  <c r="M21" i="68"/>
  <c r="O21" i="68" s="1"/>
  <c r="P21" i="68" s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18" i="43"/>
  <c r="P18" i="43" s="1"/>
  <c r="O23" i="64"/>
  <c r="P23" i="64" s="1"/>
  <c r="O24" i="71"/>
  <c r="P24" i="71" s="1"/>
  <c r="O23" i="59"/>
  <c r="P23" i="59" s="1"/>
  <c r="O23" i="69"/>
  <c r="P23" i="69" s="1"/>
  <c r="O16" i="67"/>
  <c r="P16" i="67" s="1"/>
  <c r="O24" i="48"/>
  <c r="P24" i="48" s="1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 s="1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O24" i="69"/>
  <c r="P24" i="69" s="1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M25" i="56"/>
  <c r="O16" i="56"/>
  <c r="O25" i="56" s="1"/>
  <c r="M25" i="55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55" l="1"/>
  <c r="O25" i="48"/>
  <c r="P16" i="70"/>
  <c r="P25" i="70" s="1"/>
  <c r="O25" i="69"/>
  <c r="P24" i="55"/>
  <c r="P16" i="53"/>
  <c r="P25" i="53" s="1"/>
  <c r="O25" i="64"/>
  <c r="P23" i="55"/>
  <c r="P25" i="55" s="1"/>
  <c r="O25" i="52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4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<sst xmlns="http://schemas.openxmlformats.org/spreadsheetml/2006/main" count="3978" uniqueCount="521">
  <si>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</si>
  <si>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</si>
  <si>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</si>
  <si>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</si>
  <si>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</si>
  <si>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</si>
  <si>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</si>
  <si>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</si>
  <si>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</si>
  <si>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</si>
  <si>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</si>
  <si>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</si>
  <si>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</si>
  <si>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</si>
  <si>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</si>
  <si>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</si>
  <si>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</si>
  <si>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</si>
  <si>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</si>
  <si>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</si>
  <si>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</si>
  <si>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</si>
  <si>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</si>
  <si>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</si>
  <si>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</si>
  <si>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</si>
  <si>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</si>
  <si>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</si>
  <si>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</si>
  <si>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</si>
  <si>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</si>
  <si>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</si>
  <si>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</si>
  <si>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</si>
  <si>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</si>
  <si>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</si>
  <si>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</si>
  <si>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</si>
  <si>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</si>
  <si>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</si>
  <si>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</si>
  <si>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</si>
  <si>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</si>
  <si>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</si>
  <si>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</si>
  <si>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</si>
  <si>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</si>
  <si>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</si>
  <si>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</si>
  <si>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</si>
  <si>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</si>
  <si>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</si>
  <si>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</si>
  <si>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</si>
  <si>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</si>
  <si>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</si>
  <si>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</si>
  <si>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</si>
  <si>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</si>
  <si>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</si>
  <si>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</si>
  <si>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</si>
  <si>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</si>
  <si>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</si>
  <si>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</si>
  <si>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</si>
  <si>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</si>
  <si>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</si>
  <si>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</si>
  <si>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</si>
  <si>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</si>
  <si>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</si>
  <si>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</si>
  <si>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</si>
  <si>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</si>
  <si>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</si>
  <si>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</si>
  <si>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</si>
  <si>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</si>
  <si>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</si>
  <si>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</si>
  <si>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</si>
  <si>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</si>
  <si>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</si>
  <si>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</si>
  <si>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</si>
  <si>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</si>
  <si>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</si>
  <si>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</si>
  <si>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</si>
  <si>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</si>
  <si>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</si>
  <si>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</si>
  <si>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</si>
  <si>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</si>
  <si>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</si>
  <si>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</si>
  <si>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</si>
  <si>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</si>
  <si>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</si>
  <si>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</si>
  <si>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</si>
  <si>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</si>
  <si>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</si>
  <si>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</si>
  <si>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</si>
  <si>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</si>
  <si>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</si>
  <si>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</si>
  <si>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</si>
  <si>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</si>
  <si>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</si>
  <si>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</si>
  <si>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</si>
  <si>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</si>
  <si>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</si>
  <si>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</si>
  <si>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</si>
  <si>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</si>
  <si>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</si>
  <si>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</si>
  <si>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</si>
  <si>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</si>
  <si>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</si>
  <si>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</si>
  <si>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</si>
  <si>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</si>
  <si>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</si>
  <si>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</si>
  <si>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</si>
  <si>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</si>
  <si>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</si>
  <si>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</si>
  <si>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</si>
  <si>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</si>
  <si>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</si>
  <si>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</si>
  <si>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</si>
  <si>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</si>
  <si>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</si>
  <si>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</si>
  <si>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</si>
  <si>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</si>
  <si>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</si>
  <si>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</si>
  <si>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</si>
  <si>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</si>
  <si>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</si>
  <si>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</si>
  <si>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</si>
  <si>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</si>
  <si>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</si>
  <si>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</si>
  <si>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</si>
  <si>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</si>
  <si>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</si>
  <si>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</si>
  <si>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</si>
  <si>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</si>
  <si>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</si>
  <si>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</si>
  <si>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</si>
  <si>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</si>
  <si>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</si>
  <si>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</si>
  <si>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</si>
  <si>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</si>
  <si>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</si>
  <si>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</si>
  <si>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</si>
  <si>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</si>
  <si>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</si>
  <si>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</si>
  <si>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</si>
  <si>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</si>
  <si>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</si>
  <si>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</si>
  <si>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</si>
  <si>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</si>
  <si>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</si>
  <si>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</si>
  <si>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</si>
  <si>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</si>
  <si>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</si>
  <si>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</si>
  <si>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</si>
  <si>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</si>
  <si>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</si>
  <si>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</si>
  <si>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</si>
  <si>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</si>
  <si>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</si>
  <si>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</si>
  <si>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</si>
  <si>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</si>
  <si>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</si>
  <si>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</si>
  <si>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</si>
  <si>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</si>
  <si>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</si>
  <si>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</si>
  <si>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</si>
  <si>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</si>
  <si>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</si>
  <si>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</si>
  <si>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</si>
  <si>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</si>
  <si>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</si>
  <si>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</si>
  <si>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</si>
  <si>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</si>
  <si>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</si>
  <si>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</si>
  <si>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</si>
  <si>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</si>
  <si>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</si>
  <si>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</si>
  <si>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</si>
  <si>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</si>
  <si>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</si>
  <si>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</si>
  <si>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</si>
  <si>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</si>
  <si>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</si>
  <si>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</si>
  <si>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</si>
  <si>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</si>
  <si>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</si>
  <si>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</si>
  <si>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</si>
  <si>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</si>
  <si>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</si>
  <si>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</si>
  <si>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</si>
  <si>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</si>
  <si>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</si>
  <si>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</si>
  <si>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</si>
  <si>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</si>
  <si>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</si>
  <si>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</si>
  <si>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</si>
  <si>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</si>
  <si>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</si>
  <si>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</si>
  <si>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</si>
  <si>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</si>
  <si>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</si>
  <si>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</si>
  <si>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</si>
  <si>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</si>
  <si>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</si>
  <si>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</si>
  <si>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</si>
  <si>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</si>
  <si>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</si>
  <si>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</si>
  <si>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</si>
  <si>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</si>
  <si>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</si>
  <si>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</si>
  <si>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</si>
  <si>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</si>
  <si>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</si>
  <si>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</si>
  <si>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</si>
  <si>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</si>
  <si>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</si>
  <si>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</si>
  <si>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</si>
  <si>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</si>
  <si>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</si>
  <si>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</si>
  <si>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</si>
  <si>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</si>
  <si>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</si>
  <si>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</si>
  <si>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</si>
  <si>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</si>
  <si>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</si>
  <si>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</si>
  <si>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</si>
  <si>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</si>
  <si>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</si>
  <si>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</si>
  <si>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</si>
  <si>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</si>
  <si>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</si>
  <si>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</si>
  <si>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</si>
  <si>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</si>
  <si>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</si>
  <si>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</si>
  <si>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</si>
  <si>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</si>
  <si>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</si>
  <si>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</si>
  <si>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</si>
  <si>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</si>
  <si>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</si>
  <si>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</si>
  <si>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</si>
  <si>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</si>
  <si>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</si>
  <si>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</si>
  <si>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</si>
  <si>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</si>
  <si>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</si>
  <si>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</si>
  <si>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</si>
  <si>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</si>
  <si>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</si>
  <si>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</si>
  <si>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</si>
  <si>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</si>
  <si>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</si>
  <si>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</si>
  <si>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</si>
  <si>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</si>
  <si>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</si>
  <si>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</si>
  <si>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</si>
  <si>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</si>
  <si>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</si>
  <si>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</si>
  <si>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</si>
  <si>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</si>
  <si>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</si>
  <si>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</si>
  <si>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</si>
  <si>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</si>
  <si>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</si>
  <si>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</si>
  <si>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</si>
  <si>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</si>
  <si>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</si>
  <si>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</si>
  <si>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</si>
  <si>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</si>
  <si>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</si>
  <si>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</si>
  <si>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</si>
  <si>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</si>
  <si>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</si>
  <si>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</si>
  <si>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</si>
  <si>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</si>
  <si>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</si>
  <si>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</si>
  <si>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</si>
  <si>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</si>
  <si>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</si>
  <si>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</si>
  <si>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</si>
  <si>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</si>
  <si>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</si>
  <si>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</si>
  <si>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</si>
  <si>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</si>
  <si>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</si>
  <si>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</si>
  <si>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</si>
  <si>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</si>
  <si>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</si>
  <si>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</si>
  <si>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</si>
  <si>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</si>
  <si>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</si>
  <si>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</si>
  <si>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</si>
  <si>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</si>
  <si>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</si>
  <si>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</si>
  <si>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</si>
  <si>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</si>
  <si>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</si>
  <si>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</si>
  <si>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</si>
  <si>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</si>
  <si>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</si>
  <si>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</si>
  <si>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</si>
  <si>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</si>
  <si>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</si>
  <si>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</si>
  <si>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</si>
  <si>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</si>
  <si>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</si>
  <si>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</si>
  <si>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</si>
  <si>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</si>
  <si>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</si>
  <si>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</si>
  <si>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</si>
  <si>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</si>
  <si>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</si>
  <si>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</si>
  <si>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</si>
  <si>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</si>
  <si>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</si>
  <si>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</si>
  <si>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</si>
  <si>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</si>
  <si>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</si>
  <si>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</si>
  <si>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</si>
  <si>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</si>
  <si>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</si>
  <si>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</si>
  <si>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</si>
  <si>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</si>
  <si>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</si>
  <si>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</si>
  <si>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</si>
  <si>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</si>
  <si>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</si>
  <si>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</si>
  <si>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</si>
  <si>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</si>
  <si>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</si>
  <si>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</si>
  <si>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</si>
  <si>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</si>
  <si>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</si>
  <si>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</si>
  <si>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</si>
  <si>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</si>
  <si>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</si>
  <si>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</si>
  <si>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</si>
  <si>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</si>
  <si>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</si>
  <si>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</si>
  <si>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</si>
  <si>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</si>
  <si>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</si>
  <si>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</si>
  <si>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</si>
  <si>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</si>
  <si>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</si>
  <si>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</si>
  <si>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</si>
  <si>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</si>
  <si>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</si>
  <si>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</si>
  <si>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</si>
  <si>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</si>
  <si>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</si>
  <si>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</si>
  <si>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</si>
  <si>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</si>
  <si>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</si>
  <si>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</si>
  <si>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</si>
  <si>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</si>
  <si>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</si>
  <si>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</si>
  <si>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</si>
  <si>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</si>
  <si>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</si>
  <si>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</si>
  <si>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</si>
  <si>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</si>
  <si>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</si>
  <si>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</si>
  <si>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</si>
  <si>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</si>
  <si>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</si>
  <si>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</si>
  <si>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</si>
  <si>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</si>
  <si>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</si>
  <si>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</si>
  <si>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</si>
  <si>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</si>
  <si>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</si>
  <si>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</si>
  <si>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</si>
  <si>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</si>
  <si>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</si>
  <si>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</si>
  <si>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</si>
  <si>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</si>
  <si>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</si>
  <si>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</si>
  <si>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</si>
  <si>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</si>
  <si>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</si>
  <si>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</si>
  <si>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</si>
  <si>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</si>
  <si>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</si>
  <si>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</si>
  <si>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</si>
  <si>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</si>
  <si>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</si>
  <si>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</si>
  <si>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</si>
  <si>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</si>
  <si>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</si>
  <si>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</si>
  <si>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</si>
  <si>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</si>
  <si>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</si>
  <si>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</si>
  <si>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</si>
  <si>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</si>
  <si>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</si>
  <si>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</si>
  <si>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</si>
  <si>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</si>
  <si>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</si>
  <si>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</si>
  <si>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Furqan</t>
  </si>
  <si>
    <t>Address:  Rifal Range Road</t>
  </si>
  <si>
    <t>Haidre Store</t>
  </si>
  <si>
    <t>Aliza &amp; Brothers</t>
  </si>
  <si>
    <t>Imtyaz Store</t>
  </si>
  <si>
    <t>Al Aziz Store</t>
  </si>
  <si>
    <t>Address:  Fazlia Colony</t>
  </si>
  <si>
    <t xml:space="preserve">Chaudry Ferozen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</si>
</sst>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opLeftCell="A4" workbookViewId="0">
      <selection activeCell="U10" sqref="U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2" t="s">
        <v>91</v>
      </c>
      <c r="B2" s="392"/>
      <c r="C2" s="392"/>
      <c r="E2" s="384" t="s">
        <v>498</v>
      </c>
      <c r="F2" s="385"/>
      <c r="G2" s="385"/>
      <c r="H2" s="382" t="s">
        <v>513</v>
      </c>
      <c r="I2" s="382"/>
      <c r="J2" s="383"/>
      <c r="R2" s="379" t="s">
        <v>497</v>
      </c>
      <c r="S2" s="380"/>
      <c r="T2" s="381"/>
    </row>
    <row r="3" spans="1:20 16377:16378" ht="21.75" customHeight="1" thickBot="1" x14ac:dyDescent="0.4">
      <c r="A3" s="393" t="s">
        <v>92</v>
      </c>
      <c r="B3" s="393"/>
      <c r="C3" s="393"/>
      <c r="E3" s="388" t="s">
        <v>508</v>
      </c>
      <c r="F3" s="389"/>
      <c r="G3" s="389"/>
      <c r="H3" s="386">
        <v>46259</v>
      </c>
      <c r="I3" s="386"/>
      <c r="J3" s="387"/>
      <c r="K3" s="394" t="s">
        <v>43</v>
      </c>
      <c r="L3" s="394"/>
      <c r="M3" s="394"/>
      <c r="N3" s="393"/>
      <c r="O3" s="393"/>
      <c r="P3" s="393"/>
      <c r="R3" s="299">
        <v>1</v>
      </c>
      <c r="S3" s="300" t="str">
        <f>+'1'!A6:A6</f>
        <v>Haidre Store</v>
      </c>
      <c r="T3" s="301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9">
        <v>46258</v>
      </c>
      <c r="R4" s="299">
        <v>2</v>
      </c>
      <c r="S4" s="300" t="str">
        <f>+'2'!A6:A6</f>
        <v>Aliza &amp; Brothers</v>
      </c>
      <c r="T4" s="301">
        <f>+'2'!P35</f>
        <v>464.94608093771183</v>
      </c>
      <c r="XEX4" t="s">
        <v>105</v>
      </c>
    </row>
    <row r="5" spans="1:20 16377:16378" ht="21.75" customHeight="1" thickBot="1" x14ac:dyDescent="0.4">
      <c r="A5" s="344" t="s">
        <v>51</v>
      </c>
      <c r="B5" s="345"/>
      <c r="C5" s="348" t="s">
        <v>90</v>
      </c>
      <c r="D5" s="115" t="s">
        <v>52</v>
      </c>
      <c r="E5" s="350" t="s">
        <v>58</v>
      </c>
      <c r="F5" s="351"/>
      <c r="G5" s="352" t="s">
        <v>54</v>
      </c>
      <c r="H5" s="353"/>
      <c r="I5" s="354" t="s">
        <v>77</v>
      </c>
      <c r="J5" s="391" t="s">
        <v>55</v>
      </c>
      <c r="K5" s="352"/>
      <c r="L5" s="353"/>
      <c r="M5" s="345" t="s">
        <v>84</v>
      </c>
      <c r="N5" s="390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>Imtyaz Store</v>
      </c>
      <c r="T5" s="301">
        <f>+'3'!P35</f>
        <v>1568.1057925423729</v>
      </c>
      <c r="XEX5" t="s">
        <v>106</v>
      </c>
    </row>
    <row r="6" spans="1:20 16377:16378" ht="21.75" customHeight="1" thickBot="1" x14ac:dyDescent="0.4">
      <c r="A6" s="346"/>
      <c r="B6" s="347"/>
      <c r="C6" s="349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5"/>
      <c r="J6" s="143" t="s">
        <v>59</v>
      </c>
      <c r="K6" s="144" t="s">
        <v>39</v>
      </c>
      <c r="L6" s="145" t="s">
        <v>493</v>
      </c>
      <c r="M6" s="347"/>
      <c r="N6" s="355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Al Aziz Store</v>
      </c>
      <c r="T6" s="301">
        <f>+'4'!P35</f>
        <v>1620.3789503771186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6</v>
      </c>
      <c r="I7" s="235">
        <f>(G7*D7)*F7+H7*F7</f>
        <v>314.77499999999998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25.181999999999999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11.017125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278.575875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59.491525423728788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1.6903370021186439</v>
      </c>
      <c r="P7" s="310">
        <f>M7+N7+O7</f>
        <v>339.75773742584744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 xml:space="preserve">Chaudry Ferozen 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12</v>
      </c>
      <c r="I8" s="236">
        <f t="shared" ref="I8:I14" si="0">(G8*D8)*F8+H8*F8</f>
        <v>629.54999999999995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50.363999999999997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22.03425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557.15174999999999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118.98305084745758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3.3806740042372878</v>
      </c>
      <c r="P8" s="311">
        <f t="shared" ref="P8:P15" si="2">M8+N8+O8</f>
        <v>679.51547485169488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6</v>
      </c>
      <c r="R8" s="314">
        <v>6</v>
      </c>
      <c r="S8" s="300" t="str">
        <f>+'6'!A6:A6</f>
        <v>Shop name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Shop name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22</v>
      </c>
      <c r="I10" s="236">
        <f t="shared" si="0"/>
        <v>1598.08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127.84640000000002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55.932800000000007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1414.3008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302.03389830508479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8.5816734915254251</v>
      </c>
      <c r="P10" s="311">
        <f t="shared" si="2"/>
        <v>1724.9163717966101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10</v>
      </c>
      <c r="I11" s="236">
        <f t="shared" si="0"/>
        <v>726.4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58.112000000000002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25.424000000000003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642.86400000000003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137.28813559322035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3.9007606779661019</v>
      </c>
      <c r="P11" s="311">
        <f t="shared" si="2"/>
        <v>784.05289627118646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0</v>
      </c>
      <c r="I12" s="236">
        <f t="shared" si="0"/>
        <v>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0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0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0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0</v>
      </c>
      <c r="P12" s="311">
        <f t="shared" si="2"/>
        <v>0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3</v>
      </c>
      <c r="I13" s="236">
        <f t="shared" si="0"/>
        <v>117.69000000000001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5.884500000000001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4.1191500000000012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6.0021900000000006</v>
      </c>
      <c r="M13" s="230">
        <f t="shared" si="1"/>
        <v>101.68416000000001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22.881355932203377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0.62282757966101687</v>
      </c>
      <c r="P13" s="311">
        <f t="shared" si="2"/>
        <v>125.1883435118644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5">
        <f>COUNT(A7:A15)</f>
        <v>0</v>
      </c>
      <c r="B16" s="356"/>
      <c r="C16" s="356" t="s">
        <v>40</v>
      </c>
      <c r="D16" s="356"/>
      <c r="E16" s="356"/>
      <c r="F16" s="357"/>
      <c r="G16" s="117">
        <f>H16/40</f>
        <v>1.325</v>
      </c>
      <c r="H16" s="113">
        <f t="shared" ref="H16:M16" si="3">SUM(H7:H15)</f>
        <v>53</v>
      </c>
      <c r="I16" s="114">
        <f t="shared" si="3"/>
        <v>3386.4949999999999</v>
      </c>
      <c r="J16" s="274">
        <f>SUM(J7:J15)</f>
        <v>267.38890000000004</v>
      </c>
      <c r="K16" s="275">
        <f t="shared" si="3"/>
        <v>118.52732500000002</v>
      </c>
      <c r="L16" s="276">
        <f t="shared" si="3"/>
        <v>6.0021900000000006</v>
      </c>
      <c r="M16" s="232">
        <f t="shared" si="3"/>
        <v>2994.5765849999998</v>
      </c>
      <c r="N16" s="233">
        <f>SUM(N7:N15)</f>
        <v>640.67796610169489</v>
      </c>
      <c r="O16" s="101">
        <f>SUM(O7:O15)</f>
        <v>18.176272755508474</v>
      </c>
      <c r="P16" s="113">
        <f>SUM(P7:P15)</f>
        <v>3653.4308238572034</v>
      </c>
      <c r="Q16" s="128">
        <f>SUM(Q7:Q15)</f>
        <v>6</v>
      </c>
      <c r="R16" s="314">
        <v>14</v>
      </c>
      <c r="S16" s="318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8" t="s">
        <v>64</v>
      </c>
      <c r="C19" s="359"/>
      <c r="D19" s="359"/>
      <c r="E19" s="359"/>
      <c r="F19" s="359"/>
      <c r="G19" s="359"/>
      <c r="H19" s="359"/>
      <c r="I19" s="359"/>
      <c r="J19" s="359"/>
      <c r="K19" s="359"/>
      <c r="L19" s="360"/>
      <c r="N19" s="367" t="s">
        <v>60</v>
      </c>
      <c r="O19" s="368"/>
      <c r="P19" s="139">
        <f>I16</f>
        <v>3386.4949999999999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1"/>
      <c r="C20" s="362"/>
      <c r="D20" s="362"/>
      <c r="E20" s="362"/>
      <c r="F20" s="362"/>
      <c r="G20" s="362"/>
      <c r="H20" s="362"/>
      <c r="I20" s="362"/>
      <c r="J20" s="362"/>
      <c r="K20" s="362"/>
      <c r="L20" s="363"/>
      <c r="N20" s="369" t="s">
        <v>85</v>
      </c>
      <c r="O20" s="370"/>
      <c r="P20" s="140">
        <f>+J16</f>
        <v>267.38890000000004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1"/>
      <c r="C21" s="362"/>
      <c r="D21" s="362"/>
      <c r="E21" s="362"/>
      <c r="F21" s="362"/>
      <c r="G21" s="362"/>
      <c r="H21" s="362"/>
      <c r="I21" s="362"/>
      <c r="J21" s="362"/>
      <c r="K21" s="362"/>
      <c r="L21" s="363"/>
      <c r="N21" s="369" t="s">
        <v>86</v>
      </c>
      <c r="O21" s="370"/>
      <c r="P21" s="140">
        <f>+K16+L16</f>
        <v>124.52951500000002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1"/>
      <c r="C22" s="362"/>
      <c r="D22" s="362"/>
      <c r="E22" s="362"/>
      <c r="F22" s="362"/>
      <c r="G22" s="362"/>
      <c r="H22" s="362"/>
      <c r="I22" s="362"/>
      <c r="J22" s="362"/>
      <c r="K22" s="362"/>
      <c r="L22" s="363"/>
      <c r="M22" s="131"/>
      <c r="N22" s="369" t="s">
        <v>87</v>
      </c>
      <c r="O22" s="370"/>
      <c r="P22" s="140">
        <f>P19-P20-P21</f>
        <v>2994.5765849999998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1"/>
      <c r="C23" s="362"/>
      <c r="D23" s="362"/>
      <c r="E23" s="362"/>
      <c r="F23" s="362"/>
      <c r="G23" s="362"/>
      <c r="H23" s="362"/>
      <c r="I23" s="362"/>
      <c r="J23" s="362"/>
      <c r="K23" s="362"/>
      <c r="L23" s="363"/>
      <c r="M23" s="131"/>
      <c r="N23" s="136" t="s">
        <v>61</v>
      </c>
      <c r="O23" s="133">
        <v>0.18</v>
      </c>
      <c r="P23" s="140">
        <f>+N16</f>
        <v>640.67796610169489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1"/>
      <c r="C24" s="362"/>
      <c r="D24" s="362"/>
      <c r="E24" s="362"/>
      <c r="F24" s="362"/>
      <c r="G24" s="362"/>
      <c r="H24" s="362"/>
      <c r="I24" s="362"/>
      <c r="J24" s="362"/>
      <c r="K24" s="362"/>
      <c r="L24" s="363"/>
      <c r="M24" s="131"/>
      <c r="N24" s="371" t="s">
        <v>76</v>
      </c>
      <c r="O24" s="372"/>
      <c r="P24" s="140">
        <f>P22+P23</f>
        <v>3635.2545511016947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4"/>
      <c r="C25" s="365"/>
      <c r="D25" s="365"/>
      <c r="E25" s="365"/>
      <c r="F25" s="365"/>
      <c r="G25" s="365"/>
      <c r="H25" s="365"/>
      <c r="I25" s="365"/>
      <c r="J25" s="365"/>
      <c r="K25" s="365"/>
      <c r="L25" s="366"/>
      <c r="M25" s="99"/>
      <c r="N25" s="138" t="s">
        <v>83</v>
      </c>
      <c r="O25" s="137" t="e">
        <f>IF(#REF!="Filer",0.5%,2.5%)</f>
        <v>#REF!</v>
      </c>
      <c r="P25" s="140">
        <f>+O16</f>
        <v>18.176272755508474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3" t="s">
        <v>88</v>
      </c>
      <c r="O26" s="374"/>
      <c r="P26" s="297">
        <f>+P24+P25</f>
        <v>3653.430823857203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5"/>
      <c r="D27" s="375"/>
      <c r="E27" s="375"/>
      <c r="F27" s="375"/>
      <c r="G27" s="375"/>
      <c r="H27" s="375"/>
      <c r="I27" s="376"/>
      <c r="J27" s="377"/>
      <c r="K27" s="378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3653.4308238572034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10" workbookViewId="0">
      <selection activeCell="H18" sqref="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Summary!H3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7.25" customHeight="1" x14ac:dyDescent="0.4">
      <c r="A6" s="399" t="s">
        <v>515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>
        <v>6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6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6</v>
      </c>
      <c r="I16" s="235">
        <f>(G16*D16)*F16+H16*F16</f>
        <v>314.77499999999998</v>
      </c>
      <c r="J16" s="271">
        <f>$I16*S16</f>
        <v>25.181999999999999</v>
      </c>
      <c r="K16" s="127">
        <f>$I16*T16</f>
        <v>11.017125</v>
      </c>
      <c r="L16" s="118">
        <f>$I16*U16</f>
        <v>0</v>
      </c>
      <c r="M16" s="229">
        <f>I16-SUM(J16:L16)</f>
        <v>278.575875</v>
      </c>
      <c r="N16" s="248">
        <f>+(G16*D16+H16)*V16</f>
        <v>59.491525423728788</v>
      </c>
      <c r="O16" s="238">
        <f>(N16+M16)*$O$15</f>
        <v>1.6903370021186439</v>
      </c>
      <c r="P16" s="310">
        <f>M16+N16+O16</f>
        <v>339.75773742584744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3</v>
      </c>
      <c r="I22" s="236">
        <f t="shared" si="0"/>
        <v>117.69000000000001</v>
      </c>
      <c r="J22" s="272">
        <f t="shared" si="1"/>
        <v>5.884500000000001</v>
      </c>
      <c r="K22" s="128">
        <f t="shared" si="1"/>
        <v>4.1191500000000012</v>
      </c>
      <c r="L22" s="119">
        <f t="shared" si="1"/>
        <v>6.0021900000000006</v>
      </c>
      <c r="M22" s="230">
        <f t="shared" si="2"/>
        <v>101.68416000000001</v>
      </c>
      <c r="N22" s="277">
        <f t="shared" si="3"/>
        <v>22.881355932203377</v>
      </c>
      <c r="O22" s="239">
        <f t="shared" si="4"/>
        <v>0.62282757966101687</v>
      </c>
      <c r="P22" s="311">
        <f t="shared" si="5"/>
        <v>125.1883435118644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9</v>
      </c>
      <c r="I25" s="114">
        <f t="shared" si="7"/>
        <v>432.46499999999997</v>
      </c>
      <c r="J25" s="274">
        <f>SUM(J16:J24)</f>
        <v>31.066499999999998</v>
      </c>
      <c r="K25" s="275">
        <f t="shared" si="7"/>
        <v>15.136275000000001</v>
      </c>
      <c r="L25" s="276">
        <f t="shared" si="7"/>
        <v>6.0021900000000006</v>
      </c>
      <c r="M25" s="232">
        <f t="shared" si="7"/>
        <v>380.26003500000002</v>
      </c>
      <c r="N25" s="233">
        <f>SUM(N16:N24)</f>
        <v>82.372881355932165</v>
      </c>
      <c r="O25" s="101">
        <f>SUM(O16:O24)</f>
        <v>2.3131645817796609</v>
      </c>
      <c r="P25" s="113">
        <f>SUM(P16:P24)</f>
        <v>464.94608093771183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432.46499999999997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31.066499999999998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21.138465000000004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380.26003499999996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82.372881355932165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462.63291635593214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2.3131645817796609</v>
      </c>
    </row>
    <row r="35" spans="2:16" ht="15.75" customHeight="1" thickBot="1" x14ac:dyDescent="0.4">
      <c r="N35" s="373" t="s">
        <v>88</v>
      </c>
      <c r="O35" s="374"/>
      <c r="P35" s="297">
        <f>+P33+P34</f>
        <v>464.94608093771183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8.75" customHeight="1" x14ac:dyDescent="0.4">
      <c r="A6" s="399" t="s">
        <v>517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311">
        <f t="shared" si="5"/>
        <v>784.05289627118646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311">
        <f t="shared" si="5"/>
        <v>784.05289627118646</v>
      </c>
      <c r="Q20" s="156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20</v>
      </c>
      <c r="I25" s="114">
        <f t="shared" si="7"/>
        <v>1452.8</v>
      </c>
      <c r="J25" s="274">
        <f>SUM(J16:J24)</f>
        <v>116.224</v>
      </c>
      <c r="K25" s="275">
        <f t="shared" si="7"/>
        <v>50.848000000000006</v>
      </c>
      <c r="L25" s="276">
        <f t="shared" si="7"/>
        <v>0</v>
      </c>
      <c r="M25" s="232">
        <f t="shared" si="7"/>
        <v>1285.7280000000001</v>
      </c>
      <c r="N25" s="233">
        <f>SUM(N16:N24)</f>
        <v>274.57627118644069</v>
      </c>
      <c r="O25" s="101">
        <f>SUM(O16:O24)</f>
        <v>7.8015213559322039</v>
      </c>
      <c r="P25" s="113">
        <f>SUM(P16:P24)</f>
        <v>1568.1057925423729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1452.8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116.224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50.848000000000006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1285.7280000000001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274.57627118644069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1560.3042711864407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7.8015213559322039</v>
      </c>
    </row>
    <row r="35" spans="2:16" ht="15.75" customHeight="1" thickBot="1" x14ac:dyDescent="0.4">
      <c r="N35" s="373" t="s">
        <v>88</v>
      </c>
      <c r="O35" s="374"/>
      <c r="P35" s="297">
        <f>+P33+P34</f>
        <v>1568.1057925423729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activeCell="H9" sqref="H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</v>
      </c>
      <c r="I17" s="236">
        <f t="shared" ref="I17:I23" si="0">(G17*D17)*F17+H17*F17</f>
        <v>629.54999999999995</v>
      </c>
      <c r="J17" s="272">
        <f t="shared" ref="J17:L24" si="1">$I17*S17</f>
        <v>50.363999999999997</v>
      </c>
      <c r="K17" s="128">
        <f>$I17*T17</f>
        <v>22.03425</v>
      </c>
      <c r="L17" s="119">
        <f>$I17*U17</f>
        <v>0</v>
      </c>
      <c r="M17" s="230">
        <f t="shared" ref="M17:M24" si="2">I17-SUM(J17:L17)</f>
        <v>557.15174999999999</v>
      </c>
      <c r="N17" s="277">
        <f t="shared" ref="N17:N24" si="3">+(G17*D17+H17)*V17</f>
        <v>118.98305084745758</v>
      </c>
      <c r="O17" s="239">
        <f t="shared" ref="O17:O24" si="4">(N17+M17)*$O$15</f>
        <v>3.3806740042372878</v>
      </c>
      <c r="P17" s="311">
        <f t="shared" ref="P17:P24" si="5">M17+N17+O17</f>
        <v>679.51547485169488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</v>
      </c>
      <c r="I19" s="236">
        <f t="shared" si="0"/>
        <v>871.68000000000006</v>
      </c>
      <c r="J19" s="272">
        <f t="shared" si="1"/>
        <v>69.734400000000008</v>
      </c>
      <c r="K19" s="128">
        <f t="shared" si="1"/>
        <v>30.508800000000004</v>
      </c>
      <c r="L19" s="119">
        <f t="shared" si="1"/>
        <v>0</v>
      </c>
      <c r="M19" s="230">
        <f t="shared" si="2"/>
        <v>771.43680000000006</v>
      </c>
      <c r="N19" s="277">
        <f t="shared" si="3"/>
        <v>164.74576271186442</v>
      </c>
      <c r="O19" s="239">
        <f t="shared" si="4"/>
        <v>4.6809128135593223</v>
      </c>
      <c r="P19" s="311">
        <f t="shared" si="5"/>
        <v>940.86347552542372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24</v>
      </c>
      <c r="I25" s="114">
        <f t="shared" si="7"/>
        <v>1501.23</v>
      </c>
      <c r="J25" s="274">
        <f>SUM(J16:J24)</f>
        <v>120.0984</v>
      </c>
      <c r="K25" s="275">
        <f t="shared" si="7"/>
        <v>52.543050000000008</v>
      </c>
      <c r="L25" s="276">
        <f t="shared" si="7"/>
        <v>0</v>
      </c>
      <c r="M25" s="232">
        <f t="shared" si="7"/>
        <v>1328.5885499999999</v>
      </c>
      <c r="N25" s="233">
        <f>SUM(N16:N24)</f>
        <v>283.72881355932202</v>
      </c>
      <c r="O25" s="101">
        <f>SUM(O16:O24)</f>
        <v>8.0615868177966092</v>
      </c>
      <c r="P25" s="113">
        <f>SUM(P16:P24)</f>
        <v>1620.3789503771186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1501.23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120.0984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52.543050000000008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1328.5885499999999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283.72881355932202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1612.3173635593221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8.061586817796611</v>
      </c>
    </row>
    <row r="35" spans="2:16" ht="15.75" customHeight="1" thickBot="1" x14ac:dyDescent="0.4">
      <c r="N35" s="373" t="s">
        <v>88</v>
      </c>
      <c r="O35" s="374"/>
      <c r="P35" s="297">
        <f>+P33+P34</f>
        <v>1620.3789503771186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abSelected="1" topLeftCell="A10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519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5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5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5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15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5"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5"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46259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513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2" t="s">
        <v>91</v>
      </c>
      <c r="B2" s="392"/>
      <c r="C2" s="392"/>
    </row>
    <row r="3" spans="1:18 16382:16383" ht="15" customHeight="1" x14ac:dyDescent="0.35">
      <c r="A3" s="393" t="s">
        <v>92</v>
      </c>
      <c r="B3" s="393"/>
      <c r="C3" s="393"/>
      <c r="F3" s="85"/>
      <c r="G3" s="1"/>
      <c r="J3" s="394" t="s">
        <v>43</v>
      </c>
      <c r="K3" s="394"/>
      <c r="L3" s="394"/>
      <c r="M3" s="393"/>
      <c r="N3" s="393"/>
      <c r="O3" s="393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3" t="s">
        <v>65</v>
      </c>
      <c r="B4" s="393"/>
      <c r="C4" s="393"/>
      <c r="F4" s="85"/>
      <c r="G4" s="1"/>
      <c r="J4" s="394" t="s">
        <v>44</v>
      </c>
      <c r="K4" s="394"/>
      <c r="L4" s="394"/>
      <c r="M4" s="397">
        <f ca="1">TODAY()+1</f>
        <v>46262</v>
      </c>
      <c r="N4" s="397"/>
      <c r="O4" s="397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94" t="s">
        <v>45</v>
      </c>
      <c r="K5" s="394"/>
      <c r="L5" s="394"/>
      <c r="M5" s="397">
        <f ca="1">M4-1</f>
        <v>46261</v>
      </c>
      <c r="N5" s="393"/>
      <c r="O5" s="393"/>
      <c r="Q5" s="85"/>
      <c r="R5" s="1"/>
    </row>
    <row r="6" spans="1:18 16382:16383" ht="15" customHeight="1" x14ac:dyDescent="0.35">
      <c r="A6" s="394" t="s">
        <v>94</v>
      </c>
      <c r="B6" s="394"/>
      <c r="C6" s="394"/>
      <c r="F6" s="85"/>
      <c r="G6" s="86"/>
      <c r="J6" s="394" t="s">
        <v>69</v>
      </c>
      <c r="K6" s="394"/>
      <c r="L6" s="394"/>
      <c r="M6" s="396" t="s">
        <v>62</v>
      </c>
      <c r="N6" s="396"/>
      <c r="O6" s="396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4" t="s">
        <v>73</v>
      </c>
      <c r="B7" s="394"/>
      <c r="C7" s="394"/>
      <c r="F7" s="85"/>
      <c r="G7" s="86"/>
      <c r="J7" s="394" t="s">
        <v>66</v>
      </c>
      <c r="K7" s="394"/>
      <c r="L7" s="394"/>
      <c r="M7" s="396" t="s">
        <v>70</v>
      </c>
      <c r="N7" s="396"/>
      <c r="O7" s="396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0" t="s">
        <v>95</v>
      </c>
      <c r="B8" s="400"/>
      <c r="C8" s="400"/>
      <c r="F8" s="85"/>
      <c r="G8" s="86"/>
      <c r="J8" s="394" t="s">
        <v>67</v>
      </c>
      <c r="K8" s="394"/>
      <c r="L8" s="394"/>
      <c r="M8" s="396" t="s">
        <v>71</v>
      </c>
      <c r="N8" s="396"/>
      <c r="O8" s="396"/>
      <c r="Q8" s="85"/>
      <c r="R8" s="86"/>
    </row>
    <row r="9" spans="1:18 16382:16383" x14ac:dyDescent="0.35">
      <c r="A9" s="400" t="s">
        <v>96</v>
      </c>
      <c r="B9" s="400"/>
      <c r="C9" s="400"/>
      <c r="F9" s="85"/>
      <c r="G9" s="86"/>
      <c r="J9" s="394" t="s">
        <v>68</v>
      </c>
      <c r="K9" s="394"/>
      <c r="L9" s="394"/>
      <c r="M9" s="396" t="s">
        <v>104</v>
      </c>
      <c r="N9" s="396"/>
      <c r="O9" s="396"/>
      <c r="Q9" s="85"/>
      <c r="R9" s="86"/>
      <c r="XFC9" t="s">
        <v>49</v>
      </c>
    </row>
    <row r="10" spans="1:18 16382:16383" x14ac:dyDescent="0.35">
      <c r="A10" s="400" t="s">
        <v>97</v>
      </c>
      <c r="B10" s="400"/>
      <c r="C10" s="400"/>
      <c r="F10" s="85"/>
      <c r="G10" s="1"/>
      <c r="J10" s="394" t="s">
        <v>46</v>
      </c>
      <c r="K10" s="394"/>
      <c r="L10" s="394"/>
      <c r="M10" s="393" t="s">
        <v>47</v>
      </c>
      <c r="N10" s="393"/>
      <c r="O10" s="393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4" t="s">
        <v>48</v>
      </c>
      <c r="K11" s="394"/>
      <c r="L11" s="394"/>
      <c r="M11" s="393" t="s">
        <v>49</v>
      </c>
      <c r="N11" s="393"/>
      <c r="O11" s="393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4" t="s">
        <v>50</v>
      </c>
      <c r="K12" s="394"/>
      <c r="L12" s="394"/>
      <c r="M12" s="393"/>
      <c r="N12" s="393"/>
      <c r="O12" s="393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4" t="s">
        <v>51</v>
      </c>
      <c r="B14" s="345"/>
      <c r="C14" s="348" t="s">
        <v>90</v>
      </c>
      <c r="D14" s="88" t="s">
        <v>52</v>
      </c>
      <c r="E14" s="95" t="s">
        <v>74</v>
      </c>
      <c r="F14" s="115" t="s">
        <v>53</v>
      </c>
      <c r="G14" s="391" t="s">
        <v>54</v>
      </c>
      <c r="H14" s="353"/>
      <c r="I14" s="354" t="s">
        <v>77</v>
      </c>
      <c r="J14" s="352" t="s">
        <v>55</v>
      </c>
      <c r="K14" s="353"/>
      <c r="L14" s="35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6"/>
      <c r="B15" s="347"/>
      <c r="C15" s="349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5"/>
      <c r="J15" s="144" t="s">
        <v>39</v>
      </c>
      <c r="K15" s="145" t="s">
        <v>59</v>
      </c>
      <c r="L15" s="35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60"/>
      <c r="M28" s="367" t="s">
        <v>60</v>
      </c>
      <c r="N28" s="368"/>
      <c r="O28" s="139">
        <f>I25</f>
        <v>1452.8</v>
      </c>
    </row>
    <row r="29" spans="1:18 16383:16383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3"/>
      <c r="M29" s="369" t="s">
        <v>85</v>
      </c>
      <c r="N29" s="370"/>
      <c r="O29" s="140">
        <f>K25</f>
        <v>0</v>
      </c>
    </row>
    <row r="30" spans="1:18 16383:16383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3"/>
      <c r="M30" s="369" t="s">
        <v>86</v>
      </c>
      <c r="N30" s="370"/>
      <c r="O30" s="140">
        <f>J25</f>
        <v>50.848000000000006</v>
      </c>
    </row>
    <row r="31" spans="1:18 16383:16383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3"/>
      <c r="L31" s="131"/>
      <c r="M31" s="369" t="s">
        <v>87</v>
      </c>
      <c r="N31" s="370"/>
      <c r="O31" s="140">
        <f>O28-O29-O30</f>
        <v>1401.952</v>
      </c>
    </row>
    <row r="32" spans="1:18 16383:16383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3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3"/>
      <c r="L33" s="131"/>
      <c r="M33" s="371" t="s">
        <v>76</v>
      </c>
      <c r="N33" s="372"/>
      <c r="O33" s="140">
        <f>O31+O32</f>
        <v>1710.3814400000001</v>
      </c>
    </row>
    <row r="34" spans="2:15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6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3" t="s">
        <v>88</v>
      </c>
      <c r="N35" s="374"/>
      <c r="O35" s="141">
        <f>O28-O29+O31+O34</f>
        <v>2897.511536</v>
      </c>
    </row>
    <row r="36" spans="2:15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4" t="s">
        <v>439</v>
      </c>
      <c r="E1" s="336" t="s">
        <v>58</v>
      </c>
      <c r="F1" s="336"/>
      <c r="G1" s="337" t="s">
        <v>440</v>
      </c>
      <c r="H1" s="337"/>
      <c r="I1" s="405" t="s">
        <v>441</v>
      </c>
      <c r="J1" s="405"/>
      <c r="K1" s="405" t="s">
        <v>442</v>
      </c>
      <c r="L1" s="405"/>
      <c r="M1" s="401" t="s">
        <v>484</v>
      </c>
      <c r="N1" s="402"/>
      <c r="O1" s="403"/>
    </row>
    <row r="2" spans="3:24" ht="29" x14ac:dyDescent="0.35">
      <c r="C2" s="336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8" t="s">
        <v>58</v>
      </c>
      <c r="F7" s="408"/>
      <c r="G7" s="409" t="s">
        <v>440</v>
      </c>
      <c r="H7" s="337"/>
      <c r="I7" s="338" t="s">
        <v>441</v>
      </c>
      <c r="J7" s="339"/>
      <c r="K7" s="338" t="s">
        <v>442</v>
      </c>
      <c r="L7" s="339"/>
      <c r="M7" s="401" t="s">
        <v>484</v>
      </c>
      <c r="N7" s="402"/>
      <c r="O7" s="403"/>
      <c r="P7" s="256" t="s">
        <v>475</v>
      </c>
      <c r="Q7" s="242" t="s">
        <v>473</v>
      </c>
      <c r="R7" s="404" t="s">
        <v>475</v>
      </c>
      <c r="S7" s="404" t="s">
        <v>485</v>
      </c>
      <c r="T7" s="410" t="s">
        <v>486</v>
      </c>
      <c r="U7" s="410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9"/>
      <c r="U8" s="409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1" t="s">
        <v>484</v>
      </c>
      <c r="N13" s="402"/>
      <c r="O13" s="403"/>
      <c r="P13" s="256" t="s">
        <v>475</v>
      </c>
      <c r="Q13" s="242" t="s">
        <v>473</v>
      </c>
      <c r="R13" s="404" t="s">
        <v>475</v>
      </c>
      <c r="S13" s="404" t="s">
        <v>485</v>
      </c>
      <c r="T13" s="410" t="s">
        <v>486</v>
      </c>
      <c r="U13" s="410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9"/>
      <c r="U14" s="409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1" t="s">
        <v>484</v>
      </c>
      <c r="N20" s="402"/>
      <c r="O20" s="403"/>
      <c r="P20" s="256" t="s">
        <v>475</v>
      </c>
      <c r="Q20" s="242" t="s">
        <v>473</v>
      </c>
      <c r="R20" s="404" t="s">
        <v>475</v>
      </c>
      <c r="S20" s="404" t="s">
        <v>485</v>
      </c>
      <c r="T20" s="410" t="s">
        <v>486</v>
      </c>
      <c r="U20" s="410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9"/>
      <c r="U21" s="409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1" t="s">
        <v>484</v>
      </c>
      <c r="N27" s="402"/>
      <c r="O27" s="403"/>
      <c r="P27" s="256" t="s">
        <v>475</v>
      </c>
      <c r="Q27" s="242" t="s">
        <v>473</v>
      </c>
      <c r="R27" s="404" t="s">
        <v>475</v>
      </c>
      <c r="S27" s="404" t="s">
        <v>485</v>
      </c>
      <c r="T27" s="410" t="s">
        <v>486</v>
      </c>
      <c r="U27" s="410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9"/>
      <c r="U28" s="409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4" t="s">
        <v>439</v>
      </c>
      <c r="D1" s="336" t="s">
        <v>58</v>
      </c>
      <c r="E1" s="336"/>
      <c r="F1" s="337" t="s">
        <v>440</v>
      </c>
      <c r="G1" s="337"/>
      <c r="H1" s="405" t="s">
        <v>441</v>
      </c>
      <c r="I1" s="405"/>
      <c r="J1" s="405" t="s">
        <v>442</v>
      </c>
      <c r="K1" s="405"/>
      <c r="L1" s="401" t="s">
        <v>484</v>
      </c>
      <c r="M1" s="402"/>
      <c r="N1" s="403"/>
    </row>
    <row r="2" spans="2:17" ht="29" x14ac:dyDescent="0.35">
      <c r="B2" s="336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2026-08-27T11:00:58Z</dcterms:modified>
</cp:coreProperties>
</file>