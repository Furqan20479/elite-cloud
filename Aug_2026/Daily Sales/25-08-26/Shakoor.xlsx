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C07BAA-0FE5-4F66-9760-F8C2791685C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<sst xmlns="http://schemas.openxmlformats.org/spreadsheetml/2006/main" count="3977" uniqueCount="516">
  <si>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</si>
  <si>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</si>
  <si>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</si>
  <si>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</si>
  <si>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</si>
  <si>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</si>
  <si>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</si>
  <si>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</si>
  <si>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</si>
  <si>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</si>
  <si>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</si>
  <si>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</si>
  <si>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</si>
  <si>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</si>
  <si>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</si>
  <si>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</si>
  <si>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</si>
  <si>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</si>
  <si>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</si>
  <si>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</si>
  <si>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</si>
  <si>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</si>
  <si>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</si>
  <si>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</si>
  <si>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</si>
  <si>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</si>
  <si>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</si>
  <si>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</si>
  <si>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</si>
  <si>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</si>
  <si>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</si>
  <si>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</si>
  <si>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</si>
  <si>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</si>
  <si>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</si>
  <si>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</si>
  <si>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</si>
  <si>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</si>
  <si>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</si>
  <si>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</si>
  <si>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</si>
  <si>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</si>
  <si>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</si>
  <si>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</si>
  <si>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</si>
  <si>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</si>
  <si>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</si>
  <si>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</si>
  <si>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</si>
  <si>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</si>
  <si>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</si>
  <si>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</si>
  <si>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</si>
  <si>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</si>
  <si>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</si>
  <si>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</si>
  <si>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</si>
  <si>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</si>
  <si>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</si>
  <si>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</si>
  <si>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</si>
  <si>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</si>
  <si>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</si>
  <si>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</si>
  <si>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</si>
  <si>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</si>
  <si>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</si>
  <si>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</si>
  <si>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</si>
  <si>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</si>
  <si>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</si>
  <si>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</si>
  <si>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</si>
  <si>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</si>
  <si>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</si>
  <si>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</si>
  <si>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</si>
  <si>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</si>
  <si>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</si>
  <si>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</si>
  <si>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</si>
  <si>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</si>
  <si>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</si>
  <si>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</si>
  <si>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</si>
  <si>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</si>
  <si>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</si>
  <si>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</si>
  <si>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</si>
  <si>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</si>
  <si>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</si>
  <si>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</si>
  <si>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</si>
  <si>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</si>
  <si>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</si>
  <si>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</si>
  <si>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</si>
  <si>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</si>
  <si>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</si>
  <si>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</si>
  <si>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</si>
  <si>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</si>
  <si>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</si>
  <si>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</si>
  <si>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</si>
  <si>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</si>
  <si>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</si>
  <si>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</si>
  <si>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</si>
  <si>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</si>
  <si>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</si>
  <si>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</si>
  <si>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</si>
  <si>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</si>
  <si>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</si>
  <si>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</si>
  <si>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</si>
  <si>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</si>
  <si>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</si>
  <si>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</si>
  <si>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</si>
  <si>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</si>
  <si>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</si>
  <si>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</si>
  <si>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</si>
  <si>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</si>
  <si>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</si>
  <si>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</si>
  <si>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</si>
  <si>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</si>
  <si>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</si>
  <si>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</si>
  <si>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</si>
  <si>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</si>
  <si>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</si>
  <si>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</si>
  <si>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</si>
  <si>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</si>
  <si>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</si>
  <si>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</si>
  <si>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</si>
  <si>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</si>
  <si>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</si>
  <si>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</si>
  <si>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</si>
  <si>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</si>
  <si>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</si>
  <si>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</si>
  <si>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</si>
  <si>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</si>
  <si>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</si>
  <si>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</si>
  <si>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</si>
  <si>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</si>
  <si>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</si>
  <si>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</si>
  <si>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</si>
  <si>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</si>
  <si>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</si>
  <si>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</si>
  <si>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</si>
  <si>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</si>
  <si>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</si>
  <si>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</si>
  <si>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</si>
  <si>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</si>
  <si>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</si>
  <si>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</si>
  <si>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</si>
  <si>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</si>
  <si>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</si>
  <si>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</si>
  <si>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</si>
  <si>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</si>
  <si>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</si>
  <si>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</si>
  <si>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</si>
  <si>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</si>
  <si>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</si>
  <si>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</si>
  <si>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</si>
  <si>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</si>
  <si>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</si>
  <si>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</si>
  <si>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</si>
  <si>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</si>
  <si>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</si>
  <si>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</si>
  <si>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</si>
  <si>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</si>
  <si>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</si>
  <si>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</si>
  <si>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</si>
  <si>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</si>
  <si>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</si>
  <si>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</si>
  <si>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</si>
  <si>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</si>
  <si>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</si>
  <si>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</si>
  <si>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</si>
  <si>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</si>
  <si>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</si>
  <si>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</si>
  <si>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</si>
  <si>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</si>
  <si>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</si>
  <si>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</si>
  <si>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</si>
  <si>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</si>
  <si>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</si>
  <si>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</si>
  <si>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</si>
  <si>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</si>
  <si>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</si>
  <si>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</si>
  <si>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</si>
  <si>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</si>
  <si>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</si>
  <si>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</si>
  <si>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</si>
  <si>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</si>
  <si>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</si>
  <si>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</si>
  <si>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</si>
  <si>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</si>
  <si>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</si>
  <si>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</si>
  <si>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</si>
  <si>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</si>
  <si>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</si>
  <si>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</si>
  <si>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</si>
  <si>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</si>
  <si>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</si>
  <si>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</si>
  <si>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</si>
  <si>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</si>
  <si>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</si>
  <si>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</si>
  <si>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</si>
  <si>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</si>
  <si>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</si>
  <si>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</si>
  <si>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</si>
  <si>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</si>
  <si>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</si>
  <si>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</si>
  <si>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</si>
  <si>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</si>
  <si>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</si>
  <si>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</si>
  <si>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</si>
  <si>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</si>
  <si>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</si>
  <si>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</si>
  <si>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</si>
  <si>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</si>
  <si>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</si>
  <si>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</si>
  <si>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</si>
  <si>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</si>
  <si>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</si>
  <si>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</si>
  <si>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</si>
  <si>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</si>
  <si>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</si>
  <si>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</si>
  <si>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</si>
  <si>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</si>
  <si>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</si>
  <si>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</si>
  <si>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</si>
  <si>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</si>
  <si>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</si>
  <si>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</si>
  <si>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</si>
  <si>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</si>
  <si>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</si>
  <si>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</si>
  <si>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</si>
  <si>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</si>
  <si>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</si>
  <si>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</si>
  <si>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</si>
  <si>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</si>
  <si>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</si>
  <si>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</si>
  <si>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</si>
  <si>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</si>
  <si>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</si>
  <si>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</si>
  <si>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</si>
  <si>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</si>
  <si>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</si>
  <si>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</si>
  <si>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</si>
  <si>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</si>
  <si>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</si>
  <si>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</si>
  <si>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</si>
  <si>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</si>
  <si>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</si>
  <si>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</si>
  <si>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</si>
  <si>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</si>
  <si>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</si>
  <si>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</si>
  <si>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</si>
  <si>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</si>
  <si>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</si>
  <si>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</si>
  <si>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</si>
  <si>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</si>
  <si>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</si>
  <si>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</si>
  <si>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</si>
  <si>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</si>
  <si>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</si>
  <si>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</si>
  <si>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</si>
  <si>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</si>
  <si>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</si>
  <si>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</si>
  <si>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</si>
  <si>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</si>
  <si>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</si>
  <si>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</si>
  <si>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</si>
  <si>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</si>
  <si>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</si>
  <si>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</si>
  <si>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</si>
  <si>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</si>
  <si>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</si>
  <si>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</si>
  <si>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</si>
  <si>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</si>
  <si>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</si>
  <si>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</si>
  <si>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</si>
  <si>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</si>
  <si>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</si>
  <si>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</si>
  <si>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</si>
  <si>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</si>
  <si>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</si>
  <si>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</si>
  <si>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</si>
  <si>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</si>
  <si>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</si>
  <si>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</si>
  <si>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</si>
  <si>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</si>
  <si>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</si>
  <si>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</si>
  <si>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</si>
  <si>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</si>
  <si>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</si>
  <si>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</si>
  <si>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</si>
  <si>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</si>
  <si>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</si>
  <si>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</si>
  <si>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</si>
  <si>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</si>
  <si>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</si>
  <si>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</si>
  <si>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</si>
  <si>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</si>
  <si>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</si>
  <si>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</si>
  <si>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</si>
  <si>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</si>
  <si>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</si>
  <si>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</si>
  <si>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</si>
  <si>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</si>
  <si>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</si>
  <si>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</si>
  <si>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</si>
  <si>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</si>
  <si>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</si>
  <si>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</si>
  <si>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</si>
  <si>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</si>
  <si>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</si>
  <si>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</si>
  <si>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</si>
  <si>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</si>
  <si>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</si>
  <si>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</si>
  <si>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</si>
  <si>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</si>
  <si>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</si>
  <si>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</si>
  <si>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</si>
  <si>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</si>
  <si>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</si>
  <si>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</si>
  <si>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</si>
  <si>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</si>
  <si>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</si>
  <si>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</si>
  <si>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</si>
  <si>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</si>
  <si>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</si>
  <si>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</si>
  <si>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</si>
  <si>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</si>
  <si>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</si>
  <si>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</si>
  <si>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</si>
  <si>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</si>
  <si>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</si>
  <si>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</si>
  <si>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</si>
  <si>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</si>
  <si>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</si>
  <si>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</si>
  <si>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</si>
  <si>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</si>
  <si>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</si>
  <si>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</si>
  <si>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</si>
  <si>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</si>
  <si>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</si>
  <si>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</si>
  <si>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</si>
  <si>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</si>
  <si>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</si>
  <si>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</si>
  <si>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</si>
  <si>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</si>
  <si>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</si>
  <si>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</si>
  <si>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</si>
  <si>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</si>
  <si>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</si>
  <si>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</si>
  <si>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</si>
  <si>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</si>
  <si>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</si>
  <si>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</si>
  <si>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</si>
  <si>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</si>
  <si>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</si>
  <si>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</si>
  <si>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</si>
  <si>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</si>
  <si>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</si>
  <si>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</si>
  <si>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</si>
  <si>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</si>
  <si>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</si>
  <si>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</si>
  <si>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</si>
  <si>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</si>
  <si>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</si>
  <si>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</si>
  <si>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</si>
  <si>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</si>
  <si>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</si>
  <si>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</si>
  <si>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</si>
  <si>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</si>
  <si>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</si>
  <si>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</si>
  <si>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</si>
  <si>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</si>
  <si>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</si>
  <si>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</si>
  <si>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</si>
  <si>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</si>
  <si>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</si>
  <si>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</si>
  <si>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</si>
  <si>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</si>
  <si>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</si>
  <si>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</si>
  <si>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</si>
  <si>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</si>
  <si>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</si>
  <si>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</si>
  <si>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</si>
  <si>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</si>
  <si>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</si>
  <si>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</si>
  <si>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</si>
  <si>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</si>
  <si>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</si>
  <si>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</si>
  <si>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</si>
  <si>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</si>
  <si>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</si>
  <si>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</si>
  <si>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</si>
  <si>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</si>
  <si>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</si>
  <si>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</si>
  <si>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</si>
  <si>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</si>
  <si>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</si>
  <si>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</si>
  <si>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</si>
  <si>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</si>
  <si>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</si>
  <si>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</si>
  <si>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</si>
  <si>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</si>
  <si>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</si>
  <si>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</si>
  <si>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Nishat</t>
  </si>
  <si>
    <t>Booker</t>
  </si>
  <si>
    <t>Shop name</t>
  </si>
  <si>
    <t xml:space="preserve">Shakoor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</si>
</sst>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/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46259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 xml:space="preserve">Shakoor </v>
      </c>
      <c r="T3" s="301">
        <f>+'1'!P35</f>
        <v>1845.9389405269067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</v>
      </c>
      <c r="I8" s="236">
        <f t="shared" ref="I8:I14" si="0">(G8*D8)*F8+H8*F8</f>
        <v>52.462499999999999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4.1970000000000001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1.8361875000000001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46.429312499999995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9.9152542372881314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0.28172283368644063</v>
      </c>
      <c r="P8" s="311">
        <f t="shared" ref="P8:P15" si="2">M8+N8+O8</f>
        <v>56.626289570974564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</v>
      </c>
      <c r="I10" s="236">
        <f t="shared" si="0"/>
        <v>72.64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5.8112000000000004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2.5424000000000002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64.2864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13.728813559322035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0.39007606779661019</v>
      </c>
      <c r="P10" s="311">
        <f t="shared" si="2"/>
        <v>78.405289627118648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121</v>
      </c>
      <c r="I13" s="236">
        <f t="shared" si="0"/>
        <v>4746.8300000000008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237.34150000000008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166.13905000000005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242.08832999999993</v>
      </c>
      <c r="M13" s="230">
        <f t="shared" si="1"/>
        <v>4101.261120000001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922.8813559322025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25.120712379661018</v>
      </c>
      <c r="P13" s="311">
        <f t="shared" si="2"/>
        <v>5049.2631883118647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3.0750000000000002</v>
      </c>
      <c r="H16" s="113">
        <f t="shared" ref="H16:M16" si="3">SUM(H7:H15)</f>
        <v>123</v>
      </c>
      <c r="I16" s="114">
        <f t="shared" si="3"/>
        <v>4871.9325000000008</v>
      </c>
      <c r="J16" s="274">
        <f>SUM(J7:J15)</f>
        <v>247.34970000000007</v>
      </c>
      <c r="K16" s="275">
        <f t="shared" si="3"/>
        <v>170.51763750000006</v>
      </c>
      <c r="L16" s="276">
        <f t="shared" si="3"/>
        <v>242.08832999999993</v>
      </c>
      <c r="M16" s="232">
        <f t="shared" si="3"/>
        <v>4211.9768325000014</v>
      </c>
      <c r="N16" s="233">
        <f>SUM(N7:N15)</f>
        <v>946.52542372881271</v>
      </c>
      <c r="O16" s="101">
        <f>SUM(O7:O15)</f>
        <v>25.792511281144069</v>
      </c>
      <c r="P16" s="113">
        <f>SUM(P7:P15)</f>
        <v>5184.2947675099576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4871.9325000000008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247.34970000000007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412.60596750000002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4211.9768325000014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946.52542372881271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5158.5022562288141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25.792511281144069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5184.2947675099585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5184.2947675099576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</v>
      </c>
      <c r="I17" s="236">
        <f t="shared" ref="I17:I23" si="0">(G17*D17)*F17+H17*F17</f>
        <v>52.462499999999999</v>
      </c>
      <c r="J17" s="272">
        <f t="shared" ref="J17:L24" si="1">$I17*S17</f>
        <v>4.1970000000000001</v>
      </c>
      <c r="K17" s="128">
        <f>$I17*T17</f>
        <v>1.8361875000000001</v>
      </c>
      <c r="L17" s="119">
        <f>$I17*U17</f>
        <v>0</v>
      </c>
      <c r="M17" s="230">
        <f t="shared" ref="M17:M24" si="2">I17-SUM(J17:L17)</f>
        <v>46.429312499999995</v>
      </c>
      <c r="N17" s="277">
        <f t="shared" ref="N17:N24" si="3">+(G17*D17+H17)*V17</f>
        <v>9.9152542372881314</v>
      </c>
      <c r="O17" s="239">
        <f t="shared" ref="O17:O24" si="4">(N17+M17)*$O$15</f>
        <v>0.28172283368644063</v>
      </c>
      <c r="P17" s="311">
        <f t="shared" ref="P17:P24" si="5">M17+N17+O17</f>
        <v>56.626289570974564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7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41</v>
      </c>
      <c r="I22" s="236">
        <f t="shared" si="0"/>
        <v>1608.43</v>
      </c>
      <c r="J22" s="272">
        <f t="shared" si="1"/>
        <v>80.421500000000009</v>
      </c>
      <c r="K22" s="128">
        <f t="shared" si="1"/>
        <v>56.29505000000001</v>
      </c>
      <c r="L22" s="119">
        <f t="shared" si="1"/>
        <v>82.029929999999993</v>
      </c>
      <c r="M22" s="230">
        <f t="shared" si="2"/>
        <v>1389.68352</v>
      </c>
      <c r="N22" s="277">
        <f t="shared" si="3"/>
        <v>312.71186440677945</v>
      </c>
      <c r="O22" s="239">
        <f t="shared" si="4"/>
        <v>8.5119769220338988</v>
      </c>
      <c r="P22" s="311">
        <f t="shared" si="5"/>
        <v>1710.9073613288135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43</v>
      </c>
      <c r="I25" s="114">
        <f t="shared" ref="I25:M25" si="10">SUM(I16:I24)</f>
        <v>1733.5325</v>
      </c>
      <c r="J25" s="274">
        <f>SUM(J16:J24)</f>
        <v>90.429700000000011</v>
      </c>
      <c r="K25" s="275">
        <f t="shared" si="10"/>
        <v>60.673637500000012</v>
      </c>
      <c r="L25" s="276">
        <f t="shared" si="10"/>
        <v>82.029929999999993</v>
      </c>
      <c r="M25" s="232">
        <f t="shared" si="10"/>
        <v>1500.3992324999999</v>
      </c>
      <c r="N25" s="233">
        <f>SUM(N16:N24)</f>
        <v>336.35593220338961</v>
      </c>
      <c r="O25" s="101">
        <f>SUM(O16:O24)</f>
        <v>9.1837758235169495</v>
      </c>
      <c r="P25" s="113">
        <f>SUM(P16:P24)</f>
        <v>1845.9389405269067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1733.5325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90.429700000000011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142.70356750000002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1500.3992325000002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336.35593220338961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1836.7551647033897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9.1837758235169495</v>
      </c>
    </row>
    <row r="35" spans="2:16" ht="15.75" customHeight="1" thickBot="1" x14ac:dyDescent="0.4">
      <c r="N35" s="344" t="s">
        <v>88</v>
      </c>
      <c r="O35" s="345"/>
      <c r="P35" s="297">
        <f>+P33+P34</f>
        <v>1845.9389405269067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392.30000000000007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19.615000000000006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33.737800000000007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338.94720000000007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415.21838644067799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4" t="s">
        <v>88</v>
      </c>
      <c r="O35" s="345"/>
      <c r="P35" s="297">
        <f>+P33+P34</f>
        <v>417.29447837288137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46259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46258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">
        <v>513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46260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46259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2026-08-25T06:37:37Z</dcterms:modified>
</cp:coreProperties>
</file>