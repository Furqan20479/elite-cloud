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8A50852-508F-49ED-9A7D-779FAB93B9F9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5" i="66" s="1"/>
  <c r="N4" i="70"/>
  <c r="N4" i="46"/>
  <c r="N4" i="50"/>
  <c r="N4" i="54"/>
  <c r="N4" i="58"/>
  <c r="N4" i="63"/>
  <c r="N4" i="67"/>
  <c r="N5" i="67" s="1"/>
  <c r="N4" i="7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<sst xmlns="http://schemas.openxmlformats.org/spreadsheetml/2006/main" count="3977" uniqueCount="515">
  <si>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</si>
  <si>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</si>
  <si>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</si>
  <si>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</si>
  <si>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</si>
  <si>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</si>
  <si>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</si>
  <si>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</si>
  <si>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</si>
  <si>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</si>
  <si>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</si>
  <si>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</si>
  <si>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</si>
  <si>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</si>
  <si>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</si>
  <si>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</si>
  <si>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</si>
  <si>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</si>
  <si>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</si>
  <si>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</si>
  <si>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</si>
  <si>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</si>
  <si>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</si>
  <si>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</si>
  <si>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</si>
  <si>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</si>
  <si>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</si>
  <si>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</si>
  <si>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</si>
  <si>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</si>
  <si>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</si>
  <si>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</si>
  <si>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</si>
  <si>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</si>
  <si>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</si>
  <si>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</si>
  <si>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</si>
  <si>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</si>
  <si>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</si>
  <si>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</si>
  <si>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</si>
  <si>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</si>
  <si>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</si>
  <si>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</si>
  <si>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</si>
  <si>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</si>
  <si>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</si>
  <si>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</si>
  <si>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</si>
  <si>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</si>
  <si>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</si>
  <si>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</si>
  <si>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</si>
  <si>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</si>
  <si>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</si>
  <si>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</si>
  <si>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</si>
  <si>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</si>
  <si>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</si>
  <si>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</si>
  <si>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</si>
  <si>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</si>
  <si>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</si>
  <si>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</si>
  <si>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</si>
  <si>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</si>
  <si>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</si>
  <si>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</si>
  <si>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</si>
  <si>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</si>
  <si>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</si>
  <si>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</si>
  <si>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</si>
  <si>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</si>
  <si>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</si>
  <si>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</si>
  <si>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</si>
  <si>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</si>
  <si>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</si>
  <si>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</si>
  <si>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</si>
  <si>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</si>
  <si>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</si>
  <si>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</si>
  <si>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</si>
  <si>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</si>
  <si>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</si>
  <si>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</si>
  <si>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</si>
  <si>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</si>
  <si>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</si>
  <si>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</si>
  <si>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</si>
  <si>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</si>
  <si>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</si>
  <si>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</si>
  <si>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</si>
  <si>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</si>
  <si>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</si>
  <si>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</si>
  <si>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</si>
  <si>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</si>
  <si>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</si>
  <si>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</si>
  <si>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</si>
  <si>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</si>
  <si>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</si>
  <si>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</si>
  <si>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</si>
  <si>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</si>
  <si>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</si>
  <si>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</si>
  <si>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</si>
  <si>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</si>
  <si>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</si>
  <si>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</si>
  <si>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</si>
  <si>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</si>
  <si>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</si>
  <si>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</si>
  <si>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</si>
  <si>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</si>
  <si>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</si>
  <si>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</si>
  <si>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</si>
  <si>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</si>
  <si>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</si>
  <si>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</si>
  <si>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</si>
  <si>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</si>
  <si>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</si>
  <si>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</si>
  <si>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</si>
  <si>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</si>
  <si>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</si>
  <si>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</si>
  <si>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</si>
  <si>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</si>
  <si>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</si>
  <si>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</si>
  <si>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</si>
  <si>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</si>
  <si>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</si>
  <si>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</si>
  <si>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</si>
  <si>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</si>
  <si>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</si>
  <si>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</si>
  <si>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</si>
  <si>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</si>
  <si>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</si>
  <si>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</si>
  <si>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</si>
  <si>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</si>
  <si>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</si>
  <si>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</si>
  <si>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</si>
  <si>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</si>
  <si>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</si>
  <si>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</si>
  <si>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</si>
  <si>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</si>
  <si>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</si>
  <si>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</si>
  <si>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</si>
  <si>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</si>
  <si>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</si>
  <si>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</si>
  <si>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</si>
  <si>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</si>
  <si>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</si>
  <si>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</si>
  <si>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</si>
  <si>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</si>
  <si>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</si>
  <si>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</si>
  <si>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</si>
  <si>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</si>
  <si>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</si>
  <si>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</si>
  <si>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</si>
  <si>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</si>
  <si>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</si>
  <si>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</si>
  <si>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</si>
  <si>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</si>
  <si>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</si>
  <si>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</si>
  <si>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</si>
  <si>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</si>
  <si>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</si>
  <si>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</si>
  <si>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</si>
  <si>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</si>
  <si>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</si>
  <si>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</si>
  <si>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</si>
  <si>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</si>
  <si>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</si>
  <si>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</si>
  <si>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</si>
  <si>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</si>
  <si>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</si>
  <si>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</si>
  <si>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</si>
  <si>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</si>
  <si>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</si>
  <si>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</si>
  <si>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</si>
  <si>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</si>
  <si>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</si>
  <si>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</si>
  <si>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</si>
  <si>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</si>
  <si>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</si>
  <si>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</si>
  <si>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</si>
  <si>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</si>
  <si>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</si>
  <si>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</si>
  <si>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</si>
  <si>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</si>
  <si>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</si>
  <si>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</si>
  <si>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</si>
  <si>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</si>
  <si>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</si>
  <si>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</si>
  <si>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</si>
  <si>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</si>
  <si>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</si>
  <si>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</si>
  <si>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</si>
  <si>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</si>
  <si>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</si>
  <si>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</si>
  <si>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</si>
  <si>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</si>
  <si>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</si>
  <si>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</si>
  <si>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</si>
  <si>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</si>
  <si>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</si>
  <si>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</si>
  <si>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</si>
  <si>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</si>
  <si>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</si>
  <si>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</si>
  <si>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</si>
  <si>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</si>
  <si>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</si>
  <si>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</si>
  <si>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</si>
  <si>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</si>
  <si>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</si>
  <si>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</si>
  <si>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</si>
  <si>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</si>
  <si>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</si>
  <si>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</si>
  <si>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</si>
  <si>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</si>
  <si>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</si>
  <si>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</si>
  <si>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</si>
  <si>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</si>
  <si>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</si>
  <si>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</si>
  <si>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</si>
  <si>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</si>
  <si>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</si>
  <si>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</si>
  <si>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</si>
  <si>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</si>
  <si>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</si>
  <si>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</si>
  <si>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</si>
  <si>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</si>
  <si>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</si>
  <si>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</si>
  <si>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</si>
  <si>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</si>
  <si>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</si>
  <si>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</si>
  <si>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</si>
  <si>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</si>
  <si>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</si>
  <si>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</si>
  <si>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</si>
  <si>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</si>
  <si>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</si>
  <si>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</si>
  <si>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</si>
  <si>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</si>
  <si>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</si>
  <si>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</si>
  <si>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</si>
  <si>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</si>
  <si>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</si>
  <si>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</si>
  <si>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</si>
  <si>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</si>
  <si>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</si>
  <si>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</si>
  <si>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</si>
  <si>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</si>
  <si>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</si>
  <si>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</si>
  <si>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</si>
  <si>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</si>
  <si>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</si>
  <si>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</si>
  <si>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</si>
  <si>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</si>
  <si>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</si>
  <si>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</si>
  <si>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</si>
  <si>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</si>
  <si>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</si>
  <si>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</si>
  <si>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</si>
  <si>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</si>
  <si>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</si>
  <si>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</si>
  <si>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</si>
  <si>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</si>
  <si>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</si>
  <si>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</si>
  <si>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</si>
  <si>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</si>
  <si>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</si>
  <si>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</si>
  <si>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</si>
  <si>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</si>
  <si>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</si>
  <si>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</si>
  <si>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</si>
  <si>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</si>
  <si>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</si>
  <si>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</si>
  <si>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</si>
  <si>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</si>
  <si>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</si>
  <si>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</si>
  <si>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</si>
  <si>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</si>
  <si>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</si>
  <si>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</si>
  <si>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</si>
  <si>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</si>
  <si>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</si>
  <si>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</si>
  <si>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</si>
  <si>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</si>
  <si>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</si>
  <si>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</si>
  <si>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</si>
  <si>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</si>
  <si>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</si>
  <si>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</si>
  <si>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</si>
  <si>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</si>
  <si>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</si>
  <si>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</si>
  <si>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</si>
  <si>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</si>
  <si>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</si>
  <si>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</si>
  <si>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</si>
  <si>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</si>
  <si>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</si>
  <si>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</si>
  <si>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</si>
  <si>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</si>
  <si>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</si>
  <si>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</si>
  <si>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</si>
  <si>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</si>
  <si>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</si>
  <si>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</si>
  <si>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</si>
  <si>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</si>
  <si>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</si>
  <si>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</si>
  <si>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</si>
  <si>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</si>
  <si>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</si>
  <si>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</si>
  <si>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</si>
  <si>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</si>
  <si>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</si>
  <si>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</si>
  <si>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</si>
  <si>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</si>
  <si>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</si>
  <si>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</si>
  <si>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</si>
  <si>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</si>
  <si>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</si>
  <si>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</si>
  <si>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</si>
  <si>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</si>
  <si>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</si>
  <si>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</si>
  <si>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</si>
  <si>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</si>
  <si>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</si>
  <si>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</si>
  <si>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</si>
  <si>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</si>
  <si>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</si>
  <si>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</si>
  <si>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</si>
  <si>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</si>
  <si>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</si>
  <si>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</si>
  <si>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</si>
  <si>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</si>
  <si>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</si>
  <si>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</si>
  <si>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</si>
  <si>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</si>
  <si>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</si>
  <si>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</si>
  <si>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</si>
  <si>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</si>
  <si>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</si>
  <si>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</si>
  <si>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</si>
  <si>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</si>
  <si>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</si>
  <si>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</si>
  <si>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</si>
  <si>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</si>
  <si>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</si>
  <si>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</si>
  <si>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</si>
  <si>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</si>
  <si>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</si>
  <si>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</si>
  <si>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</si>
  <si>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</si>
  <si>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</si>
  <si>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</si>
  <si>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</si>
  <si>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</si>
  <si>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</si>
  <si>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</si>
  <si>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</si>
  <si>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</si>
  <si>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</si>
  <si>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</si>
  <si>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</si>
  <si>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</si>
  <si>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</si>
  <si>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</si>
  <si>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</si>
  <si>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</si>
  <si>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</si>
  <si>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</si>
  <si>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</si>
  <si>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</si>
  <si>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</si>
  <si>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</si>
  <si>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</si>
  <si>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</si>
  <si>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</si>
  <si>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</si>
  <si>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</si>
  <si>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</si>
  <si>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</si>
  <si>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</si>
  <si>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</si>
  <si>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</si>
  <si>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</si>
  <si>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</si>
  <si>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</si>
  <si>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</si>
  <si>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</si>
  <si>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</si>
  <si>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</si>
  <si>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</si>
  <si>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</si>
  <si>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</si>
  <si>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</si>
  <si>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</si>
  <si>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</si>
  <si>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</si>
  <si>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</si>
  <si>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</si>
  <si>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</si>
  <si>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</si>
  <si>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</si>
  <si>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</si>
  <si>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</si>
  <si>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</si>
  <si>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</si>
  <si>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</si>
  <si>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</si>
  <si>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</si>
  <si>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</si>
  <si>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</si>
  <si>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</si>
  <si>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</si>
  <si>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</si>
  <si>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</si>
  <si>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</si>
  <si>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</si>
  <si>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</si>
  <si>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</si>
  <si>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</si>
  <si>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</si>
  <si>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Address: Nishat</t>
  </si>
  <si>
    <t>Booker</t>
  </si>
  <si>
    <t>Shop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</si>
</sst>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/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46259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Shop name</v>
      </c>
      <c r="T3" s="301">
        <f>+'1'!P35</f>
        <v>18148.253750161017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Shop name</v>
      </c>
      <c r="T4" s="301">
        <f>+'2'!P35</f>
        <v>417.29447837288137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Shop name</v>
      </c>
      <c r="T5" s="301">
        <f>+'3'!P35</f>
        <v>417.29447837288137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Shop name</v>
      </c>
      <c r="T6" s="301">
        <f>+'4'!P35</f>
        <v>417.29447837288137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310">
        <f>M7+N7+O7</f>
        <v>2265.051582838983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Shop name</v>
      </c>
      <c r="T7" s="301">
        <f>+'5'!P35</f>
        <v>417.29447837288137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Shop name</v>
      </c>
      <c r="T8" s="301">
        <f>+'6'!P35</f>
        <v>417.29447837288137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Shop name</v>
      </c>
      <c r="T9" s="301">
        <f>+'7'!P35</f>
        <v>417.29447837288137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232.44800000000001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2571.4560000000001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15.603042711864408</v>
      </c>
      <c r="P10" s="311">
        <f t="shared" si="2"/>
        <v>3136.2115850847458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417.29447837288137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232.44800000000001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2571.4560000000001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15.603042711864408</v>
      </c>
      <c r="P11" s="311">
        <f t="shared" si="2"/>
        <v>3136.2115850847458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417.29447837288137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464.89600000000002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5142.9120000000003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31.206085423728815</v>
      </c>
      <c r="P12" s="311">
        <f t="shared" si="2"/>
        <v>6272.4231701694916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160</v>
      </c>
      <c r="I13" s="236">
        <f t="shared" si="0"/>
        <v>6276.8000000000011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313.84000000000009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219.68800000000007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320.1167999999999</v>
      </c>
      <c r="M13" s="230">
        <f t="shared" si="1"/>
        <v>5423.1552000000011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1220.3389830508463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33.217470915254239</v>
      </c>
      <c r="P13" s="311">
        <f t="shared" si="2"/>
        <v>6676.711653966101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9</v>
      </c>
      <c r="H16" s="113">
        <f t="shared" ref="H16:M16" si="3">SUM(H7:H15)</f>
        <v>360</v>
      </c>
      <c r="I16" s="114">
        <f t="shared" si="3"/>
        <v>19997.700000000004</v>
      </c>
      <c r="J16" s="274">
        <f>SUM(J7:J15)</f>
        <v>1411.5120000000002</v>
      </c>
      <c r="K16" s="275">
        <f t="shared" si="3"/>
        <v>699.9195000000002</v>
      </c>
      <c r="L16" s="276">
        <f t="shared" si="3"/>
        <v>320.1167999999999</v>
      </c>
      <c r="M16" s="232">
        <f t="shared" si="3"/>
        <v>17566.151700000002</v>
      </c>
      <c r="N16" s="233">
        <f>SUM(N7:N15)</f>
        <v>3813.5593220338974</v>
      </c>
      <c r="O16" s="101">
        <f>SUM(O7:O15)</f>
        <v>106.8985551101695</v>
      </c>
      <c r="P16" s="113">
        <f>SUM(P7:P15)</f>
        <v>21486.609577144067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19997.700000000004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1411.5120000000002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1020.0363000000001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17566.151700000006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3813.5593220338974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21379.711022033902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106.8985551101695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21486.60957714407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21486.60957714407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311">
        <f t="shared" si="5"/>
        <v>6272.4231701694916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311">
        <f t="shared" si="5"/>
        <v>3338.355826983051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280</v>
      </c>
      <c r="I25" s="114">
        <f t="shared" ref="I25:M25" si="10">SUM(I16:I24)</f>
        <v>16859.300000000003</v>
      </c>
      <c r="J25" s="274">
        <f>SUM(J16:J24)</f>
        <v>1254.5920000000001</v>
      </c>
      <c r="K25" s="275">
        <f t="shared" si="10"/>
        <v>590.07550000000015</v>
      </c>
      <c r="L25" s="276">
        <f t="shared" si="10"/>
        <v>160.05840000000001</v>
      </c>
      <c r="M25" s="232">
        <f t="shared" si="10"/>
        <v>14854.574100000002</v>
      </c>
      <c r="N25" s="233">
        <f>SUM(N16:N24)</f>
        <v>3203.3898305084745</v>
      </c>
      <c r="O25" s="101">
        <f>SUM(O16:O24)</f>
        <v>90.289819652542377</v>
      </c>
      <c r="P25" s="113">
        <f>SUM(P16:P24)</f>
        <v>18148.253750161017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16859.300000000003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1254.5920000000001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750.13390000000015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14854.574100000002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3203.3898305084745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18057.963930508475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90.289819652542377</v>
      </c>
    </row>
    <row r="35" spans="2:16" ht="15.75" customHeight="1" thickBot="1" x14ac:dyDescent="0.4">
      <c r="N35" s="373" t="s">
        <v>88</v>
      </c>
      <c r="O35" s="374"/>
      <c r="P35" s="297">
        <f>+P33+P34</f>
        <v>18148.253750161017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392.30000000000007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19.615000000000006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33.737800000000007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338.94720000000007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415.21838644067799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3" t="s">
        <v>88</v>
      </c>
      <c r="O35" s="374"/>
      <c r="P35" s="297">
        <f>+P33+P34</f>
        <v>417.29447837288137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8.7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392.30000000000007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19.615000000000006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33.737800000000007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338.94720000000007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415.21838644067799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3" t="s">
        <v>88</v>
      </c>
      <c r="O35" s="374"/>
      <c r="P35" s="297">
        <f>+P33+P34</f>
        <v>417.29447837288137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392.30000000000007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19.615000000000006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33.737800000000007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338.94720000000007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415.21838644067799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3" t="s">
        <v>88</v>
      </c>
      <c r="O35" s="374"/>
      <c r="P35" s="297">
        <f>+P33+P34</f>
        <v>417.29447837288137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392.30000000000007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19.615000000000006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33.737800000000007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338.94720000000007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415.21838644067799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3" t="s">
        <v>88</v>
      </c>
      <c r="O35" s="374"/>
      <c r="P35" s="297">
        <f>+P33+P34</f>
        <v>417.29447837288137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392.30000000000007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19.615000000000006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33.737800000000007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338.94720000000007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415.21838644067799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3" t="s">
        <v>88</v>
      </c>
      <c r="O35" s="374"/>
      <c r="P35" s="297">
        <f>+P33+P34</f>
        <v>417.29447837288137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392.30000000000007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19.615000000000006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33.737800000000007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338.94720000000007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415.21838644067799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3" t="s">
        <v>88</v>
      </c>
      <c r="O35" s="374"/>
      <c r="P35" s="297">
        <f>+P33+P34</f>
        <v>417.29447837288137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392.30000000000007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19.615000000000006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33.737800000000007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338.94720000000007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415.21838644067799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3" t="s">
        <v>88</v>
      </c>
      <c r="O35" s="374"/>
      <c r="P35" s="297">
        <f>+P33+P34</f>
        <v>417.29447837288137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311">
        <f t="shared" si="5"/>
        <v>417.29447837288137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113">
        <f>SUM(P16:P24)</f>
        <v>417.29447837288137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392.30000000000007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19.615000000000006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33.737800000000007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338.94720000000007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415.21838644067799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3" t="s">
        <v>88</v>
      </c>
      <c r="O35" s="374"/>
      <c r="P35" s="297">
        <f>+P33+P34</f>
        <v>417.29447837288137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8.7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46259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46258</v>
      </c>
      <c r="O5" s="393"/>
      <c r="P5" s="393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">
        <v>513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46260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46259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2026-08-25T04:21:59Z</dcterms:modified>
</cp:coreProperties>
</file>