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22E7F74-3C5C-42D6-AEB3-721F28A3CFE4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M24" i="66" s="1"/>
  <c r="O24" i="66" s="1"/>
  <c r="P24" i="66" s="1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L24" i="53"/>
  <c r="J24" i="53"/>
  <c r="J24" i="58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M16" i="58"/>
  <c r="O16" i="58" s="1"/>
  <c r="P16" i="58" s="1"/>
  <c r="M16" i="59"/>
  <c r="M23" i="72"/>
  <c r="O23" i="72" s="1"/>
  <c r="P23" i="72" s="1"/>
  <c r="M23" i="64"/>
  <c r="M23" i="59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 s="1"/>
  <c r="O23" i="69"/>
  <c r="P23" i="69" s="1"/>
  <c r="O24" i="48"/>
  <c r="P24" i="48" s="1"/>
  <c r="O22" i="51"/>
  <c r="P22" i="51" s="1"/>
  <c r="O23" i="60"/>
  <c r="P23" i="60" s="1"/>
  <c r="O16" i="64"/>
  <c r="P16" i="64" s="1"/>
  <c r="O17" i="45"/>
  <c r="P17" i="45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N24" i="16" l="1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18" i="16" l="1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<sst xmlns="http://schemas.openxmlformats.org/spreadsheetml/2006/main" count="3948" uniqueCount="549">
  <si>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</si>
  <si>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</si>
  <si>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</si>
  <si>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</si>
  <si>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</si>
  <si>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</si>
  <si>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</si>
  <si>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</si>
  <si>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</si>
  <si>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</si>
  <si>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</si>
  <si>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</si>
  <si>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</si>
  <si>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</si>
  <si>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</si>
  <si>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</si>
  <si>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</si>
  <si>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</si>
  <si>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</si>
  <si>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</si>
  <si>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</si>
  <si>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</si>
  <si>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</si>
  <si>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</si>
  <si>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</si>
  <si>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</si>
  <si>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</si>
  <si>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</si>
  <si>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</si>
  <si>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</si>
  <si>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</si>
  <si>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</si>
  <si>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</si>
  <si>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</si>
  <si>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</si>
  <si>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</si>
  <si>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</si>
  <si>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</si>
  <si>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</si>
  <si>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</si>
  <si>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</si>
  <si>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</si>
  <si>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</si>
  <si>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</si>
  <si>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</si>
  <si>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</si>
  <si>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</si>
  <si>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</si>
  <si>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</si>
  <si>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</si>
  <si>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</si>
  <si>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</si>
  <si>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</si>
  <si>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</si>
  <si>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</si>
  <si>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</si>
  <si>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</si>
  <si>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</si>
  <si>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</si>
  <si>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</si>
  <si>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</si>
  <si>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</si>
  <si>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</si>
  <si>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</si>
  <si>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</si>
  <si>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</si>
  <si>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</si>
  <si>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</si>
  <si>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</si>
  <si>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</si>
  <si>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</si>
  <si>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</si>
  <si>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</si>
  <si>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</si>
  <si>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</si>
  <si>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</si>
  <si>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</si>
  <si>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</si>
  <si>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</si>
  <si>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</si>
  <si>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</si>
  <si>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</si>
  <si>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</si>
  <si>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</si>
  <si>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</si>
  <si>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</si>
  <si>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</si>
  <si>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</si>
  <si>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</si>
  <si>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</si>
  <si>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</si>
  <si>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</si>
  <si>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</si>
  <si>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</si>
  <si>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</si>
  <si>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</si>
  <si>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</si>
  <si>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</si>
  <si>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</si>
  <si>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</si>
  <si>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</si>
  <si>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</si>
  <si>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</si>
  <si>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</si>
  <si>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</si>
  <si>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</si>
  <si>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</si>
  <si>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</si>
  <si>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</si>
  <si>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</si>
  <si>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</si>
  <si>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</si>
  <si>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</si>
  <si>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</si>
  <si>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</si>
  <si>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</si>
  <si>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</si>
  <si>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</si>
  <si>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</si>
  <si>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</si>
  <si>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</si>
  <si>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</si>
  <si>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</si>
  <si>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</si>
  <si>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</si>
  <si>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</si>
  <si>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</si>
  <si>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</si>
  <si>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</si>
  <si>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</si>
  <si>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</si>
  <si>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</si>
  <si>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</si>
  <si>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</si>
  <si>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</si>
  <si>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</si>
  <si>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</si>
  <si>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</si>
  <si>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</si>
  <si>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</si>
  <si>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</si>
  <si>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</si>
  <si>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</si>
  <si>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</si>
  <si>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</si>
  <si>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</si>
  <si>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</si>
  <si>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</si>
  <si>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</si>
  <si>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</si>
  <si>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</si>
  <si>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</si>
  <si>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</si>
  <si>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</si>
  <si>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</si>
  <si>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</si>
  <si>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</si>
  <si>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</si>
  <si>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</si>
  <si>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</si>
  <si>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</si>
  <si>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</si>
  <si>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</si>
  <si>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</si>
  <si>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</si>
  <si>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</si>
  <si>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</si>
  <si>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</si>
  <si>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</si>
  <si>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</si>
  <si>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</si>
  <si>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</si>
  <si>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</si>
  <si>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</si>
  <si>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</si>
  <si>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</si>
  <si>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</si>
  <si>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</si>
  <si>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</si>
  <si>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</si>
  <si>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</si>
  <si>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</si>
  <si>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</si>
  <si>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</si>
  <si>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</si>
  <si>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</si>
  <si>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</si>
  <si>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</si>
  <si>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</si>
  <si>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</si>
  <si>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</si>
  <si>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</si>
  <si>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</si>
  <si>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</si>
  <si>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</si>
  <si>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</si>
  <si>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</si>
  <si>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</si>
  <si>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</si>
  <si>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</si>
  <si>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</si>
  <si>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</si>
  <si>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</si>
  <si>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</si>
  <si>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</si>
  <si>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</si>
  <si>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</si>
  <si>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</si>
  <si>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</si>
  <si>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</si>
  <si>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</si>
  <si>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</si>
  <si>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</si>
  <si>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</si>
  <si>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</si>
  <si>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</si>
  <si>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</si>
  <si>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</si>
  <si>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</si>
  <si>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</si>
  <si>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</si>
  <si>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</si>
  <si>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</si>
  <si>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</si>
  <si>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</si>
  <si>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</si>
  <si>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</si>
  <si>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</si>
  <si>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</si>
  <si>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</si>
  <si>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</si>
  <si>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</si>
  <si>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</si>
  <si>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</si>
  <si>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</si>
  <si>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</si>
  <si>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</si>
  <si>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</si>
  <si>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</si>
  <si>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</si>
  <si>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</si>
  <si>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</si>
  <si>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</si>
  <si>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</si>
  <si>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</si>
  <si>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</si>
  <si>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</si>
  <si>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</si>
  <si>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</si>
  <si>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</si>
  <si>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</si>
  <si>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</si>
  <si>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</si>
  <si>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</si>
  <si>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</si>
  <si>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</si>
  <si>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</si>
  <si>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</si>
  <si>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</si>
  <si>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</si>
  <si>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</si>
  <si>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</si>
  <si>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</si>
  <si>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</si>
  <si>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</si>
  <si>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</si>
  <si>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</si>
  <si>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</si>
  <si>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</si>
  <si>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</si>
  <si>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</si>
  <si>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</si>
  <si>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</si>
  <si>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</si>
  <si>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</si>
  <si>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</si>
  <si>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</si>
  <si>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</si>
  <si>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</si>
  <si>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</si>
  <si>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</si>
  <si>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</si>
  <si>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</si>
  <si>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</si>
  <si>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</si>
  <si>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</si>
  <si>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</si>
  <si>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</si>
  <si>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</si>
  <si>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</si>
  <si>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</si>
  <si>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</si>
  <si>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</si>
  <si>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</si>
  <si>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</si>
  <si>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</si>
  <si>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</si>
  <si>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</si>
  <si>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</si>
  <si>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</si>
  <si>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</si>
  <si>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</si>
  <si>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</si>
  <si>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</si>
  <si>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</si>
  <si>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</si>
  <si>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</si>
  <si>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</si>
  <si>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</si>
  <si>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</si>
  <si>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</si>
  <si>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</si>
  <si>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</si>
  <si>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</si>
  <si>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</si>
  <si>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</si>
  <si>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</si>
  <si>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</si>
  <si>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</si>
  <si>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</si>
  <si>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</si>
  <si>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</si>
  <si>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</si>
  <si>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</si>
  <si>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</si>
  <si>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</si>
  <si>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</si>
  <si>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</si>
  <si>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</si>
  <si>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</si>
  <si>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</si>
  <si>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</si>
  <si>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</si>
  <si>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</si>
  <si>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</si>
  <si>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</si>
  <si>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</si>
  <si>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</si>
  <si>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</si>
  <si>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</si>
  <si>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</si>
  <si>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</si>
  <si>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</si>
  <si>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</si>
  <si>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</si>
  <si>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</si>
  <si>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</si>
  <si>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</si>
  <si>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</si>
  <si>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</si>
  <si>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</si>
  <si>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</si>
  <si>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</si>
  <si>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</si>
  <si>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</si>
  <si>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</si>
  <si>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</si>
  <si>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</si>
  <si>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</si>
  <si>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</si>
  <si>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</si>
  <si>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</si>
  <si>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</si>
  <si>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</si>
  <si>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</si>
  <si>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</si>
  <si>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</si>
  <si>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</si>
  <si>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</si>
  <si>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</si>
  <si>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</si>
  <si>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</si>
  <si>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</si>
  <si>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</si>
  <si>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</si>
  <si>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</si>
  <si>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</si>
  <si>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</si>
  <si>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</si>
  <si>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</si>
  <si>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</si>
  <si>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</si>
  <si>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</si>
  <si>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</si>
  <si>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</si>
  <si>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</si>
  <si>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</si>
  <si>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</si>
  <si>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</si>
  <si>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</si>
  <si>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</si>
  <si>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</si>
  <si>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</si>
  <si>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</si>
  <si>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</si>
  <si>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</si>
  <si>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</si>
  <si>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</si>
  <si>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</si>
  <si>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</si>
  <si>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</si>
  <si>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</si>
  <si>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</si>
  <si>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</si>
  <si>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</si>
  <si>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</si>
  <si>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</si>
  <si>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</si>
  <si>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</si>
  <si>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</si>
  <si>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</si>
  <si>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</si>
  <si>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</si>
  <si>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</si>
  <si>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</si>
  <si>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</si>
  <si>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</si>
  <si>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</si>
  <si>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</si>
  <si>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</si>
  <si>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</si>
  <si>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</si>
  <si>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</si>
  <si>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</si>
  <si>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</si>
  <si>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</si>
  <si>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</si>
  <si>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</si>
  <si>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</si>
  <si>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</si>
  <si>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</si>
  <si>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</si>
  <si>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</si>
  <si>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</si>
  <si>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</si>
  <si>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</si>
  <si>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</si>
  <si>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</si>
  <si>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</si>
  <si>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</si>
  <si>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</si>
  <si>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</si>
  <si>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</si>
  <si>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</si>
  <si>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</si>
  <si>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</si>
  <si>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</si>
  <si>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</si>
  <si>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</si>
  <si>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</si>
  <si>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</si>
  <si>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</si>
  <si>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</si>
  <si>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</si>
  <si>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</si>
  <si>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</si>
  <si>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</si>
  <si>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</si>
  <si>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</si>
  <si>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</si>
  <si>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</si>
  <si>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</si>
  <si>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</si>
  <si>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</si>
  <si>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</si>
  <si>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</si>
  <si>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</si>
  <si>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</si>
  <si>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</si>
  <si>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</si>
  <si>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</si>
  <si>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</si>
  <si>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</si>
  <si>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</si>
  <si>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</si>
  <si>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</si>
  <si>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</si>
  <si>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</si>
  <si>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</si>
  <si>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</si>
  <si>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</si>
  <si>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</si>
  <si>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</si>
  <si>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</si>
  <si>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</si>
  <si>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</si>
  <si>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</si>
  <si>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</si>
  <si>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</si>
  <si>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</si>
  <si>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</si>
  <si>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</si>
  <si>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</si>
  <si>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</si>
  <si>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</si>
  <si>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</si>
  <si>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</si>
  <si>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</si>
  <si>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</si>
  <si>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</si>
  <si>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</si>
  <si>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</si>
  <si>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</si>
  <si>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</si>
  <si>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</si>
  <si>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</si>
  <si>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</si>
  <si>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</si>
  <si>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</si>
  <si>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</si>
  <si>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</si>
  <si>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</si>
  <si>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</si>
  <si>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</si>
  <si>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</si>
  <si>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</si>
  <si>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Gourmet Food Wahdat Road</t>
  </si>
  <si>
    <t>Address: Wahdat Road</t>
  </si>
  <si>
    <t>Gourmet Food Nadeem Shaheed</t>
  </si>
  <si>
    <t>Address: Nadeem Shaheed</t>
  </si>
  <si>
    <t>Invoice No # :10012</t>
  </si>
  <si>
    <t>Gourmet Food Multan Road</t>
  </si>
  <si>
    <t>Address: Multan Road</t>
  </si>
  <si>
    <t xml:space="preserve">Gourmet Food Rizwan Garden </t>
  </si>
  <si>
    <t xml:space="preserve">Address: Rizwan Garden </t>
  </si>
  <si>
    <t xml:space="preserve">Gourmet Food Yateem Khana </t>
  </si>
  <si>
    <t xml:space="preserve">Address: Yateem Khana </t>
  </si>
  <si>
    <t xml:space="preserve">Gourmet Food Canal View </t>
  </si>
  <si>
    <t>Address: Canal View</t>
  </si>
  <si>
    <t xml:space="preserve">Gourmet Food Sabzazaar </t>
  </si>
  <si>
    <t>Address: Sabzazaar</t>
  </si>
  <si>
    <t xml:space="preserve">Gourmet Food Kareem Block </t>
  </si>
  <si>
    <t xml:space="preserve">Address: Kareem Block </t>
  </si>
  <si>
    <t>Gourmet Food Karishan Nager</t>
  </si>
  <si>
    <t>Address: Kareeshan Nager</t>
  </si>
  <si>
    <t>Gourmet Food Punch Road</t>
  </si>
  <si>
    <t>Address: Punch Road</t>
  </si>
  <si>
    <t xml:space="preserve">Gourmet Food Gulshan Ravi </t>
  </si>
  <si>
    <t xml:space="preserve">Address:  Gulshan Ravi </t>
  </si>
  <si>
    <t xml:space="preserve">Gourmet Food Rustam Park </t>
  </si>
  <si>
    <t xml:space="preserve">Address: Rustam Park </t>
  </si>
  <si>
    <t xml:space="preserve">Gourmet Food Kot Abdul Malik </t>
  </si>
  <si>
    <t xml:space="preserve">Address: Kot Abdul malik </t>
  </si>
  <si>
    <t>Gourmet Food Ravi Road</t>
  </si>
  <si>
    <t>Address: Ravi Road</t>
  </si>
  <si>
    <t>Gourmet Food Awan Town</t>
  </si>
  <si>
    <t xml:space="preserve">Address: Awan Town </t>
  </si>
  <si>
    <t xml:space="preserve">Gourmet Food Shahdra </t>
  </si>
  <si>
    <t xml:space="preserve">Address: Shadra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</si>
</sst>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/>
    </xf>
    <xf numFmtId="0" fontId="35" fillId="6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zoomScale="85" zoomScaleNormal="85" workbookViewId="0">
      <selection activeCell="H12" sqref="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499</v>
      </c>
      <c r="F2" s="357"/>
      <c r="G2" s="357"/>
      <c r="H2" s="354" t="s">
        <v>515</v>
      </c>
      <c r="I2" s="354"/>
      <c r="J2" s="355"/>
      <c r="R2" s="351" t="s">
        <v>498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510</v>
      </c>
      <c r="F3" s="361"/>
      <c r="G3" s="361"/>
      <c r="H3" s="358">
        <f ca="1">TODAY()</f>
        <v>46262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20" t="str">
        <f>+'1'!A6:A6</f>
        <v>Gourmet Food Multan Road</v>
      </c>
      <c r="T3" s="301">
        <f>+'1'!P35</f>
        <v>2054.1523328389831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9" t="str">
        <f>+'2'!A6:A6</f>
        <v xml:space="preserve">Gourmet Food Rizwan Garden </v>
      </c>
      <c r="T4" s="301">
        <f>+'2'!P35</f>
        <v>2054.1523328389831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20" t="str">
        <f>+'3'!A6:A6</f>
        <v xml:space="preserve">Gourmet Food Yateem Khana </v>
      </c>
      <c r="T5" s="301">
        <f>+'3'!P35</f>
        <v>2054.1523328389831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20" t="str">
        <f>+'4'!A6:A6</f>
        <v>Gourmet Food Wahdat Road</v>
      </c>
      <c r="T6" s="301">
        <f>+'4'!P35</f>
        <v>2054.1523328389831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20" t="str">
        <f>+'5'!A6:A6</f>
        <v xml:space="preserve">Gourmet Food Canal View </v>
      </c>
      <c r="T7" s="301">
        <f>+'5'!P35</f>
        <v>2054.1523328389831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755.45999999999992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3294.645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20.439326694915252</v>
      </c>
      <c r="P8" s="311">
        <f t="shared" ref="P8:P15" si="2">M8+N8+O8</f>
        <v>4108.3046656779661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Sabzazaar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360</v>
      </c>
      <c r="I9" s="236">
        <f t="shared" si="0"/>
        <v>18886.5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3399.5699999999997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661.02750000000003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14825.9025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3569.4915254237267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91.976970127118634</v>
      </c>
      <c r="P9" s="311">
        <f t="shared" si="2"/>
        <v>18487.370995550846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240</v>
      </c>
      <c r="R9" s="314">
        <v>7</v>
      </c>
      <c r="S9" s="300" t="str">
        <f>+'7'!A6:A6</f>
        <v xml:space="preserve">Gourmet Food Kareem Block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261.50399999999996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50.848000000000006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1140.4479999999999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7.075121355932203</v>
      </c>
      <c r="P10" s="311">
        <f t="shared" si="2"/>
        <v>1422.0993925423727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19" t="str">
        <f>+'8'!A6:A6</f>
        <v>Gourmet Food Karishan Nager</v>
      </c>
      <c r="T10" s="301">
        <f>+'8'!P35</f>
        <v>2054.1523328389831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261.50399999999996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1140.4479999999999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7.075121355932203</v>
      </c>
      <c r="P11" s="311">
        <f t="shared" si="2"/>
        <v>1422.0993925423727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Gourmet Food Punch Road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523.00799999999992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2280.8959999999997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14.150242711864406</v>
      </c>
      <c r="P12" s="311">
        <f t="shared" si="2"/>
        <v>2844.1987850847454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4">
        <v>10</v>
      </c>
      <c r="S12" s="300" t="str">
        <f>+'10'!A6:A6</f>
        <v xml:space="preserve">Gourmet Food Gulshan Ravi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Rustam Park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19" t="str">
        <f>+'12'!A6:A6</f>
        <v xml:space="preserve">Gourmet Food Kot Abdul Malik </v>
      </c>
      <c r="T14" s="301">
        <f>+'12'!P35</f>
        <v>8374.6028433050833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19" t="str">
        <f>+'13'!A6:A6</f>
        <v>Gourmet Food Ravi Road</v>
      </c>
      <c r="T15" s="301">
        <f>+'13'!P35</f>
        <v>4108.3046656779661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13</v>
      </c>
      <c r="H16" s="113">
        <f t="shared" ref="H16:M16" si="3">SUM(H7:H15)</f>
        <v>520</v>
      </c>
      <c r="I16" s="114">
        <f t="shared" si="3"/>
        <v>28894.699999999997</v>
      </c>
      <c r="J16" s="274">
        <f>SUM(J7:J15)</f>
        <v>5201.0459999999994</v>
      </c>
      <c r="K16" s="275">
        <f t="shared" si="3"/>
        <v>1011.3145</v>
      </c>
      <c r="L16" s="276">
        <f t="shared" si="3"/>
        <v>0</v>
      </c>
      <c r="M16" s="232">
        <f t="shared" si="3"/>
        <v>22682.339500000002</v>
      </c>
      <c r="N16" s="233">
        <f>SUM(N7:N15)</f>
        <v>5461.0169491525403</v>
      </c>
      <c r="O16" s="101">
        <f>SUM(O7:O15)</f>
        <v>140.71678224576269</v>
      </c>
      <c r="P16" s="113">
        <f>SUM(P7:P15)</f>
        <v>28284.073231398303</v>
      </c>
      <c r="Q16" s="128">
        <f>SUM(Q7:Q15)</f>
        <v>320</v>
      </c>
      <c r="R16" s="314">
        <v>14</v>
      </c>
      <c r="S16" s="320" t="str">
        <f>+'14'!A6:A6</f>
        <v>Gourmet Food Awan Town</v>
      </c>
      <c r="T16" s="301">
        <f>+'14'!P35</f>
        <v>3476.2517253813558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Gourmet Food Shahdra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Gourmet Food Wahdat Road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28894.699999999997</v>
      </c>
      <c r="R19" s="299">
        <v>17</v>
      </c>
      <c r="S19" s="300" t="str">
        <f>+'17'!A6:A6</f>
        <v>Gourmet Food Nadeem Shaheed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5201.0459999999994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1011.3145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22682.339499999998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5461.0169491525403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28143.356449152539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140.71678224576269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28284.073231398303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28284.073231398306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  <row r="49" spans="2:2" x14ac:dyDescent="0.35">
      <c r="B49" t="s">
        <v>511</v>
      </c>
    </row>
    <row r="50" spans="2:2" x14ac:dyDescent="0.35">
      <c r="B50" t="s">
        <v>512</v>
      </c>
    </row>
    <row r="51" spans="2:2" x14ac:dyDescent="0.35">
      <c r="B51" t="s">
        <v>513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zoomScale="85" zoomScaleNormal="8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7.2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9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377.72999999999996</v>
      </c>
      <c r="K25" s="275">
        <f t="shared" si="10"/>
        <v>73.447500000000005</v>
      </c>
      <c r="L25" s="276">
        <f t="shared" si="10"/>
        <v>0</v>
      </c>
      <c r="M25" s="232">
        <f t="shared" si="10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524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8.7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9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528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9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530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532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zoomScale="110" zoomScaleNormal="1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534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377.72999999999996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1647.3225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2043.9326694915253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5" t="s">
        <v>88</v>
      </c>
      <c r="O35" s="346"/>
      <c r="P35" s="297">
        <f>+P33+P34</f>
        <v>2054.1523328389831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536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Q16" sqref="Q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537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538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539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540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40</v>
      </c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541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542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8555.4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1539.9719999999998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299.43900000000002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6715.9889999999996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8332.9381525423723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45" t="s">
        <v>88</v>
      </c>
      <c r="O35" s="346"/>
      <c r="P35" s="297">
        <f>+P33+P34</f>
        <v>8374.6028433050833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543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544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755.45999999999992</v>
      </c>
      <c r="K25" s="275">
        <f t="shared" si="7"/>
        <v>146.89500000000001</v>
      </c>
      <c r="L25" s="276">
        <f t="shared" si="7"/>
        <v>0</v>
      </c>
      <c r="M25" s="232">
        <f t="shared" si="7"/>
        <v>3294.645</v>
      </c>
      <c r="N25" s="233">
        <f>SUM(N16:N24)</f>
        <v>793.22033898305051</v>
      </c>
      <c r="O25" s="101">
        <f>SUM(O16:O24)</f>
        <v>20.439326694915252</v>
      </c>
      <c r="P25" s="113">
        <f>SUM(P16:P24)</f>
        <v>4108.3046656779661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4197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755.45999999999992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146.89500000000001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3294.645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4087.8653389830506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20.439326694915252</v>
      </c>
    </row>
    <row r="35" spans="2:16" ht="15.75" customHeight="1" thickBot="1" x14ac:dyDescent="0.4">
      <c r="N35" s="345" t="s">
        <v>88</v>
      </c>
      <c r="O35" s="346"/>
      <c r="P35" s="297">
        <f>+P33+P34</f>
        <v>4108.3046656779661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6" workbookViewId="0">
      <selection activeCell="Q22" sqref="Q17: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545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546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9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9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124.2955</v>
      </c>
      <c r="L25" s="276">
        <f t="shared" si="7"/>
        <v>0</v>
      </c>
      <c r="M25" s="232">
        <f t="shared" si="7"/>
        <v>2787.7704999999996</v>
      </c>
      <c r="N25" s="233">
        <f>SUM(N16:N24)</f>
        <v>671.18644067796595</v>
      </c>
      <c r="O25" s="101">
        <f>SUM(O16:O24)</f>
        <v>17.29478470338983</v>
      </c>
      <c r="P25" s="113">
        <f>SUM(P16:P24)</f>
        <v>3476.2517253813558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3551.3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639.23399999999992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124.2955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2787.7705000000001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3458.956940677966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17.29478470338983</v>
      </c>
    </row>
    <row r="35" spans="2:16" ht="15.75" customHeight="1" thickBot="1" x14ac:dyDescent="0.4">
      <c r="N35" s="345" t="s">
        <v>88</v>
      </c>
      <c r="O35" s="346"/>
      <c r="P35" s="297">
        <f>+P33+P34</f>
        <v>3476.2517253813558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547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548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3"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519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8.75" customHeight="1" x14ac:dyDescent="0.4">
      <c r="A6" s="399" t="s">
        <v>500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520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501</v>
      </c>
      <c r="B4" s="370"/>
      <c r="C4" s="370"/>
      <c r="F4" s="85"/>
      <c r="G4" s="1"/>
      <c r="K4" s="371" t="s">
        <v>44</v>
      </c>
      <c r="L4" s="371"/>
      <c r="M4" s="371"/>
      <c r="N4" s="401">
        <v>46259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46258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514</v>
      </c>
      <c r="B7" s="371"/>
      <c r="C7" s="371"/>
      <c r="F7" s="85"/>
      <c r="G7" s="86"/>
      <c r="K7" s="371" t="s">
        <v>66</v>
      </c>
      <c r="L7" s="371"/>
      <c r="M7" s="371"/>
      <c r="N7" s="400" t="s">
        <v>507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507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8">
        <v>0.18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46263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46262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2026-08-28T04:56:32Z</dcterms:modified>
</cp:coreProperties>
</file>