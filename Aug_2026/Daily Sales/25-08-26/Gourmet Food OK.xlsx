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D000830E-FA91-41D8-A8DE-D7ABAD34AA69}" xr6:coauthVersionLast="47" xr6:coauthVersionMax="47" xr10:uidLastSave="{00000000-0000-0000-0000-000000000000}"/>
  <bookViews>
    <workbookView xWindow="-110" yWindow="-110" windowWidth="19420" windowHeight="10560" tabRatio="594" firstSheet="3" activeTab="1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M24" i="66" s="1"/>
  <c r="O24" i="66" s="1"/>
  <c r="P24" i="66" s="1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L24" i="53"/>
  <c r="J24" i="53"/>
  <c r="J24" i="58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M16" i="58"/>
  <c r="O16" i="58" s="1"/>
  <c r="P16" i="58" s="1"/>
  <c r="M16" i="59"/>
  <c r="M23" i="72"/>
  <c r="O23" i="72" s="1"/>
  <c r="P23" i="72" s="1"/>
  <c r="M23" i="64"/>
  <c r="M23" i="59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 s="1"/>
  <c r="O23" i="69"/>
  <c r="P23" i="69" s="1"/>
  <c r="O24" i="48"/>
  <c r="P24" i="48" s="1"/>
  <c r="O22" i="51"/>
  <c r="P22" i="51" s="1"/>
  <c r="O23" i="60"/>
  <c r="P23" i="60" s="1"/>
  <c r="O16" i="64"/>
  <c r="P16" i="64" s="1"/>
  <c r="O17" i="45"/>
  <c r="P17" i="45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N24" i="16" l="1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18" i="16" l="1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<sst xmlns="http://schemas.openxmlformats.org/spreadsheetml/2006/main" count="3948" uniqueCount="549">
  <si>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</si>
  <si>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</si>
  <si>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</si>
  <si>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</si>
  <si>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</si>
  <si>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</si>
  <si>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</si>
  <si>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</si>
  <si>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</si>
  <si>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</si>
  <si>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</si>
  <si>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</si>
  <si>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</si>
  <si>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</si>
  <si>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</si>
  <si>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</si>
  <si>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</si>
  <si>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</si>
  <si>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</si>
  <si>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</si>
  <si>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</si>
  <si>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</si>
  <si>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</si>
  <si>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</si>
  <si>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</si>
  <si>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</si>
  <si>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</si>
  <si>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</si>
  <si>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</si>
  <si>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</si>
  <si>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</si>
  <si>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</si>
  <si>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</si>
  <si>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</si>
  <si>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</si>
  <si>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</si>
  <si>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</si>
  <si>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</si>
  <si>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</si>
  <si>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</si>
  <si>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</si>
  <si>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</si>
  <si>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</si>
  <si>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</si>
  <si>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</si>
  <si>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</si>
  <si>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</si>
  <si>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</si>
  <si>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</si>
  <si>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</si>
  <si>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</si>
  <si>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</si>
  <si>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</si>
  <si>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</si>
  <si>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</si>
  <si>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</si>
  <si>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</si>
  <si>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</si>
  <si>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</si>
  <si>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</si>
  <si>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</si>
  <si>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</si>
  <si>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</si>
  <si>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</si>
  <si>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</si>
  <si>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</si>
  <si>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</si>
  <si>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</si>
  <si>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</si>
  <si>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</si>
  <si>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</si>
  <si>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</si>
  <si>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</si>
  <si>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</si>
  <si>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</si>
  <si>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</si>
  <si>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</si>
  <si>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</si>
  <si>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</si>
  <si>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</si>
  <si>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</si>
  <si>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</si>
  <si>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</si>
  <si>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</si>
  <si>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</si>
  <si>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</si>
  <si>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</si>
  <si>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</si>
  <si>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</si>
  <si>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</si>
  <si>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</si>
  <si>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</si>
  <si>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</si>
  <si>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</si>
  <si>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</si>
  <si>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</si>
  <si>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</si>
  <si>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</si>
  <si>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</si>
  <si>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</si>
  <si>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</si>
  <si>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</si>
  <si>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</si>
  <si>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</si>
  <si>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</si>
  <si>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</si>
  <si>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</si>
  <si>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</si>
  <si>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</si>
  <si>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</si>
  <si>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</si>
  <si>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</si>
  <si>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</si>
  <si>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</si>
  <si>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</si>
  <si>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</si>
  <si>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</si>
  <si>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</si>
  <si>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</si>
  <si>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</si>
  <si>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</si>
  <si>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</si>
  <si>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</si>
  <si>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</si>
  <si>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</si>
  <si>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</si>
  <si>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</si>
  <si>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</si>
  <si>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</si>
  <si>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</si>
  <si>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</si>
  <si>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</si>
  <si>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</si>
  <si>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</si>
  <si>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</si>
  <si>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</si>
  <si>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</si>
  <si>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</si>
  <si>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</si>
  <si>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</si>
  <si>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</si>
  <si>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</si>
  <si>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</si>
  <si>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</si>
  <si>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</si>
  <si>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</si>
  <si>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</si>
  <si>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</si>
  <si>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</si>
  <si>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</si>
  <si>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</si>
  <si>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</si>
  <si>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</si>
  <si>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</si>
  <si>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</si>
  <si>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</si>
  <si>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</si>
  <si>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</si>
  <si>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</si>
  <si>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</si>
  <si>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</si>
  <si>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</si>
  <si>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</si>
  <si>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</si>
  <si>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</si>
  <si>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</si>
  <si>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</si>
  <si>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</si>
  <si>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</si>
  <si>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</si>
  <si>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</si>
  <si>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</si>
  <si>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</si>
  <si>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</si>
  <si>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</si>
  <si>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</si>
  <si>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</si>
  <si>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</si>
  <si>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</si>
  <si>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</si>
  <si>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</si>
  <si>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</si>
  <si>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</si>
  <si>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</si>
  <si>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</si>
  <si>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</si>
  <si>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</si>
  <si>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</si>
  <si>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</si>
  <si>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</si>
  <si>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</si>
  <si>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</si>
  <si>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</si>
  <si>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</si>
  <si>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</si>
  <si>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</si>
  <si>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</si>
  <si>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</si>
  <si>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</si>
  <si>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</si>
  <si>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</si>
  <si>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</si>
  <si>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</si>
  <si>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</si>
  <si>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</si>
  <si>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</si>
  <si>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</si>
  <si>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</si>
  <si>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</si>
  <si>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</si>
  <si>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</si>
  <si>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</si>
  <si>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</si>
  <si>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</si>
  <si>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</si>
  <si>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</si>
  <si>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</si>
  <si>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</si>
  <si>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</si>
  <si>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</si>
  <si>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</si>
  <si>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</si>
  <si>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</si>
  <si>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</si>
  <si>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</si>
  <si>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</si>
  <si>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</si>
  <si>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</si>
  <si>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</si>
  <si>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</si>
  <si>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</si>
  <si>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</si>
  <si>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</si>
  <si>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</si>
  <si>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</si>
  <si>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</si>
  <si>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</si>
  <si>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</si>
  <si>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</si>
  <si>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</si>
  <si>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</si>
  <si>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</si>
  <si>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</si>
  <si>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</si>
  <si>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</si>
  <si>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</si>
  <si>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</si>
  <si>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</si>
  <si>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</si>
  <si>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</si>
  <si>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</si>
  <si>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</si>
  <si>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</si>
  <si>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</si>
  <si>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</si>
  <si>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</si>
  <si>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</si>
  <si>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</si>
  <si>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</si>
  <si>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</si>
  <si>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</si>
  <si>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</si>
  <si>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</si>
  <si>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</si>
  <si>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</si>
  <si>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</si>
  <si>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</si>
  <si>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</si>
  <si>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</si>
  <si>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</si>
  <si>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</si>
  <si>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</si>
  <si>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</si>
  <si>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</si>
  <si>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</si>
  <si>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</si>
  <si>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</si>
  <si>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</si>
  <si>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</si>
  <si>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</si>
  <si>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</si>
  <si>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</si>
  <si>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</si>
  <si>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</si>
  <si>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</si>
  <si>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</si>
  <si>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</si>
  <si>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</si>
  <si>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</si>
  <si>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</si>
  <si>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</si>
  <si>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</si>
  <si>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</si>
  <si>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</si>
  <si>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</si>
  <si>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</si>
  <si>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</si>
  <si>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</si>
  <si>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</si>
  <si>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</si>
  <si>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</si>
  <si>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</si>
  <si>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</si>
  <si>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</si>
  <si>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</si>
  <si>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</si>
  <si>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</si>
  <si>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</si>
  <si>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</si>
  <si>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</si>
  <si>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</si>
  <si>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</si>
  <si>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</si>
  <si>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</si>
  <si>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</si>
  <si>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</si>
  <si>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</si>
  <si>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</si>
  <si>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</si>
  <si>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</si>
  <si>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</si>
  <si>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</si>
  <si>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</si>
  <si>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</si>
  <si>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</si>
  <si>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</si>
  <si>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</si>
  <si>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</si>
  <si>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</si>
  <si>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</si>
  <si>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</si>
  <si>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</si>
  <si>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</si>
  <si>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</si>
  <si>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</si>
  <si>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</si>
  <si>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</si>
  <si>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</si>
  <si>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</si>
  <si>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</si>
  <si>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</si>
  <si>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</si>
  <si>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</si>
  <si>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</si>
  <si>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</si>
  <si>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</si>
  <si>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</si>
  <si>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</si>
  <si>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</si>
  <si>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</si>
  <si>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</si>
  <si>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</si>
  <si>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</si>
  <si>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</si>
  <si>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</si>
  <si>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</si>
  <si>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</si>
  <si>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</si>
  <si>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</si>
  <si>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</si>
  <si>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</si>
  <si>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</si>
  <si>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</si>
  <si>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</si>
  <si>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</si>
  <si>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</si>
  <si>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</si>
  <si>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</si>
  <si>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</si>
  <si>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</si>
  <si>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</si>
  <si>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</si>
  <si>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</si>
  <si>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</si>
  <si>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</si>
  <si>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</si>
  <si>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</si>
  <si>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</si>
  <si>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</si>
  <si>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</si>
  <si>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</si>
  <si>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</si>
  <si>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</si>
  <si>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</si>
  <si>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</si>
  <si>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</si>
  <si>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</si>
  <si>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</si>
  <si>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</si>
  <si>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</si>
  <si>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</si>
  <si>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</si>
  <si>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</si>
  <si>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</si>
  <si>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</si>
  <si>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</si>
  <si>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</si>
  <si>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</si>
  <si>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</si>
  <si>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</si>
  <si>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</si>
  <si>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</si>
  <si>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</si>
  <si>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</si>
  <si>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</si>
  <si>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</si>
  <si>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</si>
  <si>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</si>
  <si>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</si>
  <si>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</si>
  <si>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</si>
  <si>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</si>
  <si>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</si>
  <si>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</si>
  <si>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</si>
  <si>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</si>
  <si>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</si>
  <si>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</si>
  <si>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</si>
  <si>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</si>
  <si>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</si>
  <si>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</si>
  <si>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</si>
  <si>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</si>
  <si>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</si>
  <si>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</si>
  <si>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</si>
  <si>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</si>
  <si>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</si>
  <si>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</si>
  <si>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</si>
  <si>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</si>
  <si>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</si>
  <si>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</si>
  <si>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</si>
  <si>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</si>
  <si>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</si>
  <si>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</si>
  <si>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</si>
  <si>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</si>
  <si>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</si>
  <si>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</si>
  <si>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</si>
  <si>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</si>
  <si>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</si>
  <si>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</si>
  <si>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</si>
  <si>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</si>
  <si>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</si>
  <si>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</si>
  <si>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</si>
  <si>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</si>
  <si>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</si>
  <si>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</si>
  <si>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</si>
  <si>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</si>
  <si>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</si>
  <si>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</si>
  <si>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</si>
  <si>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</si>
  <si>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</si>
  <si>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</si>
  <si>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</si>
  <si>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</si>
  <si>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</si>
  <si>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</si>
  <si>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</si>
  <si>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</si>
  <si>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</si>
  <si>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</si>
  <si>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</si>
  <si>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</si>
  <si>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</si>
  <si>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</si>
  <si>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</si>
  <si>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</si>
  <si>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</si>
  <si>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</si>
  <si>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</si>
  <si>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</si>
  <si>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</si>
  <si>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</si>
  <si>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</si>
  <si>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</si>
  <si>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</si>
  <si>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</si>
  <si>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</si>
  <si>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</si>
  <si>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</si>
  <si>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</si>
  <si>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</si>
  <si>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</si>
  <si>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</si>
  <si>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</si>
  <si>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</si>
  <si>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</si>
  <si>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</si>
  <si>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</si>
  <si>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</si>
  <si>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</si>
  <si>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</si>
  <si>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</si>
  <si>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</si>
  <si>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</si>
  <si>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</si>
  <si>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</si>
  <si>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</si>
  <si>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</si>
  <si>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</si>
  <si>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</si>
  <si>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</si>
  <si>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</si>
  <si>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</si>
  <si>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</si>
  <si>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</si>
  <si>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</si>
  <si>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Gourmet Food Wahdat Road</t>
  </si>
  <si>
    <t>Address: Wahdat Road</t>
  </si>
  <si>
    <t>Gourmet Food Nadeem Shaheed</t>
  </si>
  <si>
    <t>Address: Nadeem Shaheed</t>
  </si>
  <si>
    <t>Invoice No # :10012</t>
  </si>
  <si>
    <t>Gourmet Food Multan Road</t>
  </si>
  <si>
    <t>Address: Multan Road</t>
  </si>
  <si>
    <t xml:space="preserve">Gourmet Food Rizwan Garden </t>
  </si>
  <si>
    <t xml:space="preserve">Address: Rizwan Garden </t>
  </si>
  <si>
    <t xml:space="preserve">Gourmet Food Yateem Khana </t>
  </si>
  <si>
    <t xml:space="preserve">Address: Yateem Khana </t>
  </si>
  <si>
    <t xml:space="preserve">Gourmet Food Canal View </t>
  </si>
  <si>
    <t>Address: Canal View</t>
  </si>
  <si>
    <t xml:space="preserve">Gourmet Food Sabzazaar </t>
  </si>
  <si>
    <t>Address: Sabzazaar</t>
  </si>
  <si>
    <t xml:space="preserve">Gourmet Food Kareem Block </t>
  </si>
  <si>
    <t xml:space="preserve">Address: Kareem Block </t>
  </si>
  <si>
    <t>Gourmet Food Karishan Nager</t>
  </si>
  <si>
    <t>Address: Kareeshan Nager</t>
  </si>
  <si>
    <t>Gourmet Food Punch Road</t>
  </si>
  <si>
    <t>Address: Punch Road</t>
  </si>
  <si>
    <t xml:space="preserve">Gourmet Food Gulshan Ravi </t>
  </si>
  <si>
    <t xml:space="preserve">Address:  Gulshan Ravi </t>
  </si>
  <si>
    <t xml:space="preserve">Gourmet Food Rustam Park </t>
  </si>
  <si>
    <t xml:space="preserve">Address: Rustam Park </t>
  </si>
  <si>
    <t xml:space="preserve">Gourmet Food Kot Abdul Malik </t>
  </si>
  <si>
    <t xml:space="preserve">Address: Kot Abdul malik </t>
  </si>
  <si>
    <t>Gourmet Food Ravi Road</t>
  </si>
  <si>
    <t>Address: Ravi Road</t>
  </si>
  <si>
    <t>Gourmet Food Awan Town</t>
  </si>
  <si>
    <t xml:space="preserve">Address: Awan Town </t>
  </si>
  <si>
    <t xml:space="preserve">Gourmet Food Shahdra </t>
  </si>
  <si>
    <t xml:space="preserve">Address: Shadra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</si>
</sst>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67" t="s">
        <v>24</v>
      </c>
      <c r="B2" s="367"/>
      <c r="C2" s="367"/>
      <c r="D2" s="367"/>
      <c r="E2" s="367"/>
      <c r="F2" s="367"/>
      <c r="G2" s="367"/>
      <c r="H2" s="367"/>
    </row>
    <row r="3" spans="1:21" ht="18" thickBot="1" x14ac:dyDescent="0.35">
      <c r="A3" s="368" t="s">
        <v>15</v>
      </c>
      <c r="B3" s="368"/>
      <c r="C3" s="368"/>
      <c r="D3" s="368"/>
      <c r="E3" s="368"/>
      <c r="F3" s="368"/>
      <c r="G3" s="368"/>
      <c r="H3" s="36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69" t="s">
        <v>37</v>
      </c>
      <c r="P3" s="37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71" t="s">
        <v>25</v>
      </c>
      <c r="D4" s="37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65" t="s">
        <v>30</v>
      </c>
      <c r="H13" s="36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65" t="s">
        <v>30</v>
      </c>
      <c r="H26" s="36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65" t="s">
        <v>30</v>
      </c>
      <c r="H37" s="36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67" t="s">
        <v>24</v>
      </c>
      <c r="B2" s="367"/>
      <c r="C2" s="367"/>
      <c r="D2" s="367"/>
      <c r="E2" s="367"/>
      <c r="F2" s="367"/>
      <c r="G2" s="367"/>
      <c r="H2" s="367"/>
    </row>
    <row r="3" spans="1:21" ht="18" thickBot="1" x14ac:dyDescent="0.35">
      <c r="A3" s="368" t="s">
        <v>15</v>
      </c>
      <c r="B3" s="368"/>
      <c r="C3" s="368"/>
      <c r="D3" s="368"/>
      <c r="E3" s="368"/>
      <c r="F3" s="368"/>
      <c r="G3" s="368"/>
      <c r="H3" s="36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69" t="s">
        <v>37</v>
      </c>
      <c r="P3" s="37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71" t="s">
        <v>25</v>
      </c>
      <c r="D4" s="37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65" t="s">
        <v>30</v>
      </c>
      <c r="H13" s="36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65" t="s">
        <v>30</v>
      </c>
      <c r="H26" s="36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65" t="s">
        <v>30</v>
      </c>
      <c r="H37" s="36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73"/>
      <c r="B3" s="373"/>
      <c r="C3" s="373"/>
      <c r="D3" s="373"/>
      <c r="E3" s="373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  <c r="X3" s="374"/>
      <c r="Y3" s="374"/>
    </row>
    <row r="4" spans="1:29" x14ac:dyDescent="0.35">
      <c r="A4" s="375" t="s">
        <v>436</v>
      </c>
      <c r="B4" s="165" t="s">
        <v>437</v>
      </c>
      <c r="C4" s="165"/>
      <c r="D4" s="377" t="s">
        <v>438</v>
      </c>
      <c r="E4" s="379" t="s">
        <v>439</v>
      </c>
      <c r="F4" s="381" t="s">
        <v>58</v>
      </c>
      <c r="G4" s="381"/>
      <c r="H4" s="382" t="s">
        <v>440</v>
      </c>
      <c r="I4" s="382"/>
      <c r="J4" s="383" t="s">
        <v>441</v>
      </c>
      <c r="K4" s="384"/>
      <c r="L4" s="383" t="s">
        <v>442</v>
      </c>
      <c r="M4" s="384"/>
      <c r="N4" s="385" t="s">
        <v>443</v>
      </c>
      <c r="O4" s="385"/>
      <c r="P4" s="383" t="s">
        <v>86</v>
      </c>
      <c r="Q4" s="384"/>
      <c r="R4" s="383" t="s">
        <v>444</v>
      </c>
      <c r="S4" s="384"/>
      <c r="T4" s="386" t="s">
        <v>445</v>
      </c>
      <c r="U4" s="386"/>
      <c r="V4" s="387" t="s">
        <v>446</v>
      </c>
      <c r="W4" s="388"/>
      <c r="X4" s="387" t="s">
        <v>447</v>
      </c>
      <c r="Y4" s="388"/>
    </row>
    <row r="5" spans="1:29" ht="26.25" customHeight="1" thickBot="1" x14ac:dyDescent="0.4">
      <c r="A5" s="376"/>
      <c r="B5" s="167" t="s">
        <v>448</v>
      </c>
      <c r="C5" s="167" t="s">
        <v>438</v>
      </c>
      <c r="D5" s="378"/>
      <c r="E5" s="380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9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19" t="s">
        <v>91</v>
      </c>
      <c r="B2" s="319"/>
      <c r="C2" s="319"/>
      <c r="E2" s="394" t="s">
        <v>499</v>
      </c>
      <c r="F2" s="395"/>
      <c r="G2" s="395"/>
      <c r="H2" s="392" t="s">
        <v>515</v>
      </c>
      <c r="I2" s="392"/>
      <c r="J2" s="393"/>
      <c r="R2" s="389" t="s">
        <v>498</v>
      </c>
      <c r="S2" s="390"/>
      <c r="T2" s="391"/>
    </row>
    <row r="3" spans="1:20 16377:16378" ht="21.75" customHeight="1" thickBot="1" x14ac:dyDescent="0.4">
      <c r="A3" s="320" t="s">
        <v>92</v>
      </c>
      <c r="B3" s="320"/>
      <c r="C3" s="320"/>
      <c r="E3" s="398" t="s">
        <v>510</v>
      </c>
      <c r="F3" s="399"/>
      <c r="G3" s="399"/>
      <c r="H3" s="396">
        <f ca="1">TODAY()</f>
        <v>46261</v>
      </c>
      <c r="I3" s="396"/>
      <c r="J3" s="397"/>
      <c r="K3" s="321" t="s">
        <v>43</v>
      </c>
      <c r="L3" s="321"/>
      <c r="M3" s="321"/>
      <c r="N3" s="320"/>
      <c r="O3" s="320"/>
      <c r="P3" s="320"/>
      <c r="R3" s="299">
        <v>1</v>
      </c>
      <c r="S3" s="300" t="str">
        <f>+'1'!A6:A6</f>
        <v>Gourmet Food Multan Road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Gourmet Food Rizwan Garden </v>
      </c>
      <c r="T4" s="301">
        <f>+'2'!P35</f>
        <v>2054.1523328389831</v>
      </c>
      <c r="XEX4" t="s">
        <v>105</v>
      </c>
    </row>
    <row r="5" spans="1:20 16377:16378" ht="21.75" customHeight="1" thickBot="1" x14ac:dyDescent="0.4">
      <c r="A5" s="327" t="s">
        <v>51</v>
      </c>
      <c r="B5" s="328"/>
      <c r="C5" s="331" t="s">
        <v>90</v>
      </c>
      <c r="D5" s="115" t="s">
        <v>52</v>
      </c>
      <c r="E5" s="333" t="s">
        <v>58</v>
      </c>
      <c r="F5" s="334"/>
      <c r="G5" s="335" t="s">
        <v>54</v>
      </c>
      <c r="H5" s="336"/>
      <c r="I5" s="337" t="s">
        <v>77</v>
      </c>
      <c r="J5" s="339" t="s">
        <v>55</v>
      </c>
      <c r="K5" s="335"/>
      <c r="L5" s="336"/>
      <c r="M5" s="328" t="s">
        <v>84</v>
      </c>
      <c r="N5" s="364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00" t="str">
        <f>+'3'!A6:A6</f>
        <v xml:space="preserve">Gourmet Food Yateem Khana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29"/>
      <c r="B6" s="330"/>
      <c r="C6" s="33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38"/>
      <c r="J6" s="143" t="s">
        <v>59</v>
      </c>
      <c r="K6" s="144" t="s">
        <v>39</v>
      </c>
      <c r="L6" s="145" t="s">
        <v>493</v>
      </c>
      <c r="M6" s="330"/>
      <c r="N6" s="338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00" t="str">
        <f>+'4'!A6:A6</f>
        <v>Gourmet Food Wahdat Road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Gourmet Food Canal View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755.45999999999992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3294.645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20.439326694915252</v>
      </c>
      <c r="P8" s="311">
        <f t="shared" ref="P8:P15" si="2">M8+N8+O8</f>
        <v>4108.3046656779661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Sabzazaar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1510.9199999999998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6589.29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40.878653389830504</v>
      </c>
      <c r="P9" s="311">
        <f t="shared" si="2"/>
        <v>8216.6093313559322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400</v>
      </c>
      <c r="R9" s="314">
        <v>7</v>
      </c>
      <c r="S9" s="300" t="str">
        <f>+'7'!A6:A6</f>
        <v xml:space="preserve">Gourmet Food Kareem Block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261.50399999999996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50.848000000000006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1140.4479999999999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7.075121355932203</v>
      </c>
      <c r="P10" s="311">
        <f t="shared" si="2"/>
        <v>1422.0993925423727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Gourmet Food Karishan Nager</v>
      </c>
      <c r="T10" s="301">
        <f>+'8'!P35</f>
        <v>2054.1523328389831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261.50399999999996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1140.4479999999999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7.075121355932203</v>
      </c>
      <c r="P11" s="311">
        <f t="shared" si="2"/>
        <v>1422.0993925423727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Gourmet Food Punch Road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261.50399999999996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1140.4479999999999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7.075121355932203</v>
      </c>
      <c r="P12" s="311">
        <f t="shared" si="2"/>
        <v>1422.0993925423727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100</v>
      </c>
      <c r="R12" s="314">
        <v>10</v>
      </c>
      <c r="S12" s="300" t="str">
        <f>+'10'!A6:A6</f>
        <v xml:space="preserve">Gourmet Food Gulshan Ravi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Rustam Park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Gourmet Food Kot Abdul Malik </v>
      </c>
      <c r="T14" s="301">
        <f>+'12'!P35</f>
        <v>8374.6028433050833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Ravi Road</v>
      </c>
      <c r="T15" s="301">
        <f>+'13'!P35</f>
        <v>4108.3046656779661</v>
      </c>
    </row>
    <row r="16" spans="1:20 16377:16378" ht="21.75" customHeight="1" thickBot="1" x14ac:dyDescent="0.4">
      <c r="A16" s="340">
        <f>COUNT(A7:A15)</f>
        <v>0</v>
      </c>
      <c r="B16" s="341"/>
      <c r="C16" s="341" t="s">
        <v>40</v>
      </c>
      <c r="D16" s="341"/>
      <c r="E16" s="341"/>
      <c r="F16" s="342"/>
      <c r="G16" s="117">
        <f>H16/40</f>
        <v>7.5</v>
      </c>
      <c r="H16" s="113">
        <f t="shared" ref="H16:M16" si="3">SUM(H7:H15)</f>
        <v>300</v>
      </c>
      <c r="I16" s="114">
        <f t="shared" si="3"/>
        <v>16949.399999999998</v>
      </c>
      <c r="J16" s="274">
        <f>SUM(J7:J15)</f>
        <v>3050.8919999999994</v>
      </c>
      <c r="K16" s="275">
        <f t="shared" si="3"/>
        <v>593.22900000000004</v>
      </c>
      <c r="L16" s="276">
        <f t="shared" si="3"/>
        <v>0</v>
      </c>
      <c r="M16" s="232">
        <f t="shared" si="3"/>
        <v>13305.279</v>
      </c>
      <c r="N16" s="233">
        <f>SUM(N7:N15)</f>
        <v>3203.389830508474</v>
      </c>
      <c r="O16" s="101">
        <f>SUM(O7:O15)</f>
        <v>82.543344152542346</v>
      </c>
      <c r="P16" s="113">
        <f>SUM(P7:P15)</f>
        <v>16591.212174661014</v>
      </c>
      <c r="Q16" s="128">
        <f>SUM(Q7:Q15)</f>
        <v>500</v>
      </c>
      <c r="R16" s="314">
        <v>14</v>
      </c>
      <c r="S16" s="300" t="str">
        <f>+'14'!A6:A6</f>
        <v>Gourmet Food Awan Town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Gourmet Food Shahdra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Gourmet Food Wahdat Road</v>
      </c>
      <c r="T18" s="301">
        <f>+'16'!P35</f>
        <v>0</v>
      </c>
    </row>
    <row r="19" spans="1:20" ht="21.75" customHeight="1" x14ac:dyDescent="0.35">
      <c r="B19" s="343" t="s">
        <v>64</v>
      </c>
      <c r="C19" s="344"/>
      <c r="D19" s="344"/>
      <c r="E19" s="344"/>
      <c r="F19" s="344"/>
      <c r="G19" s="344"/>
      <c r="H19" s="344"/>
      <c r="I19" s="344"/>
      <c r="J19" s="344"/>
      <c r="K19" s="344"/>
      <c r="L19" s="345"/>
      <c r="N19" s="352" t="s">
        <v>60</v>
      </c>
      <c r="O19" s="353"/>
      <c r="P19" s="139">
        <f>I16</f>
        <v>16949.399999999998</v>
      </c>
      <c r="R19" s="299">
        <v>17</v>
      </c>
      <c r="S19" s="300" t="str">
        <f>+'17'!A6:A6</f>
        <v>Gourmet Food Nadeem Shaheed</v>
      </c>
      <c r="T19" s="301">
        <f>+'17'!P35</f>
        <v>0</v>
      </c>
    </row>
    <row r="20" spans="1:20" ht="21.75" customHeight="1" x14ac:dyDescent="0.35">
      <c r="B20" s="346"/>
      <c r="C20" s="347"/>
      <c r="D20" s="347"/>
      <c r="E20" s="347"/>
      <c r="F20" s="347"/>
      <c r="G20" s="347"/>
      <c r="H20" s="347"/>
      <c r="I20" s="347"/>
      <c r="J20" s="347"/>
      <c r="K20" s="347"/>
      <c r="L20" s="348"/>
      <c r="N20" s="354" t="s">
        <v>85</v>
      </c>
      <c r="O20" s="355"/>
      <c r="P20" s="140">
        <f>+J16</f>
        <v>3050.8919999999994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46"/>
      <c r="C21" s="347"/>
      <c r="D21" s="347"/>
      <c r="E21" s="347"/>
      <c r="F21" s="347"/>
      <c r="G21" s="347"/>
      <c r="H21" s="347"/>
      <c r="I21" s="347"/>
      <c r="J21" s="347"/>
      <c r="K21" s="347"/>
      <c r="L21" s="348"/>
      <c r="N21" s="354" t="s">
        <v>86</v>
      </c>
      <c r="O21" s="355"/>
      <c r="P21" s="140">
        <f>+K16+L16</f>
        <v>593.22900000000004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46"/>
      <c r="C22" s="347"/>
      <c r="D22" s="347"/>
      <c r="E22" s="347"/>
      <c r="F22" s="347"/>
      <c r="G22" s="347"/>
      <c r="H22" s="347"/>
      <c r="I22" s="347"/>
      <c r="J22" s="347"/>
      <c r="K22" s="347"/>
      <c r="L22" s="348"/>
      <c r="M22" s="131"/>
      <c r="N22" s="354" t="s">
        <v>87</v>
      </c>
      <c r="O22" s="355"/>
      <c r="P22" s="140">
        <f>P19-P20-P21</f>
        <v>13305.278999999999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46"/>
      <c r="C23" s="347"/>
      <c r="D23" s="347"/>
      <c r="E23" s="347"/>
      <c r="F23" s="347"/>
      <c r="G23" s="347"/>
      <c r="H23" s="347"/>
      <c r="I23" s="347"/>
      <c r="J23" s="347"/>
      <c r="K23" s="347"/>
      <c r="L23" s="348"/>
      <c r="M23" s="131"/>
      <c r="N23" s="136" t="s">
        <v>61</v>
      </c>
      <c r="O23" s="133">
        <v>0.18</v>
      </c>
      <c r="P23" s="140">
        <f>+N16</f>
        <v>3203.389830508474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46"/>
      <c r="C24" s="347"/>
      <c r="D24" s="347"/>
      <c r="E24" s="347"/>
      <c r="F24" s="347"/>
      <c r="G24" s="347"/>
      <c r="H24" s="347"/>
      <c r="I24" s="347"/>
      <c r="J24" s="347"/>
      <c r="K24" s="347"/>
      <c r="L24" s="348"/>
      <c r="M24" s="131"/>
      <c r="N24" s="356" t="s">
        <v>76</v>
      </c>
      <c r="O24" s="357"/>
      <c r="P24" s="140">
        <f>P22+P23</f>
        <v>16508.668830508472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49"/>
      <c r="C25" s="350"/>
      <c r="D25" s="350"/>
      <c r="E25" s="350"/>
      <c r="F25" s="350"/>
      <c r="G25" s="350"/>
      <c r="H25" s="350"/>
      <c r="I25" s="350"/>
      <c r="J25" s="350"/>
      <c r="K25" s="350"/>
      <c r="L25" s="351"/>
      <c r="M25" s="99"/>
      <c r="N25" s="138" t="s">
        <v>83</v>
      </c>
      <c r="O25" s="137" t="e">
        <f>IF(#REF!="Filer",0.5%,2.5%)</f>
        <v>#REF!</v>
      </c>
      <c r="P25" s="140">
        <f>+O16</f>
        <v>82.543344152542346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58" t="s">
        <v>88</v>
      </c>
      <c r="O26" s="359"/>
      <c r="P26" s="297">
        <f>+P24+P25</f>
        <v>16591.212174661014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0"/>
      <c r="D27" s="360"/>
      <c r="E27" s="360"/>
      <c r="F27" s="360"/>
      <c r="G27" s="360"/>
      <c r="H27" s="360"/>
      <c r="I27" s="361"/>
      <c r="J27" s="362"/>
      <c r="K27" s="363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16591.212174661014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  <row r="49" spans="2:2" x14ac:dyDescent="0.35">
      <c r="B49" t="s">
        <v>511</v>
      </c>
    </row>
    <row r="50" spans="2:2" x14ac:dyDescent="0.35">
      <c r="B50" t="s">
        <v>512</v>
      </c>
    </row>
    <row r="51" spans="2:2" x14ac:dyDescent="0.35">
      <c r="B51" t="s">
        <v>513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zoomScale="120" zoomScaleNormal="12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7.25" customHeight="1" x14ac:dyDescent="0.4">
      <c r="A6" s="324" t="s">
        <v>521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522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523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524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2098.5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377.72999999999996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73.447500000000005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1647.3225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2043.9326694915253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58" t="s">
        <v>88</v>
      </c>
      <c r="O35" s="359"/>
      <c r="P35" s="297">
        <f>+P33+P34</f>
        <v>2054.1523328389831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8.75" customHeight="1" x14ac:dyDescent="0.4">
      <c r="A6" s="324" t="s">
        <v>525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526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516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517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zoomScaleNormal="10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527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528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529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530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531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532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zoomScale="110" zoomScaleNormal="1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533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534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2098.5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377.72999999999996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73.447500000000005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1647.3225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2043.9326694915253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58" t="s">
        <v>88</v>
      </c>
      <c r="O35" s="359"/>
      <c r="P35" s="297">
        <f>+P33+P34</f>
        <v>2054.1523328389831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535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536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Q16" sqref="Q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537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538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539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540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541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542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8555.4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1539.9719999999998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299.43900000000002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6715.9889999999996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8332.9381525423723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58" t="s">
        <v>88</v>
      </c>
      <c r="O35" s="359"/>
      <c r="P35" s="297">
        <f>+P33+P34</f>
        <v>8374.6028433050833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543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544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755.45999999999992</v>
      </c>
      <c r="K25" s="275">
        <f t="shared" si="7"/>
        <v>146.89500000000001</v>
      </c>
      <c r="L25" s="276">
        <f t="shared" si="7"/>
        <v>0</v>
      </c>
      <c r="M25" s="232">
        <f t="shared" si="7"/>
        <v>3294.645</v>
      </c>
      <c r="N25" s="233">
        <f>SUM(N16:N24)</f>
        <v>793.22033898305051</v>
      </c>
      <c r="O25" s="101">
        <f>SUM(O16:O24)</f>
        <v>20.439326694915252</v>
      </c>
      <c r="P25" s="113">
        <f>SUM(P16:P24)</f>
        <v>4108.3046656779661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4197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755.45999999999992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146.89500000000001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3294.645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4087.8653389830506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20.439326694915252</v>
      </c>
    </row>
    <row r="35" spans="2:16" ht="15.75" customHeight="1" thickBot="1" x14ac:dyDescent="0.4">
      <c r="N35" s="358" t="s">
        <v>88</v>
      </c>
      <c r="O35" s="359"/>
      <c r="P35" s="297">
        <f>+P33+P34</f>
        <v>4108.3046656779661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abSelected="1" topLeftCell="A9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545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546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547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548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516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517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3"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518</v>
      </c>
      <c r="B6" s="324"/>
      <c r="C6" s="324"/>
      <c r="F6" s="85"/>
      <c r="G6" s="86"/>
      <c r="K6" s="321" t="s">
        <v>69</v>
      </c>
      <c r="L6" s="321"/>
      <c r="M6" s="321"/>
      <c r="N6" s="325" t="s">
        <v>502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519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8.75" customHeight="1" x14ac:dyDescent="0.4">
      <c r="A6" s="324" t="s">
        <v>500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19" t="s">
        <v>91</v>
      </c>
      <c r="B2" s="319"/>
      <c r="C2" s="319"/>
    </row>
    <row r="3" spans="1:22 16383:16384" ht="15" customHeight="1" x14ac:dyDescent="0.35">
      <c r="A3" s="320" t="s">
        <v>92</v>
      </c>
      <c r="B3" s="320"/>
      <c r="C3" s="320"/>
      <c r="F3" s="85"/>
      <c r="G3" s="1"/>
      <c r="K3" s="321" t="s">
        <v>520</v>
      </c>
      <c r="L3" s="321"/>
      <c r="M3" s="321"/>
      <c r="N3" s="320"/>
      <c r="O3" s="320"/>
      <c r="P3" s="32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20" t="s">
        <v>501</v>
      </c>
      <c r="B4" s="320"/>
      <c r="C4" s="320"/>
      <c r="F4" s="85"/>
      <c r="G4" s="1"/>
      <c r="K4" s="321" t="s">
        <v>44</v>
      </c>
      <c r="L4" s="321"/>
      <c r="M4" s="321"/>
      <c r="N4" s="322">
        <v>46259</v>
      </c>
      <c r="O4" s="322"/>
      <c r="P4" s="32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23" t="s">
        <v>492</v>
      </c>
      <c r="B5" s="323"/>
      <c r="C5" s="323"/>
      <c r="F5" s="85"/>
      <c r="G5" s="1"/>
      <c r="K5" s="321" t="s">
        <v>45</v>
      </c>
      <c r="L5" s="321"/>
      <c r="M5" s="321"/>
      <c r="N5" s="322">
        <f>N4-1</f>
        <v>46258</v>
      </c>
      <c r="O5" s="320"/>
      <c r="P5" s="320"/>
      <c r="R5" s="85"/>
      <c r="S5" s="266"/>
    </row>
    <row r="6" spans="1:22 16383:16384" ht="15" customHeight="1" x14ac:dyDescent="0.4">
      <c r="A6" s="324" t="s">
        <v>496</v>
      </c>
      <c r="B6" s="324"/>
      <c r="C6" s="324"/>
      <c r="F6" s="85"/>
      <c r="G6" s="86"/>
      <c r="K6" s="321" t="s">
        <v>69</v>
      </c>
      <c r="L6" s="321"/>
      <c r="M6" s="321"/>
      <c r="N6" s="325" t="s">
        <v>62</v>
      </c>
      <c r="O6" s="325"/>
      <c r="P6" s="32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1" t="s">
        <v>514</v>
      </c>
      <c r="B7" s="321"/>
      <c r="C7" s="321"/>
      <c r="F7" s="85"/>
      <c r="G7" s="86"/>
      <c r="K7" s="321" t="s">
        <v>66</v>
      </c>
      <c r="L7" s="321"/>
      <c r="M7" s="321"/>
      <c r="N7" s="325" t="s">
        <v>507</v>
      </c>
      <c r="O7" s="325"/>
      <c r="P7" s="32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1" t="s">
        <v>67</v>
      </c>
      <c r="L8" s="321"/>
      <c r="M8" s="321"/>
      <c r="N8" s="325" t="s">
        <v>507</v>
      </c>
      <c r="O8" s="325"/>
      <c r="P8" s="325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1" t="s">
        <v>68</v>
      </c>
      <c r="L9" s="321"/>
      <c r="M9" s="321"/>
      <c r="N9" s="325" t="s">
        <v>104</v>
      </c>
      <c r="O9" s="325"/>
      <c r="P9" s="325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1" t="s">
        <v>46</v>
      </c>
      <c r="L10" s="321"/>
      <c r="M10" s="321"/>
      <c r="N10" s="320" t="s">
        <v>47</v>
      </c>
      <c r="O10" s="320"/>
      <c r="P10" s="32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1" t="s">
        <v>48</v>
      </c>
      <c r="L11" s="321"/>
      <c r="M11" s="321"/>
      <c r="N11" s="325" t="s">
        <v>49</v>
      </c>
      <c r="O11" s="325"/>
      <c r="P11" s="32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1" t="s">
        <v>50</v>
      </c>
      <c r="L12" s="321"/>
      <c r="M12" s="321"/>
      <c r="N12" s="320"/>
      <c r="O12" s="320"/>
      <c r="P12" s="32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27" t="s">
        <v>51</v>
      </c>
      <c r="B14" s="328"/>
      <c r="C14" s="331" t="s">
        <v>90</v>
      </c>
      <c r="D14" s="115" t="s">
        <v>52</v>
      </c>
      <c r="E14" s="333" t="s">
        <v>58</v>
      </c>
      <c r="F14" s="334"/>
      <c r="G14" s="335" t="s">
        <v>54</v>
      </c>
      <c r="H14" s="336"/>
      <c r="I14" s="337" t="s">
        <v>77</v>
      </c>
      <c r="J14" s="339" t="s">
        <v>55</v>
      </c>
      <c r="K14" s="335"/>
      <c r="L14" s="336"/>
      <c r="M14" s="328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29"/>
      <c r="B15" s="330"/>
      <c r="C15" s="33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8"/>
      <c r="J15" s="318">
        <v>0.18</v>
      </c>
      <c r="K15" s="144" t="s">
        <v>39</v>
      </c>
      <c r="L15" s="145" t="s">
        <v>493</v>
      </c>
      <c r="M15" s="330"/>
      <c r="N15" s="338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4"/>
      <c r="L28" s="345"/>
      <c r="N28" s="352" t="s">
        <v>60</v>
      </c>
      <c r="O28" s="353"/>
      <c r="P28" s="139">
        <f>I25</f>
        <v>0</v>
      </c>
    </row>
    <row r="29" spans="1:22 16384:16384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7"/>
      <c r="L29" s="348"/>
      <c r="N29" s="354" t="s">
        <v>85</v>
      </c>
      <c r="O29" s="355"/>
      <c r="P29" s="140">
        <f>+J25</f>
        <v>0</v>
      </c>
    </row>
    <row r="30" spans="1:22 16384:16384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7"/>
      <c r="L30" s="348"/>
      <c r="N30" s="354" t="s">
        <v>86</v>
      </c>
      <c r="O30" s="355"/>
      <c r="P30" s="140">
        <f>+K25+L25</f>
        <v>0</v>
      </c>
    </row>
    <row r="31" spans="1:22 16384:16384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31"/>
      <c r="N31" s="354" t="s">
        <v>87</v>
      </c>
      <c r="O31" s="355"/>
      <c r="P31" s="140">
        <f>P28-P29-P30</f>
        <v>0</v>
      </c>
    </row>
    <row r="32" spans="1:22 16384:16384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7"/>
      <c r="L32" s="34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7"/>
      <c r="L33" s="348"/>
      <c r="M33" s="131"/>
      <c r="N33" s="356" t="s">
        <v>76</v>
      </c>
      <c r="O33" s="357"/>
      <c r="P33" s="140">
        <f>P31+P32</f>
        <v>0</v>
      </c>
    </row>
    <row r="34" spans="2:16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0"/>
      <c r="L34" s="35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8" t="s">
        <v>88</v>
      </c>
      <c r="O35" s="359"/>
      <c r="P35" s="297">
        <f>+P33+P34</f>
        <v>0</v>
      </c>
    </row>
    <row r="36" spans="2:16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362"/>
      <c r="K36" s="36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19" t="s">
        <v>91</v>
      </c>
      <c r="B2" s="319"/>
      <c r="C2" s="319"/>
    </row>
    <row r="3" spans="1:18 16382:16383" ht="15" customHeight="1" x14ac:dyDescent="0.35">
      <c r="A3" s="320" t="s">
        <v>92</v>
      </c>
      <c r="B3" s="320"/>
      <c r="C3" s="320"/>
      <c r="F3" s="85"/>
      <c r="G3" s="1"/>
      <c r="J3" s="321" t="s">
        <v>43</v>
      </c>
      <c r="K3" s="321"/>
      <c r="L3" s="321"/>
      <c r="M3" s="320"/>
      <c r="N3" s="320"/>
      <c r="O3" s="32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20" t="s">
        <v>65</v>
      </c>
      <c r="B4" s="320"/>
      <c r="C4" s="320"/>
      <c r="F4" s="85"/>
      <c r="G4" s="1"/>
      <c r="J4" s="321" t="s">
        <v>44</v>
      </c>
      <c r="K4" s="321"/>
      <c r="L4" s="321"/>
      <c r="M4" s="322">
        <f ca="1">TODAY()+1</f>
        <v>46262</v>
      </c>
      <c r="N4" s="322"/>
      <c r="O4" s="32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23" t="s">
        <v>93</v>
      </c>
      <c r="B5" s="323"/>
      <c r="C5" s="323"/>
      <c r="F5" s="85"/>
      <c r="G5" s="1"/>
      <c r="J5" s="321" t="s">
        <v>45</v>
      </c>
      <c r="K5" s="321"/>
      <c r="L5" s="321"/>
      <c r="M5" s="322">
        <f ca="1">M4-1</f>
        <v>46261</v>
      </c>
      <c r="N5" s="320"/>
      <c r="O5" s="320"/>
      <c r="Q5" s="85"/>
      <c r="R5" s="1"/>
    </row>
    <row r="6" spans="1:18 16382:16383" ht="15" customHeight="1" x14ac:dyDescent="0.35">
      <c r="A6" s="321" t="s">
        <v>94</v>
      </c>
      <c r="B6" s="321"/>
      <c r="C6" s="321"/>
      <c r="F6" s="85"/>
      <c r="G6" s="86"/>
      <c r="J6" s="321" t="s">
        <v>69</v>
      </c>
      <c r="K6" s="321"/>
      <c r="L6" s="321"/>
      <c r="M6" s="325" t="s">
        <v>62</v>
      </c>
      <c r="N6" s="325"/>
      <c r="O6" s="32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21" t="s">
        <v>73</v>
      </c>
      <c r="B7" s="321"/>
      <c r="C7" s="321"/>
      <c r="F7" s="85"/>
      <c r="G7" s="86"/>
      <c r="J7" s="321" t="s">
        <v>66</v>
      </c>
      <c r="K7" s="321"/>
      <c r="L7" s="321"/>
      <c r="M7" s="325" t="s">
        <v>70</v>
      </c>
      <c r="N7" s="325"/>
      <c r="O7" s="32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26" t="s">
        <v>95</v>
      </c>
      <c r="B8" s="326"/>
      <c r="C8" s="326"/>
      <c r="F8" s="85"/>
      <c r="G8" s="86"/>
      <c r="J8" s="321" t="s">
        <v>67</v>
      </c>
      <c r="K8" s="321"/>
      <c r="L8" s="321"/>
      <c r="M8" s="325" t="s">
        <v>71</v>
      </c>
      <c r="N8" s="325"/>
      <c r="O8" s="325"/>
      <c r="Q8" s="85"/>
      <c r="R8" s="86"/>
    </row>
    <row r="9" spans="1:18 16382:16383" x14ac:dyDescent="0.35">
      <c r="A9" s="326" t="s">
        <v>96</v>
      </c>
      <c r="B9" s="326"/>
      <c r="C9" s="326"/>
      <c r="F9" s="85"/>
      <c r="G9" s="86"/>
      <c r="J9" s="321" t="s">
        <v>68</v>
      </c>
      <c r="K9" s="321"/>
      <c r="L9" s="321"/>
      <c r="M9" s="325" t="s">
        <v>104</v>
      </c>
      <c r="N9" s="325"/>
      <c r="O9" s="325"/>
      <c r="Q9" s="85"/>
      <c r="R9" s="86"/>
      <c r="XFC9" t="s">
        <v>49</v>
      </c>
    </row>
    <row r="10" spans="1:18 16382:16383" x14ac:dyDescent="0.35">
      <c r="A10" s="326" t="s">
        <v>97</v>
      </c>
      <c r="B10" s="326"/>
      <c r="C10" s="326"/>
      <c r="F10" s="85"/>
      <c r="G10" s="1"/>
      <c r="J10" s="321" t="s">
        <v>46</v>
      </c>
      <c r="K10" s="321"/>
      <c r="L10" s="321"/>
      <c r="M10" s="320" t="s">
        <v>47</v>
      </c>
      <c r="N10" s="320"/>
      <c r="O10" s="32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21" t="s">
        <v>48</v>
      </c>
      <c r="K11" s="321"/>
      <c r="L11" s="321"/>
      <c r="M11" s="320" t="s">
        <v>49</v>
      </c>
      <c r="N11" s="320"/>
      <c r="O11" s="32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21" t="s">
        <v>50</v>
      </c>
      <c r="K12" s="321"/>
      <c r="L12" s="321"/>
      <c r="M12" s="320"/>
      <c r="N12" s="320"/>
      <c r="O12" s="32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27" t="s">
        <v>51</v>
      </c>
      <c r="B14" s="328"/>
      <c r="C14" s="331" t="s">
        <v>90</v>
      </c>
      <c r="D14" s="88" t="s">
        <v>52</v>
      </c>
      <c r="E14" s="95" t="s">
        <v>74</v>
      </c>
      <c r="F14" s="115" t="s">
        <v>53</v>
      </c>
      <c r="G14" s="339" t="s">
        <v>54</v>
      </c>
      <c r="H14" s="336"/>
      <c r="I14" s="337" t="s">
        <v>77</v>
      </c>
      <c r="J14" s="335" t="s">
        <v>55</v>
      </c>
      <c r="K14" s="336"/>
      <c r="L14" s="33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29"/>
      <c r="B15" s="330"/>
      <c r="C15" s="33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38"/>
      <c r="J15" s="144" t="s">
        <v>39</v>
      </c>
      <c r="K15" s="145" t="s">
        <v>59</v>
      </c>
      <c r="L15" s="33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40">
        <f>COUNT(A16:A24)</f>
        <v>0</v>
      </c>
      <c r="B25" s="341"/>
      <c r="C25" s="341" t="s">
        <v>40</v>
      </c>
      <c r="D25" s="341"/>
      <c r="E25" s="341"/>
      <c r="F25" s="34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3" t="s">
        <v>64</v>
      </c>
      <c r="C28" s="344"/>
      <c r="D28" s="344"/>
      <c r="E28" s="344"/>
      <c r="F28" s="344"/>
      <c r="G28" s="344"/>
      <c r="H28" s="344"/>
      <c r="I28" s="344"/>
      <c r="J28" s="344"/>
      <c r="K28" s="345"/>
      <c r="M28" s="352" t="s">
        <v>60</v>
      </c>
      <c r="N28" s="353"/>
      <c r="O28" s="139">
        <f>I25</f>
        <v>1452.8</v>
      </c>
    </row>
    <row r="29" spans="1:18 16383:16383" ht="15" customHeight="1" x14ac:dyDescent="0.35">
      <c r="B29" s="346"/>
      <c r="C29" s="347"/>
      <c r="D29" s="347"/>
      <c r="E29" s="347"/>
      <c r="F29" s="347"/>
      <c r="G29" s="347"/>
      <c r="H29" s="347"/>
      <c r="I29" s="347"/>
      <c r="J29" s="347"/>
      <c r="K29" s="348"/>
      <c r="M29" s="354" t="s">
        <v>85</v>
      </c>
      <c r="N29" s="355"/>
      <c r="O29" s="140">
        <f>K25</f>
        <v>0</v>
      </c>
    </row>
    <row r="30" spans="1:18 16383:16383" ht="15" customHeight="1" x14ac:dyDescent="0.35">
      <c r="B30" s="346"/>
      <c r="C30" s="347"/>
      <c r="D30" s="347"/>
      <c r="E30" s="347"/>
      <c r="F30" s="347"/>
      <c r="G30" s="347"/>
      <c r="H30" s="347"/>
      <c r="I30" s="347"/>
      <c r="J30" s="347"/>
      <c r="K30" s="348"/>
      <c r="M30" s="354" t="s">
        <v>86</v>
      </c>
      <c r="N30" s="355"/>
      <c r="O30" s="140">
        <f>J25</f>
        <v>50.848000000000006</v>
      </c>
    </row>
    <row r="31" spans="1:18 16383:16383" ht="15" customHeight="1" x14ac:dyDescent="0.35">
      <c r="B31" s="346"/>
      <c r="C31" s="347"/>
      <c r="D31" s="347"/>
      <c r="E31" s="347"/>
      <c r="F31" s="347"/>
      <c r="G31" s="347"/>
      <c r="H31" s="347"/>
      <c r="I31" s="347"/>
      <c r="J31" s="347"/>
      <c r="K31" s="348"/>
      <c r="L31" s="131"/>
      <c r="M31" s="354" t="s">
        <v>87</v>
      </c>
      <c r="N31" s="355"/>
      <c r="O31" s="140">
        <f>O28-O29-O30</f>
        <v>1401.952</v>
      </c>
    </row>
    <row r="32" spans="1:18 16383:16383" ht="15" customHeight="1" x14ac:dyDescent="0.35">
      <c r="B32" s="346"/>
      <c r="C32" s="347"/>
      <c r="D32" s="347"/>
      <c r="E32" s="347"/>
      <c r="F32" s="347"/>
      <c r="G32" s="347"/>
      <c r="H32" s="347"/>
      <c r="I32" s="347"/>
      <c r="J32" s="347"/>
      <c r="K32" s="34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46"/>
      <c r="C33" s="347"/>
      <c r="D33" s="347"/>
      <c r="E33" s="347"/>
      <c r="F33" s="347"/>
      <c r="G33" s="347"/>
      <c r="H33" s="347"/>
      <c r="I33" s="347"/>
      <c r="J33" s="347"/>
      <c r="K33" s="348"/>
      <c r="L33" s="131"/>
      <c r="M33" s="356" t="s">
        <v>76</v>
      </c>
      <c r="N33" s="357"/>
      <c r="O33" s="140">
        <f>O31+O32</f>
        <v>1710.3814400000001</v>
      </c>
    </row>
    <row r="34" spans="2:15" ht="15" customHeight="1" thickBot="1" x14ac:dyDescent="0.4">
      <c r="B34" s="349"/>
      <c r="C34" s="350"/>
      <c r="D34" s="350"/>
      <c r="E34" s="350"/>
      <c r="F34" s="350"/>
      <c r="G34" s="350"/>
      <c r="H34" s="350"/>
      <c r="I34" s="350"/>
      <c r="J34" s="350"/>
      <c r="K34" s="35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8" t="s">
        <v>88</v>
      </c>
      <c r="N35" s="359"/>
      <c r="O35" s="141">
        <f>O28-O29+O31+O34</f>
        <v>2897.511536</v>
      </c>
    </row>
    <row r="36" spans="2:15" ht="15" thickBot="1" x14ac:dyDescent="0.4">
      <c r="B36" s="121" t="s">
        <v>63</v>
      </c>
      <c r="C36" s="360"/>
      <c r="D36" s="360"/>
      <c r="E36" s="360"/>
      <c r="F36" s="360"/>
      <c r="G36" s="360"/>
      <c r="H36" s="360"/>
      <c r="I36" s="361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81" t="s">
        <v>438</v>
      </c>
      <c r="D1" s="403" t="s">
        <v>439</v>
      </c>
      <c r="E1" s="381" t="s">
        <v>58</v>
      </c>
      <c r="F1" s="381"/>
      <c r="G1" s="382" t="s">
        <v>440</v>
      </c>
      <c r="H1" s="382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81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76" t="s">
        <v>438</v>
      </c>
      <c r="D7" s="380" t="s">
        <v>439</v>
      </c>
      <c r="E7" s="407" t="s">
        <v>58</v>
      </c>
      <c r="F7" s="407"/>
      <c r="G7" s="408" t="s">
        <v>440</v>
      </c>
      <c r="H7" s="382"/>
      <c r="I7" s="383" t="s">
        <v>441</v>
      </c>
      <c r="J7" s="384"/>
      <c r="K7" s="383" t="s">
        <v>442</v>
      </c>
      <c r="L7" s="384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78"/>
      <c r="D8" s="380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77" t="s">
        <v>438</v>
      </c>
      <c r="D13" s="379" t="s">
        <v>439</v>
      </c>
      <c r="E13" s="381" t="s">
        <v>58</v>
      </c>
      <c r="F13" s="381"/>
      <c r="G13" s="382" t="s">
        <v>440</v>
      </c>
      <c r="H13" s="382"/>
      <c r="I13" s="383" t="s">
        <v>441</v>
      </c>
      <c r="J13" s="384"/>
      <c r="K13" s="383" t="s">
        <v>442</v>
      </c>
      <c r="L13" s="384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78"/>
      <c r="D14" s="380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77" t="s">
        <v>438</v>
      </c>
      <c r="D20" s="379" t="s">
        <v>439</v>
      </c>
      <c r="E20" s="381" t="s">
        <v>58</v>
      </c>
      <c r="F20" s="381"/>
      <c r="G20" s="382" t="s">
        <v>440</v>
      </c>
      <c r="H20" s="382"/>
      <c r="I20" s="383" t="s">
        <v>441</v>
      </c>
      <c r="J20" s="384"/>
      <c r="K20" s="383" t="s">
        <v>442</v>
      </c>
      <c r="L20" s="384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78"/>
      <c r="D21" s="380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77" t="s">
        <v>438</v>
      </c>
      <c r="D27" s="379" t="s">
        <v>439</v>
      </c>
      <c r="E27" s="381" t="s">
        <v>58</v>
      </c>
      <c r="F27" s="381"/>
      <c r="G27" s="382" t="s">
        <v>440</v>
      </c>
      <c r="H27" s="382"/>
      <c r="I27" s="383" t="s">
        <v>441</v>
      </c>
      <c r="J27" s="384"/>
      <c r="K27" s="383" t="s">
        <v>442</v>
      </c>
      <c r="L27" s="384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78"/>
      <c r="D28" s="380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81" t="s">
        <v>438</v>
      </c>
      <c r="C1" s="403" t="s">
        <v>439</v>
      </c>
      <c r="D1" s="381" t="s">
        <v>58</v>
      </c>
      <c r="E1" s="381"/>
      <c r="F1" s="382" t="s">
        <v>440</v>
      </c>
      <c r="G1" s="382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81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2026-08-27T03:59:45Z</dcterms:modified>
</cp:coreProperties>
</file>