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5A339D6-CC81-4528-8785-FC7B019517A8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59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<sst xmlns="http://schemas.openxmlformats.org/spreadsheetml/2006/main" count="3976" uniqueCount="518">
  <si>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</si>
  <si>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</si>
  <si>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</si>
  <si>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</si>
  <si>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</si>
  <si>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</si>
  <si>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</si>
  <si>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</si>
  <si>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</si>
  <si>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</si>
  <si>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</si>
  <si>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</si>
  <si>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</si>
  <si>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</si>
  <si>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</si>
  <si>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</si>
  <si>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</si>
  <si>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</si>
  <si>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</si>
  <si>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</si>
  <si>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</si>
  <si>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</si>
  <si>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</si>
  <si>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</si>
  <si>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</si>
  <si>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</si>
  <si>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</si>
  <si>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</si>
  <si>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</si>
  <si>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</si>
  <si>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</si>
  <si>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</si>
  <si>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</si>
  <si>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</si>
  <si>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</si>
  <si>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</si>
  <si>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</si>
  <si>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</si>
  <si>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</si>
  <si>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</si>
  <si>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</si>
  <si>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</si>
  <si>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</si>
  <si>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</si>
  <si>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</si>
  <si>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</si>
  <si>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</si>
  <si>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</si>
  <si>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</si>
  <si>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</si>
  <si>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</si>
  <si>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</si>
  <si>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</si>
  <si>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</si>
  <si>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</si>
  <si>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</si>
  <si>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</si>
  <si>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</si>
  <si>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</si>
  <si>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</si>
  <si>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</si>
  <si>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</si>
  <si>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</si>
  <si>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</si>
  <si>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</si>
  <si>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</si>
  <si>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</si>
  <si>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</si>
  <si>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</si>
  <si>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</si>
  <si>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</si>
  <si>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</si>
  <si>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</si>
  <si>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</si>
  <si>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</si>
  <si>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</si>
  <si>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</si>
  <si>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</si>
  <si>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</si>
  <si>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</si>
  <si>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</si>
  <si>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</si>
  <si>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</si>
  <si>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</si>
  <si>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</si>
  <si>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</si>
  <si>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</si>
  <si>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</si>
  <si>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</si>
  <si>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</si>
  <si>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</si>
  <si>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</si>
  <si>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</si>
  <si>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</si>
  <si>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</si>
  <si>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</si>
  <si>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</si>
  <si>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</si>
  <si>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</si>
  <si>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</si>
  <si>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</si>
  <si>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</si>
  <si>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</si>
  <si>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</si>
  <si>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</si>
  <si>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</si>
  <si>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</si>
  <si>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</si>
  <si>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</si>
  <si>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</si>
  <si>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</si>
  <si>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</si>
  <si>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</si>
  <si>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</si>
  <si>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</si>
  <si>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</si>
  <si>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</si>
  <si>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</si>
  <si>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</si>
  <si>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</si>
  <si>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</si>
  <si>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</si>
  <si>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</si>
  <si>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</si>
  <si>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</si>
  <si>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</si>
  <si>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</si>
  <si>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</si>
  <si>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</si>
  <si>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</si>
  <si>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</si>
  <si>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</si>
  <si>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</si>
  <si>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</si>
  <si>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</si>
  <si>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</si>
  <si>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</si>
  <si>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</si>
  <si>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</si>
  <si>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</si>
  <si>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</si>
  <si>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</si>
  <si>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</si>
  <si>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</si>
  <si>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</si>
  <si>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</si>
  <si>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</si>
  <si>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</si>
  <si>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</si>
  <si>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</si>
  <si>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</si>
  <si>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</si>
  <si>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</si>
  <si>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</si>
  <si>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</si>
  <si>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</si>
  <si>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</si>
  <si>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</si>
  <si>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</si>
  <si>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</si>
  <si>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</si>
  <si>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</si>
  <si>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</si>
  <si>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</si>
  <si>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</si>
  <si>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</si>
  <si>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</si>
  <si>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</si>
  <si>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</si>
  <si>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</si>
  <si>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</si>
  <si>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</si>
  <si>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</si>
  <si>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</si>
  <si>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</si>
  <si>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</si>
  <si>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</si>
  <si>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</si>
  <si>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</si>
  <si>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</si>
  <si>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</si>
  <si>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</si>
  <si>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</si>
  <si>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</si>
  <si>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</si>
  <si>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</si>
  <si>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</si>
  <si>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</si>
  <si>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</si>
  <si>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</si>
  <si>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</si>
  <si>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</si>
  <si>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</si>
  <si>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</si>
  <si>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</si>
  <si>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</si>
  <si>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</si>
  <si>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</si>
  <si>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</si>
  <si>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</si>
  <si>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</si>
  <si>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</si>
  <si>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</si>
  <si>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</si>
  <si>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</si>
  <si>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</si>
  <si>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</si>
  <si>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</si>
  <si>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</si>
  <si>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</si>
  <si>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</si>
  <si>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</si>
  <si>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</si>
  <si>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</si>
  <si>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</si>
  <si>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</si>
  <si>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</si>
  <si>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</si>
  <si>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</si>
  <si>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</si>
  <si>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</si>
  <si>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</si>
  <si>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</si>
  <si>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</si>
  <si>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</si>
  <si>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</si>
  <si>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</si>
  <si>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</si>
  <si>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</si>
  <si>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</si>
  <si>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</si>
  <si>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</si>
  <si>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</si>
  <si>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</si>
  <si>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</si>
  <si>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</si>
  <si>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</si>
  <si>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</si>
  <si>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</si>
  <si>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</si>
  <si>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</si>
  <si>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</si>
  <si>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</si>
  <si>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</si>
  <si>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</si>
  <si>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</si>
  <si>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</si>
  <si>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</si>
  <si>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</si>
  <si>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</si>
  <si>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</si>
  <si>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</si>
  <si>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</si>
  <si>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</si>
  <si>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</si>
  <si>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</si>
  <si>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</si>
  <si>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</si>
  <si>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</si>
  <si>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</si>
  <si>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</si>
  <si>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</si>
  <si>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</si>
  <si>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</si>
  <si>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</si>
  <si>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</si>
  <si>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</si>
  <si>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</si>
  <si>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</si>
  <si>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</si>
  <si>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</si>
  <si>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</si>
  <si>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</si>
  <si>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</si>
  <si>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</si>
  <si>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</si>
  <si>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</si>
  <si>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</si>
  <si>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</si>
  <si>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</si>
  <si>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</si>
  <si>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</si>
  <si>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</si>
  <si>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</si>
  <si>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</si>
  <si>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</si>
  <si>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</si>
  <si>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</si>
  <si>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</si>
  <si>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</si>
  <si>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</si>
  <si>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</si>
  <si>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</si>
  <si>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</si>
  <si>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</si>
  <si>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</si>
  <si>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</si>
  <si>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</si>
  <si>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</si>
  <si>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</si>
  <si>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</si>
  <si>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</si>
  <si>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</si>
  <si>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</si>
  <si>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</si>
  <si>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</si>
  <si>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</si>
  <si>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</si>
  <si>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</si>
  <si>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</si>
  <si>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</si>
  <si>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</si>
  <si>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</si>
  <si>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</si>
  <si>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</si>
  <si>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</si>
  <si>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</si>
  <si>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</si>
  <si>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</si>
  <si>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</si>
  <si>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</si>
  <si>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</si>
  <si>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</si>
  <si>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</si>
  <si>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</si>
  <si>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</si>
  <si>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</si>
  <si>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</si>
  <si>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</si>
  <si>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</si>
  <si>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</si>
  <si>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</si>
  <si>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</si>
  <si>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</si>
  <si>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</si>
  <si>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</si>
  <si>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</si>
  <si>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</si>
  <si>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</si>
  <si>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</si>
  <si>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</si>
  <si>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</si>
  <si>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</si>
  <si>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</si>
  <si>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</si>
  <si>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</si>
  <si>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</si>
  <si>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</si>
  <si>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</si>
  <si>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</si>
  <si>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</si>
  <si>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</si>
  <si>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</si>
  <si>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</si>
  <si>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</si>
  <si>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</si>
  <si>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</si>
  <si>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</si>
  <si>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</si>
  <si>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</si>
  <si>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</si>
  <si>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</si>
  <si>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</si>
  <si>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</si>
  <si>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</si>
  <si>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</si>
  <si>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</si>
  <si>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</si>
  <si>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</si>
  <si>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</si>
  <si>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</si>
  <si>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</si>
  <si>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</si>
  <si>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</si>
  <si>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</si>
  <si>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</si>
  <si>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</si>
  <si>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</si>
  <si>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</si>
  <si>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</si>
  <si>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</si>
  <si>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</si>
  <si>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</si>
  <si>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</si>
  <si>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</si>
  <si>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</si>
  <si>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</si>
  <si>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</si>
  <si>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</si>
  <si>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</si>
  <si>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</si>
  <si>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</si>
  <si>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</si>
  <si>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</si>
  <si>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</si>
  <si>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</si>
  <si>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</si>
  <si>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</si>
  <si>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</si>
  <si>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</si>
  <si>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</si>
  <si>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</si>
  <si>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</si>
  <si>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</si>
  <si>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</si>
  <si>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</si>
  <si>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</si>
  <si>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</si>
  <si>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</si>
  <si>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</si>
  <si>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</si>
  <si>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</si>
  <si>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</si>
  <si>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</si>
  <si>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</si>
  <si>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</si>
  <si>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</si>
  <si>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</si>
  <si>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</si>
  <si>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</si>
  <si>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</si>
  <si>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</si>
  <si>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</si>
  <si>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</si>
  <si>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</si>
  <si>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</si>
  <si>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</si>
  <si>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</si>
  <si>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</si>
  <si>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</si>
  <si>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</si>
  <si>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</si>
  <si>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</si>
  <si>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</si>
  <si>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</si>
  <si>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</si>
  <si>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</si>
  <si>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</si>
  <si>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</si>
  <si>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</si>
  <si>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</si>
  <si>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</si>
  <si>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</si>
  <si>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</si>
  <si>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</si>
  <si>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</si>
  <si>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</si>
  <si>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</si>
  <si>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</si>
  <si>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</si>
  <si>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</si>
  <si>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</si>
  <si>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</si>
  <si>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</si>
  <si>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</si>
  <si>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</si>
  <si>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</si>
  <si>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</si>
  <si>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</si>
  <si>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</si>
  <si>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</si>
  <si>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</si>
  <si>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</si>
  <si>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</si>
  <si>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</si>
  <si>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</si>
  <si>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</si>
  <si>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</si>
  <si>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</si>
  <si>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</si>
  <si>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</si>
  <si>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</si>
  <si>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</si>
  <si>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</si>
  <si>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</si>
  <si>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</si>
  <si>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</si>
  <si>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</si>
  <si>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</si>
  <si>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</si>
  <si>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</si>
  <si>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</si>
  <si>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</si>
  <si>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</si>
  <si>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</si>
  <si>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</si>
  <si>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</si>
  <si>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</si>
  <si>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</si>
  <si>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</si>
  <si>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</si>
  <si>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</si>
  <si>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</si>
  <si>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</si>
  <si>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</si>
  <si>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</si>
  <si>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</si>
  <si>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</si>
  <si>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</si>
  <si>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</si>
  <si>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</si>
  <si>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</si>
  <si>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</si>
  <si>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</si>
  <si>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</si>
  <si>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</si>
  <si>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</si>
  <si>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</si>
  <si>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</si>
  <si>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</si>
  <si>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</si>
  <si>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</si>
  <si>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MS/SB Traders</t>
  </si>
  <si>
    <t>NTN # : 4655329-3</t>
  </si>
  <si>
    <t>Address: Manawan</t>
  </si>
  <si>
    <t>_CB TRADERS</t>
  </si>
  <si>
    <t>NTN # : 4987374-2</t>
  </si>
  <si>
    <t>Invoice No # :156123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</si>
</sst>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/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46281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_CB TRADERS</v>
      </c>
      <c r="T3" s="301">
        <f>+'1'!P35</f>
        <v>10199.031875847457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MS/SB Traders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MS/SB Traders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MS/SB Traders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MS/SB Traders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MS/SB Traders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587.58000000000004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3462.5250000000001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21.278726694915253</v>
      </c>
      <c r="P9" s="311">
        <f t="shared" si="2"/>
        <v>4277.0240656779661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MS/SB Traders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MS/SB Traders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MS/SB Traders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4794.24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29.462725423728813</v>
      </c>
      <c r="P12" s="311">
        <f t="shared" si="2"/>
        <v>5922.0078101694908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MS/SB Traders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MS/SB Traders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MS/SB Traders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MS/SB Traders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4</v>
      </c>
      <c r="H16" s="113">
        <f t="shared" ref="H16:M16" si="3">SUM(H7:H15)</f>
        <v>160</v>
      </c>
      <c r="I16" s="114">
        <f t="shared" si="3"/>
        <v>10008.200000000001</v>
      </c>
      <c r="J16" s="274">
        <f>SUM(J7:J15)</f>
        <v>1401.1480000000001</v>
      </c>
      <c r="K16" s="275">
        <f t="shared" si="3"/>
        <v>350.28700000000003</v>
      </c>
      <c r="L16" s="276">
        <f t="shared" si="3"/>
        <v>0</v>
      </c>
      <c r="M16" s="232">
        <f t="shared" si="3"/>
        <v>8256.7649999999994</v>
      </c>
      <c r="N16" s="233">
        <f>SUM(N7:N15)</f>
        <v>1891.5254237288132</v>
      </c>
      <c r="O16" s="101">
        <f>SUM(O7:O15)</f>
        <v>50.741452118644062</v>
      </c>
      <c r="P16" s="113">
        <f>SUM(P7:P15)</f>
        <v>10199.031875847457</v>
      </c>
      <c r="Q16" s="128">
        <f>SUM(Q7:Q15)</f>
        <v>0</v>
      </c>
      <c r="R16" s="314">
        <v>14</v>
      </c>
      <c r="S16" s="300" t="str">
        <f>+'14'!A6:A6</f>
        <v>MS/SB Traders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MS/SB Traders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MS/SB Traders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10008.200000000001</v>
      </c>
      <c r="R19" s="299">
        <v>17</v>
      </c>
      <c r="S19" s="300" t="str">
        <f>+'17'!A6:A6</f>
        <v>MS/SB Traders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1401.1480000000001</v>
      </c>
      <c r="R20" s="299">
        <v>18</v>
      </c>
      <c r="S20" s="300" t="str">
        <f>+'18'!A6:A6</f>
        <v>MS/SB Traders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350.28700000000003</v>
      </c>
      <c r="R21" s="299">
        <v>19</v>
      </c>
      <c r="S21" s="300" t="str">
        <f>+'19'!A6:A6</f>
        <v>MS/SB Traders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8256.7649999999994</v>
      </c>
      <c r="R22" s="299">
        <v>20</v>
      </c>
      <c r="S22" s="300" t="str">
        <f>+'20'!A6:A6</f>
        <v>MS/SB Traders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1891.5254237288132</v>
      </c>
      <c r="R23" s="299">
        <v>21</v>
      </c>
      <c r="S23" s="300" t="str">
        <f>+'21'!A6:A6</f>
        <v>MS/SB Traders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10148.290423728813</v>
      </c>
      <c r="R24" s="299">
        <v>22</v>
      </c>
      <c r="S24" s="300" t="str">
        <f>+'22'!A6:A6</f>
        <v>MS/SB Traders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50.741452118644062</v>
      </c>
      <c r="R25" s="299">
        <v>23</v>
      </c>
      <c r="S25" s="300" t="str">
        <f>+'23'!A6:A6</f>
        <v>MS/SB Traders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10199.031875847457</v>
      </c>
      <c r="R26" s="299">
        <v>24</v>
      </c>
      <c r="S26" s="300" t="str">
        <f>+'24'!A6:A6</f>
        <v>MS/SB Traders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MS/SB Traders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MS/SB Traders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MS/SB Traders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MS/SB Traders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MS/SB Traders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MS/SB Traders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10199.031875847457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S3" sqref="S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517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46258</v>
      </c>
      <c r="O5" s="368"/>
      <c r="P5" s="368"/>
      <c r="R5" s="85"/>
      <c r="S5" s="266"/>
    </row>
    <row r="6" spans="1:22 16383:16384" ht="17.2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516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311">
        <f t="shared" si="5"/>
        <v>4277.0240656779661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311">
        <f t="shared" si="5"/>
        <v>5922.0078101694908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10008.200000000001</v>
      </c>
      <c r="J25" s="274">
        <f>SUM(J16:J24)</f>
        <v>1401.1480000000001</v>
      </c>
      <c r="K25" s="275">
        <f t="shared" si="10"/>
        <v>350.28700000000003</v>
      </c>
      <c r="L25" s="276">
        <f t="shared" si="10"/>
        <v>0</v>
      </c>
      <c r="M25" s="232">
        <f t="shared" si="10"/>
        <v>8256.7649999999994</v>
      </c>
      <c r="N25" s="233">
        <f>SUM(N16:N24)</f>
        <v>1891.5254237288132</v>
      </c>
      <c r="O25" s="101">
        <f>SUM(O16:O24)</f>
        <v>50.741452118644062</v>
      </c>
      <c r="P25" s="113">
        <f>SUM(P16:P24)</f>
        <v>10199.031875847457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10008.200000000001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1401.1480000000001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350.28700000000003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8256.7649999999994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10148.290423728813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50.741452118644069</v>
      </c>
    </row>
    <row r="35" spans="2:16" ht="15.75" customHeight="1" thickBot="1" x14ac:dyDescent="0.4">
      <c r="N35" s="343" t="s">
        <v>88</v>
      </c>
      <c r="O35" s="344"/>
      <c r="P35" s="297">
        <f>+P33+P34</f>
        <v>10199.031875847457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46282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46281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2026-09-16T06:09:43Z</dcterms:modified>
</cp:coreProperties>
</file>