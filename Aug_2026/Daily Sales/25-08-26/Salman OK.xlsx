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C87154E-F14F-4049-B356-DD1E45BD44A5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4" i="11" l="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4" i="69"/>
  <c r="N5" i="69" s="1"/>
  <c r="N4" i="43"/>
  <c r="N4" i="47"/>
  <c r="N4" i="55"/>
  <c r="N4" i="68"/>
  <c r="N4" i="45"/>
  <c r="N4" i="49"/>
  <c r="N4" i="53"/>
  <c r="N4" i="57"/>
  <c r="N4" i="61"/>
  <c r="N4" i="66"/>
  <c r="N5" i="66" s="1"/>
  <c r="N4" i="70"/>
  <c r="N4" i="46"/>
  <c r="N4" i="50"/>
  <c r="N4" i="54"/>
  <c r="N4" i="58"/>
  <c r="N4" i="63"/>
  <c r="N4" i="67"/>
  <c r="N5" i="67" s="1"/>
  <c r="N4" i="7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E19" i="72"/>
  <c r="V19" i="72" s="1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E19" i="71"/>
  <c r="V19" i="71" s="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E16" i="69"/>
  <c r="V16" i="69" s="1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E22" i="67"/>
  <c r="V22" i="67" s="1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E16" i="67"/>
  <c r="V16" i="67" s="1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E19" i="65"/>
  <c r="V19" i="65" s="1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E19" i="64"/>
  <c r="V19" i="64" s="1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24" i="70" l="1"/>
  <c r="N24" i="66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C11" i="61" s="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B20" i="60"/>
  <c r="C20" i="60" s="1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C11" i="59" s="1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E16" i="59"/>
  <c r="V16" i="59" s="1"/>
  <c r="D16" i="59"/>
  <c r="C16" i="59"/>
  <c r="B16" i="59"/>
  <c r="O15" i="59"/>
  <c r="C12" i="59"/>
  <c r="N5" i="59"/>
  <c r="O34" i="58"/>
  <c r="C11" i="58" s="1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E16" i="58"/>
  <c r="V16" i="58" s="1"/>
  <c r="D16" i="58"/>
  <c r="C16" i="58"/>
  <c r="B16" i="58"/>
  <c r="O15" i="58"/>
  <c r="C12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E16" i="57"/>
  <c r="V16" i="57" s="1"/>
  <c r="D16" i="57"/>
  <c r="C16" i="57"/>
  <c r="B16" i="57"/>
  <c r="O15" i="57"/>
  <c r="C12" i="57"/>
  <c r="C11" i="57"/>
  <c r="N5" i="57"/>
  <c r="O34" i="56"/>
  <c r="C11" i="56" s="1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C11" i="54" s="1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E16" i="53"/>
  <c r="V16" i="53" s="1"/>
  <c r="D16" i="53"/>
  <c r="C16" i="53"/>
  <c r="B16" i="53"/>
  <c r="O15" i="53"/>
  <c r="C12" i="53"/>
  <c r="N5" i="53"/>
  <c r="O34" i="52"/>
  <c r="C11" i="52" s="1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E16" i="52"/>
  <c r="V16" i="52" s="1"/>
  <c r="D16" i="52"/>
  <c r="C16" i="52"/>
  <c r="B16" i="52"/>
  <c r="O15" i="52"/>
  <c r="C12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B20" i="51"/>
  <c r="C20" i="51" s="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E16" i="50"/>
  <c r="V16" i="50" s="1"/>
  <c r="D16" i="50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B20" i="49"/>
  <c r="C20" i="49" s="1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E16" i="45"/>
  <c r="V16" i="45" s="1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C11" i="43" s="1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N5" i="43"/>
  <c r="N16" i="50" l="1"/>
  <c r="N16" i="48"/>
  <c r="N16" i="53"/>
  <c r="N24" i="50"/>
  <c r="N16" i="59"/>
  <c r="N16" i="58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J49" i="41"/>
  <c r="L49" i="41" s="1"/>
  <c r="K49" i="41" s="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J39" i="41"/>
  <c r="L39" i="41" s="1"/>
  <c r="K39" i="41" s="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J30" i="41"/>
  <c r="L30" i="41" s="1"/>
  <c r="K30" i="41" s="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J12" i="41"/>
  <c r="L12" i="41" s="1"/>
  <c r="K12" i="41" s="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C11" i="16" s="1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M4" i="16"/>
  <c r="M5" i="16" s="1"/>
  <c r="N5" i="15"/>
  <c r="K5" i="15"/>
  <c r="I5" i="15"/>
  <c r="H5" i="15"/>
  <c r="F5" i="15"/>
  <c r="N4" i="15"/>
  <c r="K4" i="15"/>
  <c r="I4" i="15" s="1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K35" i="41"/>
  <c r="K46" i="41"/>
  <c r="M46" i="41"/>
  <c r="K13" i="41"/>
  <c r="M13" i="41"/>
  <c r="O13" i="41" s="1"/>
  <c r="P13" i="41" s="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O50" i="41" s="1"/>
  <c r="P50" i="41" s="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N17" i="41"/>
  <c r="L19" i="41"/>
  <c r="N21" i="41"/>
  <c r="N25" i="41"/>
  <c r="N30" i="41"/>
  <c r="L32" i="41"/>
  <c r="N34" i="41"/>
  <c r="O34" i="41" s="1"/>
  <c r="P34" i="41" s="1"/>
  <c r="L36" i="41"/>
  <c r="N39" i="41"/>
  <c r="L42" i="41"/>
  <c r="N44" i="41"/>
  <c r="N49" i="41"/>
  <c r="N31" i="14"/>
  <c r="N24" i="14"/>
  <c r="N17" i="14"/>
  <c r="N11" i="14"/>
  <c r="O5" i="14"/>
  <c r="O3" i="14"/>
  <c r="O4" i="14"/>
  <c r="M9" i="14"/>
  <c r="M31" i="14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31" i="14" l="1"/>
  <c r="O35" i="41"/>
  <c r="P35" i="41" s="1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T9" i="14" l="1"/>
  <c r="U9" i="14" s="1"/>
  <c r="P17" i="14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O23" i="14"/>
  <c r="P23" i="14" s="1"/>
  <c r="R23" i="14" s="1"/>
  <c r="T23" i="14" s="1"/>
  <c r="U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O29" i="14"/>
  <c r="P29" i="14" s="1"/>
  <c r="R29" i="14" s="1"/>
  <c r="T29" i="14" s="1"/>
  <c r="U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I24" i="11" s="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7" i="6" l="1"/>
  <c r="N16" i="62"/>
  <c r="P23" i="62" s="1"/>
  <c r="L23" i="48"/>
  <c r="K23" i="48"/>
  <c r="J23" i="48"/>
  <c r="J23" i="51"/>
  <c r="L23" i="51"/>
  <c r="K23" i="51"/>
  <c r="M23" i="51" s="1"/>
  <c r="O23" i="51" s="1"/>
  <c r="P23" i="51" s="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L18" i="51"/>
  <c r="K18" i="51"/>
  <c r="J18" i="51"/>
  <c r="J18" i="66"/>
  <c r="L18" i="66"/>
  <c r="K18" i="66"/>
  <c r="K24" i="47"/>
  <c r="J24" i="47"/>
  <c r="L24" i="47"/>
  <c r="L24" i="44"/>
  <c r="K24" i="44"/>
  <c r="J24" i="44"/>
  <c r="J24" i="63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J22" i="56"/>
  <c r="L22" i="56"/>
  <c r="K22" i="56"/>
  <c r="M22" i="56" s="1"/>
  <c r="O22" i="56" s="1"/>
  <c r="P22" i="56" s="1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L24" i="71"/>
  <c r="K24" i="7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K23" i="61"/>
  <c r="L23" i="61"/>
  <c r="L23" i="64"/>
  <c r="K23" i="64"/>
  <c r="J23" i="64"/>
  <c r="L23" i="69"/>
  <c r="K23" i="69"/>
  <c r="J23" i="69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J24" i="46"/>
  <c r="J24" i="50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L24" i="43"/>
  <c r="K24" i="43"/>
  <c r="J24" i="43"/>
  <c r="K24" i="53"/>
  <c r="L24" i="53"/>
  <c r="J24" i="53"/>
  <c r="J24" i="58"/>
  <c r="K24" i="58"/>
  <c r="L24" i="58"/>
  <c r="L24" i="67"/>
  <c r="K24" i="67"/>
  <c r="J24" i="67"/>
  <c r="J24" i="72"/>
  <c r="M24" i="72" s="1"/>
  <c r="L24" i="72"/>
  <c r="K24" i="72"/>
  <c r="K20" i="48"/>
  <c r="L20" i="48"/>
  <c r="J20" i="48"/>
  <c r="M20" i="48" s="1"/>
  <c r="O20" i="48" s="1"/>
  <c r="P20" i="48" s="1"/>
  <c r="R20" i="48" s="1"/>
  <c r="K20" i="53"/>
  <c r="L20" i="53"/>
  <c r="J20" i="53"/>
  <c r="K20" i="43"/>
  <c r="L20" i="43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L17" i="16" l="1"/>
  <c r="M24" i="56"/>
  <c r="O24" i="56" s="1"/>
  <c r="P24" i="56" s="1"/>
  <c r="M20" i="53"/>
  <c r="O20" i="53" s="1"/>
  <c r="P20" i="53" s="1"/>
  <c r="R20" i="53" s="1"/>
  <c r="M16" i="52"/>
  <c r="O16" i="52" s="1"/>
  <c r="P16" i="52" s="1"/>
  <c r="M24" i="50"/>
  <c r="O24" i="50" s="1"/>
  <c r="P24" i="50" s="1"/>
  <c r="M21" i="69"/>
  <c r="O21" i="69" s="1"/>
  <c r="P21" i="69" s="1"/>
  <c r="M23" i="49"/>
  <c r="O23" i="49" s="1"/>
  <c r="P23" i="49" s="1"/>
  <c r="J7" i="62"/>
  <c r="J25" i="61"/>
  <c r="P29" i="61" s="1"/>
  <c r="M20" i="70"/>
  <c r="O20" i="70" s="1"/>
  <c r="P20" i="70" s="1"/>
  <c r="R20" i="70" s="1"/>
  <c r="M24" i="46"/>
  <c r="O24" i="46" s="1"/>
  <c r="P24" i="46" s="1"/>
  <c r="M23" i="61"/>
  <c r="O23" i="61" s="1"/>
  <c r="P23" i="61" s="1"/>
  <c r="M22" i="70"/>
  <c r="M22" i="51"/>
  <c r="M18" i="48"/>
  <c r="M23" i="48"/>
  <c r="M24" i="71"/>
  <c r="K15" i="62"/>
  <c r="M17" i="56"/>
  <c r="O17" i="56" s="1"/>
  <c r="P17" i="56" s="1"/>
  <c r="M22" i="64"/>
  <c r="O22" i="64" s="1"/>
  <c r="P22" i="64" s="1"/>
  <c r="M16" i="59"/>
  <c r="M20" i="43"/>
  <c r="O20" i="43" s="1"/>
  <c r="P20" i="43" s="1"/>
  <c r="R20" i="43" s="1"/>
  <c r="M23" i="52"/>
  <c r="O23" i="52" s="1"/>
  <c r="P23" i="52" s="1"/>
  <c r="M24" i="48"/>
  <c r="O24" i="48" s="1"/>
  <c r="P24" i="48" s="1"/>
  <c r="M20" i="50"/>
  <c r="O20" i="50" s="1"/>
  <c r="P20" i="50" s="1"/>
  <c r="R20" i="50" s="1"/>
  <c r="M21" i="52"/>
  <c r="O21" i="52" s="1"/>
  <c r="P21" i="52" s="1"/>
  <c r="M20" i="47"/>
  <c r="O20" i="47" s="1"/>
  <c r="P20" i="47" s="1"/>
  <c r="R20" i="47" s="1"/>
  <c r="M21" i="44"/>
  <c r="O21" i="44" s="1"/>
  <c r="P21" i="44" s="1"/>
  <c r="K12" i="62"/>
  <c r="M17" i="72"/>
  <c r="O17" i="72" s="1"/>
  <c r="P17" i="72" s="1"/>
  <c r="M24" i="45"/>
  <c r="O24" i="45" s="1"/>
  <c r="P24" i="45" s="1"/>
  <c r="M16" i="64"/>
  <c r="M17" i="60"/>
  <c r="O17" i="60" s="1"/>
  <c r="P17" i="60" s="1"/>
  <c r="M22" i="43"/>
  <c r="M23" i="56"/>
  <c r="O23" i="56" s="1"/>
  <c r="P23" i="56" s="1"/>
  <c r="M16" i="65"/>
  <c r="O16" i="65" s="1"/>
  <c r="M22" i="63"/>
  <c r="O22" i="63" s="1"/>
  <c r="P22" i="63" s="1"/>
  <c r="M24" i="47"/>
  <c r="O24" i="47" s="1"/>
  <c r="P24" i="47" s="1"/>
  <c r="M16" i="48"/>
  <c r="M24" i="53"/>
  <c r="O24" i="53" s="1"/>
  <c r="P24" i="53" s="1"/>
  <c r="M23" i="58"/>
  <c r="O23" i="58" s="1"/>
  <c r="P23" i="58" s="1"/>
  <c r="M16" i="60"/>
  <c r="M21" i="51"/>
  <c r="M23" i="72"/>
  <c r="O23" i="72" s="1"/>
  <c r="P23" i="72" s="1"/>
  <c r="M23" i="64"/>
  <c r="O23" i="64" s="1"/>
  <c r="P23" i="64" s="1"/>
  <c r="M23" i="59"/>
  <c r="M23" i="44"/>
  <c r="O23" i="44" s="1"/>
  <c r="P23" i="44" s="1"/>
  <c r="M16" i="66"/>
  <c r="O16" i="66" s="1"/>
  <c r="M16" i="44"/>
  <c r="O16" i="44" s="1"/>
  <c r="M24" i="44"/>
  <c r="O24" i="44" s="1"/>
  <c r="P24" i="44" s="1"/>
  <c r="M23" i="65"/>
  <c r="M23" i="60"/>
  <c r="J15" i="62"/>
  <c r="M16" i="72"/>
  <c r="M24" i="58"/>
  <c r="M24" i="43"/>
  <c r="O24" i="43" s="1"/>
  <c r="P24" i="43" s="1"/>
  <c r="M23" i="66"/>
  <c r="M23" i="54"/>
  <c r="O23" i="54" s="1"/>
  <c r="P23" i="54" s="1"/>
  <c r="M18" i="67"/>
  <c r="O18" i="67" s="1"/>
  <c r="P18" i="67" s="1"/>
  <c r="M21" i="53"/>
  <c r="O21" i="53" s="1"/>
  <c r="P21" i="53" s="1"/>
  <c r="M23" i="69"/>
  <c r="O23" i="69" s="1"/>
  <c r="P23" i="69" s="1"/>
  <c r="M23" i="53"/>
  <c r="O23" i="53" s="1"/>
  <c r="P23" i="53" s="1"/>
  <c r="M24" i="63"/>
  <c r="O24" i="63" s="1"/>
  <c r="P24" i="63" s="1"/>
  <c r="M21" i="68"/>
  <c r="O21" i="68" s="1"/>
  <c r="P21" i="68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4" i="71"/>
  <c r="P24" i="71" s="1"/>
  <c r="O23" i="59"/>
  <c r="P23" i="59" s="1"/>
  <c r="O16" i="67"/>
  <c r="P16" i="67" s="1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 s="1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21" i="51"/>
  <c r="P21" i="51" s="1"/>
  <c r="L25" i="65"/>
  <c r="J25" i="44"/>
  <c r="P29" i="44" s="1"/>
  <c r="L25" i="57"/>
  <c r="K25" i="52"/>
  <c r="J25" i="54"/>
  <c r="P29" i="54" s="1"/>
  <c r="O22" i="70"/>
  <c r="P22" i="70" s="1"/>
  <c r="K11" i="62"/>
  <c r="O18" i="48"/>
  <c r="P18" i="48" s="1"/>
  <c r="K10" i="62"/>
  <c r="L15" i="62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O31" i="16" s="1"/>
  <c r="O32" i="16" s="1"/>
  <c r="O33" i="16" s="1"/>
  <c r="O34" i="16" s="1"/>
  <c r="O35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O24" i="16" l="1"/>
  <c r="M15" i="62"/>
  <c r="M12" i="62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P23" i="55" s="1"/>
  <c r="M25" i="56"/>
  <c r="O16" i="56"/>
  <c r="O25" i="56" s="1"/>
  <c r="M25" i="55"/>
  <c r="M25" i="67"/>
  <c r="O16" i="54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M25" i="70"/>
  <c r="O25" i="59"/>
  <c r="O25" i="58"/>
  <c r="M25" i="44"/>
  <c r="P25" i="67"/>
  <c r="M9" i="62"/>
  <c r="M19" i="16"/>
  <c r="N19" i="16" s="1"/>
  <c r="O19" i="16"/>
  <c r="M18" i="16"/>
  <c r="N18" i="16" s="1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69" l="1"/>
  <c r="O15" i="62"/>
  <c r="P15" i="62" s="1"/>
  <c r="O25" i="54"/>
  <c r="O25" i="70"/>
  <c r="O25" i="64"/>
  <c r="O18" i="16"/>
  <c r="O25" i="48"/>
  <c r="P12" i="62"/>
  <c r="P24" i="55"/>
  <c r="O25" i="55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O17" i="5"/>
  <c r="P17" i="5" s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P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<sst xmlns="http://schemas.openxmlformats.org/spreadsheetml/2006/main" count="3978" uniqueCount="530">
  <si>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</si>
  <si>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</si>
  <si>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</si>
  <si>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</si>
  <si>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</si>
  <si>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</si>
  <si>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</si>
  <si>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</si>
  <si>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</si>
  <si>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</si>
  <si>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</si>
  <si>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</si>
  <si>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</si>
  <si>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</si>
  <si>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</si>
  <si>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</si>
  <si>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</si>
  <si>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</si>
  <si>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</si>
  <si>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</si>
  <si>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</si>
  <si>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</si>
  <si>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</si>
  <si>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</si>
  <si>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</si>
  <si>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</si>
  <si>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</si>
  <si>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</si>
  <si>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</si>
  <si>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</si>
  <si>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</si>
  <si>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</si>
  <si>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</si>
  <si>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</si>
  <si>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</si>
  <si>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</si>
  <si>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</si>
  <si>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</si>
  <si>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</si>
  <si>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</si>
  <si>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</si>
  <si>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</si>
  <si>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</si>
  <si>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</si>
  <si>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</si>
  <si>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</si>
  <si>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</si>
  <si>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</si>
  <si>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</si>
  <si>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</si>
  <si>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</si>
  <si>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</si>
  <si>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</si>
  <si>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</si>
  <si>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</si>
  <si>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</si>
  <si>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</si>
  <si>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</si>
  <si>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</si>
  <si>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</si>
  <si>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</si>
  <si>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</si>
  <si>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</si>
  <si>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</si>
  <si>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</si>
  <si>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</si>
  <si>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</si>
  <si>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</si>
  <si>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</si>
  <si>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</si>
  <si>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</si>
  <si>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</si>
  <si>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</si>
  <si>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</si>
  <si>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</si>
  <si>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</si>
  <si>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</si>
  <si>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</si>
  <si>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</si>
  <si>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</si>
  <si>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</si>
  <si>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</si>
  <si>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</si>
  <si>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</si>
  <si>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</si>
  <si>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</si>
  <si>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</si>
  <si>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</si>
  <si>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</si>
  <si>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</si>
  <si>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</si>
  <si>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</si>
  <si>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</si>
  <si>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</si>
  <si>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</si>
  <si>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</si>
  <si>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</si>
  <si>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</si>
  <si>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</si>
  <si>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</si>
  <si>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</si>
  <si>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</si>
  <si>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</si>
  <si>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</si>
  <si>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</si>
  <si>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</si>
  <si>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</si>
  <si>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</si>
  <si>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</si>
  <si>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</si>
  <si>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</si>
  <si>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</si>
  <si>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</si>
  <si>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</si>
  <si>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</si>
  <si>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</si>
  <si>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</si>
  <si>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</si>
  <si>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</si>
  <si>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</si>
  <si>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</si>
  <si>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</si>
  <si>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</si>
  <si>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</si>
  <si>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</si>
  <si>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</si>
  <si>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</si>
  <si>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</si>
  <si>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</si>
  <si>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</si>
  <si>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</si>
  <si>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</si>
  <si>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</si>
  <si>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</si>
  <si>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</si>
  <si>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</si>
  <si>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</si>
  <si>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</si>
  <si>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</si>
  <si>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</si>
  <si>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</si>
  <si>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</si>
  <si>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</si>
  <si>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</si>
  <si>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</si>
  <si>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</si>
  <si>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</si>
  <si>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</si>
  <si>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</si>
  <si>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</si>
  <si>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</si>
  <si>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</si>
  <si>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</si>
  <si>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</si>
  <si>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</si>
  <si>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</si>
  <si>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</si>
  <si>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</si>
  <si>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</si>
  <si>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</si>
  <si>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</si>
  <si>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</si>
  <si>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</si>
  <si>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</si>
  <si>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</si>
  <si>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</si>
  <si>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</si>
  <si>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</si>
  <si>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</si>
  <si>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</si>
  <si>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</si>
  <si>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</si>
  <si>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</si>
  <si>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</si>
  <si>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</si>
  <si>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</si>
  <si>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</si>
  <si>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</si>
  <si>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</si>
  <si>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</si>
  <si>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</si>
  <si>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</si>
  <si>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</si>
  <si>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</si>
  <si>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</si>
  <si>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</si>
  <si>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</si>
  <si>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</si>
  <si>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</si>
  <si>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</si>
  <si>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</si>
  <si>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</si>
  <si>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</si>
  <si>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</si>
  <si>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</si>
  <si>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</si>
  <si>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</si>
  <si>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</si>
  <si>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</si>
  <si>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</si>
  <si>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</si>
  <si>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</si>
  <si>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</si>
  <si>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</si>
  <si>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</si>
  <si>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</si>
  <si>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</si>
  <si>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</si>
  <si>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</si>
  <si>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</si>
  <si>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</si>
  <si>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</si>
  <si>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</si>
  <si>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</si>
  <si>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</si>
  <si>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</si>
  <si>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</si>
  <si>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</si>
  <si>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</si>
  <si>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</si>
  <si>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</si>
  <si>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</si>
  <si>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</si>
  <si>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</si>
  <si>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</si>
  <si>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</si>
  <si>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</si>
  <si>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</si>
  <si>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</si>
  <si>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</si>
  <si>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</si>
  <si>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</si>
  <si>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</si>
  <si>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</si>
  <si>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</si>
  <si>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</si>
  <si>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</si>
  <si>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</si>
  <si>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</si>
  <si>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</si>
  <si>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</si>
  <si>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</si>
  <si>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</si>
  <si>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</si>
  <si>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</si>
  <si>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</si>
  <si>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</si>
  <si>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</si>
  <si>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</si>
  <si>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</si>
  <si>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</si>
  <si>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</si>
  <si>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</si>
  <si>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</si>
  <si>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</si>
  <si>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</si>
  <si>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</si>
  <si>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</si>
  <si>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</si>
  <si>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</si>
  <si>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</si>
  <si>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</si>
  <si>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</si>
  <si>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</si>
  <si>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</si>
  <si>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</si>
  <si>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</si>
  <si>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</si>
  <si>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</si>
  <si>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</si>
  <si>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</si>
  <si>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</si>
  <si>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</si>
  <si>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</si>
  <si>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</si>
  <si>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</si>
  <si>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</si>
  <si>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</si>
  <si>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</si>
  <si>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</si>
  <si>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</si>
  <si>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</si>
  <si>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</si>
  <si>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</si>
  <si>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</si>
  <si>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</si>
  <si>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</si>
  <si>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</si>
  <si>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</si>
  <si>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</si>
  <si>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</si>
  <si>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</si>
  <si>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</si>
  <si>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</si>
  <si>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</si>
  <si>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</si>
  <si>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</si>
  <si>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</si>
  <si>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</si>
  <si>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</si>
  <si>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</si>
  <si>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</si>
  <si>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</si>
  <si>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</si>
  <si>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</si>
  <si>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</si>
  <si>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</si>
  <si>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</si>
  <si>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</si>
  <si>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</si>
  <si>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</si>
  <si>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</si>
  <si>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</si>
  <si>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</si>
  <si>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</si>
  <si>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</si>
  <si>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</si>
  <si>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</si>
  <si>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</si>
  <si>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</si>
  <si>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</si>
  <si>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</si>
  <si>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</si>
  <si>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</si>
  <si>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</si>
  <si>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</si>
  <si>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</si>
  <si>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</si>
  <si>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</si>
  <si>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</si>
  <si>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</si>
  <si>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</si>
  <si>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</si>
  <si>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</si>
  <si>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</si>
  <si>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</si>
  <si>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</si>
  <si>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</si>
  <si>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</si>
  <si>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</si>
  <si>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</si>
  <si>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</si>
  <si>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</si>
  <si>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</si>
  <si>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</si>
  <si>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</si>
  <si>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</si>
  <si>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</si>
  <si>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</si>
  <si>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</si>
  <si>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</si>
  <si>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</si>
  <si>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</si>
  <si>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</si>
  <si>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</si>
  <si>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</si>
  <si>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</si>
  <si>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</si>
  <si>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</si>
  <si>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</si>
  <si>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</si>
  <si>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</si>
  <si>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</si>
  <si>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</si>
  <si>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</si>
  <si>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</si>
  <si>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</si>
  <si>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</si>
  <si>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</si>
  <si>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</si>
  <si>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</si>
  <si>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</si>
  <si>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</si>
  <si>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</si>
  <si>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</si>
  <si>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</si>
  <si>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</si>
  <si>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</si>
  <si>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</si>
  <si>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</si>
  <si>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</si>
  <si>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</si>
  <si>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</si>
  <si>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</si>
  <si>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</si>
  <si>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</si>
  <si>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</si>
  <si>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</si>
  <si>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</si>
  <si>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</si>
  <si>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</si>
  <si>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</si>
  <si>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</si>
  <si>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</si>
  <si>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</si>
  <si>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</si>
  <si>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</si>
  <si>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</si>
  <si>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</si>
  <si>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</si>
  <si>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</si>
  <si>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</si>
  <si>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</si>
  <si>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</si>
  <si>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</si>
  <si>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</si>
  <si>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</si>
  <si>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</si>
  <si>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</si>
  <si>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</si>
  <si>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</si>
  <si>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</si>
  <si>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</si>
  <si>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</si>
  <si>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</si>
  <si>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</si>
  <si>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</si>
  <si>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</si>
  <si>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</si>
  <si>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</si>
  <si>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</si>
  <si>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</si>
  <si>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</si>
  <si>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</si>
  <si>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</si>
  <si>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</si>
  <si>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</si>
  <si>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</si>
  <si>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</si>
  <si>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</si>
  <si>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</si>
  <si>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</si>
  <si>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</si>
  <si>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</si>
  <si>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</si>
  <si>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</si>
  <si>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</si>
  <si>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</si>
  <si>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</si>
  <si>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</si>
  <si>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</si>
  <si>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</si>
  <si>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</si>
  <si>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</si>
  <si>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</si>
  <si>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</si>
  <si>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</si>
  <si>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</si>
  <si>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</si>
  <si>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</si>
  <si>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</si>
  <si>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</si>
  <si>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</si>
  <si>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</si>
  <si>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</si>
  <si>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</si>
  <si>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</si>
  <si>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</si>
  <si>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</si>
  <si>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</si>
  <si>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</si>
  <si>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</si>
  <si>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</si>
  <si>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</si>
  <si>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</si>
  <si>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</si>
  <si>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</si>
  <si>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</si>
  <si>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</si>
  <si>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</si>
  <si>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</si>
  <si>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</si>
  <si>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</si>
  <si>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</si>
  <si>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</si>
  <si>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</si>
  <si>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</si>
  <si>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</si>
  <si>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</si>
  <si>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</si>
  <si>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</si>
  <si>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</si>
  <si>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</si>
  <si>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</si>
  <si>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</si>
  <si>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</si>
  <si>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</si>
  <si>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</si>
  <si>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</si>
  <si>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</si>
  <si>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</si>
  <si>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</si>
  <si>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</si>
  <si>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</si>
  <si>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</si>
  <si>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</si>
  <si>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</si>
  <si>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</si>
  <si>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</si>
  <si>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</si>
  <si>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</si>
  <si>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</si>
  <si>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</si>
  <si>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</si>
  <si>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</si>
  <si>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</si>
  <si>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</si>
  <si>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</si>
  <si>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</si>
  <si>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</si>
  <si>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</si>
  <si>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</si>
  <si>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</si>
  <si>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Salman </t>
  </si>
  <si>
    <t>Address: Dharampura</t>
  </si>
  <si>
    <t>Basic Store</t>
  </si>
  <si>
    <t xml:space="preserve">Shell Select Shop </t>
  </si>
  <si>
    <t xml:space="preserve">Express City Mall </t>
  </si>
  <si>
    <t>Tanveer Store</t>
  </si>
  <si>
    <t>Bhai Bhai Medical Store</t>
  </si>
  <si>
    <t xml:space="preserve">Food Rite </t>
  </si>
  <si>
    <t>Toqeer Store</t>
  </si>
  <si>
    <t>Al Falah Bakers</t>
  </si>
  <si>
    <t>Aneel Store</t>
  </si>
  <si>
    <t>Sanwal Store</t>
  </si>
  <si>
    <t>Dilshat Store</t>
  </si>
  <si>
    <t>Usama Store</t>
  </si>
  <si>
    <t>Rafeeq Store</t>
  </si>
  <si>
    <t>Rehan Store</t>
  </si>
  <si>
    <t>Yousaf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</si>
</sst>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B1" zoomScale="85" zoomScaleNormal="85" workbookViewId="0">
      <selection activeCell="S12" sqref="S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6.6328125" bestFit="1" customWidth="1"/>
    <col min="11" max="11" width="6.36328125" bestFit="1" customWidth="1"/>
    <col min="12" max="12" width="8.26953125" bestFit="1" customWidth="1"/>
    <col min="13" max="13" width="11.90625" bestFit="1" customWidth="1"/>
    <col min="14" max="14" width="9.453125" style="61" bestFit="1" customWidth="1"/>
    <col min="15" max="15" width="7.81640625" customWidth="1"/>
    <col min="16" max="16" width="8.36328125" bestFit="1" customWidth="1"/>
    <col min="17" max="17" width="7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8" t="s">
        <v>91</v>
      </c>
      <c r="B2" s="368"/>
      <c r="C2" s="368"/>
      <c r="E2" s="355" t="s">
        <v>498</v>
      </c>
      <c r="F2" s="356"/>
      <c r="G2" s="356"/>
      <c r="H2" s="353" t="s">
        <v>513</v>
      </c>
      <c r="I2" s="353"/>
      <c r="J2" s="354"/>
      <c r="R2" s="350" t="s">
        <v>497</v>
      </c>
      <c r="S2" s="351"/>
      <c r="T2" s="352"/>
    </row>
    <row r="3" spans="1:20 16377:16378" ht="21.75" customHeight="1" thickBot="1" x14ac:dyDescent="0.4">
      <c r="A3" s="369" t="s">
        <v>92</v>
      </c>
      <c r="B3" s="369"/>
      <c r="C3" s="369"/>
      <c r="E3" s="359" t="s">
        <v>508</v>
      </c>
      <c r="F3" s="360"/>
      <c r="G3" s="360"/>
      <c r="H3" s="357">
        <v>46259</v>
      </c>
      <c r="I3" s="357"/>
      <c r="J3" s="358"/>
      <c r="K3" s="370" t="s">
        <v>43</v>
      </c>
      <c r="L3" s="370"/>
      <c r="M3" s="370"/>
      <c r="N3" s="369"/>
      <c r="O3" s="369"/>
      <c r="P3" s="369"/>
      <c r="R3" s="299">
        <v>1</v>
      </c>
      <c r="S3" s="300" t="str">
        <f>+'1'!A6:A6</f>
        <v>Basic Store</v>
      </c>
      <c r="T3" s="301">
        <f>+'1'!P35</f>
        <v>8101.8947518855921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 xml:space="preserve">Shell Select Shop </v>
      </c>
      <c r="T4" s="301">
        <f>+'2'!P35</f>
        <v>1568.1057925423731</v>
      </c>
      <c r="XEX4" t="s">
        <v>105</v>
      </c>
    </row>
    <row r="5" spans="1:20 16377:16378" ht="21.75" customHeight="1" thickBot="1" x14ac:dyDescent="0.4">
      <c r="A5" s="389" t="s">
        <v>51</v>
      </c>
      <c r="B5" s="361"/>
      <c r="C5" s="391" t="s">
        <v>90</v>
      </c>
      <c r="D5" s="115" t="s">
        <v>52</v>
      </c>
      <c r="E5" s="393" t="s">
        <v>58</v>
      </c>
      <c r="F5" s="394"/>
      <c r="G5" s="366" t="s">
        <v>54</v>
      </c>
      <c r="H5" s="367"/>
      <c r="I5" s="395" t="s">
        <v>77</v>
      </c>
      <c r="J5" s="365" t="s">
        <v>55</v>
      </c>
      <c r="K5" s="366"/>
      <c r="L5" s="367"/>
      <c r="M5" s="361" t="s">
        <v>84</v>
      </c>
      <c r="N5" s="363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Express City Mall </v>
      </c>
      <c r="T5" s="301">
        <f>+'3'!P35</f>
        <v>3136.2115850847458</v>
      </c>
      <c r="XEX5" t="s">
        <v>106</v>
      </c>
    </row>
    <row r="6" spans="1:20 16377:16378" ht="21.75" customHeight="1" thickBot="1" x14ac:dyDescent="0.4">
      <c r="A6" s="390"/>
      <c r="B6" s="362"/>
      <c r="C6" s="39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4"/>
      <c r="J6" s="143" t="s">
        <v>59</v>
      </c>
      <c r="K6" s="144" t="s">
        <v>39</v>
      </c>
      <c r="L6" s="145" t="s">
        <v>493</v>
      </c>
      <c r="M6" s="362"/>
      <c r="N6" s="36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Tanveer Store</v>
      </c>
      <c r="T6" s="301">
        <f>+'4'!P35</f>
        <v>3136.2115850847458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42</v>
      </c>
      <c r="I7" s="235">
        <f>(G7*D7)*F7+H7*F7</f>
        <v>2203.4249999999997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176.274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77.119875000000008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1950.0311249999997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416.44067796610153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11.832359014830509</v>
      </c>
      <c r="P7" s="310">
        <f>M7+N7+O7</f>
        <v>2378.3041619809319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Bhai Bhai Medical Store</v>
      </c>
      <c r="T7" s="301">
        <f>+'5'!P35</f>
        <v>4211.9430125644076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42</v>
      </c>
      <c r="I8" s="236">
        <f t="shared" ref="I8:I14" si="0">(G8*D8)*F8+H8*F8</f>
        <v>2203.4249999999997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176.274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77.119875000000008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1950.0311249999997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416.44067796610153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11.832359014830509</v>
      </c>
      <c r="P8" s="311">
        <f t="shared" ref="P8:P15" si="2">M8+N8+O8</f>
        <v>2378.3041619809319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Food Rite </v>
      </c>
      <c r="T8" s="301">
        <f>+'6'!P35</f>
        <v>5401.2631679237275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167.88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73.447500000000005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1857.1725000000001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11.268913347457627</v>
      </c>
      <c r="P9" s="311">
        <f t="shared" si="2"/>
        <v>2265.051582838983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Toqeer Store</v>
      </c>
      <c r="T9" s="301">
        <f>+'7'!P35</f>
        <v>3136.2115850847458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131</v>
      </c>
      <c r="I10" s="236">
        <f t="shared" si="0"/>
        <v>9515.84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761.2672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333.05440000000004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8421.5184000000008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1798.4745762711868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51.09996488135593</v>
      </c>
      <c r="P10" s="311">
        <f t="shared" si="2"/>
        <v>10271.092941152543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Al Falah Bakers</v>
      </c>
      <c r="T10" s="301">
        <f>+'8'!P35</f>
        <v>3136.2115850847458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99</v>
      </c>
      <c r="I11" s="236">
        <f t="shared" si="0"/>
        <v>7191.36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575.30880000000013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251.69760000000002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6364.3535999999995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1359.1525423728815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38.617530711864411</v>
      </c>
      <c r="P11" s="311">
        <f t="shared" si="2"/>
        <v>7762.1236730847459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Aneel Store</v>
      </c>
      <c r="T11" s="301">
        <f>+'9'!P35</f>
        <v>940.86347552542372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160</v>
      </c>
      <c r="I12" s="236">
        <f t="shared" si="0"/>
        <v>11622.4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929.79200000000014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406.78400000000005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10285.823999999999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2196.610169491526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62.412170847457631</v>
      </c>
      <c r="P12" s="311">
        <f t="shared" si="2"/>
        <v>12544.846340338981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Sanwal Store</v>
      </c>
      <c r="T12" s="301">
        <f>+'10'!P35</f>
        <v>940.86347552542372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12</v>
      </c>
      <c r="I13" s="236">
        <f t="shared" si="0"/>
        <v>470.76000000000005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23.538000000000004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16.476600000000005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24.008760000000002</v>
      </c>
      <c r="M13" s="230">
        <f t="shared" si="1"/>
        <v>406.73664000000002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91.525423728813507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2.4913103186440675</v>
      </c>
      <c r="P13" s="311">
        <f t="shared" si="2"/>
        <v>500.75337404745761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Dilshat Store</v>
      </c>
      <c r="T13" s="301">
        <f>+'11'!P35</f>
        <v>470.43173776271186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Usama Store</v>
      </c>
      <c r="T14" s="301">
        <f>+'12'!P35</f>
        <v>784.05289627118646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Rafeeq Store</v>
      </c>
      <c r="T15" s="301">
        <f>+'13'!P35</f>
        <v>1176.0793444067797</v>
      </c>
    </row>
    <row r="16" spans="1:20 16377:16378" ht="21.75" customHeight="1" thickBot="1" x14ac:dyDescent="0.4">
      <c r="A16" s="371">
        <f>COUNT(A7:A15)</f>
        <v>0</v>
      </c>
      <c r="B16" s="372"/>
      <c r="C16" s="372" t="s">
        <v>40</v>
      </c>
      <c r="D16" s="372"/>
      <c r="E16" s="372"/>
      <c r="F16" s="373"/>
      <c r="G16" s="117">
        <f>H16/40</f>
        <v>13.15</v>
      </c>
      <c r="H16" s="113">
        <f t="shared" ref="H16:M16" si="3">SUM(H7:H15)</f>
        <v>526</v>
      </c>
      <c r="I16" s="114">
        <f t="shared" si="3"/>
        <v>35305.71</v>
      </c>
      <c r="J16" s="274">
        <f>SUM(J7:J15)</f>
        <v>2810.3340000000003</v>
      </c>
      <c r="K16" s="275">
        <f t="shared" si="3"/>
        <v>1235.6998500000002</v>
      </c>
      <c r="L16" s="276">
        <f t="shared" si="3"/>
        <v>24.008760000000002</v>
      </c>
      <c r="M16" s="232">
        <f t="shared" si="3"/>
        <v>31235.667389999999</v>
      </c>
      <c r="N16" s="233">
        <f>SUM(N7:N15)</f>
        <v>6675.2542372881362</v>
      </c>
      <c r="O16" s="101">
        <f>SUM(O7:O15)</f>
        <v>189.55460813644069</v>
      </c>
      <c r="P16" s="113">
        <f>SUM(P7:P15)</f>
        <v>38100.476235424576</v>
      </c>
      <c r="Q16" s="128">
        <f>SUM(Q7:Q15)</f>
        <v>0</v>
      </c>
      <c r="R16" s="314">
        <v>14</v>
      </c>
      <c r="S16" s="318" t="str">
        <f>+'14'!A6:A6</f>
        <v>Rehan Store</v>
      </c>
      <c r="T16" s="301">
        <f>+'14'!P35</f>
        <v>1176.0793444067797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Yousaf Store</v>
      </c>
      <c r="T17" s="301">
        <f>+'15'!P35</f>
        <v>784.05289627118646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4" t="s">
        <v>64</v>
      </c>
      <c r="C19" s="375"/>
      <c r="D19" s="375"/>
      <c r="E19" s="375"/>
      <c r="F19" s="375"/>
      <c r="G19" s="375"/>
      <c r="H19" s="375"/>
      <c r="I19" s="375"/>
      <c r="J19" s="375"/>
      <c r="K19" s="375"/>
      <c r="L19" s="376"/>
      <c r="N19" s="383" t="s">
        <v>60</v>
      </c>
      <c r="O19" s="384"/>
      <c r="P19" s="139">
        <f>I16</f>
        <v>35305.71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7"/>
      <c r="C20" s="378"/>
      <c r="D20" s="378"/>
      <c r="E20" s="378"/>
      <c r="F20" s="378"/>
      <c r="G20" s="378"/>
      <c r="H20" s="378"/>
      <c r="I20" s="378"/>
      <c r="J20" s="378"/>
      <c r="K20" s="378"/>
      <c r="L20" s="379"/>
      <c r="N20" s="385" t="s">
        <v>85</v>
      </c>
      <c r="O20" s="386"/>
      <c r="P20" s="140">
        <f>+J16</f>
        <v>2810.3340000000003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7"/>
      <c r="C21" s="378"/>
      <c r="D21" s="378"/>
      <c r="E21" s="378"/>
      <c r="F21" s="378"/>
      <c r="G21" s="378"/>
      <c r="H21" s="378"/>
      <c r="I21" s="378"/>
      <c r="J21" s="378"/>
      <c r="K21" s="378"/>
      <c r="L21" s="379"/>
      <c r="N21" s="385" t="s">
        <v>86</v>
      </c>
      <c r="O21" s="386"/>
      <c r="P21" s="140">
        <f>+K16+L16</f>
        <v>1259.7086100000001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7"/>
      <c r="C22" s="378"/>
      <c r="D22" s="378"/>
      <c r="E22" s="378"/>
      <c r="F22" s="378"/>
      <c r="G22" s="378"/>
      <c r="H22" s="378"/>
      <c r="I22" s="378"/>
      <c r="J22" s="378"/>
      <c r="K22" s="378"/>
      <c r="L22" s="379"/>
      <c r="M22" s="131"/>
      <c r="N22" s="385" t="s">
        <v>87</v>
      </c>
      <c r="O22" s="386"/>
      <c r="P22" s="140">
        <f>P19-P20-P21</f>
        <v>31235.667389999999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7"/>
      <c r="C23" s="378"/>
      <c r="D23" s="378"/>
      <c r="E23" s="378"/>
      <c r="F23" s="378"/>
      <c r="G23" s="378"/>
      <c r="H23" s="378"/>
      <c r="I23" s="378"/>
      <c r="J23" s="378"/>
      <c r="K23" s="378"/>
      <c r="L23" s="379"/>
      <c r="M23" s="131"/>
      <c r="N23" s="136" t="s">
        <v>61</v>
      </c>
      <c r="O23" s="133">
        <v>0.18</v>
      </c>
      <c r="P23" s="140">
        <f>+N16</f>
        <v>6675.2542372881362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7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131"/>
      <c r="N24" s="387" t="s">
        <v>76</v>
      </c>
      <c r="O24" s="388"/>
      <c r="P24" s="140">
        <f>P22+P23</f>
        <v>37910.921627288131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0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99"/>
      <c r="N25" s="138" t="s">
        <v>83</v>
      </c>
      <c r="O25" s="137" t="e">
        <f>IF(#REF!="Filer",0.5%,2.5%)</f>
        <v>#REF!</v>
      </c>
      <c r="P25" s="140">
        <f>+O16</f>
        <v>189.55460813644069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4" t="s">
        <v>88</v>
      </c>
      <c r="O26" s="345"/>
      <c r="P26" s="297">
        <f>+P24+P25</f>
        <v>38100.476235424569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6"/>
      <c r="D27" s="346"/>
      <c r="E27" s="346"/>
      <c r="F27" s="346"/>
      <c r="G27" s="346"/>
      <c r="H27" s="346"/>
      <c r="I27" s="347"/>
      <c r="J27" s="348"/>
      <c r="K27" s="34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38100.476235424576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7.2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310">
        <f>M16+N16+O16</f>
        <v>1132.5257914194915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ref="I18:I21" si="7">(G18*D18)*F18+H18*F18</f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311">
        <f t="shared" si="5"/>
        <v>1132.5257914194915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7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311">
        <f t="shared" si="5"/>
        <v>1568.1057925423729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7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311">
        <f t="shared" si="5"/>
        <v>1568.1057925423729</v>
      </c>
      <c r="Q20" s="156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7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" si="8">SUM(G16:G24)</f>
        <v>0</v>
      </c>
      <c r="H25" s="113">
        <f t="shared" ref="H25" si="9">SUM(H16:H24)</f>
        <v>120</v>
      </c>
      <c r="I25" s="114">
        <f t="shared" ref="I25:M25" si="10">SUM(I16:I24)</f>
        <v>7506.1500000000005</v>
      </c>
      <c r="J25" s="274">
        <f>SUM(J16:J24)</f>
        <v>600.49199999999996</v>
      </c>
      <c r="K25" s="275">
        <f t="shared" si="10"/>
        <v>262.71525000000003</v>
      </c>
      <c r="L25" s="276">
        <f t="shared" si="10"/>
        <v>0</v>
      </c>
      <c r="M25" s="232">
        <f t="shared" si="10"/>
        <v>6642.9427500000002</v>
      </c>
      <c r="N25" s="233">
        <f>SUM(N16:N24)</f>
        <v>1418.6440677966098</v>
      </c>
      <c r="O25" s="101">
        <f>SUM(O16:O24)</f>
        <v>40.307934088983046</v>
      </c>
      <c r="P25" s="113">
        <f>SUM(P16:P24)</f>
        <v>8101.894751885593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7506.1500000000005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600.49199999999996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262.71525000000003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6642.9427500000002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1418.6440677966098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8061.5868177966095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40.307934088983046</v>
      </c>
    </row>
    <row r="35" spans="2:16" ht="15.75" customHeight="1" thickBot="1" x14ac:dyDescent="0.4">
      <c r="N35" s="344" t="s">
        <v>88</v>
      </c>
      <c r="O35" s="345"/>
      <c r="P35" s="297">
        <f>+P33+P34</f>
        <v>8101.8947518855921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311">
        <f t="shared" si="5"/>
        <v>470.43173776271186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311">
        <f t="shared" si="5"/>
        <v>470.43173776271186</v>
      </c>
      <c r="Q20" s="156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</v>
      </c>
      <c r="I21" s="236">
        <f t="shared" si="0"/>
        <v>581.12</v>
      </c>
      <c r="J21" s="272">
        <f t="shared" si="1"/>
        <v>46.489600000000003</v>
      </c>
      <c r="K21" s="128">
        <f t="shared" si="1"/>
        <v>20.339200000000002</v>
      </c>
      <c r="L21" s="119">
        <f t="shared" si="1"/>
        <v>0</v>
      </c>
      <c r="M21" s="230">
        <f t="shared" si="2"/>
        <v>514.2912</v>
      </c>
      <c r="N21" s="277">
        <f t="shared" si="3"/>
        <v>109.83050847457628</v>
      </c>
      <c r="O21" s="239">
        <f t="shared" si="4"/>
        <v>3.1206085423728815</v>
      </c>
      <c r="P21" s="311">
        <f t="shared" si="5"/>
        <v>627.24231701694919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20</v>
      </c>
      <c r="I25" s="114">
        <f t="shared" si="7"/>
        <v>1452.8000000000002</v>
      </c>
      <c r="J25" s="274">
        <f>SUM(J16:J24)</f>
        <v>116.22400000000002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113">
        <f>SUM(P16:P24)</f>
        <v>1568.1057925423729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1452.8000000000002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116.22400000000002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50.848000000000006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1285.7280000000003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1560.3042711864409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7.8015213559322047</v>
      </c>
    </row>
    <row r="35" spans="2:16" ht="15.75" customHeight="1" thickBot="1" x14ac:dyDescent="0.4">
      <c r="N35" s="344" t="s">
        <v>88</v>
      </c>
      <c r="O35" s="345"/>
      <c r="P35" s="297">
        <f>+P33+P34</f>
        <v>1568.1057925423731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8.75" customHeight="1" x14ac:dyDescent="0.4">
      <c r="A6" s="398" t="s">
        <v>517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2905.6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232.44799999999998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101.696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2571.4560000000001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3120.6085423728814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4" t="s">
        <v>88</v>
      </c>
      <c r="O35" s="345"/>
      <c r="P35" s="297">
        <f>+P33+P34</f>
        <v>3136.2115850847458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311">
        <f t="shared" si="5"/>
        <v>1568.1057925423729</v>
      </c>
      <c r="Q20" s="156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2905.6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232.44800000000001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101.69600000000001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2571.4560000000001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3120.6085423728814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4" t="s">
        <v>88</v>
      </c>
      <c r="O35" s="345"/>
      <c r="P35" s="297">
        <f>+P33+P34</f>
        <v>3136.2115850847458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519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310">
        <f>M16+N16+O16</f>
        <v>679.51547485169488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311">
        <f t="shared" ref="P17:P24" si="5">M17+N17+O17</f>
        <v>679.51547485169488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311">
        <f t="shared" si="5"/>
        <v>940.86347552542372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311">
        <f t="shared" si="5"/>
        <v>470.43173776271186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311">
        <f t="shared" si="5"/>
        <v>940.86347552542372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66</v>
      </c>
      <c r="I25" s="114">
        <f t="shared" si="7"/>
        <v>3909.0600000000004</v>
      </c>
      <c r="J25" s="274">
        <f>SUM(J16:J24)</f>
        <v>298.60200000000003</v>
      </c>
      <c r="K25" s="275">
        <f t="shared" si="7"/>
        <v>136.81710000000004</v>
      </c>
      <c r="L25" s="276">
        <f t="shared" si="7"/>
        <v>24.008760000000002</v>
      </c>
      <c r="M25" s="232">
        <f t="shared" si="7"/>
        <v>3449.6321400000002</v>
      </c>
      <c r="N25" s="233">
        <f>SUM(N16:N24)</f>
        <v>741.35593220338967</v>
      </c>
      <c r="O25" s="101">
        <f>SUM(O16:O24)</f>
        <v>20.954940361016952</v>
      </c>
      <c r="P25" s="113">
        <f>SUM(P16:P24)</f>
        <v>4211.9430125644067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3909.0600000000004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298.60200000000003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160.82586000000003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3449.6321400000006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741.35593220338967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4190.9880722033904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20.954940361016952</v>
      </c>
    </row>
    <row r="35" spans="2:16" ht="15.75" customHeight="1" thickBot="1" x14ac:dyDescent="0.4">
      <c r="N35" s="344" t="s">
        <v>88</v>
      </c>
      <c r="O35" s="345"/>
      <c r="P35" s="297">
        <f>+P33+P34</f>
        <v>4211.9430125644076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520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310">
        <f>M16+N16+O16</f>
        <v>566.26289570974575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si="0"/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311">
        <f t="shared" si="5"/>
        <v>1132.5257914194915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311">
        <f t="shared" si="5"/>
        <v>1176.0793444067797</v>
      </c>
      <c r="Q20" s="156"/>
      <c r="R20">
        <f>P20/21</f>
        <v>56.003778305084744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80</v>
      </c>
      <c r="I25" s="114">
        <f t="shared" si="7"/>
        <v>5004.0999999999995</v>
      </c>
      <c r="J25" s="274">
        <f>SUM(J16:J24)</f>
        <v>400.32800000000003</v>
      </c>
      <c r="K25" s="275">
        <f t="shared" si="7"/>
        <v>175.14350000000002</v>
      </c>
      <c r="L25" s="276">
        <f t="shared" si="7"/>
        <v>0</v>
      </c>
      <c r="M25" s="232">
        <f t="shared" si="7"/>
        <v>4428.6284999999998</v>
      </c>
      <c r="N25" s="233">
        <f>SUM(N16:N24)</f>
        <v>945.76271186440658</v>
      </c>
      <c r="O25" s="101">
        <f>SUM(O16:O24)</f>
        <v>26.871956059322034</v>
      </c>
      <c r="P25" s="113">
        <f>SUM(P16:P24)</f>
        <v>5401.2631679237293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5004.0999999999995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400.32800000000003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175.14350000000002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4428.6284999999989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5374.3912118644057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26.871956059322031</v>
      </c>
    </row>
    <row r="35" spans="2:16" ht="15.75" customHeight="1" thickBot="1" x14ac:dyDescent="0.4">
      <c r="N35" s="344" t="s">
        <v>88</v>
      </c>
      <c r="O35" s="345"/>
      <c r="P35" s="297">
        <f>+P33+P34</f>
        <v>5401.2631679237275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521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2905.6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232.44800000000001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101.69600000000001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2571.4560000000001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3120.6085423728814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4" t="s">
        <v>88</v>
      </c>
      <c r="O35" s="345"/>
      <c r="P35" s="297">
        <f>+P33+P34</f>
        <v>3136.2115850847458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522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13</v>
      </c>
      <c r="I19" s="236">
        <f t="shared" si="0"/>
        <v>944.32</v>
      </c>
      <c r="J19" s="272">
        <f t="shared" si="1"/>
        <v>75.545600000000007</v>
      </c>
      <c r="K19" s="128">
        <f t="shared" si="1"/>
        <v>33.051200000000001</v>
      </c>
      <c r="L19" s="119">
        <f t="shared" si="1"/>
        <v>0</v>
      </c>
      <c r="M19" s="230">
        <f t="shared" si="2"/>
        <v>835.72320000000002</v>
      </c>
      <c r="N19" s="277">
        <f t="shared" si="3"/>
        <v>178.47457627118644</v>
      </c>
      <c r="O19" s="239">
        <f t="shared" si="4"/>
        <v>5.070988881355933</v>
      </c>
      <c r="P19" s="311">
        <f t="shared" si="5"/>
        <v>1019.2687651525424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311">
        <f t="shared" si="5"/>
        <v>940.86347552542372</v>
      </c>
      <c r="Q20" s="156"/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232.44800000000004</v>
      </c>
      <c r="K25" s="275">
        <f t="shared" si="7"/>
        <v>101.696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2905.6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232.44800000000004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101.696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2571.4560000000001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3120.6085423728814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4" t="s">
        <v>88</v>
      </c>
      <c r="O35" s="345"/>
      <c r="P35" s="297">
        <f>+P33+P34</f>
        <v>3136.2115850847458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523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311">
        <f t="shared" si="5"/>
        <v>940.86347552542372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30.508800000000004</v>
      </c>
      <c r="L25" s="276">
        <f t="shared" si="7"/>
        <v>0</v>
      </c>
      <c r="M25" s="232">
        <f t="shared" si="7"/>
        <v>771.43680000000006</v>
      </c>
      <c r="N25" s="233">
        <f>SUM(N16:N24)</f>
        <v>164.74576271186442</v>
      </c>
      <c r="O25" s="101">
        <f>SUM(O16:O24)</f>
        <v>4.6809128135593223</v>
      </c>
      <c r="P25" s="113">
        <f>SUM(P16:P24)</f>
        <v>940.86347552542372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871.68000000000006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69.734400000000008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30.508800000000004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771.43680000000006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936.18256271186442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44" t="s">
        <v>88</v>
      </c>
      <c r="O35" s="345"/>
      <c r="P35" s="297">
        <f>+P33+P34</f>
        <v>940.86347552542372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524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311">
        <f t="shared" si="5"/>
        <v>940.86347552542372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30.508800000000004</v>
      </c>
      <c r="L25" s="276">
        <f t="shared" si="7"/>
        <v>0</v>
      </c>
      <c r="M25" s="232">
        <f t="shared" si="7"/>
        <v>771.43680000000006</v>
      </c>
      <c r="N25" s="233">
        <f>SUM(N16:N24)</f>
        <v>164.74576271186442</v>
      </c>
      <c r="O25" s="101">
        <f>SUM(O16:O24)</f>
        <v>4.6809128135593223</v>
      </c>
      <c r="P25" s="113">
        <f>SUM(P16:P24)</f>
        <v>940.86347552542372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871.68000000000006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69.734400000000008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30.508800000000004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771.43680000000006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936.18256271186442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44" t="s">
        <v>88</v>
      </c>
      <c r="O35" s="345"/>
      <c r="P35" s="297">
        <f>+P33+P34</f>
        <v>940.86347552542372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525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311">
        <f t="shared" si="5"/>
        <v>470.43173776271186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113">
        <f>SUM(P16:P24)</f>
        <v>470.43173776271186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435.84000000000003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34.867200000000004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15.254400000000002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385.71840000000003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468.09128135593221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44" t="s">
        <v>88</v>
      </c>
      <c r="O35" s="345"/>
      <c r="P35" s="297">
        <f>+P33+P34</f>
        <v>470.43173776271186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526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726.4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58.112000000000002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25.424000000000003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642.86400000000003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780.15213559322035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4" t="s">
        <v>88</v>
      </c>
      <c r="O35" s="345"/>
      <c r="P35" s="297">
        <f>+P33+P34</f>
        <v>784.05289627118646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527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15</v>
      </c>
      <c r="I25" s="114">
        <f t="shared" si="7"/>
        <v>1089.5999999999999</v>
      </c>
      <c r="J25" s="274">
        <f>SUM(J16:J24)</f>
        <v>87.167999999999992</v>
      </c>
      <c r="K25" s="275">
        <f t="shared" si="7"/>
        <v>38.136000000000003</v>
      </c>
      <c r="L25" s="276">
        <f t="shared" si="7"/>
        <v>0</v>
      </c>
      <c r="M25" s="232">
        <f t="shared" si="7"/>
        <v>964.29599999999994</v>
      </c>
      <c r="N25" s="233">
        <f>SUM(N16:N24)</f>
        <v>205.93220338983053</v>
      </c>
      <c r="O25" s="101">
        <f>SUM(O16:O24)</f>
        <v>5.8511410169491525</v>
      </c>
      <c r="P25" s="113">
        <f>SUM(P16:P24)</f>
        <v>1176.0793444067797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1089.5999999999999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87.167999999999992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38.136000000000003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964.29599999999994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205.93220338983053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1170.2282033898305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5.8511410169491525</v>
      </c>
    </row>
    <row r="35" spans="2:16" ht="15.75" customHeight="1" thickBot="1" x14ac:dyDescent="0.4">
      <c r="N35" s="344" t="s">
        <v>88</v>
      </c>
      <c r="O35" s="345"/>
      <c r="P35" s="297">
        <f>+P33+P34</f>
        <v>1176.0793444067797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528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15</v>
      </c>
      <c r="I25" s="114">
        <f t="shared" si="7"/>
        <v>1089.5999999999999</v>
      </c>
      <c r="J25" s="274">
        <f>SUM(J16:J24)</f>
        <v>87.167999999999992</v>
      </c>
      <c r="K25" s="275">
        <f t="shared" si="7"/>
        <v>38.136000000000003</v>
      </c>
      <c r="L25" s="276">
        <f t="shared" si="7"/>
        <v>0</v>
      </c>
      <c r="M25" s="232">
        <f t="shared" si="7"/>
        <v>964.29599999999994</v>
      </c>
      <c r="N25" s="233">
        <f>SUM(N16:N24)</f>
        <v>205.93220338983053</v>
      </c>
      <c r="O25" s="101">
        <f>SUM(O16:O24)</f>
        <v>5.8511410169491525</v>
      </c>
      <c r="P25" s="113">
        <f>SUM(P16:P24)</f>
        <v>1176.0793444067797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1089.5999999999999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87.167999999999992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38.136000000000003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964.29599999999994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205.93220338983053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1170.2282033898305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5.8511410169491525</v>
      </c>
    </row>
    <row r="35" spans="2:16" ht="15.75" customHeight="1" thickBot="1" x14ac:dyDescent="0.4">
      <c r="N35" s="344" t="s">
        <v>88</v>
      </c>
      <c r="O35" s="345"/>
      <c r="P35" s="297">
        <f>+P33+P34</f>
        <v>1176.0793444067797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529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726.4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58.112000000000002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25.424000000000003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642.86400000000003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780.15213559322035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4" t="s">
        <v>88</v>
      </c>
      <c r="O35" s="345"/>
      <c r="P35" s="297">
        <f>+P33+P34</f>
        <v>784.05289627118646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8" t="s">
        <v>91</v>
      </c>
      <c r="B2" s="368"/>
      <c r="C2" s="368"/>
    </row>
    <row r="3" spans="1:18 16382:16383" ht="15" customHeight="1" x14ac:dyDescent="0.35">
      <c r="A3" s="369" t="s">
        <v>92</v>
      </c>
      <c r="B3" s="369"/>
      <c r="C3" s="369"/>
      <c r="F3" s="85"/>
      <c r="G3" s="1"/>
      <c r="J3" s="370" t="s">
        <v>43</v>
      </c>
      <c r="K3" s="370"/>
      <c r="L3" s="370"/>
      <c r="M3" s="369"/>
      <c r="N3" s="369"/>
      <c r="O3" s="36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9" t="s">
        <v>65</v>
      </c>
      <c r="B4" s="369"/>
      <c r="C4" s="369"/>
      <c r="F4" s="85"/>
      <c r="G4" s="1"/>
      <c r="J4" s="370" t="s">
        <v>44</v>
      </c>
      <c r="K4" s="370"/>
      <c r="L4" s="370"/>
      <c r="M4" s="400">
        <f ca="1">TODAY()+1</f>
        <v>46267</v>
      </c>
      <c r="N4" s="400"/>
      <c r="O4" s="40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70" t="s">
        <v>45</v>
      </c>
      <c r="K5" s="370"/>
      <c r="L5" s="370"/>
      <c r="M5" s="400">
        <f ca="1">M4-1</f>
        <v>46266</v>
      </c>
      <c r="N5" s="369"/>
      <c r="O5" s="369"/>
      <c r="Q5" s="85"/>
      <c r="R5" s="1"/>
    </row>
    <row r="6" spans="1:18 16382:16383" ht="15" customHeight="1" x14ac:dyDescent="0.35">
      <c r="A6" s="370" t="s">
        <v>94</v>
      </c>
      <c r="B6" s="370"/>
      <c r="C6" s="370"/>
      <c r="F6" s="85"/>
      <c r="G6" s="86"/>
      <c r="J6" s="370" t="s">
        <v>69</v>
      </c>
      <c r="K6" s="370"/>
      <c r="L6" s="370"/>
      <c r="M6" s="399" t="s">
        <v>62</v>
      </c>
      <c r="N6" s="399"/>
      <c r="O6" s="39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0" t="s">
        <v>73</v>
      </c>
      <c r="B7" s="370"/>
      <c r="C7" s="370"/>
      <c r="F7" s="85"/>
      <c r="G7" s="86"/>
      <c r="J7" s="370" t="s">
        <v>66</v>
      </c>
      <c r="K7" s="370"/>
      <c r="L7" s="370"/>
      <c r="M7" s="399" t="s">
        <v>70</v>
      </c>
      <c r="N7" s="399"/>
      <c r="O7" s="39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6" t="s">
        <v>95</v>
      </c>
      <c r="B8" s="396"/>
      <c r="C8" s="396"/>
      <c r="F8" s="85"/>
      <c r="G8" s="86"/>
      <c r="J8" s="370" t="s">
        <v>67</v>
      </c>
      <c r="K8" s="370"/>
      <c r="L8" s="370"/>
      <c r="M8" s="399" t="s">
        <v>71</v>
      </c>
      <c r="N8" s="399"/>
      <c r="O8" s="399"/>
      <c r="Q8" s="85"/>
      <c r="R8" s="86"/>
    </row>
    <row r="9" spans="1:18 16382:16383" x14ac:dyDescent="0.35">
      <c r="A9" s="396" t="s">
        <v>96</v>
      </c>
      <c r="B9" s="396"/>
      <c r="C9" s="396"/>
      <c r="F9" s="85"/>
      <c r="G9" s="86"/>
      <c r="J9" s="370" t="s">
        <v>68</v>
      </c>
      <c r="K9" s="370"/>
      <c r="L9" s="370"/>
      <c r="M9" s="399" t="s">
        <v>104</v>
      </c>
      <c r="N9" s="399"/>
      <c r="O9" s="399"/>
      <c r="Q9" s="85"/>
      <c r="R9" s="86"/>
      <c r="XFC9" t="s">
        <v>49</v>
      </c>
    </row>
    <row r="10" spans="1:18 16382:16383" x14ac:dyDescent="0.35">
      <c r="A10" s="396" t="s">
        <v>97</v>
      </c>
      <c r="B10" s="396"/>
      <c r="C10" s="396"/>
      <c r="F10" s="85"/>
      <c r="G10" s="1"/>
      <c r="J10" s="370" t="s">
        <v>46</v>
      </c>
      <c r="K10" s="370"/>
      <c r="L10" s="370"/>
      <c r="M10" s="369" t="s">
        <v>47</v>
      </c>
      <c r="N10" s="369"/>
      <c r="O10" s="36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0" t="s">
        <v>48</v>
      </c>
      <c r="K11" s="370"/>
      <c r="L11" s="370"/>
      <c r="M11" s="369" t="s">
        <v>49</v>
      </c>
      <c r="N11" s="369"/>
      <c r="O11" s="36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0" t="s">
        <v>50</v>
      </c>
      <c r="K12" s="370"/>
      <c r="L12" s="370"/>
      <c r="M12" s="369"/>
      <c r="N12" s="369"/>
      <c r="O12" s="36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9" t="s">
        <v>51</v>
      </c>
      <c r="B14" s="361"/>
      <c r="C14" s="391" t="s">
        <v>90</v>
      </c>
      <c r="D14" s="88" t="s">
        <v>52</v>
      </c>
      <c r="E14" s="95" t="s">
        <v>74</v>
      </c>
      <c r="F14" s="115" t="s">
        <v>53</v>
      </c>
      <c r="G14" s="365" t="s">
        <v>54</v>
      </c>
      <c r="H14" s="367"/>
      <c r="I14" s="395" t="s">
        <v>77</v>
      </c>
      <c r="J14" s="366" t="s">
        <v>55</v>
      </c>
      <c r="K14" s="367"/>
      <c r="L14" s="39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0"/>
      <c r="B15" s="362"/>
      <c r="C15" s="39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4"/>
      <c r="J15" s="144" t="s">
        <v>39</v>
      </c>
      <c r="K15" s="145" t="s">
        <v>59</v>
      </c>
      <c r="L15" s="36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6"/>
      <c r="M28" s="383" t="s">
        <v>60</v>
      </c>
      <c r="N28" s="384"/>
      <c r="O28" s="139">
        <f>I25</f>
        <v>1452.8</v>
      </c>
    </row>
    <row r="29" spans="1:18 16383:16383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9"/>
      <c r="M29" s="385" t="s">
        <v>85</v>
      </c>
      <c r="N29" s="386"/>
      <c r="O29" s="140">
        <f>K25</f>
        <v>0</v>
      </c>
    </row>
    <row r="30" spans="1:18 16383:16383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9"/>
      <c r="M30" s="385" t="s">
        <v>86</v>
      </c>
      <c r="N30" s="386"/>
      <c r="O30" s="140">
        <f>J25</f>
        <v>50.848000000000006</v>
      </c>
    </row>
    <row r="31" spans="1:18 16383:16383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9"/>
      <c r="L31" s="131"/>
      <c r="M31" s="385" t="s">
        <v>87</v>
      </c>
      <c r="N31" s="386"/>
      <c r="O31" s="140">
        <f>O28-O29-O30</f>
        <v>1401.952</v>
      </c>
    </row>
    <row r="32" spans="1:18 16383:16383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9"/>
      <c r="L33" s="131"/>
      <c r="M33" s="387" t="s">
        <v>76</v>
      </c>
      <c r="N33" s="388"/>
      <c r="O33" s="140">
        <f>O31+O32</f>
        <v>1710.3814400000001</v>
      </c>
    </row>
    <row r="34" spans="2:15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4" t="s">
        <v>88</v>
      </c>
      <c r="N35" s="345"/>
      <c r="O35" s="141">
        <f>O28-O29+O31+O34</f>
        <v>2897.511536</v>
      </c>
    </row>
    <row r="36" spans="2:15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3" t="s">
        <v>439</v>
      </c>
      <c r="E1" s="336" t="s">
        <v>58</v>
      </c>
      <c r="F1" s="336"/>
      <c r="G1" s="337" t="s">
        <v>440</v>
      </c>
      <c r="H1" s="337"/>
      <c r="I1" s="410" t="s">
        <v>441</v>
      </c>
      <c r="J1" s="410"/>
      <c r="K1" s="410" t="s">
        <v>442</v>
      </c>
      <c r="L1" s="410"/>
      <c r="M1" s="405" t="s">
        <v>484</v>
      </c>
      <c r="N1" s="406"/>
      <c r="O1" s="407"/>
    </row>
    <row r="2" spans="3:24" ht="29" x14ac:dyDescent="0.35">
      <c r="C2" s="336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4" t="s">
        <v>58</v>
      </c>
      <c r="F7" s="404"/>
      <c r="G7" s="402" t="s">
        <v>440</v>
      </c>
      <c r="H7" s="337"/>
      <c r="I7" s="338" t="s">
        <v>441</v>
      </c>
      <c r="J7" s="339"/>
      <c r="K7" s="338" t="s">
        <v>442</v>
      </c>
      <c r="L7" s="339"/>
      <c r="M7" s="405" t="s">
        <v>484</v>
      </c>
      <c r="N7" s="406"/>
      <c r="O7" s="407"/>
      <c r="P7" s="256" t="s">
        <v>475</v>
      </c>
      <c r="Q7" s="242" t="s">
        <v>473</v>
      </c>
      <c r="R7" s="403" t="s">
        <v>475</v>
      </c>
      <c r="S7" s="403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2"/>
      <c r="U8" s="40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5" t="s">
        <v>484</v>
      </c>
      <c r="N13" s="406"/>
      <c r="O13" s="407"/>
      <c r="P13" s="256" t="s">
        <v>475</v>
      </c>
      <c r="Q13" s="242" t="s">
        <v>473</v>
      </c>
      <c r="R13" s="403" t="s">
        <v>475</v>
      </c>
      <c r="S13" s="403" t="s">
        <v>485</v>
      </c>
      <c r="T13" s="401" t="s">
        <v>486</v>
      </c>
      <c r="U13" s="401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2"/>
      <c r="U14" s="40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5" t="s">
        <v>484</v>
      </c>
      <c r="N20" s="406"/>
      <c r="O20" s="407"/>
      <c r="P20" s="256" t="s">
        <v>475</v>
      </c>
      <c r="Q20" s="242" t="s">
        <v>473</v>
      </c>
      <c r="R20" s="403" t="s">
        <v>475</v>
      </c>
      <c r="S20" s="403" t="s">
        <v>485</v>
      </c>
      <c r="T20" s="401" t="s">
        <v>486</v>
      </c>
      <c r="U20" s="401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2"/>
      <c r="U21" s="40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5" t="s">
        <v>484</v>
      </c>
      <c r="N27" s="406"/>
      <c r="O27" s="407"/>
      <c r="P27" s="256" t="s">
        <v>475</v>
      </c>
      <c r="Q27" s="242" t="s">
        <v>473</v>
      </c>
      <c r="R27" s="403" t="s">
        <v>475</v>
      </c>
      <c r="S27" s="403" t="s">
        <v>485</v>
      </c>
      <c r="T27" s="401" t="s">
        <v>486</v>
      </c>
      <c r="U27" s="401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2"/>
      <c r="U28" s="40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3" t="s">
        <v>439</v>
      </c>
      <c r="D1" s="336" t="s">
        <v>58</v>
      </c>
      <c r="E1" s="336"/>
      <c r="F1" s="337" t="s">
        <v>440</v>
      </c>
      <c r="G1" s="337"/>
      <c r="H1" s="410" t="s">
        <v>441</v>
      </c>
      <c r="I1" s="410"/>
      <c r="J1" s="410" t="s">
        <v>442</v>
      </c>
      <c r="K1" s="410"/>
      <c r="L1" s="405" t="s">
        <v>484</v>
      </c>
      <c r="M1" s="406"/>
      <c r="N1" s="407"/>
    </row>
    <row r="2" spans="2:17" ht="29" x14ac:dyDescent="0.35">
      <c r="B2" s="336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2026-09-01T06:55:32Z</dcterms:modified>
</cp:coreProperties>
</file>