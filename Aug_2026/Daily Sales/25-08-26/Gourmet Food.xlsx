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9C38D9C-1DD6-44E5-B73D-0A904607D4DE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72" l="1"/>
  <c r="M23" i="66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M23" i="56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M16" i="58"/>
  <c r="M16" i="59"/>
  <c r="M23" i="72"/>
  <c r="O23" i="72" s="1"/>
  <c r="P23" i="72" s="1"/>
  <c r="M23" i="64"/>
  <c r="M23" i="59"/>
  <c r="M23" i="44"/>
  <c r="O23" i="44" s="1"/>
  <c r="P23" i="44" s="1"/>
  <c r="M16" i="66"/>
  <c r="M16" i="44"/>
  <c r="M20" i="70"/>
  <c r="O20" i="70" s="1"/>
  <c r="P20" i="70" s="1"/>
  <c r="R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M21" i="44"/>
  <c r="O21" i="44" s="1"/>
  <c r="P21" i="44" s="1"/>
  <c r="M17" i="60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16" i="55" s="1"/>
  <c r="O24" i="58"/>
  <c r="P24" i="58" s="1"/>
  <c r="O23" i="64"/>
  <c r="P23" i="64" s="1"/>
  <c r="O24" i="71"/>
  <c r="P24" i="71"/>
  <c r="O23" i="59"/>
  <c r="P23" i="59" s="1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 s="1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8" i="69"/>
  <c r="P18" i="69" s="1"/>
  <c r="O16" i="72"/>
  <c r="P16" i="72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3" i="55" l="1"/>
  <c r="P12" i="62"/>
  <c r="O25" i="48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<sst xmlns="http://schemas.openxmlformats.org/spreadsheetml/2006/main" count="3948" uniqueCount="549">
  <si>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</si>
  <si>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</si>
  <si>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</si>
  <si>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</si>
  <si>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</si>
  <si>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</si>
  <si>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</si>
  <si>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</si>
  <si>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</si>
  <si>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</si>
  <si>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</si>
  <si>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</si>
  <si>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</si>
  <si>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</si>
  <si>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</si>
  <si>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</si>
  <si>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</si>
  <si>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</si>
  <si>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</si>
  <si>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</si>
  <si>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</si>
  <si>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</si>
  <si>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</si>
  <si>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</si>
  <si>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</si>
  <si>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</si>
  <si>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</si>
  <si>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</si>
  <si>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</si>
  <si>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</si>
  <si>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</si>
  <si>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</si>
  <si>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</si>
  <si>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</si>
  <si>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</si>
  <si>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</si>
  <si>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</si>
  <si>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</si>
  <si>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</si>
  <si>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</si>
  <si>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</si>
  <si>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</si>
  <si>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</si>
  <si>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</si>
  <si>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</si>
  <si>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</si>
  <si>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</si>
  <si>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</si>
  <si>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</si>
  <si>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</si>
  <si>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</si>
  <si>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</si>
  <si>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</si>
  <si>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</si>
  <si>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</si>
  <si>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</si>
  <si>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</si>
  <si>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</si>
  <si>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</si>
  <si>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</si>
  <si>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</si>
  <si>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</si>
  <si>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</si>
  <si>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</si>
  <si>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</si>
  <si>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</si>
  <si>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</si>
  <si>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</si>
  <si>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</si>
  <si>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</si>
  <si>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</si>
  <si>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</si>
  <si>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</si>
  <si>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</si>
  <si>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</si>
  <si>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</si>
  <si>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</si>
  <si>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</si>
  <si>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</si>
  <si>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</si>
  <si>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</si>
  <si>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</si>
  <si>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</si>
  <si>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</si>
  <si>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</si>
  <si>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</si>
  <si>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</si>
  <si>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</si>
  <si>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</si>
  <si>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</si>
  <si>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</si>
  <si>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</si>
  <si>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</si>
  <si>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</si>
  <si>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</si>
  <si>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</si>
  <si>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</si>
  <si>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</si>
  <si>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</si>
  <si>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</si>
  <si>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</si>
  <si>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</si>
  <si>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</si>
  <si>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</si>
  <si>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</si>
  <si>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</si>
  <si>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</si>
  <si>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</si>
  <si>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</si>
  <si>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</si>
  <si>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</si>
  <si>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</si>
  <si>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</si>
  <si>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</si>
  <si>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</si>
  <si>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</si>
  <si>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</si>
  <si>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</si>
  <si>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</si>
  <si>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</si>
  <si>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</si>
  <si>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</si>
  <si>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</si>
  <si>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</si>
  <si>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</si>
  <si>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</si>
  <si>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</si>
  <si>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</si>
  <si>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</si>
  <si>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</si>
  <si>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</si>
  <si>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</si>
  <si>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</si>
  <si>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</si>
  <si>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</si>
  <si>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</si>
  <si>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</si>
  <si>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</si>
  <si>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</si>
  <si>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</si>
  <si>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</si>
  <si>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</si>
  <si>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</si>
  <si>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</si>
  <si>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</si>
  <si>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</si>
  <si>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</si>
  <si>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</si>
  <si>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</si>
  <si>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</si>
  <si>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</si>
  <si>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</si>
  <si>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</si>
  <si>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</si>
  <si>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</si>
  <si>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</si>
  <si>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</si>
  <si>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</si>
  <si>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</si>
  <si>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</si>
  <si>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</si>
  <si>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</si>
  <si>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</si>
  <si>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</si>
  <si>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</si>
  <si>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</si>
  <si>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</si>
  <si>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</si>
  <si>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</si>
  <si>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</si>
  <si>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</si>
  <si>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</si>
  <si>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</si>
  <si>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</si>
  <si>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</si>
  <si>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</si>
  <si>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</si>
  <si>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</si>
  <si>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</si>
  <si>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</si>
  <si>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</si>
  <si>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</si>
  <si>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</si>
  <si>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</si>
  <si>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</si>
  <si>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</si>
  <si>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</si>
  <si>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</si>
  <si>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</si>
  <si>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</si>
  <si>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</si>
  <si>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</si>
  <si>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</si>
  <si>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</si>
  <si>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</si>
  <si>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</si>
  <si>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</si>
  <si>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</si>
  <si>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</si>
  <si>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</si>
  <si>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</si>
  <si>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</si>
  <si>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</si>
  <si>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</si>
  <si>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</si>
  <si>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</si>
  <si>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</si>
  <si>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</si>
  <si>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</si>
  <si>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</si>
  <si>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</si>
  <si>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</si>
  <si>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</si>
  <si>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</si>
  <si>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</si>
  <si>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</si>
  <si>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</si>
  <si>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</si>
  <si>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</si>
  <si>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</si>
  <si>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</si>
  <si>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</si>
  <si>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</si>
  <si>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</si>
  <si>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</si>
  <si>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</si>
  <si>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</si>
  <si>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</si>
  <si>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</si>
  <si>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</si>
  <si>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</si>
  <si>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</si>
  <si>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</si>
  <si>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</si>
  <si>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</si>
  <si>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</si>
  <si>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</si>
  <si>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</si>
  <si>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</si>
  <si>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</si>
  <si>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</si>
  <si>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</si>
  <si>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</si>
  <si>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</si>
  <si>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</si>
  <si>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</si>
  <si>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</si>
  <si>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</si>
  <si>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</si>
  <si>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</si>
  <si>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</si>
  <si>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</si>
  <si>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</si>
  <si>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</si>
  <si>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</si>
  <si>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</si>
  <si>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</si>
  <si>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</si>
  <si>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</si>
  <si>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</si>
  <si>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</si>
  <si>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</si>
  <si>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</si>
  <si>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</si>
  <si>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</si>
  <si>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</si>
  <si>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</si>
  <si>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</si>
  <si>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</si>
  <si>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</si>
  <si>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</si>
  <si>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</si>
  <si>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</si>
  <si>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</si>
  <si>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</si>
  <si>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</si>
  <si>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</si>
  <si>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</si>
  <si>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</si>
  <si>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</si>
  <si>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</si>
  <si>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</si>
  <si>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</si>
  <si>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</si>
  <si>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</si>
  <si>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</si>
  <si>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</si>
  <si>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</si>
  <si>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</si>
  <si>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</si>
  <si>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</si>
  <si>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</si>
  <si>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</si>
  <si>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</si>
  <si>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</si>
  <si>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</si>
  <si>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</si>
  <si>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</si>
  <si>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</si>
  <si>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</si>
  <si>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</si>
  <si>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</si>
  <si>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</si>
  <si>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</si>
  <si>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</si>
  <si>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</si>
  <si>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</si>
  <si>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</si>
  <si>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</si>
  <si>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</si>
  <si>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</si>
  <si>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</si>
  <si>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</si>
  <si>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</si>
  <si>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</si>
  <si>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</si>
  <si>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</si>
  <si>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</si>
  <si>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</si>
  <si>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</si>
  <si>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</si>
  <si>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</si>
  <si>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</si>
  <si>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</si>
  <si>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</si>
  <si>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</si>
  <si>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</si>
  <si>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</si>
  <si>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</si>
  <si>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</si>
  <si>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</si>
  <si>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</si>
  <si>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</si>
  <si>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</si>
  <si>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</si>
  <si>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</si>
  <si>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</si>
  <si>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</si>
  <si>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</si>
  <si>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</si>
  <si>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</si>
  <si>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</si>
  <si>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</si>
  <si>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</si>
  <si>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</si>
  <si>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</si>
  <si>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</si>
  <si>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</si>
  <si>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</si>
  <si>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</si>
  <si>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</si>
  <si>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</si>
  <si>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</si>
  <si>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</si>
  <si>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</si>
  <si>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</si>
  <si>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</si>
  <si>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</si>
  <si>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</si>
  <si>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</si>
  <si>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</si>
  <si>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</si>
  <si>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</si>
  <si>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</si>
  <si>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</si>
  <si>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</si>
  <si>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</si>
  <si>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</si>
  <si>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</si>
  <si>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</si>
  <si>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</si>
  <si>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</si>
  <si>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</si>
  <si>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</si>
  <si>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</si>
  <si>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</si>
  <si>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</si>
  <si>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</si>
  <si>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</si>
  <si>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</si>
  <si>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</si>
  <si>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</si>
  <si>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</si>
  <si>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</si>
  <si>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</si>
  <si>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</si>
  <si>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</si>
  <si>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</si>
  <si>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</si>
  <si>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</si>
  <si>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</si>
  <si>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</si>
  <si>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</si>
  <si>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</si>
  <si>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</si>
  <si>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</si>
  <si>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</si>
  <si>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</si>
  <si>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</si>
  <si>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</si>
  <si>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</si>
  <si>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</si>
  <si>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</si>
  <si>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</si>
  <si>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</si>
  <si>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</si>
  <si>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</si>
  <si>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</si>
  <si>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</si>
  <si>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</si>
  <si>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</si>
  <si>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</si>
  <si>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</si>
  <si>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</si>
  <si>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</si>
  <si>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</si>
  <si>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</si>
  <si>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</si>
  <si>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</si>
  <si>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</si>
  <si>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</si>
  <si>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</si>
  <si>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</si>
  <si>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</si>
  <si>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</si>
  <si>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</si>
  <si>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</si>
  <si>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</si>
  <si>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</si>
  <si>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</si>
  <si>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</si>
  <si>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</si>
  <si>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</si>
  <si>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</si>
  <si>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</si>
  <si>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</si>
  <si>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</si>
  <si>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</si>
  <si>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</si>
  <si>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</si>
  <si>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</si>
  <si>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</si>
  <si>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</si>
  <si>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</si>
  <si>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</si>
  <si>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</si>
  <si>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</si>
  <si>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</si>
  <si>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</si>
  <si>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</si>
  <si>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</si>
  <si>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</si>
  <si>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</si>
  <si>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</si>
  <si>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</si>
  <si>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</si>
  <si>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</si>
  <si>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</si>
  <si>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</si>
  <si>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</si>
  <si>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</si>
  <si>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</si>
  <si>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</si>
  <si>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</si>
  <si>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</si>
  <si>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</si>
  <si>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</si>
  <si>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</si>
  <si>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</si>
  <si>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</si>
  <si>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</si>
  <si>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</si>
  <si>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</si>
  <si>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</si>
  <si>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</si>
  <si>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</si>
  <si>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</si>
  <si>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</si>
  <si>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</si>
  <si>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</si>
  <si>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</si>
  <si>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</si>
  <si>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</si>
  <si>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</si>
  <si>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</si>
  <si>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</si>
  <si>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</si>
  <si>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</si>
  <si>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</si>
  <si>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</si>
  <si>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</si>
  <si>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</si>
  <si>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</si>
  <si>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</si>
  <si>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</si>
  <si>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</si>
  <si>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</si>
  <si>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</si>
  <si>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</si>
  <si>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</si>
  <si>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</si>
  <si>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</si>
  <si>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</si>
  <si>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</si>
  <si>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</si>
  <si>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</si>
  <si>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</si>
  <si>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</si>
  <si>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</si>
  <si>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</si>
  <si>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</si>
  <si>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</si>
  <si>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</si>
  <si>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</si>
  <si>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</si>
  <si>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</si>
  <si>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Gourmet Food Wahdat Road</t>
  </si>
  <si>
    <t>Address: Wahdat Road</t>
  </si>
  <si>
    <t>Gourmet Food Nadeem Shaheed</t>
  </si>
  <si>
    <t>Address: Nadeem Shaheed</t>
  </si>
  <si>
    <t>Invoice No # :10012</t>
  </si>
  <si>
    <t>Gourmet Food Multan Road</t>
  </si>
  <si>
    <t>Address: Multan Road</t>
  </si>
  <si>
    <t xml:space="preserve">Gourmet Food Rizwan Garden </t>
  </si>
  <si>
    <t xml:space="preserve">Address: Rizwan Garden </t>
  </si>
  <si>
    <t xml:space="preserve">Gourmet Food Yateem Khana </t>
  </si>
  <si>
    <t xml:space="preserve">Address: Yateem Khana </t>
  </si>
  <si>
    <t xml:space="preserve">Gourmet Food Canal View </t>
  </si>
  <si>
    <t>Address: Canal View</t>
  </si>
  <si>
    <t xml:space="preserve">Gourmet Food Sabzazaar </t>
  </si>
  <si>
    <t>Address: Sabzazaar</t>
  </si>
  <si>
    <t xml:space="preserve">Gourmet Food Kareem Block </t>
  </si>
  <si>
    <t xml:space="preserve">Address: Kareem Block </t>
  </si>
  <si>
    <t>Gourmet Food Karishan Nager</t>
  </si>
  <si>
    <t>Address: Kareeshan Nager</t>
  </si>
  <si>
    <t>Gourmet Food Punch Road</t>
  </si>
  <si>
    <t>Address: Punch Road</t>
  </si>
  <si>
    <t xml:space="preserve">Gourmet Food Gulshan Ravi </t>
  </si>
  <si>
    <t xml:space="preserve">Address:  Gulshan Ravi </t>
  </si>
  <si>
    <t xml:space="preserve">Gourmet Food Rustam Park </t>
  </si>
  <si>
    <t xml:space="preserve">Address: Rustam Park </t>
  </si>
  <si>
    <t xml:space="preserve">Gourmet Food Kot Abdul Malik </t>
  </si>
  <si>
    <t xml:space="preserve">Address: Kot Abdul malik </t>
  </si>
  <si>
    <t>Gourmet Food Ravi Road</t>
  </si>
  <si>
    <t>Address: Ravi Road</t>
  </si>
  <si>
    <t>Gourmet Food Awan Town</t>
  </si>
  <si>
    <t xml:space="preserve">Address: Awan Town </t>
  </si>
  <si>
    <t xml:space="preserve">Gourmet Food Shahdra </t>
  </si>
  <si>
    <t xml:space="preserve">Address: Shadra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</si>
</sst>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11" workbookViewId="0">
      <selection activeCell="F17" sqref="F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499</v>
      </c>
      <c r="F2" s="355"/>
      <c r="G2" s="355"/>
      <c r="H2" s="352" t="s">
        <v>515</v>
      </c>
      <c r="I2" s="352"/>
      <c r="J2" s="353"/>
      <c r="R2" s="349" t="s">
        <v>498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510</v>
      </c>
      <c r="F3" s="359"/>
      <c r="G3" s="359"/>
      <c r="H3" s="356">
        <f ca="1">TODAY()</f>
        <v>46259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>Gourmet Food Multan Road</v>
      </c>
      <c r="T3" s="301">
        <f>+'1'!P35</f>
        <v>2054.1523328389831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Gourmet Food Rizwan Garden </v>
      </c>
      <c r="T4" s="301">
        <f>+'2'!P35</f>
        <v>2054.1523328389831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509</v>
      </c>
      <c r="R5" s="314">
        <v>3</v>
      </c>
      <c r="S5" s="300" t="str">
        <f>+'3'!A6:A6</f>
        <v xml:space="preserve">Gourmet Food Yateem Khana </v>
      </c>
      <c r="T5" s="301">
        <f>+'3'!P35</f>
        <v>2054.1523328389831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508</v>
      </c>
      <c r="R6" s="314">
        <v>4</v>
      </c>
      <c r="S6" s="300" t="str">
        <f>+'4'!A6:A6</f>
        <v>Gourmet Food Wahdat Road</v>
      </c>
      <c r="T6" s="301">
        <f>+'4'!P35</f>
        <v>2054.1523328389831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80</v>
      </c>
      <c r="R7" s="314">
        <v>5</v>
      </c>
      <c r="S7" s="300" t="str">
        <f>+'5'!A6:A6</f>
        <v xml:space="preserve">Gourmet Food Canal View </v>
      </c>
      <c r="T7" s="301">
        <f>+'5'!P35</f>
        <v>2054.1523328389831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755.45999999999992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3294.645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20.439326694915252</v>
      </c>
      <c r="P8" s="311">
        <f t="shared" ref="P8:P15" si="2">M8+N8+O8</f>
        <v>4108.3046656779661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Gourmet Food Sabzazaar </v>
      </c>
      <c r="T8" s="301">
        <f>+'6'!P35</f>
        <v>2054.1523328389831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600</v>
      </c>
      <c r="I9" s="236">
        <f t="shared" si="0"/>
        <v>31477.5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5665.949999999998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1101.7125000000001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24709.837500000001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5949.1525423728772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153.29495021186443</v>
      </c>
      <c r="P9" s="311">
        <f t="shared" si="2"/>
        <v>30812.284992584744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Gourmet Food Kareem Block </v>
      </c>
      <c r="T9" s="301">
        <f>+'7'!P35</f>
        <v>2054.1523328389831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</v>
      </c>
      <c r="I10" s="236">
        <f t="shared" si="0"/>
        <v>1452.8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261.50399999999996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50.848000000000006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1140.4479999999999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274.57627118644069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7.075121355932203</v>
      </c>
      <c r="P10" s="311">
        <f t="shared" si="2"/>
        <v>1422.0993925423727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Gourmet Food Karishan Nager</v>
      </c>
      <c r="T10" s="301">
        <f>+'8'!P35</f>
        <v>2054.1523328389831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261.50399999999996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1140.4479999999999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7.075121355932203</v>
      </c>
      <c r="P11" s="311">
        <f t="shared" si="2"/>
        <v>1422.0993925423727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Gourmet Food Punch Road</v>
      </c>
      <c r="T11" s="301">
        <f>+'9'!P35</f>
        <v>2054.1523328389831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523.00799999999992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2280.8959999999997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14.150242711864406</v>
      </c>
      <c r="P12" s="311">
        <f t="shared" si="2"/>
        <v>2844.1987850847454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80</v>
      </c>
      <c r="R12" s="314">
        <v>10</v>
      </c>
      <c r="S12" s="300" t="str">
        <f>+'10'!A6:A6</f>
        <v xml:space="preserve">Gourmet Food Gulshan Ravi </v>
      </c>
      <c r="T12" s="301">
        <f>+'10'!P35</f>
        <v>2054.1523328389831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Gourmet Food Rustam Park </v>
      </c>
      <c r="T13" s="301">
        <f>+'11'!P35</f>
        <v>2054.1523328389831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Gourmet Food Kot Abdul Malik </v>
      </c>
      <c r="T14" s="301">
        <f>+'12'!P35</f>
        <v>8374.6028433050833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Gourmet Food Ravi Road</v>
      </c>
      <c r="T15" s="301">
        <f>+'13'!P35</f>
        <v>4108.3046656779661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19</v>
      </c>
      <c r="H16" s="113">
        <f t="shared" ref="H16:M16" si="3">SUM(H7:H15)</f>
        <v>760</v>
      </c>
      <c r="I16" s="114">
        <f t="shared" si="3"/>
        <v>41485.700000000004</v>
      </c>
      <c r="J16" s="274">
        <f>SUM(J7:J15)</f>
        <v>7467.4259999999977</v>
      </c>
      <c r="K16" s="275">
        <f t="shared" si="3"/>
        <v>1451.9994999999999</v>
      </c>
      <c r="L16" s="276">
        <f t="shared" si="3"/>
        <v>0</v>
      </c>
      <c r="M16" s="232">
        <f t="shared" si="3"/>
        <v>32566.274500000003</v>
      </c>
      <c r="N16" s="233">
        <f>SUM(N7:N15)</f>
        <v>7840.6779661016908</v>
      </c>
      <c r="O16" s="101">
        <f>SUM(O7:O15)</f>
        <v>202.03476233050847</v>
      </c>
      <c r="P16" s="113">
        <f>SUM(P7:P15)</f>
        <v>40608.987228432205</v>
      </c>
      <c r="Q16" s="128">
        <f>SUM(Q7:Q15)</f>
        <v>160</v>
      </c>
      <c r="R16" s="314">
        <v>14</v>
      </c>
      <c r="S16" s="300" t="str">
        <f>+'14'!A6:A6</f>
        <v>Gourmet Food Awan Town</v>
      </c>
      <c r="T16" s="301">
        <f>+'14'!P35</f>
        <v>3476.2517253813558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Gourmet Food Shahdra </v>
      </c>
      <c r="T17" s="301">
        <f>+'15'!P35</f>
        <v>2054.1523328389831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Gourmet Food Wahdat Road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41485.700000000004</v>
      </c>
      <c r="R19" s="299">
        <v>17</v>
      </c>
      <c r="S19" s="300" t="str">
        <f>+'17'!A6:A6</f>
        <v>Gourmet Food Nadeem Shaheed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7467.4259999999977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1451.9994999999999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32566.274500000007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7840.6779661016908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40406.952466101699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202.03476233050847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40608.987228432205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40608.987228432197</v>
      </c>
    </row>
    <row r="44" spans="2:20" x14ac:dyDescent="0.35">
      <c r="B44" t="s">
        <v>502</v>
      </c>
    </row>
    <row r="45" spans="2:20" x14ac:dyDescent="0.35">
      <c r="B45" t="s">
        <v>503</v>
      </c>
    </row>
    <row r="46" spans="2:20" x14ac:dyDescent="0.35">
      <c r="B46" t="s">
        <v>504</v>
      </c>
    </row>
    <row r="47" spans="2:20" x14ac:dyDescent="0.35">
      <c r="B47" t="s">
        <v>505</v>
      </c>
    </row>
    <row r="48" spans="2:20" x14ac:dyDescent="0.35">
      <c r="B48" t="s">
        <v>506</v>
      </c>
    </row>
    <row r="49" spans="2:2" x14ac:dyDescent="0.35">
      <c r="B49" t="s">
        <v>511</v>
      </c>
    </row>
    <row r="50" spans="2:2" x14ac:dyDescent="0.35">
      <c r="B50" t="s">
        <v>512</v>
      </c>
    </row>
    <row r="51" spans="2:2" x14ac:dyDescent="0.35">
      <c r="B51" t="s">
        <v>513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520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46258</v>
      </c>
      <c r="O5" s="368"/>
      <c r="P5" s="368"/>
      <c r="R5" s="85"/>
      <c r="S5" s="266"/>
    </row>
    <row r="6" spans="1:22 16383:16384" ht="17.25" customHeight="1" x14ac:dyDescent="0.4">
      <c r="A6" s="397" t="s">
        <v>521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522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377.72999999999996</v>
      </c>
      <c r="K25" s="275">
        <f t="shared" si="10"/>
        <v>73.447500000000005</v>
      </c>
      <c r="L25" s="276">
        <f t="shared" si="10"/>
        <v>0</v>
      </c>
      <c r="M25" s="232">
        <f t="shared" si="10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2098.5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377.72999999999996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73.447500000000005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1647.3225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2043.9326694915253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3" t="s">
        <v>88</v>
      </c>
      <c r="O35" s="344"/>
      <c r="P35" s="297">
        <f>+P33+P34</f>
        <v>2054.1523328389831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520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46258</v>
      </c>
      <c r="O5" s="368"/>
      <c r="P5" s="368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524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2098.5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377.72999999999996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73.447500000000005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1647.3225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2043.9326694915253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3" t="s">
        <v>88</v>
      </c>
      <c r="O35" s="344"/>
      <c r="P35" s="297">
        <f>+P33+P34</f>
        <v>2054.1523328389831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520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46258</v>
      </c>
      <c r="O5" s="368"/>
      <c r="P5" s="368"/>
      <c r="R5" s="85"/>
      <c r="S5" s="266"/>
    </row>
    <row r="6" spans="1:22 16383:16384" ht="18.75" customHeight="1" x14ac:dyDescent="0.4">
      <c r="A6" s="397" t="s">
        <v>525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526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2098.5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377.72999999999996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73.447500000000005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1647.3225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2043.9326694915253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3" t="s">
        <v>88</v>
      </c>
      <c r="O35" s="344"/>
      <c r="P35" s="297">
        <f>+P33+P34</f>
        <v>2054.1523328389831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520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46258</v>
      </c>
      <c r="O5" s="368"/>
      <c r="P5" s="368"/>
      <c r="R5" s="85"/>
      <c r="S5" s="266"/>
    </row>
    <row r="6" spans="1:22 16383:16384" ht="15" customHeight="1" x14ac:dyDescent="0.4">
      <c r="A6" s="397" t="s">
        <v>516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517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2098.5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377.72999999999996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73.447500000000005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1647.3225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2043.9326694915253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3" t="s">
        <v>88</v>
      </c>
      <c r="O35" s="344"/>
      <c r="P35" s="297">
        <f>+P33+P34</f>
        <v>2054.1523328389831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520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46258</v>
      </c>
      <c r="O5" s="368"/>
      <c r="P5" s="368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528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2098.5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377.72999999999996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73.447500000000005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1647.3225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2043.9326694915253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3" t="s">
        <v>88</v>
      </c>
      <c r="O35" s="344"/>
      <c r="P35" s="297">
        <f>+P33+P34</f>
        <v>2054.1523328389831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520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46258</v>
      </c>
      <c r="O5" s="368"/>
      <c r="P5" s="368"/>
      <c r="R5" s="85"/>
      <c r="S5" s="266"/>
    </row>
    <row r="6" spans="1:22 16383:16384" ht="15" customHeight="1" x14ac:dyDescent="0.4">
      <c r="A6" s="397" t="s">
        <v>529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530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2098.5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377.72999999999996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73.447500000000005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1647.3225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2043.9326694915253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3" t="s">
        <v>88</v>
      </c>
      <c r="O35" s="344"/>
      <c r="P35" s="297">
        <f>+P33+P34</f>
        <v>2054.1523328389831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520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46258</v>
      </c>
      <c r="O5" s="368"/>
      <c r="P5" s="368"/>
      <c r="R5" s="85"/>
      <c r="S5" s="266"/>
    </row>
    <row r="6" spans="1:22 16383:16384" ht="15" customHeight="1" x14ac:dyDescent="0.4">
      <c r="A6" s="397" t="s">
        <v>531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532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40</v>
      </c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2098.5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377.72999999999996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73.447500000000005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1647.3225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2043.9326694915253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3" t="s">
        <v>88</v>
      </c>
      <c r="O35" s="344"/>
      <c r="P35" s="297">
        <f>+P33+P34</f>
        <v>2054.1523328389831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2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520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46258</v>
      </c>
      <c r="O5" s="368"/>
      <c r="P5" s="368"/>
      <c r="R5" s="85"/>
      <c r="S5" s="266"/>
    </row>
    <row r="6" spans="1:22 16383:16384" ht="15" customHeight="1" x14ac:dyDescent="0.4">
      <c r="A6" s="397" t="s">
        <v>533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534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2098.5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377.72999999999996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73.447500000000005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1647.3225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2043.9326694915253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3" t="s">
        <v>88</v>
      </c>
      <c r="O35" s="344"/>
      <c r="P35" s="297">
        <f>+P33+P34</f>
        <v>2054.1523328389831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520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46258</v>
      </c>
      <c r="O5" s="368"/>
      <c r="P5" s="368"/>
      <c r="R5" s="85"/>
      <c r="S5" s="266"/>
    </row>
    <row r="6" spans="1:22 16383:16384" ht="15" customHeight="1" x14ac:dyDescent="0.4">
      <c r="A6" s="397" t="s">
        <v>535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536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2098.5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377.72999999999996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73.447500000000005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1647.3225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2043.9326694915253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3" t="s">
        <v>88</v>
      </c>
      <c r="O35" s="344"/>
      <c r="P35" s="297">
        <f>+P33+P34</f>
        <v>2054.1523328389831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2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520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46258</v>
      </c>
      <c r="O5" s="368"/>
      <c r="P5" s="368"/>
      <c r="R5" s="85"/>
      <c r="S5" s="266"/>
    </row>
    <row r="6" spans="1:22 16383:16384" ht="15" customHeight="1" x14ac:dyDescent="0.4">
      <c r="A6" s="397" t="s">
        <v>537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538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40</v>
      </c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2098.5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377.72999999999996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73.447500000000005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1647.3225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2043.9326694915253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3" t="s">
        <v>88</v>
      </c>
      <c r="O35" s="344"/>
      <c r="P35" s="297">
        <f>+P33+P34</f>
        <v>2054.1523328389831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520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46258</v>
      </c>
      <c r="O5" s="368"/>
      <c r="P5" s="368"/>
      <c r="R5" s="85"/>
      <c r="S5" s="266"/>
    </row>
    <row r="6" spans="1:22 16383:16384" ht="15" customHeight="1" x14ac:dyDescent="0.4">
      <c r="A6" s="397" t="s">
        <v>539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540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2098.5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377.72999999999996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73.447500000000005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1647.3225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2043.9326694915253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3" t="s">
        <v>88</v>
      </c>
      <c r="O35" s="344"/>
      <c r="P35" s="297">
        <f>+P33+P34</f>
        <v>2054.1523328389831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19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520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46258</v>
      </c>
      <c r="O5" s="368"/>
      <c r="P5" s="368"/>
      <c r="R5" s="85"/>
      <c r="S5" s="266"/>
    </row>
    <row r="6" spans="1:22 16383:16384" ht="15" customHeight="1" x14ac:dyDescent="0.4">
      <c r="A6" s="397" t="s">
        <v>541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542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140</v>
      </c>
      <c r="I25" s="114">
        <f t="shared" si="7"/>
        <v>8555.4</v>
      </c>
      <c r="J25" s="274">
        <f>SUM(J16:J24)</f>
        <v>1539.9719999999998</v>
      </c>
      <c r="K25" s="275">
        <f t="shared" si="7"/>
        <v>299.43900000000002</v>
      </c>
      <c r="L25" s="276">
        <f t="shared" si="7"/>
        <v>0</v>
      </c>
      <c r="M25" s="232">
        <f t="shared" si="7"/>
        <v>6715.9889999999996</v>
      </c>
      <c r="N25" s="233">
        <f>SUM(N16:N24)</f>
        <v>1616.9491525423725</v>
      </c>
      <c r="O25" s="101">
        <f>SUM(O16:O24)</f>
        <v>41.664690762711864</v>
      </c>
      <c r="P25" s="113">
        <f>SUM(P16:P24)</f>
        <v>8374.6028433050851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8555.4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1539.9719999999998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299.43900000000002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6715.9889999999996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1616.9491525423725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8332.9381525423723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41.664690762711864</v>
      </c>
    </row>
    <row r="35" spans="2:16" ht="15.75" customHeight="1" thickBot="1" x14ac:dyDescent="0.4">
      <c r="N35" s="343" t="s">
        <v>88</v>
      </c>
      <c r="O35" s="344"/>
      <c r="P35" s="297">
        <f>+P33+P34</f>
        <v>8374.6028433050833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520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46258</v>
      </c>
      <c r="O5" s="368"/>
      <c r="P5" s="368"/>
      <c r="R5" s="85"/>
      <c r="S5" s="266"/>
    </row>
    <row r="6" spans="1:22 16383:16384" ht="15" customHeight="1" x14ac:dyDescent="0.4">
      <c r="A6" s="397" t="s">
        <v>543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544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80</v>
      </c>
      <c r="I25" s="114">
        <f t="shared" si="7"/>
        <v>4197</v>
      </c>
      <c r="J25" s="274">
        <f>SUM(J16:J24)</f>
        <v>755.45999999999992</v>
      </c>
      <c r="K25" s="275">
        <f t="shared" si="7"/>
        <v>146.89500000000001</v>
      </c>
      <c r="L25" s="276">
        <f t="shared" si="7"/>
        <v>0</v>
      </c>
      <c r="M25" s="232">
        <f t="shared" si="7"/>
        <v>3294.645</v>
      </c>
      <c r="N25" s="233">
        <f>SUM(N16:N24)</f>
        <v>793.22033898305051</v>
      </c>
      <c r="O25" s="101">
        <f>SUM(O16:O24)</f>
        <v>20.439326694915252</v>
      </c>
      <c r="P25" s="113">
        <f>SUM(P16:P24)</f>
        <v>4108.3046656779661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4197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755.45999999999992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146.89500000000001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3294.645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4087.8653389830506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20.439326694915252</v>
      </c>
    </row>
    <row r="35" spans="2:16" ht="15.75" customHeight="1" thickBot="1" x14ac:dyDescent="0.4">
      <c r="N35" s="343" t="s">
        <v>88</v>
      </c>
      <c r="O35" s="344"/>
      <c r="P35" s="297">
        <f>+P33+P34</f>
        <v>4108.3046656779661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520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46258</v>
      </c>
      <c r="O5" s="368"/>
      <c r="P5" s="368"/>
      <c r="R5" s="85"/>
      <c r="S5" s="266"/>
    </row>
    <row r="6" spans="1:22 16383:16384" ht="15" customHeight="1" x14ac:dyDescent="0.4">
      <c r="A6" s="397" t="s">
        <v>545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546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60</v>
      </c>
      <c r="I25" s="114">
        <f t="shared" si="7"/>
        <v>3551.3</v>
      </c>
      <c r="J25" s="274">
        <f>SUM(J16:J24)</f>
        <v>639.23399999999992</v>
      </c>
      <c r="K25" s="275">
        <f t="shared" si="7"/>
        <v>124.2955</v>
      </c>
      <c r="L25" s="276">
        <f t="shared" si="7"/>
        <v>0</v>
      </c>
      <c r="M25" s="232">
        <f t="shared" si="7"/>
        <v>2787.7704999999996</v>
      </c>
      <c r="N25" s="233">
        <f>SUM(N16:N24)</f>
        <v>671.18644067796595</v>
      </c>
      <c r="O25" s="101">
        <f>SUM(O16:O24)</f>
        <v>17.29478470338983</v>
      </c>
      <c r="P25" s="113">
        <f>SUM(P16:P24)</f>
        <v>3476.2517253813558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3551.3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639.23399999999992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124.2955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2787.7705000000001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671.18644067796595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3458.956940677966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17.29478470338983</v>
      </c>
    </row>
    <row r="35" spans="2:16" ht="15.75" customHeight="1" thickBot="1" x14ac:dyDescent="0.4">
      <c r="N35" s="343" t="s">
        <v>88</v>
      </c>
      <c r="O35" s="344"/>
      <c r="P35" s="297">
        <f>+P33+P34</f>
        <v>3476.2517253813558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520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46258</v>
      </c>
      <c r="O5" s="368"/>
      <c r="P5" s="368"/>
      <c r="R5" s="85"/>
      <c r="S5" s="266"/>
    </row>
    <row r="6" spans="1:22 16383:16384" ht="15" customHeight="1" x14ac:dyDescent="0.4">
      <c r="A6" s="397" t="s">
        <v>547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548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40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2098.5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377.72999999999996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73.447500000000005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1647.3225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2043.9326694915253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3" t="s">
        <v>88</v>
      </c>
      <c r="O35" s="344"/>
      <c r="P35" s="297">
        <f>+P33+P34</f>
        <v>2054.1523328389831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10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520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46258</v>
      </c>
      <c r="O5" s="368"/>
      <c r="P5" s="368"/>
      <c r="R5" s="85"/>
      <c r="S5" s="266"/>
    </row>
    <row r="6" spans="1:22 16383:16384" ht="15" customHeight="1" x14ac:dyDescent="0.4">
      <c r="A6" s="397" t="s">
        <v>516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517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20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520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46258</v>
      </c>
      <c r="O5" s="368"/>
      <c r="P5" s="368"/>
      <c r="R5" s="85"/>
      <c r="S5" s="266"/>
    </row>
    <row r="6" spans="1:22 16383:16384" ht="15" customHeight="1" x14ac:dyDescent="0.4">
      <c r="A6" s="397" t="s">
        <v>518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519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20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520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46258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520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46258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520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46258</v>
      </c>
      <c r="O5" s="368"/>
      <c r="P5" s="368"/>
      <c r="R5" s="85"/>
      <c r="S5" s="266"/>
    </row>
    <row r="6" spans="1:22 16383:16384" ht="18.75" customHeight="1" x14ac:dyDescent="0.4">
      <c r="A6" s="397" t="s">
        <v>500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520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46258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520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46258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520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46258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520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46258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520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46258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520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46258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520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46258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520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46258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520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46258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520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46258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46260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46259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2026-08-25T05:20:01Z</dcterms:modified>
</cp:coreProperties>
</file>