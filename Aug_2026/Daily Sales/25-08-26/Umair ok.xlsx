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F520EC1-690A-4F55-A3A2-FA50B6010329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M17" i="72"/>
  <c r="O17" i="72" s="1"/>
  <c r="P17" i="72" s="1"/>
  <c r="M24" i="45"/>
  <c r="O24" i="45" s="1"/>
  <c r="P24" i="45" s="1"/>
  <c r="M16" i="64"/>
  <c r="M17" i="60"/>
  <c r="O17" i="60" s="1"/>
  <c r="P17" i="60" s="1"/>
  <c r="M22" i="43"/>
  <c r="M23" i="56"/>
  <c r="M16" i="65"/>
  <c r="M22" i="63"/>
  <c r="O22" i="63" s="1"/>
  <c r="P22" i="63" s="1"/>
  <c r="M24" i="47"/>
  <c r="O24" i="47" s="1"/>
  <c r="P24" i="47" s="1"/>
  <c r="M23" i="51"/>
  <c r="O23" i="51" s="1"/>
  <c r="P23" i="51" s="1"/>
  <c r="M23" i="60"/>
  <c r="M16" i="48"/>
  <c r="O16" i="48" s="1"/>
  <c r="P16" i="48" s="1"/>
  <c r="M24" i="53"/>
  <c r="O24" i="53" s="1"/>
  <c r="P24" i="53" s="1"/>
  <c r="M23" i="58"/>
  <c r="O23" i="58" s="1"/>
  <c r="P23" i="58" s="1"/>
  <c r="M16" i="60"/>
  <c r="M24" i="46"/>
  <c r="O24" i="46" s="1"/>
  <c r="P24" i="46" s="1"/>
  <c r="M21" i="51"/>
  <c r="M23" i="72"/>
  <c r="O23" i="72" s="1"/>
  <c r="P23" i="72" s="1"/>
  <c r="M23" i="64"/>
  <c r="M23" i="59"/>
  <c r="P23" i="59" s="1"/>
  <c r="M23" i="44"/>
  <c r="O23" i="44" s="1"/>
  <c r="P23" i="44" s="1"/>
  <c r="M16" i="66"/>
  <c r="M16" i="44"/>
  <c r="M20" i="70"/>
  <c r="O20" i="70" s="1"/>
  <c r="P20" i="70" s="1"/>
  <c r="R20" i="70" s="1"/>
  <c r="M24" i="44"/>
  <c r="O24" i="44" s="1"/>
  <c r="P24" i="44" s="1"/>
  <c r="M23" i="65"/>
  <c r="J15" i="62"/>
  <c r="M16" i="72"/>
  <c r="O16" i="72" s="1"/>
  <c r="P16" i="72" s="1"/>
  <c r="M24" i="43"/>
  <c r="O24" i="43" s="1"/>
  <c r="P24" i="43" s="1"/>
  <c r="M23" i="66"/>
  <c r="M23" i="54"/>
  <c r="O23" i="54" s="1"/>
  <c r="P23" i="54" s="1"/>
  <c r="M21" i="53"/>
  <c r="O21" i="53" s="1"/>
  <c r="P21" i="53" s="1"/>
  <c r="M23" i="69"/>
  <c r="M23" i="53"/>
  <c r="O23" i="53" s="1"/>
  <c r="P23" i="53" s="1"/>
  <c r="M21" i="68"/>
  <c r="O21" i="68" s="1"/>
  <c r="P21" i="68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O23" i="69"/>
  <c r="P23" i="69" s="1"/>
  <c r="O24" i="48"/>
  <c r="P24" i="48" s="1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O25" i="55"/>
  <c r="O25" i="69"/>
  <c r="P24" i="55"/>
  <c r="P16" i="53"/>
  <c r="P25" i="53" s="1"/>
  <c r="O25" i="64"/>
  <c r="P23" i="55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<sst xmlns="http://schemas.openxmlformats.org/spreadsheetml/2006/main" count="3978" uniqueCount="524">
  <si>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</si>
  <si>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</si>
  <si>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</si>
  <si>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</si>
  <si>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</si>
  <si>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</si>
  <si>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</si>
  <si>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</si>
  <si>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</si>
  <si>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</si>
  <si>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</si>
  <si>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</si>
  <si>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</si>
  <si>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</si>
  <si>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</si>
  <si>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</si>
  <si>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</si>
  <si>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</si>
  <si>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</si>
  <si>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</si>
  <si>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</si>
  <si>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</si>
  <si>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</si>
  <si>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</si>
  <si>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</si>
  <si>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</si>
  <si>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</si>
  <si>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</si>
  <si>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</si>
  <si>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</si>
  <si>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</si>
  <si>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</si>
  <si>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</si>
  <si>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</si>
  <si>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</si>
  <si>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</si>
  <si>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</si>
  <si>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</si>
  <si>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</si>
  <si>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</si>
  <si>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</si>
  <si>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</si>
  <si>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</si>
  <si>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</si>
  <si>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</si>
  <si>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</si>
  <si>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</si>
  <si>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</si>
  <si>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</si>
  <si>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</si>
  <si>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</si>
  <si>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</si>
  <si>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</si>
  <si>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</si>
  <si>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</si>
  <si>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</si>
  <si>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</si>
  <si>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</si>
  <si>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</si>
  <si>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</si>
  <si>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</si>
  <si>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</si>
  <si>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</si>
  <si>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</si>
  <si>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</si>
  <si>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</si>
  <si>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</si>
  <si>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</si>
  <si>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</si>
  <si>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</si>
  <si>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</si>
  <si>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</si>
  <si>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</si>
  <si>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</si>
  <si>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</si>
  <si>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</si>
  <si>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</si>
  <si>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</si>
  <si>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</si>
  <si>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</si>
  <si>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</si>
  <si>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</si>
  <si>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</si>
  <si>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</si>
  <si>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</si>
  <si>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</si>
  <si>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</si>
  <si>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</si>
  <si>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</si>
  <si>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</si>
  <si>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</si>
  <si>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</si>
  <si>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</si>
  <si>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</si>
  <si>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</si>
  <si>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</si>
  <si>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</si>
  <si>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</si>
  <si>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</si>
  <si>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</si>
  <si>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</si>
  <si>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</si>
  <si>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</si>
  <si>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</si>
  <si>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</si>
  <si>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</si>
  <si>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</si>
  <si>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</si>
  <si>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</si>
  <si>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</si>
  <si>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</si>
  <si>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</si>
  <si>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</si>
  <si>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</si>
  <si>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</si>
  <si>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</si>
  <si>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</si>
  <si>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</si>
  <si>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</si>
  <si>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</si>
  <si>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</si>
  <si>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</si>
  <si>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</si>
  <si>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</si>
  <si>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</si>
  <si>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</si>
  <si>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</si>
  <si>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</si>
  <si>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</si>
  <si>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</si>
  <si>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</si>
  <si>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</si>
  <si>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</si>
  <si>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</si>
  <si>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</si>
  <si>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</si>
  <si>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</si>
  <si>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</si>
  <si>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</si>
  <si>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</si>
  <si>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</si>
  <si>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</si>
  <si>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</si>
  <si>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</si>
  <si>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</si>
  <si>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</si>
  <si>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</si>
  <si>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</si>
  <si>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</si>
  <si>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</si>
  <si>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</si>
  <si>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</si>
  <si>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</si>
  <si>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</si>
  <si>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</si>
  <si>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</si>
  <si>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</si>
  <si>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</si>
  <si>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</si>
  <si>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</si>
  <si>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</si>
  <si>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</si>
  <si>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</si>
  <si>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</si>
  <si>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</si>
  <si>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</si>
  <si>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</si>
  <si>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</si>
  <si>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</si>
  <si>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</si>
  <si>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</si>
  <si>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</si>
  <si>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</si>
  <si>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</si>
  <si>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</si>
  <si>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</si>
  <si>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</si>
  <si>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</si>
  <si>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</si>
  <si>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</si>
  <si>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</si>
  <si>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</si>
  <si>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</si>
  <si>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</si>
  <si>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</si>
  <si>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</si>
  <si>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</si>
  <si>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</si>
  <si>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</si>
  <si>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</si>
  <si>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</si>
  <si>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</si>
  <si>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</si>
  <si>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</si>
  <si>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</si>
  <si>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</si>
  <si>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</si>
  <si>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</si>
  <si>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</si>
  <si>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</si>
  <si>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</si>
  <si>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</si>
  <si>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</si>
  <si>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</si>
  <si>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</si>
  <si>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</si>
  <si>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</si>
  <si>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</si>
  <si>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</si>
  <si>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</si>
  <si>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</si>
  <si>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</si>
  <si>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</si>
  <si>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</si>
  <si>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</si>
  <si>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</si>
  <si>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</si>
  <si>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</si>
  <si>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</si>
  <si>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</si>
  <si>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</si>
  <si>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</si>
  <si>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</si>
  <si>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</si>
  <si>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</si>
  <si>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</si>
  <si>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</si>
  <si>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</si>
  <si>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</si>
  <si>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</si>
  <si>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</si>
  <si>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</si>
  <si>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</si>
  <si>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</si>
  <si>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</si>
  <si>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</si>
  <si>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</si>
  <si>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</si>
  <si>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</si>
  <si>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</si>
  <si>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</si>
  <si>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</si>
  <si>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</si>
  <si>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</si>
  <si>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</si>
  <si>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</si>
  <si>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</si>
  <si>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</si>
  <si>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</si>
  <si>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</si>
  <si>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</si>
  <si>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</si>
  <si>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</si>
  <si>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</si>
  <si>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</si>
  <si>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</si>
  <si>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</si>
  <si>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</si>
  <si>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</si>
  <si>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</si>
  <si>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</si>
  <si>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</si>
  <si>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</si>
  <si>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</si>
  <si>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</si>
  <si>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</si>
  <si>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</si>
  <si>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</si>
  <si>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</si>
  <si>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</si>
  <si>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</si>
  <si>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</si>
  <si>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</si>
  <si>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</si>
  <si>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</si>
  <si>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</si>
  <si>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</si>
  <si>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</si>
  <si>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</si>
  <si>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</si>
  <si>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</si>
  <si>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</si>
  <si>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</si>
  <si>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</si>
  <si>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</si>
  <si>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</si>
  <si>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</si>
  <si>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</si>
  <si>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</si>
  <si>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</si>
  <si>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</si>
  <si>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</si>
  <si>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</si>
  <si>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</si>
  <si>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</si>
  <si>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</si>
  <si>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</si>
  <si>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</si>
  <si>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</si>
  <si>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</si>
  <si>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</si>
  <si>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</si>
  <si>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</si>
  <si>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</si>
  <si>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</si>
  <si>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</si>
  <si>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</si>
  <si>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</si>
  <si>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</si>
  <si>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</si>
  <si>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</si>
  <si>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</si>
  <si>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</si>
  <si>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</si>
  <si>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</si>
  <si>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</si>
  <si>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</si>
  <si>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</si>
  <si>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</si>
  <si>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</si>
  <si>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</si>
  <si>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</si>
  <si>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</si>
  <si>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</si>
  <si>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</si>
  <si>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</si>
  <si>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</si>
  <si>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</si>
  <si>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</si>
  <si>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</si>
  <si>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</si>
  <si>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</si>
  <si>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</si>
  <si>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</si>
  <si>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</si>
  <si>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</si>
  <si>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</si>
  <si>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</si>
  <si>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</si>
  <si>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</si>
  <si>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</si>
  <si>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</si>
  <si>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</si>
  <si>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</si>
  <si>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</si>
  <si>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</si>
  <si>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</si>
  <si>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</si>
  <si>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</si>
  <si>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</si>
  <si>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</si>
  <si>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</si>
  <si>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</si>
  <si>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</si>
  <si>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</si>
  <si>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</si>
  <si>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</si>
  <si>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</si>
  <si>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</si>
  <si>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</si>
  <si>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</si>
  <si>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</si>
  <si>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</si>
  <si>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</si>
  <si>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</si>
  <si>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</si>
  <si>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</si>
  <si>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</si>
  <si>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</si>
  <si>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</si>
  <si>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</si>
  <si>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</si>
  <si>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</si>
  <si>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</si>
  <si>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</si>
  <si>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</si>
  <si>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</si>
  <si>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</si>
  <si>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</si>
  <si>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</si>
  <si>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</si>
  <si>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</si>
  <si>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</si>
  <si>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</si>
  <si>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</si>
  <si>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</si>
  <si>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</si>
  <si>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</si>
  <si>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</si>
  <si>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</si>
  <si>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</si>
  <si>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</si>
  <si>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</si>
  <si>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</si>
  <si>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</si>
  <si>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</si>
  <si>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</si>
  <si>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</si>
  <si>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</si>
  <si>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</si>
  <si>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</si>
  <si>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</si>
  <si>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</si>
  <si>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</si>
  <si>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</si>
  <si>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</si>
  <si>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</si>
  <si>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</si>
  <si>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</si>
  <si>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</si>
  <si>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</si>
  <si>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</si>
  <si>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</si>
  <si>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</si>
  <si>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</si>
  <si>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</si>
  <si>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</si>
  <si>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</si>
  <si>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</si>
  <si>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</si>
  <si>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</si>
  <si>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</si>
  <si>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</si>
  <si>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</si>
  <si>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</si>
  <si>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</si>
  <si>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</si>
  <si>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</si>
  <si>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</si>
  <si>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</si>
  <si>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</si>
  <si>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</si>
  <si>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</si>
  <si>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</si>
  <si>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</si>
  <si>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</si>
  <si>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</si>
  <si>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</si>
  <si>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</si>
  <si>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</si>
  <si>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</si>
  <si>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</si>
  <si>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</si>
  <si>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</si>
  <si>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</si>
  <si>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</si>
  <si>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</si>
  <si>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</si>
  <si>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</si>
  <si>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</si>
  <si>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</si>
  <si>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</si>
  <si>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</si>
  <si>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</si>
  <si>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</si>
  <si>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</si>
  <si>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</si>
  <si>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</si>
  <si>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</si>
  <si>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</si>
  <si>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</si>
  <si>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</si>
  <si>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</si>
  <si>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</si>
  <si>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</si>
  <si>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</si>
  <si>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</si>
  <si>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</si>
  <si>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</si>
  <si>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</si>
  <si>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</si>
  <si>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</si>
  <si>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</si>
  <si>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</si>
  <si>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</si>
  <si>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</si>
  <si>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</si>
  <si>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</si>
  <si>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</si>
  <si>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</si>
  <si>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</si>
  <si>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</si>
  <si>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</si>
  <si>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</si>
  <si>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</si>
  <si>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</si>
  <si>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</si>
  <si>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</si>
  <si>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</si>
  <si>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</si>
  <si>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</si>
  <si>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</si>
  <si>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</si>
  <si>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</si>
  <si>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</si>
  <si>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</si>
  <si>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</si>
  <si>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</si>
  <si>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</si>
  <si>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</si>
  <si>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</si>
  <si>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</si>
  <si>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</si>
  <si>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</si>
  <si>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</si>
  <si>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</si>
  <si>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</si>
  <si>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</si>
  <si>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</si>
  <si>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</si>
  <si>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</si>
  <si>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</si>
  <si>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</si>
  <si>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</si>
  <si>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Imran Kareyana </t>
  </si>
  <si>
    <t>Address: Ghazi Road</t>
  </si>
  <si>
    <t>Dua Book Store</t>
  </si>
  <si>
    <t>Sultan Store</t>
  </si>
  <si>
    <t xml:space="preserve">Ahmad Brothers </t>
  </si>
  <si>
    <t>Punjab Store</t>
  </si>
  <si>
    <t>Marhaba Store</t>
  </si>
  <si>
    <t>Hussain GS</t>
  </si>
  <si>
    <t>AL Hamd Bakers</t>
  </si>
  <si>
    <t xml:space="preserve">HK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</si>
</sst>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5" sqref="S5: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Imran Kareyana </v>
      </c>
      <c r="T3" s="301">
        <f>+'1'!P35</f>
        <v>940.86347552542372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Dua Book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Sultan Store</v>
      </c>
      <c r="T5" s="301">
        <f>+'3'!P35</f>
        <v>4805.3894985762709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Ahmad Brothers 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Punjab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Marhaba Store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Hussain GS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73</v>
      </c>
      <c r="I10" s="236">
        <f t="shared" si="0"/>
        <v>5302.72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424.2176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185.59520000000003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4692.9072000000006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1002.2033898305085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28.475552949152544</v>
      </c>
      <c r="P10" s="311">
        <f t="shared" si="2"/>
        <v>5723.5861427796608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 Hamd Bakers</v>
      </c>
      <c r="T10" s="301">
        <f>+'8'!P35</f>
        <v>940.86347552542372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</v>
      </c>
      <c r="I11" s="236">
        <f t="shared" si="0"/>
        <v>1307.52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104.60160000000002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45.763200000000005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1157.1551999999999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247.11864406779662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7.0213692203389835</v>
      </c>
      <c r="P11" s="311">
        <f t="shared" si="2"/>
        <v>1411.2952132881355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HK Mart 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</v>
      </c>
      <c r="I12" s="236">
        <f t="shared" si="0"/>
        <v>1816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145.28000000000003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63.56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1607.1599999999999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343.22033898305085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9.7519016949152544</v>
      </c>
      <c r="P12" s="311">
        <f t="shared" si="2"/>
        <v>1960.1322406779659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311">
        <f t="shared" si="2"/>
        <v>3839.1092010305083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6.2</v>
      </c>
      <c r="H16" s="113">
        <f t="shared" ref="H16:M16" si="3">SUM(H7:H15)</f>
        <v>248</v>
      </c>
      <c r="I16" s="114">
        <f t="shared" si="3"/>
        <v>14133.9</v>
      </c>
      <c r="J16" s="274">
        <f>SUM(J7:J15)</f>
        <v>1022.4372000000001</v>
      </c>
      <c r="K16" s="275">
        <f t="shared" si="3"/>
        <v>494.68650000000002</v>
      </c>
      <c r="L16" s="276">
        <f t="shared" si="3"/>
        <v>184.06716</v>
      </c>
      <c r="M16" s="232">
        <f t="shared" si="3"/>
        <v>12432.709139999999</v>
      </c>
      <c r="N16" s="233">
        <f>SUM(N7:N15)</f>
        <v>2690.8474576271183</v>
      </c>
      <c r="O16" s="101">
        <f>SUM(O7:O15)</f>
        <v>75.617782988135588</v>
      </c>
      <c r="P16" s="113">
        <f>SUM(P7:P15)</f>
        <v>15199.174380615252</v>
      </c>
      <c r="Q16" s="128">
        <f>SUM(Q7:Q15)</f>
        <v>12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14133.9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1022.4372000000001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678.75366000000008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12432.709139999999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2690.8474576271183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15123.556597627117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75.617782988135588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15199.174380615254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15199.174380615254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871.68000000000006</v>
      </c>
      <c r="J25" s="274">
        <f>SUM(J16:J24)</f>
        <v>69.734400000000008</v>
      </c>
      <c r="K25" s="275">
        <f t="shared" si="10"/>
        <v>30.508800000000004</v>
      </c>
      <c r="L25" s="276">
        <f t="shared" si="10"/>
        <v>0</v>
      </c>
      <c r="M25" s="232">
        <f t="shared" si="10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E4" sqref="E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E19" sqref="E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311">
        <f t="shared" si="5"/>
        <v>1019.2687651525424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E23" sqref="E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2026-09-01T07:02:07Z</dcterms:modified>
</cp:coreProperties>
</file>