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05A5BD0-2EC2-471E-9DA5-B321ED15B1F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<sst xmlns="http://schemas.openxmlformats.org/spreadsheetml/2006/main" count="3978" uniqueCount="524">
  <si>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</si>
  <si>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</si>
  <si>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</si>
  <si>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</si>
  <si>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</si>
  <si>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</si>
  <si>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</si>
  <si>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</si>
  <si>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</si>
  <si>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</si>
  <si>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</si>
  <si>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</si>
  <si>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</si>
  <si>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</si>
  <si>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</si>
  <si>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</si>
  <si>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</si>
  <si>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</si>
  <si>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</si>
  <si>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</si>
  <si>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</si>
  <si>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</si>
  <si>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</si>
  <si>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</si>
  <si>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</si>
  <si>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</si>
  <si>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</si>
  <si>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</si>
  <si>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</si>
  <si>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</si>
  <si>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</si>
  <si>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</si>
  <si>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</si>
  <si>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</si>
  <si>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</si>
  <si>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</si>
  <si>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</si>
  <si>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</si>
  <si>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</si>
  <si>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</si>
  <si>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</si>
  <si>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</si>
  <si>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</si>
  <si>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</si>
  <si>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</si>
  <si>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</si>
  <si>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</si>
  <si>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</si>
  <si>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</si>
  <si>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</si>
  <si>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</si>
  <si>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</si>
  <si>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</si>
  <si>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</si>
  <si>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</si>
  <si>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</si>
  <si>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</si>
  <si>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</si>
  <si>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</si>
  <si>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</si>
  <si>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</si>
  <si>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</si>
  <si>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</si>
  <si>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</si>
  <si>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</si>
  <si>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</si>
  <si>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</si>
  <si>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</si>
  <si>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</si>
  <si>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</si>
  <si>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</si>
  <si>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</si>
  <si>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</si>
  <si>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</si>
  <si>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</si>
  <si>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</si>
  <si>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</si>
  <si>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</si>
  <si>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</si>
  <si>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</si>
  <si>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</si>
  <si>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</si>
  <si>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</si>
  <si>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</si>
  <si>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</si>
  <si>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</si>
  <si>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</si>
  <si>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</si>
  <si>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</si>
  <si>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</si>
  <si>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</si>
  <si>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</si>
  <si>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</si>
  <si>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</si>
  <si>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</si>
  <si>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</si>
  <si>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</si>
  <si>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</si>
  <si>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</si>
  <si>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</si>
  <si>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</si>
  <si>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</si>
  <si>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</si>
  <si>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</si>
  <si>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</si>
  <si>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</si>
  <si>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</si>
  <si>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</si>
  <si>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</si>
  <si>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</si>
  <si>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</si>
  <si>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</si>
  <si>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</si>
  <si>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</si>
  <si>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</si>
  <si>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</si>
  <si>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</si>
  <si>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</si>
  <si>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</si>
  <si>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</si>
  <si>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</si>
  <si>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</si>
  <si>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</si>
  <si>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</si>
  <si>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</si>
  <si>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</si>
  <si>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</si>
  <si>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</si>
  <si>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</si>
  <si>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</si>
  <si>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</si>
  <si>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</si>
  <si>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</si>
  <si>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</si>
  <si>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</si>
  <si>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</si>
  <si>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</si>
  <si>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</si>
  <si>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</si>
  <si>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</si>
  <si>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</si>
  <si>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</si>
  <si>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</si>
  <si>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</si>
  <si>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</si>
  <si>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</si>
  <si>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</si>
  <si>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</si>
  <si>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</si>
  <si>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</si>
  <si>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</si>
  <si>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</si>
  <si>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</si>
  <si>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</si>
  <si>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</si>
  <si>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</si>
  <si>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</si>
  <si>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</si>
  <si>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</si>
  <si>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</si>
  <si>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</si>
  <si>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</si>
  <si>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</si>
  <si>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</si>
  <si>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</si>
  <si>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</si>
  <si>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</si>
  <si>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</si>
  <si>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</si>
  <si>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</si>
  <si>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</si>
  <si>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</si>
  <si>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</si>
  <si>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</si>
  <si>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</si>
  <si>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</si>
  <si>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</si>
  <si>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</si>
  <si>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</si>
  <si>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</si>
  <si>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</si>
  <si>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</si>
  <si>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</si>
  <si>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</si>
  <si>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</si>
  <si>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</si>
  <si>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</si>
  <si>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</si>
  <si>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</si>
  <si>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</si>
  <si>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</si>
  <si>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</si>
  <si>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</si>
  <si>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</si>
  <si>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</si>
  <si>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</si>
  <si>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</si>
  <si>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</si>
  <si>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</si>
  <si>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</si>
  <si>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</si>
  <si>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</si>
  <si>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</si>
  <si>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</si>
  <si>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</si>
  <si>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</si>
  <si>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</si>
  <si>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</si>
  <si>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</si>
  <si>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</si>
  <si>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</si>
  <si>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</si>
  <si>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</si>
  <si>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</si>
  <si>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</si>
  <si>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</si>
  <si>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</si>
  <si>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</si>
  <si>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</si>
  <si>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</si>
  <si>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</si>
  <si>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</si>
  <si>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</si>
  <si>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</si>
  <si>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</si>
  <si>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</si>
  <si>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</si>
  <si>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</si>
  <si>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</si>
  <si>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</si>
  <si>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</si>
  <si>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</si>
  <si>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</si>
  <si>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</si>
  <si>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</si>
  <si>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</si>
  <si>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</si>
  <si>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</si>
  <si>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</si>
  <si>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</si>
  <si>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</si>
  <si>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</si>
  <si>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</si>
  <si>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</si>
  <si>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</si>
  <si>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</si>
  <si>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</si>
  <si>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</si>
  <si>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</si>
  <si>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</si>
  <si>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</si>
  <si>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</si>
  <si>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</si>
  <si>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</si>
  <si>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</si>
  <si>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</si>
  <si>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</si>
  <si>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</si>
  <si>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</si>
  <si>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</si>
  <si>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</si>
  <si>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</si>
  <si>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</si>
  <si>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</si>
  <si>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</si>
  <si>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</si>
  <si>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</si>
  <si>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</si>
  <si>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</si>
  <si>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</si>
  <si>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</si>
  <si>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</si>
  <si>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</si>
  <si>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</si>
  <si>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</si>
  <si>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</si>
  <si>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</si>
  <si>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</si>
  <si>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</si>
  <si>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</si>
  <si>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</si>
  <si>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</si>
  <si>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</si>
  <si>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</si>
  <si>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</si>
  <si>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</si>
  <si>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</si>
  <si>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</si>
  <si>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</si>
  <si>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</si>
  <si>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</si>
  <si>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</si>
  <si>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</si>
  <si>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</si>
  <si>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</si>
  <si>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</si>
  <si>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</si>
  <si>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</si>
  <si>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</si>
  <si>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</si>
  <si>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</si>
  <si>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</si>
  <si>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</si>
  <si>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</si>
  <si>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</si>
  <si>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</si>
  <si>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</si>
  <si>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</si>
  <si>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</si>
  <si>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</si>
  <si>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</si>
  <si>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</si>
  <si>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</si>
  <si>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</si>
  <si>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</si>
  <si>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</si>
  <si>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</si>
  <si>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</si>
  <si>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</si>
  <si>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</si>
  <si>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</si>
  <si>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</si>
  <si>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</si>
  <si>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</si>
  <si>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</si>
  <si>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</si>
  <si>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</si>
  <si>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</si>
  <si>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</si>
  <si>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</si>
  <si>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</si>
  <si>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</si>
  <si>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</si>
  <si>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</si>
  <si>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</si>
  <si>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</si>
  <si>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</si>
  <si>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</si>
  <si>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</si>
  <si>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</si>
  <si>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</si>
  <si>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</si>
  <si>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</si>
  <si>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</si>
  <si>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</si>
  <si>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</si>
  <si>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</si>
  <si>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</si>
  <si>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</si>
  <si>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</si>
  <si>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</si>
  <si>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</si>
  <si>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</si>
  <si>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</si>
  <si>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</si>
  <si>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</si>
  <si>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</si>
  <si>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</si>
  <si>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</si>
  <si>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</si>
  <si>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</si>
  <si>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</si>
  <si>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</si>
  <si>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</si>
  <si>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</si>
  <si>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</si>
  <si>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</si>
  <si>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</si>
  <si>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</si>
  <si>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</si>
  <si>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</si>
  <si>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</si>
  <si>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</si>
  <si>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</si>
  <si>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</si>
  <si>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</si>
  <si>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</si>
  <si>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</si>
  <si>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</si>
  <si>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</si>
  <si>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</si>
  <si>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</si>
  <si>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</si>
  <si>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</si>
  <si>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</si>
  <si>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</si>
  <si>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</si>
  <si>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</si>
  <si>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</si>
  <si>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</si>
  <si>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</si>
  <si>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</si>
  <si>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</si>
  <si>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</si>
  <si>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</si>
  <si>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</si>
  <si>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</si>
  <si>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</si>
  <si>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</si>
  <si>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</si>
  <si>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</si>
  <si>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</si>
  <si>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</si>
  <si>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</si>
  <si>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</si>
  <si>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</si>
  <si>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</si>
  <si>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</si>
  <si>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</si>
  <si>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</si>
  <si>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</si>
  <si>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</si>
  <si>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</si>
  <si>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</si>
  <si>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</si>
  <si>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</si>
  <si>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</si>
  <si>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</si>
  <si>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</si>
  <si>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</si>
  <si>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</si>
  <si>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</si>
  <si>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</si>
  <si>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</si>
  <si>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</si>
  <si>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</si>
  <si>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</si>
  <si>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</si>
  <si>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</si>
  <si>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</si>
  <si>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</si>
  <si>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</si>
  <si>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</si>
  <si>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</si>
  <si>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</si>
  <si>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</si>
  <si>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</si>
  <si>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</si>
  <si>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</si>
  <si>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</si>
  <si>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</si>
  <si>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</si>
  <si>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</si>
  <si>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</si>
  <si>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</si>
  <si>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</si>
  <si>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</si>
  <si>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</si>
  <si>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</si>
  <si>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</si>
  <si>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</si>
  <si>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</si>
  <si>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</si>
  <si>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</si>
  <si>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</si>
  <si>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</si>
  <si>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</si>
  <si>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</si>
  <si>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</si>
  <si>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</si>
  <si>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</si>
  <si>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</si>
  <si>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</si>
  <si>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</si>
  <si>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</si>
  <si>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</si>
  <si>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</si>
  <si>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</si>
  <si>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</si>
  <si>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</si>
  <si>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</si>
  <si>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</si>
  <si>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</si>
  <si>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</si>
  <si>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</si>
  <si>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</si>
  <si>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</si>
  <si>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</si>
  <si>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</si>
  <si>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</si>
  <si>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</si>
  <si>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</si>
  <si>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</si>
  <si>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</si>
  <si>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</si>
  <si>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</si>
  <si>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</si>
  <si>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</si>
  <si>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</si>
  <si>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</si>
  <si>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</si>
  <si>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</si>
  <si>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</si>
  <si>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</si>
  <si>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</si>
  <si>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</si>
  <si>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</si>
  <si>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</si>
  <si>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</si>
  <si>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</si>
  <si>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</si>
  <si>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</si>
  <si>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</si>
  <si>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</si>
  <si>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</si>
  <si>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</si>
  <si>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</si>
  <si>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</si>
  <si>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</si>
  <si>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</si>
  <si>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</si>
  <si>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</si>
  <si>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</si>
  <si>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</si>
  <si>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</si>
  <si>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</si>
  <si>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Umair</t>
  </si>
  <si>
    <t xml:space="preserve">Padna Mart </t>
  </si>
  <si>
    <t xml:space="preserve">Address: Pak Arab </t>
  </si>
  <si>
    <t>Bismillah Strore</t>
  </si>
  <si>
    <t>Awan Super Store</t>
  </si>
  <si>
    <t>Taybba Store</t>
  </si>
  <si>
    <t>Waleed Super Store</t>
  </si>
  <si>
    <t>Address: Pak 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</si>
</sst>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46240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Padna Mart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Bismillah Strore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Awan Super Store</v>
      </c>
      <c r="T5" s="301">
        <f>+'3'!P35</f>
        <v>1127.9956910644069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Taybba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Waleed Super Store</v>
      </c>
      <c r="T7" s="301">
        <f>+'5'!P35</f>
        <v>3970.8005418305079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35</v>
      </c>
      <c r="I10" s="236">
        <f t="shared" si="0"/>
        <v>2542.4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203.392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88.984000000000009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2250.0240000000003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480.50847457627123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13.652662372881355</v>
      </c>
      <c r="P10" s="311">
        <f t="shared" si="2"/>
        <v>2744.1851369491528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25</v>
      </c>
      <c r="I11" s="236">
        <f t="shared" si="0"/>
        <v>1816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145.28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63.56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1607.16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343.22033898305085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9.7519016949152544</v>
      </c>
      <c r="P11" s="311">
        <f t="shared" si="2"/>
        <v>1960.1322406779661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108</v>
      </c>
      <c r="I12" s="236">
        <f t="shared" si="0"/>
        <v>7845.12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627.6096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274.57920000000001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6942.9312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1482.7118644067798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42.128215322033896</v>
      </c>
      <c r="P12" s="311">
        <f t="shared" si="2"/>
        <v>8467.771279728815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32</v>
      </c>
      <c r="I13" s="236">
        <f t="shared" si="0"/>
        <v>1255.3600000000001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62.768000000000015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43.93760000000001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64.023359999999997</v>
      </c>
      <c r="M13" s="230">
        <f t="shared" si="1"/>
        <v>1084.6310400000002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244.06779661016935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6.6434941830508478</v>
      </c>
      <c r="P13" s="311">
        <f t="shared" si="2"/>
        <v>1335.3423307932203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5</v>
      </c>
      <c r="H16" s="113">
        <f t="shared" ref="H16:M16" si="3">SUM(H7:H15)</f>
        <v>200</v>
      </c>
      <c r="I16" s="114">
        <f t="shared" si="3"/>
        <v>13458.880000000001</v>
      </c>
      <c r="J16" s="274">
        <f>SUM(J7:J15)</f>
        <v>1039.0496000000001</v>
      </c>
      <c r="K16" s="275">
        <f t="shared" si="3"/>
        <v>471.06080000000003</v>
      </c>
      <c r="L16" s="276">
        <f t="shared" si="3"/>
        <v>64.023359999999997</v>
      </c>
      <c r="M16" s="232">
        <f t="shared" si="3"/>
        <v>11884.74624</v>
      </c>
      <c r="N16" s="233">
        <f>SUM(N7:N15)</f>
        <v>2550.5084745762715</v>
      </c>
      <c r="O16" s="101">
        <f>SUM(O7:O15)</f>
        <v>72.176273572881357</v>
      </c>
      <c r="P16" s="113">
        <f>SUM(P7:P15)</f>
        <v>14507.430988149154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13458.880000000001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1039.0496000000001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535.08416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11884.74624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2550.5084745762715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14435.254714576273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72.176273572881357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14507.430988149154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14507.430988149152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1051.8800000000001</v>
      </c>
      <c r="J25" s="274">
        <f>SUM(J16:J24)</f>
        <v>70.027600000000007</v>
      </c>
      <c r="K25" s="275">
        <f t="shared" si="7"/>
        <v>36.81580000000001</v>
      </c>
      <c r="L25" s="276">
        <f t="shared" si="7"/>
        <v>24.008760000000002</v>
      </c>
      <c r="M25" s="232">
        <f t="shared" si="7"/>
        <v>921.02783999999997</v>
      </c>
      <c r="N25" s="233">
        <f>SUM(N16:N24)</f>
        <v>201.35593220338978</v>
      </c>
      <c r="O25" s="101">
        <f>SUM(O16:O24)</f>
        <v>5.6119188610169495</v>
      </c>
      <c r="P25" s="113">
        <f>SUM(P16:P24)</f>
        <v>1127.9956910644069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1051.8800000000001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70.027600000000007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60.824560000000012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921.02784000000008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201.35593220338978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1122.38377220339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5.6119188610169504</v>
      </c>
    </row>
    <row r="35" spans="2:16" ht="15.75" customHeight="1" thickBot="1" x14ac:dyDescent="0.4">
      <c r="N35" s="342" t="s">
        <v>88</v>
      </c>
      <c r="O35" s="343"/>
      <c r="P35" s="297">
        <f>+P33+P34</f>
        <v>1127.9956910644069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311">
        <f t="shared" si="5"/>
        <v>2352.1586888135594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60</v>
      </c>
      <c r="I25" s="114">
        <f t="shared" si="7"/>
        <v>3690.2</v>
      </c>
      <c r="J25" s="274">
        <f>SUM(J16:J24)</f>
        <v>271.678</v>
      </c>
      <c r="K25" s="275">
        <f t="shared" si="7"/>
        <v>129.15700000000001</v>
      </c>
      <c r="L25" s="276">
        <f t="shared" si="7"/>
        <v>40.014600000000002</v>
      </c>
      <c r="M25" s="232">
        <f t="shared" si="7"/>
        <v>3249.3504000000003</v>
      </c>
      <c r="N25" s="233">
        <f>SUM(N16:N24)</f>
        <v>701.69491525423723</v>
      </c>
      <c r="O25" s="101">
        <f>SUM(O16:O24)</f>
        <v>19.755226576271188</v>
      </c>
      <c r="P25" s="113">
        <f>SUM(P16:P24)</f>
        <v>3970.8005418305083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3690.2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271.678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169.17160000000001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3249.3503999999998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701.69491525423723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3951.0453152542368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19.755226576271184</v>
      </c>
    </row>
    <row r="35" spans="2:16" ht="15.75" customHeight="1" thickBot="1" x14ac:dyDescent="0.4">
      <c r="N35" s="342" t="s">
        <v>88</v>
      </c>
      <c r="O35" s="343"/>
      <c r="P35" s="297">
        <f>+P33+P34</f>
        <v>3970.8005418305079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46240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2026-08-06T11:11:09Z</dcterms:modified>
</cp:coreProperties>
</file>