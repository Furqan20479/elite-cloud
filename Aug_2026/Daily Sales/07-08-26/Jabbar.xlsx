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61FD346-150E-4305-AEFB-D061B1BE0611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<sst xmlns="http://schemas.openxmlformats.org/spreadsheetml/2006/main" count="3978" uniqueCount="527">
  <si>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</si>
  <si>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</si>
  <si>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</si>
  <si>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</si>
  <si>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</si>
  <si>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</si>
  <si>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</si>
  <si>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</si>
  <si>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</si>
  <si>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</si>
  <si>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</si>
  <si>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</si>
  <si>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</si>
  <si>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</si>
  <si>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</si>
  <si>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</si>
  <si>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</si>
  <si>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</si>
  <si>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</si>
  <si>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</si>
  <si>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</si>
  <si>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</si>
  <si>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</si>
  <si>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</si>
  <si>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</si>
  <si>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</si>
  <si>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</si>
  <si>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</si>
  <si>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</si>
  <si>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</si>
  <si>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</si>
  <si>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</si>
  <si>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</si>
  <si>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</si>
  <si>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</si>
  <si>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</si>
  <si>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</si>
  <si>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</si>
  <si>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</si>
  <si>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</si>
  <si>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</si>
  <si>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</si>
  <si>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</si>
  <si>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</si>
  <si>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</si>
  <si>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</si>
  <si>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</si>
  <si>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</si>
  <si>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</si>
  <si>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</si>
  <si>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</si>
  <si>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</si>
  <si>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</si>
  <si>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</si>
  <si>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</si>
  <si>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</si>
  <si>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</si>
  <si>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</si>
  <si>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</si>
  <si>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</si>
  <si>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</si>
  <si>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</si>
  <si>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</si>
  <si>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</si>
  <si>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</si>
  <si>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</si>
  <si>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</si>
  <si>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</si>
  <si>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</si>
  <si>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</si>
  <si>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</si>
  <si>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</si>
  <si>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</si>
  <si>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</si>
  <si>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</si>
  <si>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</si>
  <si>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</si>
  <si>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</si>
  <si>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</si>
  <si>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</si>
  <si>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</si>
  <si>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</si>
  <si>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</si>
  <si>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</si>
  <si>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</si>
  <si>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</si>
  <si>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</si>
  <si>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</si>
  <si>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</si>
  <si>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</si>
  <si>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</si>
  <si>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</si>
  <si>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</si>
  <si>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</si>
  <si>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</si>
  <si>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</si>
  <si>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</si>
  <si>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</si>
  <si>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</si>
  <si>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</si>
  <si>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</si>
  <si>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</si>
  <si>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</si>
  <si>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</si>
  <si>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</si>
  <si>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</si>
  <si>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</si>
  <si>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</si>
  <si>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</si>
  <si>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</si>
  <si>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</si>
  <si>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</si>
  <si>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</si>
  <si>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</si>
  <si>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</si>
  <si>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</si>
  <si>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</si>
  <si>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</si>
  <si>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</si>
  <si>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</si>
  <si>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</si>
  <si>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</si>
  <si>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</si>
  <si>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</si>
  <si>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</si>
  <si>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</si>
  <si>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</si>
  <si>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</si>
  <si>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</si>
  <si>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</si>
  <si>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</si>
  <si>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</si>
  <si>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</si>
  <si>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</si>
  <si>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</si>
  <si>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</si>
  <si>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</si>
  <si>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</si>
  <si>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</si>
  <si>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</si>
  <si>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</si>
  <si>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</si>
  <si>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</si>
  <si>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</si>
  <si>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</si>
  <si>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</si>
  <si>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</si>
  <si>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</si>
  <si>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</si>
  <si>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</si>
  <si>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</si>
  <si>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</si>
  <si>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</si>
  <si>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</si>
  <si>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</si>
  <si>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</si>
  <si>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</si>
  <si>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</si>
  <si>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</si>
  <si>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</si>
  <si>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</si>
  <si>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</si>
  <si>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</si>
  <si>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</si>
  <si>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</si>
  <si>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</si>
  <si>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</si>
  <si>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</si>
  <si>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</si>
  <si>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</si>
  <si>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</si>
  <si>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</si>
  <si>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</si>
  <si>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</si>
  <si>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</si>
  <si>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</si>
  <si>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</si>
  <si>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</si>
  <si>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</si>
  <si>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</si>
  <si>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</si>
  <si>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</si>
  <si>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</si>
  <si>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</si>
  <si>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</si>
  <si>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</si>
  <si>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</si>
  <si>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</si>
  <si>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</si>
  <si>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</si>
  <si>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</si>
  <si>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</si>
  <si>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</si>
  <si>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</si>
  <si>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</si>
  <si>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</si>
  <si>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</si>
  <si>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</si>
  <si>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</si>
  <si>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</si>
  <si>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</si>
  <si>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</si>
  <si>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</si>
  <si>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</si>
  <si>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</si>
  <si>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</si>
  <si>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</si>
  <si>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</si>
  <si>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</si>
  <si>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</si>
  <si>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</si>
  <si>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</si>
  <si>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</si>
  <si>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</si>
  <si>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</si>
  <si>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</si>
  <si>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</si>
  <si>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</si>
  <si>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</si>
  <si>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</si>
  <si>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</si>
  <si>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</si>
  <si>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</si>
  <si>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</si>
  <si>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</si>
  <si>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</si>
  <si>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</si>
  <si>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</si>
  <si>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</si>
  <si>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</si>
  <si>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</si>
  <si>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</si>
  <si>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</si>
  <si>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</si>
  <si>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</si>
  <si>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</si>
  <si>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</si>
  <si>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</si>
  <si>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</si>
  <si>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</si>
  <si>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</si>
  <si>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</si>
  <si>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</si>
  <si>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</si>
  <si>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</si>
  <si>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</si>
  <si>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</si>
  <si>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</si>
  <si>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</si>
  <si>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</si>
  <si>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</si>
  <si>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</si>
  <si>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</si>
  <si>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</si>
  <si>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</si>
  <si>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</si>
  <si>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</si>
  <si>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</si>
  <si>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</si>
  <si>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</si>
  <si>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</si>
  <si>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</si>
  <si>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</si>
  <si>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</si>
  <si>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</si>
  <si>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</si>
  <si>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</si>
  <si>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</si>
  <si>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</si>
  <si>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</si>
  <si>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</si>
  <si>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</si>
  <si>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</si>
  <si>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</si>
  <si>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</si>
  <si>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</si>
  <si>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</si>
  <si>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</si>
  <si>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</si>
  <si>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</si>
  <si>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</si>
  <si>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</si>
  <si>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</si>
  <si>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</si>
  <si>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</si>
  <si>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</si>
  <si>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</si>
  <si>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</si>
  <si>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</si>
  <si>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</si>
  <si>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</si>
  <si>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</si>
  <si>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</si>
  <si>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</si>
  <si>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</si>
  <si>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</si>
  <si>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</si>
  <si>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</si>
  <si>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</si>
  <si>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</si>
  <si>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</si>
  <si>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</si>
  <si>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</si>
  <si>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</si>
  <si>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</si>
  <si>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</si>
  <si>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</si>
  <si>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</si>
  <si>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</si>
  <si>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</si>
  <si>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</si>
  <si>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</si>
  <si>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</si>
  <si>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</si>
  <si>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</si>
  <si>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</si>
  <si>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</si>
  <si>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</si>
  <si>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</si>
  <si>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</si>
  <si>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</si>
  <si>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</si>
  <si>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</si>
  <si>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</si>
  <si>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</si>
  <si>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</si>
  <si>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</si>
  <si>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</si>
  <si>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</si>
  <si>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</si>
  <si>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</si>
  <si>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</si>
  <si>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</si>
  <si>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</si>
  <si>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</si>
  <si>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</si>
  <si>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</si>
  <si>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</si>
  <si>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</si>
  <si>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</si>
  <si>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</si>
  <si>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</si>
  <si>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</si>
  <si>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</si>
  <si>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</si>
  <si>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</si>
  <si>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</si>
  <si>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</si>
  <si>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</si>
  <si>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</si>
  <si>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</si>
  <si>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</si>
  <si>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</si>
  <si>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</si>
  <si>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</si>
  <si>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</si>
  <si>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</si>
  <si>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</si>
  <si>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</si>
  <si>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</si>
  <si>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</si>
  <si>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</si>
  <si>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</si>
  <si>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</si>
  <si>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</si>
  <si>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</si>
  <si>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</si>
  <si>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</si>
  <si>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</si>
  <si>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</si>
  <si>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</si>
  <si>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</si>
  <si>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</si>
  <si>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</si>
  <si>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</si>
  <si>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</si>
  <si>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</si>
  <si>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</si>
  <si>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</si>
  <si>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</si>
  <si>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</si>
  <si>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</si>
  <si>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</si>
  <si>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</si>
  <si>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</si>
  <si>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</si>
  <si>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</si>
  <si>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</si>
  <si>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</si>
  <si>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</si>
  <si>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</si>
  <si>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</si>
  <si>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</si>
  <si>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</si>
  <si>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</si>
  <si>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</si>
  <si>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</si>
  <si>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</si>
  <si>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</si>
  <si>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</si>
  <si>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</si>
  <si>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</si>
  <si>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</si>
  <si>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</si>
  <si>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</si>
  <si>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</si>
  <si>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</si>
  <si>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</si>
  <si>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</si>
  <si>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</si>
  <si>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</si>
  <si>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</si>
  <si>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</si>
  <si>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</si>
  <si>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</si>
  <si>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</si>
  <si>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</si>
  <si>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</si>
  <si>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</si>
  <si>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</si>
  <si>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</si>
  <si>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</si>
  <si>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</si>
  <si>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</si>
  <si>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</si>
  <si>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</si>
  <si>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</si>
  <si>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</si>
  <si>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</si>
  <si>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</si>
  <si>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</si>
  <si>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</si>
  <si>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</si>
  <si>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</si>
  <si>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</si>
  <si>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</si>
  <si>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</si>
  <si>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</si>
  <si>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</si>
  <si>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</si>
  <si>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</si>
  <si>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</si>
  <si>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</si>
  <si>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</si>
  <si>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</si>
  <si>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</si>
  <si>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</si>
  <si>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</si>
  <si>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</si>
  <si>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</si>
  <si>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</si>
  <si>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</si>
  <si>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</si>
  <si>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</si>
  <si>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</si>
  <si>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</si>
  <si>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</si>
  <si>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</si>
  <si>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</si>
  <si>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</si>
  <si>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</si>
  <si>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</si>
  <si>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</si>
  <si>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</si>
  <si>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</si>
  <si>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</si>
  <si>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</si>
  <si>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</si>
  <si>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</si>
  <si>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</si>
  <si>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</si>
  <si>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</si>
  <si>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</si>
  <si>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</si>
  <si>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</si>
  <si>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</si>
  <si>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</si>
  <si>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</si>
  <si>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</si>
  <si>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</si>
  <si>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</si>
  <si>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</si>
  <si>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</si>
  <si>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</si>
  <si>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</si>
  <si>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</si>
  <si>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</si>
  <si>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</si>
  <si>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</si>
  <si>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</si>
  <si>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</si>
  <si>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</si>
  <si>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</si>
  <si>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</si>
  <si>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</si>
  <si>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</si>
  <si>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</si>
  <si>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</si>
  <si>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</si>
  <si>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</si>
  <si>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</si>
  <si>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</si>
  <si>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</si>
  <si>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</si>
  <si>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</si>
  <si>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</si>
  <si>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</si>
  <si>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</si>
  <si>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</si>
  <si>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</si>
  <si>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</si>
  <si>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</si>
  <si>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</si>
  <si>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</si>
  <si>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</si>
  <si>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</si>
  <si>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Jabbar</t>
  </si>
  <si>
    <t>6 Brother</t>
  </si>
  <si>
    <t xml:space="preserve">Address: Babra Market </t>
  </si>
  <si>
    <t>Ali General Store</t>
  </si>
  <si>
    <t xml:space="preserve">Address: Sindhu Chowk </t>
  </si>
  <si>
    <t>Shaheen Store</t>
  </si>
  <si>
    <t>Address: Gopal Nager</t>
  </si>
  <si>
    <t>Kashmir Store</t>
  </si>
  <si>
    <t>Fazal Kabeeb Baker</t>
  </si>
  <si>
    <t>Banjour Store</t>
  </si>
  <si>
    <t xml:space="preserve">Address: Petrol Station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</si>
</sst>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H12" sqref="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46240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6 Brother</v>
      </c>
      <c r="T3" s="301">
        <f>+'1'!P35</f>
        <v>2680.945112589407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Ali General Store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Shaheen Store</v>
      </c>
      <c r="T5" s="301">
        <f>+'3'!P35</f>
        <v>1019.2732122775423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Kashmir Store</v>
      </c>
      <c r="T6" s="301">
        <f>+'4'!P35</f>
        <v>2744.1895840741522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24</v>
      </c>
      <c r="I7" s="235">
        <f>(G7*D7)*F7+H7*F7</f>
        <v>1259.0999999999999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100.72799999999999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44.0685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1114.3035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237.96610169491515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6.7613480084745756</v>
      </c>
      <c r="P7" s="310">
        <f>M7+N7+O7</f>
        <v>1359.0309497033898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Fazal Kabeeb Baker</v>
      </c>
      <c r="T7" s="301">
        <f>+'5'!P35</f>
        <v>2931.3217996131361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24</v>
      </c>
      <c r="I8" s="236">
        <f t="shared" ref="I8:I14" si="0">(G8*D8)*F8+H8*F8</f>
        <v>1259.0999999999999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100.72799999999999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44.0685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1114.3035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237.96610169491515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6.7613480084745756</v>
      </c>
      <c r="P8" s="311">
        <f t="shared" ref="P8:P15" si="2">M8+N8+O8</f>
        <v>1359.0309497033898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Banjour Store</v>
      </c>
      <c r="T8" s="301">
        <f>+'6'!P35</f>
        <v>4805.3894985762709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24</v>
      </c>
      <c r="I9" s="236">
        <f t="shared" si="0"/>
        <v>1259.0999999999999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100.72799999999999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44.0685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1114.3035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237.96610169491515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6.7613480084745756</v>
      </c>
      <c r="P9" s="311">
        <f t="shared" si="2"/>
        <v>1359.0309497033898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39</v>
      </c>
      <c r="I10" s="236">
        <f t="shared" si="0"/>
        <v>2832.96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226.63679999999999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99.153600000000012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2507.1696000000002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535.42372881355936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15.212966644067798</v>
      </c>
      <c r="P10" s="311">
        <f t="shared" si="2"/>
        <v>3057.8062954576271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26</v>
      </c>
      <c r="I11" s="236">
        <f t="shared" si="0"/>
        <v>1888.64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151.09120000000001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66.102400000000003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1671.4464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356.94915254237287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10.141977762711864</v>
      </c>
      <c r="P11" s="311">
        <f t="shared" si="2"/>
        <v>2038.5375303050848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33</v>
      </c>
      <c r="I12" s="236">
        <f t="shared" si="0"/>
        <v>2397.12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191.76960000000003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83.899200000000008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2121.4512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453.05084745762713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12.872510237288136</v>
      </c>
      <c r="P12" s="311">
        <f t="shared" si="2"/>
        <v>2587.3745576949154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98</v>
      </c>
      <c r="I13" s="236">
        <f t="shared" si="0"/>
        <v>3844.5400000000004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192.22700000000003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134.55890000000005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196.07154</v>
      </c>
      <c r="M13" s="230">
        <f t="shared" si="1"/>
        <v>3321.6825600000002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747.45762711864359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20.345700935593221</v>
      </c>
      <c r="P13" s="311">
        <f t="shared" si="2"/>
        <v>4089.485888054237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6.7</v>
      </c>
      <c r="H16" s="113">
        <f t="shared" ref="H16:M16" si="3">SUM(H7:H15)</f>
        <v>268</v>
      </c>
      <c r="I16" s="114">
        <f t="shared" si="3"/>
        <v>14740.560000000001</v>
      </c>
      <c r="J16" s="274">
        <f>SUM(J7:J15)</f>
        <v>1063.9086000000002</v>
      </c>
      <c r="K16" s="275">
        <f t="shared" si="3"/>
        <v>515.91960000000006</v>
      </c>
      <c r="L16" s="276">
        <f t="shared" si="3"/>
        <v>196.07154</v>
      </c>
      <c r="M16" s="232">
        <f t="shared" si="3"/>
        <v>12964.660260000001</v>
      </c>
      <c r="N16" s="233">
        <f>SUM(N7:N15)</f>
        <v>2806.7796610169489</v>
      </c>
      <c r="O16" s="101">
        <f>SUM(O7:O15)</f>
        <v>78.857199605084759</v>
      </c>
      <c r="P16" s="113">
        <f>SUM(P7:P15)</f>
        <v>15850.297120622032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14740.560000000001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1063.9086000000002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711.99114000000009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12964.660260000001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2806.7796610169489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15771.43992101695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78.857199605084759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15850.297120622035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15850.297120622035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ref="I18:I21" si="7">(G18*D18)*F18+H18*F18</f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42</v>
      </c>
      <c r="I25" s="114">
        <f t="shared" ref="I25:M25" si="10">SUM(I16:I24)</f>
        <v>2487.2250000000004</v>
      </c>
      <c r="J25" s="274">
        <f>SUM(J16:J24)</f>
        <v>191.91659999999999</v>
      </c>
      <c r="K25" s="275">
        <f t="shared" si="10"/>
        <v>87.052875</v>
      </c>
      <c r="L25" s="276">
        <f t="shared" si="10"/>
        <v>12.004380000000001</v>
      </c>
      <c r="M25" s="232">
        <f t="shared" si="10"/>
        <v>2196.2511449999997</v>
      </c>
      <c r="N25" s="233">
        <f>SUM(N16:N24)</f>
        <v>471.35593220338984</v>
      </c>
      <c r="O25" s="101">
        <f>SUM(O16:O24)</f>
        <v>13.338035386016948</v>
      </c>
      <c r="P25" s="113">
        <f>SUM(P16:P24)</f>
        <v>2680.9451125894066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2487.2250000000004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191.91659999999999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99.057254999999998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2196.2511450000002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471.35593220338984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2667.60707720339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13.33803538601695</v>
      </c>
    </row>
    <row r="35" spans="2:16" ht="15.75" customHeight="1" thickBot="1" x14ac:dyDescent="0.4">
      <c r="N35" s="342" t="s">
        <v>88</v>
      </c>
      <c r="O35" s="343"/>
      <c r="P35" s="297">
        <f>+P33+P34</f>
        <v>2680.945112589407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522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18</v>
      </c>
      <c r="I25" s="114">
        <f t="shared" si="7"/>
        <v>944.32499999999993</v>
      </c>
      <c r="J25" s="274">
        <f>SUM(J16:J24)</f>
        <v>75.545999999999992</v>
      </c>
      <c r="K25" s="275">
        <f t="shared" si="7"/>
        <v>33.051375</v>
      </c>
      <c r="L25" s="276">
        <f t="shared" si="7"/>
        <v>0</v>
      </c>
      <c r="M25" s="232">
        <f t="shared" si="7"/>
        <v>835.72762499999999</v>
      </c>
      <c r="N25" s="233">
        <f>SUM(N16:N24)</f>
        <v>178.47457627118638</v>
      </c>
      <c r="O25" s="101">
        <f>SUM(O16:O24)</f>
        <v>5.0710110063559313</v>
      </c>
      <c r="P25" s="113">
        <f>SUM(P16:P24)</f>
        <v>1019.2732122775424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944.32499999999993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75.545999999999992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33.051375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835.72762499999999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1014.2022012711864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42" t="s">
        <v>88</v>
      </c>
      <c r="O35" s="343"/>
      <c r="P35" s="297">
        <f>+P33+P34</f>
        <v>1019.2732122775423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8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522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311">
        <f t="shared" si="5"/>
        <v>313.62115850847459</v>
      </c>
      <c r="Q20" s="156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2542.4050000000002</v>
      </c>
      <c r="J25" s="274">
        <f>SUM(J16:J24)</f>
        <v>203.39239999999998</v>
      </c>
      <c r="K25" s="275">
        <f t="shared" si="7"/>
        <v>88.984175000000008</v>
      </c>
      <c r="L25" s="276">
        <f t="shared" si="7"/>
        <v>0</v>
      </c>
      <c r="M25" s="232">
        <f t="shared" si="7"/>
        <v>2250.028425</v>
      </c>
      <c r="N25" s="233">
        <f>SUM(N16:N24)</f>
        <v>480.50847457627117</v>
      </c>
      <c r="O25" s="101">
        <f>SUM(O16:O24)</f>
        <v>13.652684497881356</v>
      </c>
      <c r="P25" s="113">
        <f>SUM(P16:P24)</f>
        <v>2744.1895840741527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2542.4050000000002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203.39239999999998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88.984175000000008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2250.028425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480.50847457627117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2730.536899576271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13.652684497881355</v>
      </c>
    </row>
    <row r="35" spans="2:16" ht="15.75" customHeight="1" thickBot="1" x14ac:dyDescent="0.4">
      <c r="N35" s="342" t="s">
        <v>88</v>
      </c>
      <c r="O35" s="343"/>
      <c r="P35" s="297">
        <f>+P33+P34</f>
        <v>2744.1895840741522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522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48</v>
      </c>
      <c r="I25" s="114">
        <f t="shared" si="7"/>
        <v>2722.6050000000005</v>
      </c>
      <c r="J25" s="274">
        <f>SUM(J16:J24)</f>
        <v>203.68559999999999</v>
      </c>
      <c r="K25" s="275">
        <f t="shared" si="7"/>
        <v>95.29117500000001</v>
      </c>
      <c r="L25" s="276">
        <f t="shared" si="7"/>
        <v>24.008760000000002</v>
      </c>
      <c r="M25" s="232">
        <f t="shared" si="7"/>
        <v>2399.6194649999998</v>
      </c>
      <c r="N25" s="233">
        <f>SUM(N16:N24)</f>
        <v>517.11864406779659</v>
      </c>
      <c r="O25" s="101">
        <f>SUM(O16:O24)</f>
        <v>14.583690545338982</v>
      </c>
      <c r="P25" s="113">
        <f>SUM(P16:P24)</f>
        <v>2931.3217996131357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2722.6050000000005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203.68559999999999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119.299935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2399.6194650000007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517.11864406779659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2916.7381090677973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14.583690545338987</v>
      </c>
    </row>
    <row r="35" spans="2:16" ht="15.75" customHeight="1" thickBot="1" x14ac:dyDescent="0.4">
      <c r="N35" s="342" t="s">
        <v>88</v>
      </c>
      <c r="O35" s="343"/>
      <c r="P35" s="297">
        <f>+P33+P34</f>
        <v>2931.3217996131361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0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3927.2447999999999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46240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2026-08-06T12:29:57Z</dcterms:modified>
</cp:coreProperties>
</file>