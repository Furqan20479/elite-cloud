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8734DA1-74B5-4353-BA4E-20B353C1B5A4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J7" i="62"/>
  <c r="M16" i="48"/>
  <c r="M20" i="47"/>
  <c r="O20" i="47" s="1"/>
  <c r="P20" i="47" s="1"/>
  <c r="R20" i="47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12" i="62" s="1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<sst xmlns="http://schemas.openxmlformats.org/spreadsheetml/2006/main" count="3978" uniqueCount="534">
  <si>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</si>
  <si>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</si>
  <si>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</si>
  <si>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</si>
  <si>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</si>
  <si>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</si>
  <si>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</si>
  <si>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</si>
  <si>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</si>
  <si>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</si>
  <si>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</si>
  <si>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</si>
  <si>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</si>
  <si>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</si>
  <si>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</si>
  <si>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</si>
  <si>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</si>
  <si>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</si>
  <si>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</si>
  <si>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</si>
  <si>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</si>
  <si>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</si>
  <si>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</si>
  <si>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</si>
  <si>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</si>
  <si>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</si>
  <si>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</si>
  <si>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</si>
  <si>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</si>
  <si>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</si>
  <si>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</si>
  <si>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</si>
  <si>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</si>
  <si>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</si>
  <si>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</si>
  <si>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</si>
  <si>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</si>
  <si>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</si>
  <si>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</si>
  <si>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</si>
  <si>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</si>
  <si>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</si>
  <si>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</si>
  <si>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</si>
  <si>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</si>
  <si>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</si>
  <si>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</si>
  <si>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</si>
  <si>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</si>
  <si>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</si>
  <si>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</si>
  <si>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</si>
  <si>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</si>
  <si>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</si>
  <si>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</si>
  <si>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</si>
  <si>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</si>
  <si>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</si>
  <si>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</si>
  <si>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</si>
  <si>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</si>
  <si>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</si>
  <si>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</si>
  <si>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</si>
  <si>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</si>
  <si>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</si>
  <si>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</si>
  <si>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</si>
  <si>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</si>
  <si>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</si>
  <si>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</si>
  <si>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</si>
  <si>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</si>
  <si>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</si>
  <si>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</si>
  <si>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</si>
  <si>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</si>
  <si>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</si>
  <si>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</si>
  <si>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</si>
  <si>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</si>
  <si>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</si>
  <si>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</si>
  <si>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</si>
  <si>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</si>
  <si>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</si>
  <si>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</si>
  <si>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</si>
  <si>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</si>
  <si>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</si>
  <si>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</si>
  <si>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</si>
  <si>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</si>
  <si>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</si>
  <si>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</si>
  <si>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</si>
  <si>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</si>
  <si>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</si>
  <si>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</si>
  <si>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</si>
  <si>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</si>
  <si>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</si>
  <si>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</si>
  <si>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</si>
  <si>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</si>
  <si>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</si>
  <si>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</si>
  <si>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</si>
  <si>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</si>
  <si>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</si>
  <si>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</si>
  <si>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</si>
  <si>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</si>
  <si>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</si>
  <si>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</si>
  <si>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</si>
  <si>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</si>
  <si>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</si>
  <si>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</si>
  <si>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</si>
  <si>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</si>
  <si>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</si>
  <si>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</si>
  <si>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</si>
  <si>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</si>
  <si>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</si>
  <si>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</si>
  <si>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</si>
  <si>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</si>
  <si>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</si>
  <si>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</si>
  <si>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</si>
  <si>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</si>
  <si>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</si>
  <si>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</si>
  <si>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</si>
  <si>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</si>
  <si>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</si>
  <si>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</si>
  <si>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</si>
  <si>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</si>
  <si>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</si>
  <si>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</si>
  <si>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</si>
  <si>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</si>
  <si>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</si>
  <si>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</si>
  <si>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</si>
  <si>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</si>
  <si>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</si>
  <si>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</si>
  <si>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</si>
  <si>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</si>
  <si>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</si>
  <si>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</si>
  <si>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</si>
  <si>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</si>
  <si>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</si>
  <si>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</si>
  <si>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</si>
  <si>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</si>
  <si>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</si>
  <si>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</si>
  <si>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</si>
  <si>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</si>
  <si>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</si>
  <si>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</si>
  <si>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</si>
  <si>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</si>
  <si>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</si>
  <si>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</si>
  <si>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</si>
  <si>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</si>
  <si>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</si>
  <si>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</si>
  <si>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</si>
  <si>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</si>
  <si>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</si>
  <si>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</si>
  <si>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</si>
  <si>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</si>
  <si>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</si>
  <si>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</si>
  <si>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</si>
  <si>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</si>
  <si>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</si>
  <si>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</si>
  <si>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</si>
  <si>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</si>
  <si>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</si>
  <si>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</si>
  <si>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</si>
  <si>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</si>
  <si>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</si>
  <si>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</si>
  <si>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</si>
  <si>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</si>
  <si>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</si>
  <si>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</si>
  <si>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</si>
  <si>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</si>
  <si>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</si>
  <si>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</si>
  <si>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</si>
  <si>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</si>
  <si>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</si>
  <si>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</si>
  <si>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</si>
  <si>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</si>
  <si>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</si>
  <si>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</si>
  <si>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</si>
  <si>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</si>
  <si>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</si>
  <si>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</si>
  <si>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</si>
  <si>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</si>
  <si>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</si>
  <si>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</si>
  <si>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</si>
  <si>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</si>
  <si>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</si>
  <si>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</si>
  <si>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</si>
  <si>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</si>
  <si>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</si>
  <si>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</si>
  <si>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</si>
  <si>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</si>
  <si>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</si>
  <si>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</si>
  <si>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</si>
  <si>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</si>
  <si>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</si>
  <si>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</si>
  <si>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</si>
  <si>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</si>
  <si>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</si>
  <si>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</si>
  <si>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</si>
  <si>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</si>
  <si>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</si>
  <si>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</si>
  <si>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</si>
  <si>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</si>
  <si>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</si>
  <si>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</si>
  <si>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</si>
  <si>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</si>
  <si>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</si>
  <si>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</si>
  <si>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</si>
  <si>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</si>
  <si>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</si>
  <si>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</si>
  <si>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</si>
  <si>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</si>
  <si>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</si>
  <si>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</si>
  <si>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</si>
  <si>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</si>
  <si>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</si>
  <si>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</si>
  <si>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</si>
  <si>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</si>
  <si>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</si>
  <si>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</si>
  <si>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</si>
  <si>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</si>
  <si>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</si>
  <si>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</si>
  <si>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</si>
  <si>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</si>
  <si>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</si>
  <si>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</si>
  <si>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</si>
  <si>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</si>
  <si>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</si>
  <si>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</si>
  <si>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</si>
  <si>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</si>
  <si>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</si>
  <si>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</si>
  <si>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</si>
  <si>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</si>
  <si>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</si>
  <si>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</si>
  <si>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</si>
  <si>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</si>
  <si>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</si>
  <si>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</si>
  <si>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</si>
  <si>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</si>
  <si>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</si>
  <si>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</si>
  <si>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</si>
  <si>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</si>
  <si>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</si>
  <si>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</si>
  <si>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</si>
  <si>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</si>
  <si>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</si>
  <si>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</si>
  <si>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</si>
  <si>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</si>
  <si>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</si>
  <si>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</si>
  <si>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</si>
  <si>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</si>
  <si>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</si>
  <si>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</si>
  <si>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</si>
  <si>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</si>
  <si>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</si>
  <si>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</si>
  <si>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</si>
  <si>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</si>
  <si>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</si>
  <si>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</si>
  <si>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</si>
  <si>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</si>
  <si>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</si>
  <si>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</si>
  <si>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</si>
  <si>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</si>
  <si>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</si>
  <si>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</si>
  <si>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</si>
  <si>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</si>
  <si>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</si>
  <si>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</si>
  <si>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</si>
  <si>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</si>
  <si>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</si>
  <si>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</si>
  <si>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</si>
  <si>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</si>
  <si>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</si>
  <si>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</si>
  <si>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</si>
  <si>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</si>
  <si>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</si>
  <si>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</si>
  <si>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</si>
  <si>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</si>
  <si>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</si>
  <si>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</si>
  <si>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</si>
  <si>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</si>
  <si>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</si>
  <si>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</si>
  <si>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</si>
  <si>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</si>
  <si>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</si>
  <si>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</si>
  <si>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</si>
  <si>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</si>
  <si>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</si>
  <si>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</si>
  <si>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</si>
  <si>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</si>
  <si>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</si>
  <si>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</si>
  <si>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</si>
  <si>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</si>
  <si>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</si>
  <si>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</si>
  <si>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</si>
  <si>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</si>
  <si>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</si>
  <si>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</si>
  <si>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</si>
  <si>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</si>
  <si>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</si>
  <si>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</si>
  <si>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</si>
  <si>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</si>
  <si>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</si>
  <si>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</si>
  <si>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</si>
  <si>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</si>
  <si>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</si>
  <si>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</si>
  <si>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</si>
  <si>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</si>
  <si>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</si>
  <si>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</si>
  <si>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</si>
  <si>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</si>
  <si>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</si>
  <si>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</si>
  <si>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</si>
  <si>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</si>
  <si>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</si>
  <si>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</si>
  <si>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</si>
  <si>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</si>
  <si>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</si>
  <si>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</si>
  <si>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</si>
  <si>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</si>
  <si>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</si>
  <si>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</si>
  <si>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</si>
  <si>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</si>
  <si>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</si>
  <si>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</si>
  <si>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</si>
  <si>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</si>
  <si>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</si>
  <si>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</si>
  <si>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</si>
  <si>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</si>
  <si>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</si>
  <si>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</si>
  <si>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</si>
  <si>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</si>
  <si>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</si>
  <si>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</si>
  <si>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</si>
  <si>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</si>
  <si>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</si>
  <si>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</si>
  <si>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</si>
  <si>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</si>
  <si>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</si>
  <si>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</si>
  <si>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</si>
  <si>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</si>
  <si>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</si>
  <si>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</si>
  <si>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</si>
  <si>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</si>
  <si>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</si>
  <si>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</si>
  <si>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</si>
  <si>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</si>
  <si>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</si>
  <si>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</si>
  <si>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</si>
  <si>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</si>
  <si>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</si>
  <si>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</si>
  <si>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</si>
  <si>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</si>
  <si>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</si>
  <si>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</si>
  <si>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</si>
  <si>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</si>
  <si>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</si>
  <si>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</si>
  <si>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</si>
  <si>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</si>
  <si>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</si>
  <si>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</si>
  <si>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</si>
  <si>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</si>
  <si>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</si>
  <si>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</si>
  <si>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</si>
  <si>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</si>
  <si>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</si>
  <si>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</si>
  <si>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</si>
  <si>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</si>
  <si>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</si>
  <si>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</si>
  <si>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</si>
  <si>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</si>
  <si>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</si>
  <si>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</si>
  <si>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</si>
  <si>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</si>
  <si>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</si>
  <si>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</si>
  <si>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</si>
  <si>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</si>
  <si>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</si>
  <si>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</si>
  <si>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</si>
  <si>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</si>
  <si>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</si>
  <si>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</si>
  <si>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</si>
  <si>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</si>
  <si>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</si>
  <si>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</si>
  <si>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</si>
  <si>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</si>
  <si>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</si>
  <si>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</si>
  <si>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</si>
  <si>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</si>
  <si>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</si>
  <si>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</si>
  <si>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</si>
  <si>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</si>
  <si>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</si>
  <si>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</si>
  <si>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</si>
  <si>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</si>
  <si>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</si>
  <si>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</si>
  <si>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</si>
  <si>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</si>
  <si>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</si>
  <si>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</si>
  <si>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</si>
  <si>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</si>
  <si>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</si>
  <si>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</si>
  <si>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</si>
  <si>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</si>
  <si>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</si>
  <si>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</si>
  <si>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</si>
  <si>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Salman</t>
  </si>
  <si>
    <t>Nawab General Store</t>
  </si>
  <si>
    <t xml:space="preserve">Address: Hadeyara </t>
  </si>
  <si>
    <t>Shahid Store</t>
  </si>
  <si>
    <t>Haider Ali Store</t>
  </si>
  <si>
    <t>Lala Store</t>
  </si>
  <si>
    <t>Hikma Store  1</t>
  </si>
  <si>
    <t>Address:  Paragon</t>
  </si>
  <si>
    <t>Hikma Store 2</t>
  </si>
  <si>
    <t xml:space="preserve">Address:  Paragon </t>
  </si>
  <si>
    <t xml:space="preserve">Pick &amp; Pack Mart </t>
  </si>
  <si>
    <t xml:space="preserve">Address: Paragon </t>
  </si>
  <si>
    <t>Umaima Super Store</t>
  </si>
  <si>
    <t xml:space="preserve">Al Mustafa Mart </t>
  </si>
  <si>
    <t xml:space="preserve">Address: Green City </t>
  </si>
  <si>
    <t>Hikma Mart 3</t>
  </si>
  <si>
    <t>Haji Store</t>
  </si>
  <si>
    <t xml:space="preserve">Address:  Green City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</si>
</sst>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46240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Nawab General Store</v>
      </c>
      <c r="T3" s="301">
        <f>+'1'!P35</f>
        <v>250.37668702372881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Shahid Store</v>
      </c>
      <c r="T4" s="301">
        <f>+'2'!P35</f>
        <v>250.37668702372881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Haider Ali Store</v>
      </c>
      <c r="T5" s="301">
        <f>+'3'!P35</f>
        <v>500.75337404745761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Lala Store</v>
      </c>
      <c r="T6" s="301">
        <f>+'4'!P35</f>
        <v>590.13442444957616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58</v>
      </c>
      <c r="I7" s="235">
        <f>(G7*D7)*F7+H7*F7</f>
        <v>3042.8249999999998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243.42599999999999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106.498875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2692.9001249999997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575.08474576271158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16.339924353813558</v>
      </c>
      <c r="P7" s="310">
        <f>M7+N7+O7</f>
        <v>3284.3247951165249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Hikma Store  1</v>
      </c>
      <c r="T7" s="301">
        <f>+'5'!P35</f>
        <v>5401.2631679237275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31</v>
      </c>
      <c r="I8" s="236">
        <f t="shared" ref="I8:I14" si="0">(G8*D8)*F8+H8*F8</f>
        <v>1626.3374999999999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130.107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56.921812500000001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1439.3086874999999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307.37288135593212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8.733407844279661</v>
      </c>
      <c r="P8" s="311">
        <f t="shared" ref="P8:P15" si="2">M8+N8+O8</f>
        <v>1755.4149767002116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Hikma Store 2</v>
      </c>
      <c r="T8" s="301">
        <f>+'6'!P35</f>
        <v>3136.2115850847458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101</v>
      </c>
      <c r="I9" s="236">
        <f t="shared" si="0"/>
        <v>5298.7124999999996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423.89699999999999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185.4549375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4689.3605625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1001.4406779661012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28.454006202330511</v>
      </c>
      <c r="P9" s="311">
        <f t="shared" si="2"/>
        <v>5719.2552466684319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Pick &amp; Pack Mart </v>
      </c>
      <c r="T9" s="301">
        <f>+'7'!P35</f>
        <v>3240.7579007542372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54</v>
      </c>
      <c r="I10" s="236">
        <f t="shared" si="0"/>
        <v>3922.56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313.8048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137.28960000000001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3471.4656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741.35593220338978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21.064107661016951</v>
      </c>
      <c r="P10" s="311">
        <f t="shared" si="2"/>
        <v>4233.8856398644075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Umaima Super Store</v>
      </c>
      <c r="T10" s="301">
        <f>+'8'!P35</f>
        <v>5401.2631679237293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78</v>
      </c>
      <c r="I11" s="236">
        <f t="shared" si="0"/>
        <v>5665.92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453.27360000000004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198.30720000000002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5014.3392000000003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1070.8474576271187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30.425933288135596</v>
      </c>
      <c r="P11" s="311">
        <f t="shared" si="2"/>
        <v>6115.6125909152543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Al Mustafa Mart </v>
      </c>
      <c r="T11" s="301">
        <f>+'9'!P35</f>
        <v>2265.051582838983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64</v>
      </c>
      <c r="I12" s="236">
        <f t="shared" si="0"/>
        <v>4648.96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371.91680000000002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162.71360000000001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4114.3296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878.64406779661022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24.964868338983052</v>
      </c>
      <c r="P12" s="311">
        <f t="shared" si="2"/>
        <v>5017.9385361355935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Hikma Mart 3</v>
      </c>
      <c r="T12" s="301">
        <f>+'10'!P35</f>
        <v>5401.2631679237284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42</v>
      </c>
      <c r="I13" s="236">
        <f t="shared" si="0"/>
        <v>1647.66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82.38300000000001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57.668100000000017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84.030660000000012</v>
      </c>
      <c r="M13" s="230">
        <f t="shared" si="1"/>
        <v>1423.5782400000001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320.33898305084728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8.719586115254236</v>
      </c>
      <c r="P13" s="311">
        <f t="shared" si="2"/>
        <v>1752.6368091661016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Haji Store</v>
      </c>
      <c r="T13" s="301">
        <f>+'11'!P35</f>
        <v>1441.6168495728814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10.7</v>
      </c>
      <c r="H16" s="113">
        <f t="shared" ref="H16:M16" si="3">SUM(H7:H15)</f>
        <v>428</v>
      </c>
      <c r="I16" s="114">
        <f t="shared" si="3"/>
        <v>25852.974999999999</v>
      </c>
      <c r="J16" s="274">
        <f>SUM(J7:J15)</f>
        <v>2018.8082000000002</v>
      </c>
      <c r="K16" s="275">
        <f t="shared" si="3"/>
        <v>904.85412500000007</v>
      </c>
      <c r="L16" s="276">
        <f t="shared" si="3"/>
        <v>84.030660000000012</v>
      </c>
      <c r="M16" s="232">
        <f t="shared" si="3"/>
        <v>22845.282014999997</v>
      </c>
      <c r="N16" s="233">
        <f>SUM(N7:N15)</f>
        <v>4895.0847457627115</v>
      </c>
      <c r="O16" s="101">
        <f>SUM(O7:O15)</f>
        <v>138.70183380381354</v>
      </c>
      <c r="P16" s="113">
        <f>SUM(P7:P15)</f>
        <v>27879.068594566525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25852.974999999999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2018.8082000000002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988.88478500000008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22845.282015000001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4895.0847457627115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27740.366760762714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138.70183380381354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27879.068594566528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27879.068594566525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514</v>
      </c>
    </row>
    <row r="51" spans="2:2" x14ac:dyDescent="0.35">
      <c r="B51" t="s">
        <v>515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7.2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6</v>
      </c>
      <c r="I25" s="114">
        <f t="shared" ref="I25:M25" si="10">SUM(I16:I24)</f>
        <v>235.38000000000002</v>
      </c>
      <c r="J25" s="274">
        <f>SUM(J16:J24)</f>
        <v>11.769000000000002</v>
      </c>
      <c r="K25" s="275">
        <f t="shared" si="10"/>
        <v>8.2383000000000024</v>
      </c>
      <c r="L25" s="276">
        <f t="shared" si="10"/>
        <v>12.004380000000001</v>
      </c>
      <c r="M25" s="232">
        <f t="shared" si="10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235.38000000000002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11.769000000000002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20.242680000000004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203.36832000000001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249.13103186440676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42" t="s">
        <v>88</v>
      </c>
      <c r="O35" s="343"/>
      <c r="P35" s="297">
        <f>+P33+P34</f>
        <v>250.37668702372881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235.38000000000002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11.769000000000002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20.242680000000004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203.36832000000001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249.13103186440676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42" t="s">
        <v>88</v>
      </c>
      <c r="O35" s="343"/>
      <c r="P35" s="297">
        <f>+P33+P34</f>
        <v>250.37668702372881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8.7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470.76000000000005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23.538000000000004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40.485360000000007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406.73664000000002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498.26206372881353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2" t="s">
        <v>88</v>
      </c>
      <c r="O35" s="343"/>
      <c r="P35" s="297">
        <f>+P33+P34</f>
        <v>500.75337404745761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310">
        <f>M16+N16+O16</f>
        <v>169.87886871292372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311">
        <f t="shared" ref="P17:P24" si="5">M17+N17+O17</f>
        <v>169.87886871292372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</v>
      </c>
      <c r="I25" s="114">
        <f t="shared" si="7"/>
        <v>550.15499999999997</v>
      </c>
      <c r="J25" s="274">
        <f>SUM(J16:J24)</f>
        <v>36.951000000000001</v>
      </c>
      <c r="K25" s="275">
        <f t="shared" si="7"/>
        <v>19.255425000000002</v>
      </c>
      <c r="L25" s="276">
        <f t="shared" si="7"/>
        <v>12.004380000000001</v>
      </c>
      <c r="M25" s="232">
        <f t="shared" si="7"/>
        <v>481.94419500000004</v>
      </c>
      <c r="N25" s="233">
        <f>SUM(N16:N24)</f>
        <v>105.25423728813554</v>
      </c>
      <c r="O25" s="101">
        <f>SUM(O16:O24)</f>
        <v>2.9359921614406774</v>
      </c>
      <c r="P25" s="113">
        <f>SUM(P16:P24)</f>
        <v>590.13442444957627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550.15499999999997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36.951000000000001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31.259805000000004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481.94419499999992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105.25423728813554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587.19843228813545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2.9359921614406774</v>
      </c>
    </row>
    <row r="35" spans="2:16" ht="15.75" customHeight="1" thickBot="1" x14ac:dyDescent="0.4">
      <c r="N35" s="342" t="s">
        <v>88</v>
      </c>
      <c r="O35" s="343"/>
      <c r="P35" s="297">
        <f>+P33+P34</f>
        <v>590.13442444957616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523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311">
        <f t="shared" si="5"/>
        <v>1132.5257914194915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5004.0999999999995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26.871956059322031</v>
      </c>
      <c r="P25" s="113">
        <f>SUM(P16:P24)</f>
        <v>5401.2631679237293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5004.0999999999995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400.32800000000003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175.14350000000002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4428.6284999999989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5374.3912118644057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26.871956059322031</v>
      </c>
    </row>
    <row r="35" spans="2:16" ht="15.75" customHeight="1" thickBot="1" x14ac:dyDescent="0.4">
      <c r="N35" s="342" t="s">
        <v>88</v>
      </c>
      <c r="O35" s="343"/>
      <c r="P35" s="297">
        <f>+P33+P34</f>
        <v>5401.2631679237275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311">
        <f t="shared" si="5"/>
        <v>339.75773742584744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48</v>
      </c>
      <c r="I25" s="114">
        <f t="shared" si="7"/>
        <v>3002.46</v>
      </c>
      <c r="J25" s="274">
        <f>SUM(J16:J24)</f>
        <v>240.1968</v>
      </c>
      <c r="K25" s="275">
        <f t="shared" si="7"/>
        <v>105.08610000000002</v>
      </c>
      <c r="L25" s="276">
        <f t="shared" si="7"/>
        <v>0</v>
      </c>
      <c r="M25" s="232">
        <f t="shared" si="7"/>
        <v>2657.1770999999999</v>
      </c>
      <c r="N25" s="233">
        <f>SUM(N16:N24)</f>
        <v>567.45762711864404</v>
      </c>
      <c r="O25" s="101">
        <f>SUM(O16:O24)</f>
        <v>16.123173635593218</v>
      </c>
      <c r="P25" s="113">
        <f>SUM(P16:P24)</f>
        <v>3240.7579007542372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3002.46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240.1968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105.08610000000002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2657.1770999999999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567.45762711864404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3224.6347271186442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16.123173635593222</v>
      </c>
    </row>
    <row r="35" spans="2:16" ht="15.75" customHeight="1" thickBot="1" x14ac:dyDescent="0.4">
      <c r="N35" s="342" t="s">
        <v>88</v>
      </c>
      <c r="O35" s="343"/>
      <c r="P35" s="297">
        <f>+P33+P34</f>
        <v>3240.7579007542372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528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26.871956059322034</v>
      </c>
      <c r="P25" s="113">
        <f>SUM(P16:P24)</f>
        <v>5401.2631679237293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5004.1000000000004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400.32799999999997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175.14350000000002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4428.6285000000007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5374.3912118644075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42" t="s">
        <v>88</v>
      </c>
      <c r="O35" s="343"/>
      <c r="P35" s="297">
        <f>+P33+P34</f>
        <v>5401.2631679237293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529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530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311">
        <f t="shared" si="5"/>
        <v>1132.5257914194915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2098.5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167.88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73.447500000000005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1857.1724999999999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2253.7826694915252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2" t="s">
        <v>88</v>
      </c>
      <c r="O35" s="343"/>
      <c r="P35" s="297">
        <f>+P33+P34</f>
        <v>2265.051582838983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531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530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13</v>
      </c>
      <c r="I16" s="235">
        <f>(G16*D16)*F16+H16*F16</f>
        <v>682.01249999999993</v>
      </c>
      <c r="J16" s="271">
        <f>$I16*S16</f>
        <v>54.560999999999993</v>
      </c>
      <c r="K16" s="127">
        <f>$I16*T16</f>
        <v>23.870437500000001</v>
      </c>
      <c r="L16" s="118">
        <f>$I16*U16</f>
        <v>0</v>
      </c>
      <c r="M16" s="229">
        <f>I16-SUM(J16:L16)</f>
        <v>603.58106249999992</v>
      </c>
      <c r="N16" s="248">
        <f>+(G16*D16+H16)*V16</f>
        <v>128.89830508474572</v>
      </c>
      <c r="O16" s="238">
        <f>(N16+M16)*$O$15</f>
        <v>3.6623968379237284</v>
      </c>
      <c r="P16" s="310">
        <f>M16+N16+O16</f>
        <v>736.14176442266944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311">
        <f t="shared" si="5"/>
        <v>849.39434356461845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311">
        <f t="shared" si="5"/>
        <v>1019.2687651525424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945.7627118644067</v>
      </c>
      <c r="O25" s="101">
        <f>SUM(O16:O24)</f>
        <v>26.871956059322034</v>
      </c>
      <c r="P25" s="113">
        <f>SUM(P16:P24)</f>
        <v>5401.2631679237284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5004.1000000000004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400.32800000000003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175.14350000000002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4428.6284999999998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945.7627118644067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5374.3912118644066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42" t="s">
        <v>88</v>
      </c>
      <c r="O35" s="343"/>
      <c r="P35" s="297">
        <f>+P33+P34</f>
        <v>5401.2631679237284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532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533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24</v>
      </c>
      <c r="I25" s="114">
        <f t="shared" si="7"/>
        <v>1342.44</v>
      </c>
      <c r="J25" s="274">
        <f>SUM(J16:J24)</f>
        <v>93.272400000000005</v>
      </c>
      <c r="K25" s="275">
        <f t="shared" si="7"/>
        <v>46.985400000000013</v>
      </c>
      <c r="L25" s="276">
        <f t="shared" si="7"/>
        <v>24.008760000000002</v>
      </c>
      <c r="M25" s="232">
        <f t="shared" si="7"/>
        <v>1178.17344</v>
      </c>
      <c r="N25" s="233">
        <f>SUM(N16:N24)</f>
        <v>256.27118644067792</v>
      </c>
      <c r="O25" s="101">
        <f>SUM(O16:O24)</f>
        <v>7.1722231322033903</v>
      </c>
      <c r="P25" s="113">
        <f>SUM(P16:P24)</f>
        <v>1441.6168495728814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1342.44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93.272400000000005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70.994160000000022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1178.17344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256.27118644067792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1434.4446264406779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7.1722231322033894</v>
      </c>
    </row>
    <row r="35" spans="2:16" ht="15.75" customHeight="1" thickBot="1" x14ac:dyDescent="0.4">
      <c r="N35" s="342" t="s">
        <v>88</v>
      </c>
      <c r="O35" s="343"/>
      <c r="P35" s="297">
        <f>+P33+P34</f>
        <v>1441.6168495728814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46241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46240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2026-08-06T11:06:24Z</dcterms:modified>
</cp:coreProperties>
</file>