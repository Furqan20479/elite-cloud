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18FDBE4-76C3-42F7-BFE3-C5CA81D79B7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<sst xmlns="http://schemas.openxmlformats.org/spreadsheetml/2006/main" count="3913" uniqueCount="518">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</sst>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46241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96700.005444279654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671.52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7428.6900000000005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45.075653389830507</v>
      </c>
      <c r="P7" s="118">
        <f>M7+N7+O7</f>
        <v>9060.206331355932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1175.1600000000001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514.13250000000005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13000.2075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78.882393432203386</v>
      </c>
      <c r="P8" s="119">
        <f t="shared" ref="P8:P15" si="2">M8+N8+O8</f>
        <v>15855.361079872881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1394.6879999999999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15428.735999999999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93.618256271186439</v>
      </c>
      <c r="P10" s="119">
        <f t="shared" si="2"/>
        <v>18817.269510508475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62.412170847457631</v>
      </c>
      <c r="P11" s="119">
        <f t="shared" si="2"/>
        <v>12544.846340338983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2324.48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25714.560000000001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156.03042711864407</v>
      </c>
      <c r="P12" s="119">
        <f t="shared" si="2"/>
        <v>31362.115850847458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1400</v>
      </c>
      <c r="I16" s="114">
        <f t="shared" si="3"/>
        <v>89589.5</v>
      </c>
      <c r="J16" s="274">
        <f>SUM(J7:J15)</f>
        <v>7167.16</v>
      </c>
      <c r="K16" s="275">
        <f t="shared" si="3"/>
        <v>3135.6325000000002</v>
      </c>
      <c r="L16" s="276">
        <f t="shared" si="3"/>
        <v>0</v>
      </c>
      <c r="M16" s="232">
        <f t="shared" si="3"/>
        <v>79286.707500000004</v>
      </c>
      <c r="N16" s="233">
        <f>SUM(N7:N15)</f>
        <v>16932.203389830509</v>
      </c>
      <c r="O16" s="101">
        <f>SUM(O7:O15)</f>
        <v>481.09455444915255</v>
      </c>
      <c r="P16" s="234">
        <f>SUM(P7:P15)</f>
        <v>96700.005444279654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89589.5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7167.16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3135.6325000000002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79286.70749999999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16932.203389830509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96218.910889830498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481.09455444915255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96700.005444279654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96700.005444279654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671.52</v>
      </c>
      <c r="K16" s="127">
        <f>$I16*T16</f>
        <v>293.79000000000002</v>
      </c>
      <c r="L16" s="118">
        <f>$I16*U16</f>
        <v>0</v>
      </c>
      <c r="M16" s="229">
        <f>I16-SUM(J16:L16)</f>
        <v>7428.6900000000005</v>
      </c>
      <c r="N16" s="248">
        <f>+(G16*D16+H16)*V16</f>
        <v>1586.440677966101</v>
      </c>
      <c r="O16" s="238">
        <f>(N16+M16)*$O$15</f>
        <v>45.075653389830507</v>
      </c>
      <c r="P16" s="118">
        <f>M16+N16+O16</f>
        <v>9060.206331355932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280</v>
      </c>
      <c r="I17" s="236">
        <f t="shared" ref="I17:I23" si="0">(G17*D17)*F17+H17*F17</f>
        <v>14689.5</v>
      </c>
      <c r="J17" s="272">
        <f t="shared" ref="J17:L24" si="1">$I17*S17</f>
        <v>1175.1600000000001</v>
      </c>
      <c r="K17" s="128">
        <f>$I17*T17</f>
        <v>514.13250000000005</v>
      </c>
      <c r="L17" s="119">
        <f>$I17*U17</f>
        <v>0</v>
      </c>
      <c r="M17" s="230">
        <f t="shared" ref="M17:M24" si="2">I17-SUM(J17:L17)</f>
        <v>13000.2075</v>
      </c>
      <c r="N17" s="277">
        <f t="shared" ref="N17:N24" si="3">+(G17*D17+H17)*V17</f>
        <v>2776.271186440677</v>
      </c>
      <c r="O17" s="239">
        <f t="shared" ref="O17:O24" si="4">(N17+M17)*$O$15</f>
        <v>78.882393432203386</v>
      </c>
      <c r="P17" s="119">
        <f t="shared" ref="P17:P24" si="5">M17+N17+O17</f>
        <v>15855.361079872881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1394.6879999999999</v>
      </c>
      <c r="K19" s="128">
        <f t="shared" si="1"/>
        <v>610.17600000000004</v>
      </c>
      <c r="L19" s="119">
        <f t="shared" si="1"/>
        <v>0</v>
      </c>
      <c r="M19" s="230">
        <f t="shared" si="2"/>
        <v>15428.735999999999</v>
      </c>
      <c r="N19" s="277">
        <f t="shared" si="3"/>
        <v>3294.9152542372885</v>
      </c>
      <c r="O19" s="239">
        <f t="shared" si="4"/>
        <v>93.618256271186439</v>
      </c>
      <c r="P19" s="119">
        <f t="shared" si="5"/>
        <v>18817.269510508475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119">
        <f t="shared" si="5"/>
        <v>12544.846340338983</v>
      </c>
      <c r="R20">
        <f>P20/21</f>
        <v>597.37363525423734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2324.48</v>
      </c>
      <c r="K21" s="128">
        <f t="shared" si="1"/>
        <v>1016.9600000000002</v>
      </c>
      <c r="L21" s="119">
        <f t="shared" si="1"/>
        <v>0</v>
      </c>
      <c r="M21" s="230">
        <f t="shared" si="2"/>
        <v>25714.560000000001</v>
      </c>
      <c r="N21" s="277">
        <f t="shared" si="3"/>
        <v>5491.5254237288136</v>
      </c>
      <c r="O21" s="239">
        <f t="shared" si="4"/>
        <v>156.03042711864407</v>
      </c>
      <c r="P21" s="119">
        <f t="shared" si="5"/>
        <v>31362.115850847458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89589.5</v>
      </c>
      <c r="J25" s="274">
        <f>SUM(J16:J24)</f>
        <v>7167.16</v>
      </c>
      <c r="K25" s="275">
        <f t="shared" si="10"/>
        <v>3135.6325000000002</v>
      </c>
      <c r="L25" s="276">
        <f t="shared" si="10"/>
        <v>0</v>
      </c>
      <c r="M25" s="232">
        <f t="shared" si="10"/>
        <v>79286.707500000004</v>
      </c>
      <c r="N25" s="233">
        <f>SUM(N16:N24)</f>
        <v>16932.203389830509</v>
      </c>
      <c r="O25" s="101">
        <f>SUM(O16:O24)</f>
        <v>481.09455444915255</v>
      </c>
      <c r="P25" s="234">
        <f>SUM(P16:P24)</f>
        <v>96700.005444279654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89589.5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7167.16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3135.6325000000002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79286.70749999999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16932.203389830509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96218.910889830498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481.0945544491525</v>
      </c>
    </row>
    <row r="35" spans="2:16" ht="15.75" customHeight="1" thickBot="1" x14ac:dyDescent="0.4">
      <c r="N35" s="334" t="s">
        <v>88</v>
      </c>
      <c r="O35" s="335"/>
      <c r="P35" s="297">
        <f>+P33+P34</f>
        <v>96700.005444279654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46241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46240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2026-08-06T13:16:32Z</dcterms:modified>
</cp:coreProperties>
</file>