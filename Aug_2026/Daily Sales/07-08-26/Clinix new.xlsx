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3732E7F-CC4A-47C6-A2FC-C11467C84FC7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'2'!$A$1:$Q$37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20" i="43"/>
  <c r="O20" i="43" s="1"/>
  <c r="P20" i="43" s="1"/>
  <c r="R20" i="4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<sst xmlns="http://schemas.openxmlformats.org/spreadsheetml/2006/main" count="3913" uniqueCount="518">
  <si>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</si>
  <si>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</si>
  <si>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</si>
  <si>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</si>
  <si>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</si>
  <si>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</si>
  <si>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</si>
  <si>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</si>
  <si>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</si>
  <si>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</si>
  <si>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</si>
  <si>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</si>
  <si>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</si>
  <si>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</si>
  <si>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</si>
  <si>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</si>
  <si>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</si>
  <si>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</si>
  <si>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</si>
  <si>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</si>
  <si>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</si>
  <si>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</si>
  <si>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</si>
  <si>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</si>
  <si>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</si>
  <si>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</si>
  <si>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</si>
  <si>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</si>
  <si>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</si>
  <si>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</si>
  <si>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</si>
  <si>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</si>
  <si>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</si>
  <si>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</si>
  <si>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</si>
  <si>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</si>
  <si>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</si>
  <si>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</si>
  <si>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</si>
  <si>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</si>
  <si>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</si>
  <si>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</si>
  <si>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</si>
  <si>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</si>
  <si>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</si>
  <si>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</si>
  <si>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</si>
  <si>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</si>
  <si>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</si>
  <si>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</si>
  <si>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</si>
  <si>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</si>
  <si>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</si>
  <si>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</si>
  <si>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</si>
  <si>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</si>
  <si>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</si>
  <si>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</si>
  <si>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</si>
  <si>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</si>
  <si>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</si>
  <si>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</si>
  <si>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</si>
  <si>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</si>
  <si>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</si>
  <si>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</si>
  <si>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</si>
  <si>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</si>
  <si>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</si>
  <si>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</si>
  <si>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</si>
  <si>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</si>
  <si>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</si>
  <si>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</si>
  <si>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</si>
  <si>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</si>
  <si>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</si>
  <si>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</si>
  <si>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</si>
  <si>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</si>
  <si>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</si>
  <si>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</si>
  <si>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</si>
  <si>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</si>
  <si>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</si>
  <si>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</si>
  <si>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</si>
  <si>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</si>
  <si>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</si>
  <si>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</si>
  <si>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</si>
  <si>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</si>
  <si>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</si>
  <si>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</si>
  <si>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</si>
  <si>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</si>
  <si>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</si>
  <si>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</si>
  <si>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</si>
  <si>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</si>
  <si>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</si>
  <si>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</si>
  <si>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</si>
  <si>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</si>
  <si>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</si>
  <si>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</si>
  <si>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</si>
  <si>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</si>
  <si>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</si>
  <si>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</si>
  <si>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</si>
  <si>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</si>
  <si>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</si>
  <si>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</si>
  <si>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</si>
  <si>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</si>
  <si>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</si>
  <si>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</si>
  <si>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</si>
  <si>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</si>
  <si>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</si>
  <si>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</si>
  <si>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</si>
  <si>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</si>
  <si>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</si>
  <si>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</si>
  <si>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</si>
  <si>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</si>
  <si>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</si>
  <si>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</si>
  <si>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</si>
  <si>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</si>
  <si>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</si>
  <si>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</si>
  <si>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</si>
  <si>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</si>
  <si>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</si>
  <si>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</si>
  <si>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</si>
  <si>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</si>
  <si>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</si>
  <si>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</si>
  <si>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</si>
  <si>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</si>
  <si>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</si>
  <si>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</si>
  <si>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</si>
  <si>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</si>
  <si>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</si>
  <si>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</si>
  <si>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</si>
  <si>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</si>
  <si>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</si>
  <si>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</si>
  <si>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</si>
  <si>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</si>
  <si>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</si>
  <si>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</si>
  <si>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</si>
  <si>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</si>
  <si>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</si>
  <si>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</si>
  <si>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</si>
  <si>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</si>
  <si>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</si>
  <si>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</si>
  <si>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</si>
  <si>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</si>
  <si>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</si>
  <si>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</si>
  <si>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</si>
  <si>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</si>
  <si>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</si>
  <si>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</si>
  <si>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</si>
  <si>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</si>
  <si>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</si>
  <si>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</si>
  <si>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</si>
  <si>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</si>
  <si>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</si>
  <si>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</si>
  <si>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</si>
  <si>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</si>
  <si>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</si>
  <si>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</si>
  <si>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</si>
  <si>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</si>
  <si>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</si>
  <si>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</si>
  <si>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</si>
  <si>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</si>
  <si>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</si>
  <si>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</si>
  <si>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</si>
  <si>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</si>
  <si>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</si>
  <si>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</si>
  <si>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</si>
  <si>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</si>
  <si>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</si>
  <si>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</si>
  <si>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</si>
  <si>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</si>
  <si>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</si>
  <si>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</si>
  <si>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</si>
  <si>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</si>
  <si>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</si>
  <si>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</si>
  <si>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</si>
  <si>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</si>
  <si>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</si>
  <si>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</si>
  <si>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</si>
  <si>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</si>
  <si>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</si>
  <si>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</si>
  <si>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</si>
  <si>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</si>
  <si>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</si>
  <si>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</si>
  <si>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</si>
  <si>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</si>
  <si>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</si>
  <si>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</si>
  <si>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</si>
  <si>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</si>
  <si>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</si>
  <si>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</si>
  <si>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</si>
  <si>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</si>
  <si>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</si>
  <si>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</si>
  <si>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</si>
  <si>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</si>
  <si>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</si>
  <si>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</si>
  <si>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</si>
  <si>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</si>
  <si>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</si>
  <si>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</si>
  <si>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</si>
  <si>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</si>
  <si>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</si>
  <si>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</si>
  <si>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</si>
  <si>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</si>
  <si>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</si>
  <si>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</si>
  <si>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</si>
  <si>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</si>
  <si>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</si>
  <si>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</si>
  <si>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</si>
  <si>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</si>
  <si>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</si>
  <si>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</si>
  <si>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</si>
  <si>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</si>
  <si>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</si>
  <si>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</si>
  <si>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</si>
  <si>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</si>
  <si>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</si>
  <si>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</si>
  <si>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</si>
  <si>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</si>
  <si>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</si>
  <si>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</si>
  <si>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</si>
  <si>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</si>
  <si>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</si>
  <si>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</si>
  <si>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</si>
  <si>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</si>
  <si>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</si>
  <si>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</si>
  <si>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</si>
  <si>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</si>
  <si>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</si>
  <si>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</si>
  <si>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</si>
  <si>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</si>
  <si>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</si>
  <si>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</si>
  <si>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</si>
  <si>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</si>
  <si>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</si>
  <si>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</si>
  <si>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</si>
  <si>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</si>
  <si>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</si>
  <si>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</si>
  <si>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</si>
  <si>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</si>
  <si>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</si>
  <si>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</si>
  <si>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</si>
  <si>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</si>
  <si>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</si>
  <si>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</si>
  <si>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</si>
  <si>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</si>
  <si>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</si>
  <si>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</si>
  <si>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</si>
  <si>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</si>
  <si>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</si>
  <si>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</si>
  <si>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</si>
  <si>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</si>
  <si>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</si>
  <si>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</si>
  <si>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</si>
  <si>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</si>
  <si>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</si>
  <si>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</si>
  <si>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</si>
  <si>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</si>
  <si>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</si>
  <si>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</si>
  <si>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</si>
  <si>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</si>
  <si>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</si>
  <si>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</si>
  <si>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</si>
  <si>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</si>
  <si>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</si>
  <si>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</si>
  <si>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</si>
  <si>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</si>
  <si>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</si>
  <si>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</si>
  <si>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</si>
  <si>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</si>
  <si>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</si>
  <si>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</si>
  <si>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</si>
  <si>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</si>
  <si>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</si>
  <si>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</si>
  <si>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</si>
  <si>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</si>
  <si>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</si>
  <si>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</si>
  <si>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</si>
  <si>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</si>
  <si>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</si>
  <si>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</si>
  <si>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</si>
  <si>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</si>
  <si>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</si>
  <si>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</si>
  <si>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</si>
  <si>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</si>
  <si>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</si>
  <si>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</si>
  <si>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</si>
  <si>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</si>
  <si>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</si>
  <si>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</si>
  <si>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</si>
  <si>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</si>
  <si>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</si>
  <si>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</si>
  <si>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</si>
  <si>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</si>
  <si>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</si>
  <si>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</si>
  <si>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</si>
  <si>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</si>
  <si>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</si>
  <si>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</si>
  <si>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</si>
  <si>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</si>
  <si>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</si>
  <si>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</si>
  <si>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</si>
  <si>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</si>
  <si>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</si>
  <si>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</si>
  <si>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</si>
  <si>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</si>
  <si>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</si>
  <si>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</si>
  <si>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</si>
  <si>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</si>
  <si>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</si>
  <si>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</si>
  <si>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</si>
  <si>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</si>
  <si>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</si>
  <si>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</si>
  <si>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</si>
  <si>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</si>
  <si>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</si>
  <si>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</si>
  <si>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</si>
  <si>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</si>
  <si>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</si>
  <si>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</si>
  <si>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</si>
  <si>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</si>
  <si>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</si>
  <si>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</si>
  <si>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</si>
  <si>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</si>
  <si>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</si>
  <si>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</si>
  <si>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</si>
  <si>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</si>
  <si>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</si>
  <si>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</si>
  <si>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</si>
  <si>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</si>
  <si>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</si>
  <si>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</si>
  <si>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</si>
  <si>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</si>
  <si>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</si>
  <si>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</si>
  <si>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</si>
  <si>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</si>
  <si>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</si>
  <si>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</si>
  <si>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</si>
  <si>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</si>
  <si>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</si>
  <si>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</si>
  <si>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</si>
  <si>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</si>
  <si>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</si>
  <si>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</si>
  <si>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</si>
  <si>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</si>
  <si>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</si>
  <si>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</si>
  <si>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</si>
  <si>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</si>
  <si>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</si>
  <si>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</si>
  <si>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</si>
  <si>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</si>
  <si>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</si>
  <si>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</si>
  <si>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</si>
  <si>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</si>
  <si>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</si>
  <si>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</si>
  <si>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</si>
  <si>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</si>
  <si>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</si>
  <si>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</si>
  <si>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</si>
  <si>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</si>
  <si>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</si>
  <si>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</si>
  <si>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</si>
  <si>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</si>
  <si>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</si>
  <si>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</si>
  <si>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</si>
  <si>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</si>
  <si>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</si>
  <si>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</si>
  <si>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</si>
  <si>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</si>
  <si>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</si>
  <si>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</si>
  <si>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</si>
  <si>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</si>
  <si>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</si>
  <si>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</si>
  <si>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</si>
  <si>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</si>
  <si>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</si>
  <si>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</si>
  <si>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</si>
  <si>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</si>
  <si>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</si>
  <si>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</si>
  <si>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</si>
  <si>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</si>
  <si>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</si>
  <si>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</si>
  <si>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</si>
  <si>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</si>
  <si>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</si>
  <si>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</si>
  <si>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</si>
  <si>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</si>
  <si>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</si>
  <si>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</si>
  <si>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</si>
  <si>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</si>
  <si>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</si>
  <si>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</si>
  <si>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</si>
  <si>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</si>
  <si>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</si>
  <si>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</si>
  <si>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</si>
  <si>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</si>
  <si>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</si>
  <si>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</si>
  <si>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</si>
  <si>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</si>
  <si>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</si>
  <si>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</si>
  <si>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</si>
  <si>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</si>
  <si>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</si>
  <si>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</si>
  <si>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Clinix Central Warehouse</t>
  </si>
  <si>
    <t xml:space="preserve">Address:Multan Road Near Ever New </t>
  </si>
  <si>
    <t>NTN #: 0150979-9</t>
  </si>
  <si>
    <t>Invoice No # :0256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</si>
</sst>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topLeftCell="A4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2" t="s">
        <v>91</v>
      </c>
      <c r="B2" s="382"/>
      <c r="C2" s="382"/>
      <c r="E2" s="374" t="s">
        <v>499</v>
      </c>
      <c r="F2" s="375"/>
      <c r="G2" s="375"/>
      <c r="H2" s="372" t="s">
        <v>506</v>
      </c>
      <c r="I2" s="372"/>
      <c r="J2" s="373"/>
      <c r="R2" s="369" t="s">
        <v>498</v>
      </c>
      <c r="S2" s="370"/>
      <c r="T2" s="371"/>
    </row>
    <row r="3" spans="1:20 16377:16378" ht="21.75" customHeight="1" thickBot="1" x14ac:dyDescent="0.4">
      <c r="A3" s="383" t="s">
        <v>92</v>
      </c>
      <c r="B3" s="383"/>
      <c r="C3" s="383"/>
      <c r="E3" s="378" t="s">
        <v>500</v>
      </c>
      <c r="F3" s="379"/>
      <c r="G3" s="379"/>
      <c r="H3" s="376">
        <f>+'1'!N4:N4</f>
        <v>46241</v>
      </c>
      <c r="I3" s="376"/>
      <c r="J3" s="377"/>
      <c r="K3" s="384" t="s">
        <v>43</v>
      </c>
      <c r="L3" s="384"/>
      <c r="M3" s="384"/>
      <c r="N3" s="383"/>
      <c r="O3" s="383"/>
      <c r="P3" s="383"/>
      <c r="R3" s="299">
        <v>1</v>
      </c>
      <c r="S3" s="300" t="str">
        <f>+'1'!A6:A6</f>
        <v>Clinix Central Warehouse</v>
      </c>
      <c r="T3" s="301">
        <f>+'1'!P35</f>
        <v>96700.005444279654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Clinix Central Warehouse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34" t="s">
        <v>51</v>
      </c>
      <c r="B5" s="335"/>
      <c r="C5" s="338" t="s">
        <v>90</v>
      </c>
      <c r="D5" s="115" t="s">
        <v>52</v>
      </c>
      <c r="E5" s="340" t="s">
        <v>58</v>
      </c>
      <c r="F5" s="341"/>
      <c r="G5" s="342" t="s">
        <v>54</v>
      </c>
      <c r="H5" s="343"/>
      <c r="I5" s="344" t="s">
        <v>77</v>
      </c>
      <c r="J5" s="381" t="s">
        <v>55</v>
      </c>
      <c r="K5" s="342"/>
      <c r="L5" s="343"/>
      <c r="M5" s="335" t="s">
        <v>84</v>
      </c>
      <c r="N5" s="38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6"/>
      <c r="B6" s="337"/>
      <c r="C6" s="33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5"/>
      <c r="J6" s="143" t="s">
        <v>59</v>
      </c>
      <c r="K6" s="144" t="s">
        <v>39</v>
      </c>
      <c r="L6" s="145" t="s">
        <v>493</v>
      </c>
      <c r="M6" s="337"/>
      <c r="N6" s="34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671.52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293.79000000000002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7428.6900000000005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45.075653389830507</v>
      </c>
      <c r="P7" s="118">
        <f>M7+N7+O7</f>
        <v>9060.206331355932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280</v>
      </c>
      <c r="I8" s="236">
        <f t="shared" ref="I8:I14" si="0">(G8*D8)*F8+H8*F8</f>
        <v>14689.5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1175.1600000000001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514.13250000000005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13000.2075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2776.271186440677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78.882393432203386</v>
      </c>
      <c r="P8" s="119">
        <f t="shared" ref="P8:P15" si="2">M8+N8+O8</f>
        <v>15855.361079872881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671.52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7428.6900000000005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45.075653389830507</v>
      </c>
      <c r="P9" s="119">
        <f t="shared" si="2"/>
        <v>9060.206331355932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240</v>
      </c>
      <c r="I10" s="236">
        <f t="shared" si="0"/>
        <v>17433.599999999999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1394.6879999999999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610.17600000000004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15428.735999999999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3294.9152542372885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93.618256271186439</v>
      </c>
      <c r="P10" s="119">
        <f t="shared" si="2"/>
        <v>18817.269510508475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929.79200000000003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406.78400000000005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10285.824000000001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62.412170847457631</v>
      </c>
      <c r="P11" s="119">
        <f t="shared" si="2"/>
        <v>12544.846340338983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400</v>
      </c>
      <c r="I12" s="236">
        <f t="shared" si="0"/>
        <v>29056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2324.48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1016.9600000000002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25714.560000000001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5491.5254237288136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156.03042711864407</v>
      </c>
      <c r="P12" s="119">
        <f t="shared" si="2"/>
        <v>31362.115850847458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5">
        <f>COUNT(A7:A15)</f>
        <v>0</v>
      </c>
      <c r="B16" s="346"/>
      <c r="C16" s="346" t="s">
        <v>40</v>
      </c>
      <c r="D16" s="346"/>
      <c r="E16" s="346"/>
      <c r="F16" s="347"/>
      <c r="G16" s="117">
        <f t="shared" ref="G16:M16" si="3">SUM(G7:G15)</f>
        <v>0</v>
      </c>
      <c r="H16" s="113">
        <f t="shared" si="3"/>
        <v>1400</v>
      </c>
      <c r="I16" s="114">
        <f t="shared" si="3"/>
        <v>89589.5</v>
      </c>
      <c r="J16" s="274">
        <f>SUM(J7:J15)</f>
        <v>7167.16</v>
      </c>
      <c r="K16" s="275">
        <f t="shared" si="3"/>
        <v>3135.6325000000002</v>
      </c>
      <c r="L16" s="276">
        <f t="shared" si="3"/>
        <v>0</v>
      </c>
      <c r="M16" s="232">
        <f t="shared" si="3"/>
        <v>79286.707500000004</v>
      </c>
      <c r="N16" s="233">
        <f>SUM(N7:N15)</f>
        <v>16932.203389830509</v>
      </c>
      <c r="O16" s="101">
        <f>SUM(O7:O15)</f>
        <v>481.09455444915255</v>
      </c>
      <c r="P16" s="234">
        <f>SUM(P7:P15)</f>
        <v>96700.005444279654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8" t="s">
        <v>64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50"/>
      <c r="N19" s="357" t="s">
        <v>60</v>
      </c>
      <c r="O19" s="358"/>
      <c r="P19" s="139">
        <f>I16</f>
        <v>89589.5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1"/>
      <c r="C20" s="352"/>
      <c r="D20" s="352"/>
      <c r="E20" s="352"/>
      <c r="F20" s="352"/>
      <c r="G20" s="352"/>
      <c r="H20" s="352"/>
      <c r="I20" s="352"/>
      <c r="J20" s="352"/>
      <c r="K20" s="352"/>
      <c r="L20" s="353"/>
      <c r="N20" s="359" t="s">
        <v>85</v>
      </c>
      <c r="O20" s="360"/>
      <c r="P20" s="140">
        <f>+J16</f>
        <v>7167.16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1"/>
      <c r="C21" s="352"/>
      <c r="D21" s="352"/>
      <c r="E21" s="352"/>
      <c r="F21" s="352"/>
      <c r="G21" s="352"/>
      <c r="H21" s="352"/>
      <c r="I21" s="352"/>
      <c r="J21" s="352"/>
      <c r="K21" s="352"/>
      <c r="L21" s="353"/>
      <c r="N21" s="359" t="s">
        <v>86</v>
      </c>
      <c r="O21" s="360"/>
      <c r="P21" s="140">
        <f>+K16+L16</f>
        <v>3135.6325000000002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1"/>
      <c r="C22" s="352"/>
      <c r="D22" s="352"/>
      <c r="E22" s="352"/>
      <c r="F22" s="352"/>
      <c r="G22" s="352"/>
      <c r="H22" s="352"/>
      <c r="I22" s="352"/>
      <c r="J22" s="352"/>
      <c r="K22" s="352"/>
      <c r="L22" s="353"/>
      <c r="M22" s="131"/>
      <c r="N22" s="359" t="s">
        <v>87</v>
      </c>
      <c r="O22" s="360"/>
      <c r="P22" s="140">
        <f>P19-P20-P21</f>
        <v>79286.70749999999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1"/>
      <c r="C23" s="352"/>
      <c r="D23" s="352"/>
      <c r="E23" s="352"/>
      <c r="F23" s="352"/>
      <c r="G23" s="352"/>
      <c r="H23" s="352"/>
      <c r="I23" s="352"/>
      <c r="J23" s="352"/>
      <c r="K23" s="352"/>
      <c r="L23" s="353"/>
      <c r="M23" s="131"/>
      <c r="N23" s="136" t="s">
        <v>61</v>
      </c>
      <c r="O23" s="133">
        <v>0.18</v>
      </c>
      <c r="P23" s="140">
        <f>+N16</f>
        <v>16932.203389830509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1"/>
      <c r="C24" s="352"/>
      <c r="D24" s="352"/>
      <c r="E24" s="352"/>
      <c r="F24" s="352"/>
      <c r="G24" s="352"/>
      <c r="H24" s="352"/>
      <c r="I24" s="352"/>
      <c r="J24" s="352"/>
      <c r="K24" s="352"/>
      <c r="L24" s="353"/>
      <c r="M24" s="131"/>
      <c r="N24" s="361" t="s">
        <v>76</v>
      </c>
      <c r="O24" s="362"/>
      <c r="P24" s="140">
        <f>P22+P23</f>
        <v>96218.910889830498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4"/>
      <c r="C25" s="355"/>
      <c r="D25" s="355"/>
      <c r="E25" s="355"/>
      <c r="F25" s="355"/>
      <c r="G25" s="355"/>
      <c r="H25" s="355"/>
      <c r="I25" s="355"/>
      <c r="J25" s="355"/>
      <c r="K25" s="355"/>
      <c r="L25" s="356"/>
      <c r="M25" s="99"/>
      <c r="N25" s="138" t="s">
        <v>83</v>
      </c>
      <c r="O25" s="137" t="e">
        <f>IF(#REF!="Filer",0.5%,2.5%)</f>
        <v>#REF!</v>
      </c>
      <c r="P25" s="140">
        <f>+O16</f>
        <v>481.09455444915255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3" t="s">
        <v>88</v>
      </c>
      <c r="O26" s="364"/>
      <c r="P26" s="297">
        <f>+P24+P25</f>
        <v>96700.005444279654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5"/>
      <c r="D27" s="365"/>
      <c r="E27" s="365"/>
      <c r="F27" s="365"/>
      <c r="G27" s="365"/>
      <c r="H27" s="365"/>
      <c r="I27" s="366"/>
      <c r="J27" s="367"/>
      <c r="K27" s="36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96700.005444279654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7" workbookViewId="0">
      <selection activeCell="R7" sqref="R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517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v>46241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46240</v>
      </c>
      <c r="O5" s="383"/>
      <c r="P5" s="383"/>
      <c r="R5" s="85"/>
      <c r="S5" s="266"/>
    </row>
    <row r="6" spans="1:22 16383:16384" ht="17.25" customHeight="1" x14ac:dyDescent="0.4">
      <c r="A6" s="389" t="s">
        <v>514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160</v>
      </c>
      <c r="I16" s="235">
        <f>(G16*D16)*F16+H16*F16</f>
        <v>8394</v>
      </c>
      <c r="J16" s="271">
        <f>$I16*S16</f>
        <v>671.52</v>
      </c>
      <c r="K16" s="127">
        <f>$I16*T16</f>
        <v>293.79000000000002</v>
      </c>
      <c r="L16" s="118">
        <f>$I16*U16</f>
        <v>0</v>
      </c>
      <c r="M16" s="229">
        <f>I16-SUM(J16:L16)</f>
        <v>7428.6900000000005</v>
      </c>
      <c r="N16" s="248">
        <f>+(G16*D16+H16)*V16</f>
        <v>1586.440677966101</v>
      </c>
      <c r="O16" s="238">
        <f>(N16+M16)*$O$15</f>
        <v>45.075653389830507</v>
      </c>
      <c r="P16" s="118">
        <f>M16+N16+O16</f>
        <v>9060.206331355932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280</v>
      </c>
      <c r="I17" s="236">
        <f t="shared" ref="I17:I23" si="0">(G17*D17)*F17+H17*F17</f>
        <v>14689.5</v>
      </c>
      <c r="J17" s="272">
        <f t="shared" ref="J17:L24" si="1">$I17*S17</f>
        <v>1175.1600000000001</v>
      </c>
      <c r="K17" s="128">
        <f>$I17*T17</f>
        <v>514.13250000000005</v>
      </c>
      <c r="L17" s="119">
        <f>$I17*U17</f>
        <v>0</v>
      </c>
      <c r="M17" s="230">
        <f t="shared" ref="M17:M24" si="2">I17-SUM(J17:L17)</f>
        <v>13000.2075</v>
      </c>
      <c r="N17" s="277">
        <f t="shared" ref="N17:N24" si="3">+(G17*D17+H17)*V17</f>
        <v>2776.271186440677</v>
      </c>
      <c r="O17" s="239">
        <f t="shared" ref="O17:O24" si="4">(N17+M17)*$O$15</f>
        <v>78.882393432203386</v>
      </c>
      <c r="P17" s="119">
        <f t="shared" ref="P17:P24" si="5">M17+N17+O17</f>
        <v>15855.361079872881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</v>
      </c>
      <c r="I18" s="236">
        <f t="shared" ref="I18:I21" si="7">(G18*D18)*F18+H18*F18</f>
        <v>8394</v>
      </c>
      <c r="J18" s="272">
        <f t="shared" si="1"/>
        <v>671.52</v>
      </c>
      <c r="K18" s="128">
        <f t="shared" si="1"/>
        <v>293.79000000000002</v>
      </c>
      <c r="L18" s="119">
        <f t="shared" si="1"/>
        <v>0</v>
      </c>
      <c r="M18" s="230">
        <f t="shared" si="2"/>
        <v>7428.6900000000005</v>
      </c>
      <c r="N18" s="277">
        <f t="shared" si="3"/>
        <v>1586.440677966101</v>
      </c>
      <c r="O18" s="239">
        <f t="shared" si="4"/>
        <v>45.075653389830507</v>
      </c>
      <c r="P18" s="119">
        <f t="shared" si="5"/>
        <v>9060.206331355932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</v>
      </c>
      <c r="I19" s="236">
        <f t="shared" si="7"/>
        <v>17433.599999999999</v>
      </c>
      <c r="J19" s="272">
        <f t="shared" si="1"/>
        <v>1394.6879999999999</v>
      </c>
      <c r="K19" s="128">
        <f t="shared" si="1"/>
        <v>610.17600000000004</v>
      </c>
      <c r="L19" s="119">
        <f t="shared" si="1"/>
        <v>0</v>
      </c>
      <c r="M19" s="230">
        <f t="shared" si="2"/>
        <v>15428.735999999999</v>
      </c>
      <c r="N19" s="277">
        <f t="shared" si="3"/>
        <v>3294.9152542372885</v>
      </c>
      <c r="O19" s="239">
        <f t="shared" si="4"/>
        <v>93.618256271186439</v>
      </c>
      <c r="P19" s="119">
        <f t="shared" si="5"/>
        <v>18817.269510508475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7"/>
        <v>11622.4</v>
      </c>
      <c r="J20" s="272">
        <f t="shared" si="1"/>
        <v>929.79200000000003</v>
      </c>
      <c r="K20" s="128">
        <f t="shared" si="1"/>
        <v>406.78400000000005</v>
      </c>
      <c r="L20" s="119">
        <f t="shared" si="1"/>
        <v>0</v>
      </c>
      <c r="M20" s="230">
        <f t="shared" si="2"/>
        <v>10285.824000000001</v>
      </c>
      <c r="N20" s="277">
        <f t="shared" si="3"/>
        <v>2196.6101694915255</v>
      </c>
      <c r="O20" s="239">
        <f t="shared" si="4"/>
        <v>62.412170847457631</v>
      </c>
      <c r="P20" s="119">
        <f t="shared" si="5"/>
        <v>12544.846340338983</v>
      </c>
      <c r="R20">
        <f>P20/21</f>
        <v>597.37363525423734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400</v>
      </c>
      <c r="I21" s="236">
        <f t="shared" si="7"/>
        <v>29056</v>
      </c>
      <c r="J21" s="272">
        <f t="shared" si="1"/>
        <v>2324.48</v>
      </c>
      <c r="K21" s="128">
        <f t="shared" si="1"/>
        <v>1016.9600000000002</v>
      </c>
      <c r="L21" s="119">
        <f t="shared" si="1"/>
        <v>0</v>
      </c>
      <c r="M21" s="230">
        <f t="shared" si="2"/>
        <v>25714.560000000001</v>
      </c>
      <c r="N21" s="277">
        <f t="shared" si="3"/>
        <v>5491.5254237288136</v>
      </c>
      <c r="O21" s="239">
        <f t="shared" si="4"/>
        <v>156.03042711864407</v>
      </c>
      <c r="P21" s="119">
        <f t="shared" si="5"/>
        <v>31362.115850847458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" si="8">SUM(G16:G24)</f>
        <v>0</v>
      </c>
      <c r="H25" s="113">
        <f t="shared" ref="H25" si="9">SUM(H16:H24)</f>
        <v>1400</v>
      </c>
      <c r="I25" s="114">
        <f t="shared" ref="I25:M25" si="10">SUM(I16:I24)</f>
        <v>89589.5</v>
      </c>
      <c r="J25" s="274">
        <f>SUM(J16:J24)</f>
        <v>7167.16</v>
      </c>
      <c r="K25" s="275">
        <f t="shared" si="10"/>
        <v>3135.6325000000002</v>
      </c>
      <c r="L25" s="276">
        <f t="shared" si="10"/>
        <v>0</v>
      </c>
      <c r="M25" s="232">
        <f t="shared" si="10"/>
        <v>79286.707500000004</v>
      </c>
      <c r="N25" s="233">
        <f>SUM(N16:N24)</f>
        <v>16932.203389830509</v>
      </c>
      <c r="O25" s="101">
        <f>SUM(O16:O24)</f>
        <v>481.09455444915255</v>
      </c>
      <c r="P25" s="234">
        <f>SUM(P16:P24)</f>
        <v>96700.005444279654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89589.5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7167.16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3135.6325000000002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79286.70749999999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16932.203389830509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96218.910889830498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481.0945544491525</v>
      </c>
    </row>
    <row r="35" spans="2:16" ht="15.75" customHeight="1" thickBot="1" x14ac:dyDescent="0.4">
      <c r="N35" s="363" t="s">
        <v>88</v>
      </c>
      <c r="O35" s="364"/>
      <c r="P35" s="297">
        <f>+P33+P34</f>
        <v>96700.005444279654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v>46241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46240</v>
      </c>
      <c r="O5" s="383"/>
      <c r="P5" s="383"/>
      <c r="R5" s="85"/>
      <c r="S5" s="266"/>
    </row>
    <row r="6" spans="1:22 16383:16384" ht="15" customHeight="1" x14ac:dyDescent="0.4">
      <c r="A6" s="389" t="s">
        <v>514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8.75" customHeight="1" x14ac:dyDescent="0.4">
      <c r="A6" s="389" t="s">
        <v>501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502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503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504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8.75" customHeight="1" x14ac:dyDescent="0.4">
      <c r="A6" s="389" t="s">
        <v>505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507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46263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46262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516</v>
      </c>
      <c r="B7" s="384"/>
      <c r="C7" s="384"/>
      <c r="F7" s="85"/>
      <c r="G7" s="86"/>
      <c r="K7" s="384" t="s">
        <v>66</v>
      </c>
      <c r="L7" s="384"/>
      <c r="M7" s="384"/>
      <c r="N7" s="386" t="s">
        <v>513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513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2" t="s">
        <v>91</v>
      </c>
      <c r="B2" s="382"/>
      <c r="C2" s="382"/>
    </row>
    <row r="3" spans="1:18 16382:16383" ht="15" customHeight="1" x14ac:dyDescent="0.35">
      <c r="A3" s="383" t="s">
        <v>92</v>
      </c>
      <c r="B3" s="383"/>
      <c r="C3" s="383"/>
      <c r="F3" s="85"/>
      <c r="G3" s="1"/>
      <c r="J3" s="384" t="s">
        <v>43</v>
      </c>
      <c r="K3" s="384"/>
      <c r="L3" s="384"/>
      <c r="M3" s="383"/>
      <c r="N3" s="383"/>
      <c r="O3" s="38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3" t="s">
        <v>65</v>
      </c>
      <c r="B4" s="383"/>
      <c r="C4" s="383"/>
      <c r="F4" s="85"/>
      <c r="G4" s="1"/>
      <c r="J4" s="384" t="s">
        <v>44</v>
      </c>
      <c r="K4" s="384"/>
      <c r="L4" s="384"/>
      <c r="M4" s="387">
        <f ca="1">TODAY()+1</f>
        <v>46263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84" t="s">
        <v>45</v>
      </c>
      <c r="K5" s="384"/>
      <c r="L5" s="384"/>
      <c r="M5" s="387">
        <f ca="1">M4-1</f>
        <v>46262</v>
      </c>
      <c r="N5" s="383"/>
      <c r="O5" s="383"/>
      <c r="Q5" s="85"/>
      <c r="R5" s="1"/>
    </row>
    <row r="6" spans="1:18 16382:16383" ht="15" customHeight="1" x14ac:dyDescent="0.35">
      <c r="A6" s="384" t="s">
        <v>94</v>
      </c>
      <c r="B6" s="384"/>
      <c r="C6" s="384"/>
      <c r="F6" s="85"/>
      <c r="G6" s="86"/>
      <c r="J6" s="384" t="s">
        <v>69</v>
      </c>
      <c r="K6" s="384"/>
      <c r="L6" s="384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4" t="s">
        <v>73</v>
      </c>
      <c r="B7" s="384"/>
      <c r="C7" s="384"/>
      <c r="F7" s="85"/>
      <c r="G7" s="86"/>
      <c r="J7" s="384" t="s">
        <v>66</v>
      </c>
      <c r="K7" s="384"/>
      <c r="L7" s="384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84" t="s">
        <v>67</v>
      </c>
      <c r="K8" s="384"/>
      <c r="L8" s="384"/>
      <c r="M8" s="386" t="s">
        <v>71</v>
      </c>
      <c r="N8" s="386"/>
      <c r="O8" s="386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84" t="s">
        <v>68</v>
      </c>
      <c r="K9" s="384"/>
      <c r="L9" s="384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84" t="s">
        <v>46</v>
      </c>
      <c r="K10" s="384"/>
      <c r="L10" s="384"/>
      <c r="M10" s="383" t="s">
        <v>47</v>
      </c>
      <c r="N10" s="383"/>
      <c r="O10" s="38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4" t="s">
        <v>48</v>
      </c>
      <c r="K11" s="384"/>
      <c r="L11" s="384"/>
      <c r="M11" s="383" t="s">
        <v>49</v>
      </c>
      <c r="N11" s="383"/>
      <c r="O11" s="38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4" t="s">
        <v>50</v>
      </c>
      <c r="K12" s="384"/>
      <c r="L12" s="384"/>
      <c r="M12" s="383"/>
      <c r="N12" s="383"/>
      <c r="O12" s="38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4" t="s">
        <v>51</v>
      </c>
      <c r="B14" s="335"/>
      <c r="C14" s="338" t="s">
        <v>90</v>
      </c>
      <c r="D14" s="88" t="s">
        <v>52</v>
      </c>
      <c r="E14" s="95" t="s">
        <v>74</v>
      </c>
      <c r="F14" s="115" t="s">
        <v>53</v>
      </c>
      <c r="G14" s="381" t="s">
        <v>54</v>
      </c>
      <c r="H14" s="343"/>
      <c r="I14" s="344" t="s">
        <v>77</v>
      </c>
      <c r="J14" s="342" t="s">
        <v>55</v>
      </c>
      <c r="K14" s="343"/>
      <c r="L14" s="34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6"/>
      <c r="B15" s="337"/>
      <c r="C15" s="33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5"/>
      <c r="J15" s="144" t="s">
        <v>39</v>
      </c>
      <c r="K15" s="145" t="s">
        <v>59</v>
      </c>
      <c r="L15" s="34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57" t="s">
        <v>60</v>
      </c>
      <c r="N28" s="358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59" t="s">
        <v>85</v>
      </c>
      <c r="N29" s="360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59" t="s">
        <v>86</v>
      </c>
      <c r="N30" s="360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59" t="s">
        <v>87</v>
      </c>
      <c r="N31" s="360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61" t="s">
        <v>76</v>
      </c>
      <c r="N33" s="362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3" t="s">
        <v>88</v>
      </c>
      <c r="N35" s="364"/>
      <c r="O35" s="141">
        <f>O28-O29+O31+O34</f>
        <v>2897.511536</v>
      </c>
    </row>
    <row r="36" spans="2:15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4" t="s">
        <v>439</v>
      </c>
      <c r="E1" s="326" t="s">
        <v>58</v>
      </c>
      <c r="F1" s="326"/>
      <c r="G1" s="327" t="s">
        <v>440</v>
      </c>
      <c r="H1" s="327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6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8" t="s">
        <v>58</v>
      </c>
      <c r="F7" s="398"/>
      <c r="G7" s="399" t="s">
        <v>440</v>
      </c>
      <c r="H7" s="327"/>
      <c r="I7" s="328" t="s">
        <v>441</v>
      </c>
      <c r="J7" s="329"/>
      <c r="K7" s="328" t="s">
        <v>442</v>
      </c>
      <c r="L7" s="329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4" t="s">
        <v>439</v>
      </c>
      <c r="D1" s="326" t="s">
        <v>58</v>
      </c>
      <c r="E1" s="326"/>
      <c r="F1" s="327" t="s">
        <v>440</v>
      </c>
      <c r="G1" s="327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6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2026-08-28T05:17:14Z</dcterms:modified>
</cp:coreProperties>
</file>