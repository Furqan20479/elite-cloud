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338D304-8444-4F5A-8A5E-29A19779E21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<sst xmlns="http://schemas.openxmlformats.org/spreadsheetml/2006/main" count="3978" uniqueCount="524">
  <si>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</si>
  <si>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</si>
  <si>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</si>
  <si>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</si>
  <si>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</si>
  <si>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</si>
  <si>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</si>
  <si>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</si>
  <si>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</si>
  <si>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</si>
  <si>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</si>
  <si>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</si>
  <si>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</si>
  <si>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</si>
  <si>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</si>
  <si>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</si>
  <si>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</si>
  <si>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</si>
  <si>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</si>
  <si>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</si>
  <si>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</si>
  <si>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</si>
  <si>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</si>
  <si>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</si>
  <si>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</si>
  <si>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</si>
  <si>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</si>
  <si>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</si>
  <si>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</si>
  <si>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</si>
  <si>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</si>
  <si>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</si>
  <si>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</si>
  <si>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</si>
  <si>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</si>
  <si>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</si>
  <si>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</si>
  <si>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</si>
  <si>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</si>
  <si>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</si>
  <si>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</si>
  <si>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</si>
  <si>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</si>
  <si>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</si>
  <si>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</si>
  <si>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</si>
  <si>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</si>
  <si>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</si>
  <si>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</si>
  <si>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</si>
  <si>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</si>
  <si>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</si>
  <si>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</si>
  <si>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</si>
  <si>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</si>
  <si>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</si>
  <si>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</si>
  <si>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</si>
  <si>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</si>
  <si>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</si>
  <si>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</si>
  <si>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</si>
  <si>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</si>
  <si>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</si>
  <si>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</si>
  <si>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</si>
  <si>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</si>
  <si>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</si>
  <si>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</si>
  <si>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</si>
  <si>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</si>
  <si>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</si>
  <si>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</si>
  <si>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</si>
  <si>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</si>
  <si>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</si>
  <si>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</si>
  <si>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</si>
  <si>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</si>
  <si>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</si>
  <si>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</si>
  <si>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</si>
  <si>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</si>
  <si>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</si>
  <si>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</si>
  <si>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</si>
  <si>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</si>
  <si>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</si>
  <si>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</si>
  <si>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</si>
  <si>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</si>
  <si>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</si>
  <si>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</si>
  <si>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</si>
  <si>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</si>
  <si>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</si>
  <si>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</si>
  <si>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</si>
  <si>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</si>
  <si>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</si>
  <si>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</si>
  <si>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</si>
  <si>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</si>
  <si>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</si>
  <si>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</si>
  <si>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</si>
  <si>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</si>
  <si>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</si>
  <si>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</si>
  <si>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</si>
  <si>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</si>
  <si>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</si>
  <si>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</si>
  <si>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</si>
  <si>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</si>
  <si>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</si>
  <si>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</si>
  <si>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</si>
  <si>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</si>
  <si>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</si>
  <si>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</si>
  <si>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</si>
  <si>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</si>
  <si>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</si>
  <si>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</si>
  <si>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</si>
  <si>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</si>
  <si>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</si>
  <si>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</si>
  <si>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</si>
  <si>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</si>
  <si>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</si>
  <si>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</si>
  <si>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</si>
  <si>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</si>
  <si>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</si>
  <si>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</si>
  <si>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</si>
  <si>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</si>
  <si>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</si>
  <si>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</si>
  <si>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</si>
  <si>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</si>
  <si>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</si>
  <si>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</si>
  <si>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</si>
  <si>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</si>
  <si>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</si>
  <si>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</si>
  <si>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</si>
  <si>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</si>
  <si>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</si>
  <si>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</si>
  <si>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</si>
  <si>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</si>
  <si>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</si>
  <si>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</si>
  <si>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</si>
  <si>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</si>
  <si>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</si>
  <si>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</si>
  <si>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</si>
  <si>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</si>
  <si>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</si>
  <si>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</si>
  <si>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</si>
  <si>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</si>
  <si>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</si>
  <si>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</si>
  <si>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</si>
  <si>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</si>
  <si>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</si>
  <si>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</si>
  <si>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</si>
  <si>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</si>
  <si>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</si>
  <si>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</si>
  <si>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</si>
  <si>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</si>
  <si>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</si>
  <si>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</si>
  <si>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</si>
  <si>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</si>
  <si>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</si>
  <si>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</si>
  <si>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</si>
  <si>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</si>
  <si>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</si>
  <si>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</si>
  <si>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</si>
  <si>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</si>
  <si>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</si>
  <si>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</si>
  <si>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</si>
  <si>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</si>
  <si>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</si>
  <si>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</si>
  <si>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</si>
  <si>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</si>
  <si>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</si>
  <si>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</si>
  <si>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</si>
  <si>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</si>
  <si>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</si>
  <si>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</si>
  <si>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</si>
  <si>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</si>
  <si>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</si>
  <si>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</si>
  <si>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</si>
  <si>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</si>
  <si>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</si>
  <si>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</si>
  <si>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</si>
  <si>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</si>
  <si>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</si>
  <si>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</si>
  <si>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</si>
  <si>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</si>
  <si>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</si>
  <si>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</si>
  <si>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</si>
  <si>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</si>
  <si>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</si>
  <si>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</si>
  <si>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</si>
  <si>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</si>
  <si>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</si>
  <si>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</si>
  <si>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</si>
  <si>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</si>
  <si>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</si>
  <si>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</si>
  <si>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</si>
  <si>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</si>
  <si>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</si>
  <si>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</si>
  <si>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</si>
  <si>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</si>
  <si>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</si>
  <si>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</si>
  <si>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</si>
  <si>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</si>
  <si>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</si>
  <si>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</si>
  <si>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</si>
  <si>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</si>
  <si>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</si>
  <si>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</si>
  <si>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</si>
  <si>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</si>
  <si>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</si>
  <si>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</si>
  <si>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</si>
  <si>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</si>
  <si>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</si>
  <si>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</si>
  <si>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</si>
  <si>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</si>
  <si>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</si>
  <si>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</si>
  <si>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</si>
  <si>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</si>
  <si>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</si>
  <si>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</si>
  <si>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</si>
  <si>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</si>
  <si>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</si>
  <si>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</si>
  <si>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</si>
  <si>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</si>
  <si>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</si>
  <si>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</si>
  <si>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</si>
  <si>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</si>
  <si>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</si>
  <si>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</si>
  <si>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</si>
  <si>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</si>
  <si>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</si>
  <si>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</si>
  <si>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</si>
  <si>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</si>
  <si>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</si>
  <si>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</si>
  <si>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</si>
  <si>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</si>
  <si>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</si>
  <si>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</si>
  <si>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</si>
  <si>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</si>
  <si>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</si>
  <si>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</si>
  <si>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</si>
  <si>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</si>
  <si>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</si>
  <si>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</si>
  <si>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</si>
  <si>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</si>
  <si>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</si>
  <si>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</si>
  <si>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</si>
  <si>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</si>
  <si>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</si>
  <si>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</si>
  <si>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</si>
  <si>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</si>
  <si>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</si>
  <si>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</si>
  <si>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</si>
  <si>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</si>
  <si>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</si>
  <si>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</si>
  <si>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</si>
  <si>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</si>
  <si>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</si>
  <si>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</si>
  <si>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</si>
  <si>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</si>
  <si>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</si>
  <si>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</si>
  <si>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</si>
  <si>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</si>
  <si>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</si>
  <si>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</si>
  <si>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</si>
  <si>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</si>
  <si>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</si>
  <si>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</si>
  <si>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</si>
  <si>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</si>
  <si>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</si>
  <si>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</si>
  <si>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</si>
  <si>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</si>
  <si>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</si>
  <si>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</si>
  <si>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</si>
  <si>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</si>
  <si>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</si>
  <si>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</si>
  <si>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</si>
  <si>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</si>
  <si>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</si>
  <si>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</si>
  <si>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</si>
  <si>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</si>
  <si>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</si>
  <si>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</si>
  <si>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</si>
  <si>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</si>
  <si>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</si>
  <si>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</si>
  <si>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</si>
  <si>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</si>
  <si>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</si>
  <si>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</si>
  <si>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</si>
  <si>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</si>
  <si>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</si>
  <si>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</si>
  <si>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</si>
  <si>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</si>
  <si>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</si>
  <si>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</si>
  <si>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</si>
  <si>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</si>
  <si>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</si>
  <si>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</si>
  <si>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</si>
  <si>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</si>
  <si>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</si>
  <si>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</si>
  <si>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</si>
  <si>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</si>
  <si>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</si>
  <si>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</si>
  <si>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</si>
  <si>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</si>
  <si>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</si>
  <si>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</si>
  <si>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</si>
  <si>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</si>
  <si>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</si>
  <si>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</si>
  <si>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</si>
  <si>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</si>
  <si>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</si>
  <si>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</si>
  <si>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</si>
  <si>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</si>
  <si>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</si>
  <si>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</si>
  <si>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</si>
  <si>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</si>
  <si>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</si>
  <si>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</si>
  <si>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</si>
  <si>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</si>
  <si>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</si>
  <si>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</si>
  <si>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</si>
  <si>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</si>
  <si>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</si>
  <si>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</si>
  <si>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</si>
  <si>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</si>
  <si>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</si>
  <si>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</si>
  <si>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</si>
  <si>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</si>
  <si>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</si>
  <si>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</si>
  <si>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</si>
  <si>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</si>
  <si>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</si>
  <si>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</si>
  <si>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</si>
  <si>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</si>
  <si>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</si>
  <si>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</si>
  <si>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</si>
  <si>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</si>
  <si>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</si>
  <si>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</si>
  <si>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</si>
  <si>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</si>
  <si>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</si>
  <si>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</si>
  <si>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</si>
  <si>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</si>
  <si>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</si>
  <si>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</si>
  <si>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</si>
  <si>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</si>
  <si>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</si>
  <si>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</si>
  <si>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</si>
  <si>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</si>
  <si>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</si>
  <si>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</si>
  <si>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</si>
  <si>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</si>
  <si>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</si>
  <si>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</si>
  <si>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</si>
  <si>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</si>
  <si>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</si>
  <si>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</si>
  <si>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</si>
  <si>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</si>
  <si>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</si>
  <si>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</si>
  <si>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</si>
  <si>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</si>
  <si>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</si>
  <si>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</si>
  <si>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</si>
  <si>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</si>
  <si>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</si>
  <si>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</si>
  <si>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</si>
  <si>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</si>
  <si>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</si>
  <si>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</si>
  <si>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</si>
  <si>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</si>
  <si>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</si>
  <si>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</si>
  <si>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</si>
  <si>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</si>
  <si>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</si>
  <si>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</si>
  <si>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</si>
  <si>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</si>
  <si>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</si>
  <si>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</si>
  <si>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</si>
  <si>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</si>
  <si>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</si>
  <si>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</si>
  <si>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</si>
  <si>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</si>
  <si>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</si>
  <si>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</si>
  <si>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</si>
  <si>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</si>
  <si>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</si>
  <si>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</si>
  <si>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</si>
  <si>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</si>
  <si>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</si>
  <si>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</si>
  <si>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</si>
  <si>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</si>
  <si>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</si>
  <si>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</si>
  <si>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</si>
  <si>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</si>
  <si>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</si>
  <si>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</si>
  <si>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</si>
  <si>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</si>
  <si>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</si>
  <si>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</si>
  <si>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</si>
  <si>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</si>
  <si>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</si>
  <si>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</si>
  <si>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</si>
  <si>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</si>
  <si>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</si>
  <si>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</si>
  <si>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</si>
  <si>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</si>
  <si>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</si>
  <si>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Umair</t>
  </si>
  <si>
    <t xml:space="preserve">Padna Mart </t>
  </si>
  <si>
    <t xml:space="preserve">Address: Pak Arab </t>
  </si>
  <si>
    <t>Bismillah Strore</t>
  </si>
  <si>
    <t>Awan Super Store</t>
  </si>
  <si>
    <t>Taybba Store</t>
  </si>
  <si>
    <t>Waleed Super Store</t>
  </si>
  <si>
    <t>Address: Pak 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</si>
</sst>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Padna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Bismillah Strore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Awan Super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Taybba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Waleed Super Store</v>
      </c>
      <c r="T7" s="301">
        <f>+'5'!P35</f>
        <v>3970.8005418305079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35</v>
      </c>
      <c r="I10" s="236">
        <f t="shared" si="0"/>
        <v>2542.4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203.392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88.984000000000009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2250.0240000000003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480.50847457627123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13.652662372881355</v>
      </c>
      <c r="P10" s="311">
        <f t="shared" si="2"/>
        <v>2744.1851369491528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87.168000000000006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5.8511410169491533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90</v>
      </c>
      <c r="I12" s="236">
        <f t="shared" si="0"/>
        <v>6537.6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523.00800000000004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228.81600000000003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5785.7759999999998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1235.5932203389832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35.10684610169492</v>
      </c>
      <c r="P12" s="311">
        <f t="shared" si="2"/>
        <v>7056.4760664406776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</v>
      </c>
      <c r="I13" s="236">
        <f t="shared" si="0"/>
        <v>784.60000000000014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39.230000000000011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27.461000000000006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40.014600000000002</v>
      </c>
      <c r="M13" s="230">
        <f t="shared" si="1"/>
        <v>677.89440000000013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152.54237288135585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4.1521838644067799</v>
      </c>
      <c r="P13" s="311">
        <f t="shared" si="2"/>
        <v>834.58895674576274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4</v>
      </c>
      <c r="H16" s="113">
        <f t="shared" ref="H16:M16" si="3">SUM(H7:H15)</f>
        <v>160</v>
      </c>
      <c r="I16" s="114">
        <f t="shared" si="3"/>
        <v>10954.2</v>
      </c>
      <c r="J16" s="274">
        <f>SUM(J7:J15)</f>
        <v>852.798</v>
      </c>
      <c r="K16" s="275">
        <f t="shared" si="3"/>
        <v>383.39700000000005</v>
      </c>
      <c r="L16" s="276">
        <f t="shared" si="3"/>
        <v>40.014600000000002</v>
      </c>
      <c r="M16" s="232">
        <f t="shared" si="3"/>
        <v>9677.9903999999988</v>
      </c>
      <c r="N16" s="233">
        <f>SUM(N7:N15)</f>
        <v>2074.5762711864409</v>
      </c>
      <c r="O16" s="101">
        <f>SUM(O7:O15)</f>
        <v>58.762833355932209</v>
      </c>
      <c r="P16" s="113">
        <f>SUM(P7:P15)</f>
        <v>11811.329504542373</v>
      </c>
      <c r="Q16" s="128">
        <f>SUM(Q7:Q15)</f>
        <v>52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10954.2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852.798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423.41160000000002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9677.9904000000006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2074.5762711864409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11752.566671186441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58.762833355932209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11811.329504542373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11811.329504542373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116.22399999999999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116.22399999999999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50.848000000000006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1285.7280000000001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1560.3042711864407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1" t="s">
        <v>88</v>
      </c>
      <c r="O35" s="372"/>
      <c r="P35" s="297">
        <f>+P33+P34</f>
        <v>1568.1057925423729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20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3690.2</v>
      </c>
      <c r="J25" s="274">
        <f>SUM(J16:J24)</f>
        <v>271.678</v>
      </c>
      <c r="K25" s="275">
        <f t="shared" si="7"/>
        <v>129.15700000000001</v>
      </c>
      <c r="L25" s="276">
        <f t="shared" si="7"/>
        <v>40.014600000000002</v>
      </c>
      <c r="M25" s="232">
        <f t="shared" si="7"/>
        <v>3249.3504000000003</v>
      </c>
      <c r="N25" s="233">
        <f>SUM(N16:N24)</f>
        <v>701.69491525423723</v>
      </c>
      <c r="O25" s="101">
        <f>SUM(O16:O24)</f>
        <v>19.755226576271188</v>
      </c>
      <c r="P25" s="113">
        <f>SUM(P16:P24)</f>
        <v>3970.8005418305083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3690.2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271.678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169.17160000000001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3249.3503999999998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3951.0453152542368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71" t="s">
        <v>88</v>
      </c>
      <c r="O35" s="372"/>
      <c r="P35" s="297">
        <f>+P33+P34</f>
        <v>3970.8005418305079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2026-08-07T11:35:45Z</dcterms:modified>
</cp:coreProperties>
</file>