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C8BA20-4F46-46E7-8D07-09378D8E442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<sst xmlns="http://schemas.openxmlformats.org/spreadsheetml/2006/main" count="3978" uniqueCount="527">
  <si>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</si>
  <si>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</si>
  <si>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</si>
  <si>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</si>
  <si>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</si>
  <si>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</si>
  <si>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</si>
  <si>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</si>
  <si>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</si>
  <si>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</si>
  <si>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</si>
  <si>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</si>
  <si>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</si>
  <si>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</si>
  <si>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</si>
  <si>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</si>
  <si>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</si>
  <si>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</si>
  <si>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</si>
  <si>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</si>
  <si>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</si>
  <si>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</si>
  <si>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</si>
  <si>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</si>
  <si>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</si>
  <si>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</si>
  <si>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</si>
  <si>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</si>
  <si>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</si>
  <si>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</si>
  <si>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</si>
  <si>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</si>
  <si>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</si>
  <si>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</si>
  <si>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</si>
  <si>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</si>
  <si>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</si>
  <si>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</si>
  <si>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</si>
  <si>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</si>
  <si>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</si>
  <si>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</si>
  <si>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</si>
  <si>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</si>
  <si>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</si>
  <si>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</si>
  <si>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</si>
  <si>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</si>
  <si>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</si>
  <si>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</si>
  <si>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</si>
  <si>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</si>
  <si>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</si>
  <si>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</si>
  <si>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</si>
  <si>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</si>
  <si>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</si>
  <si>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</si>
  <si>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</si>
  <si>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</si>
  <si>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</si>
  <si>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</si>
  <si>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</si>
  <si>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</si>
  <si>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</si>
  <si>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</si>
  <si>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</si>
  <si>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</si>
  <si>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</si>
  <si>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</si>
  <si>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</si>
  <si>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</si>
  <si>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</si>
  <si>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</si>
  <si>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</si>
  <si>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</si>
  <si>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</si>
  <si>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</si>
  <si>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</si>
  <si>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</si>
  <si>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</si>
  <si>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</si>
  <si>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</si>
  <si>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</si>
  <si>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</si>
  <si>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</si>
  <si>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</si>
  <si>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</si>
  <si>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</si>
  <si>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</si>
  <si>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</si>
  <si>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</si>
  <si>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</si>
  <si>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</si>
  <si>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</si>
  <si>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</si>
  <si>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</si>
  <si>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</si>
  <si>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</si>
  <si>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</si>
  <si>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</si>
  <si>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</si>
  <si>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</si>
  <si>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</si>
  <si>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</si>
  <si>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</si>
  <si>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</si>
  <si>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</si>
  <si>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</si>
  <si>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</si>
  <si>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</si>
  <si>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</si>
  <si>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</si>
  <si>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</si>
  <si>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</si>
  <si>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</si>
  <si>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</si>
  <si>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</si>
  <si>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</si>
  <si>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</si>
  <si>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</si>
  <si>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</si>
  <si>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</si>
  <si>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</si>
  <si>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</si>
  <si>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</si>
  <si>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</si>
  <si>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</si>
  <si>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</si>
  <si>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</si>
  <si>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</si>
  <si>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</si>
  <si>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</si>
  <si>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</si>
  <si>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</si>
  <si>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</si>
  <si>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</si>
  <si>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</si>
  <si>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</si>
  <si>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</si>
  <si>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</si>
  <si>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</si>
  <si>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</si>
  <si>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</si>
  <si>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</si>
  <si>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</si>
  <si>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</si>
  <si>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</si>
  <si>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</si>
  <si>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</si>
  <si>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</si>
  <si>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</si>
  <si>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</si>
  <si>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</si>
  <si>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</si>
  <si>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</si>
  <si>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</si>
  <si>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</si>
  <si>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</si>
  <si>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</si>
  <si>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</si>
  <si>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</si>
  <si>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</si>
  <si>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</si>
  <si>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</si>
  <si>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</si>
  <si>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</si>
  <si>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</si>
  <si>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</si>
  <si>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</si>
  <si>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</si>
  <si>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</si>
  <si>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</si>
  <si>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</si>
  <si>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</si>
  <si>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</si>
  <si>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</si>
  <si>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</si>
  <si>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</si>
  <si>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</si>
  <si>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</si>
  <si>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</si>
  <si>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</si>
  <si>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</si>
  <si>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</si>
  <si>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</si>
  <si>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</si>
  <si>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</si>
  <si>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</si>
  <si>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</si>
  <si>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</si>
  <si>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</si>
  <si>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</si>
  <si>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</si>
  <si>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</si>
  <si>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</si>
  <si>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</si>
  <si>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</si>
  <si>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</si>
  <si>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</si>
  <si>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</si>
  <si>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</si>
  <si>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</si>
  <si>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</si>
  <si>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</si>
  <si>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</si>
  <si>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</si>
  <si>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</si>
  <si>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</si>
  <si>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</si>
  <si>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</si>
  <si>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</si>
  <si>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</si>
  <si>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</si>
  <si>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</si>
  <si>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</si>
  <si>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</si>
  <si>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</si>
  <si>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</si>
  <si>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</si>
  <si>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</si>
  <si>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</si>
  <si>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</si>
  <si>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</si>
  <si>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</si>
  <si>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</si>
  <si>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</si>
  <si>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</si>
  <si>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</si>
  <si>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</si>
  <si>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</si>
  <si>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</si>
  <si>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</si>
  <si>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</si>
  <si>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</si>
  <si>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</si>
  <si>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</si>
  <si>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</si>
  <si>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</si>
  <si>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</si>
  <si>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</si>
  <si>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</si>
  <si>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</si>
  <si>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</si>
  <si>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</si>
  <si>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</si>
  <si>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</si>
  <si>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</si>
  <si>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</si>
  <si>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</si>
  <si>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</si>
  <si>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</si>
  <si>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</si>
  <si>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</si>
  <si>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</si>
  <si>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</si>
  <si>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</si>
  <si>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</si>
  <si>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</si>
  <si>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</si>
  <si>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</si>
  <si>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</si>
  <si>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</si>
  <si>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</si>
  <si>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</si>
  <si>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</si>
  <si>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</si>
  <si>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</si>
  <si>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</si>
  <si>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</si>
  <si>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</si>
  <si>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</si>
  <si>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</si>
  <si>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</si>
  <si>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</si>
  <si>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</si>
  <si>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</si>
  <si>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</si>
  <si>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</si>
  <si>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</si>
  <si>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</si>
  <si>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</si>
  <si>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</si>
  <si>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</si>
  <si>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</si>
  <si>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</si>
  <si>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</si>
  <si>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</si>
  <si>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</si>
  <si>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</si>
  <si>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</si>
  <si>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</si>
  <si>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</si>
  <si>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</si>
  <si>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</si>
  <si>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</si>
  <si>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</si>
  <si>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</si>
  <si>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</si>
  <si>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</si>
  <si>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</si>
  <si>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</si>
  <si>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</si>
  <si>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</si>
  <si>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</si>
  <si>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</si>
  <si>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</si>
  <si>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</si>
  <si>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</si>
  <si>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</si>
  <si>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</si>
  <si>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</si>
  <si>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</si>
  <si>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</si>
  <si>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</si>
  <si>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</si>
  <si>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</si>
  <si>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</si>
  <si>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</si>
  <si>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</si>
  <si>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</si>
  <si>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</si>
  <si>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</si>
  <si>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</si>
  <si>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</si>
  <si>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</si>
  <si>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</si>
  <si>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</si>
  <si>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</si>
  <si>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</si>
  <si>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</si>
  <si>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</si>
  <si>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</si>
  <si>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</si>
  <si>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</si>
  <si>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</si>
  <si>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</si>
  <si>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</si>
  <si>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</si>
  <si>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</si>
  <si>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</si>
  <si>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</si>
  <si>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</si>
  <si>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</si>
  <si>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</si>
  <si>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</si>
  <si>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</si>
  <si>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</si>
  <si>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</si>
  <si>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</si>
  <si>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</si>
  <si>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</si>
  <si>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</si>
  <si>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</si>
  <si>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</si>
  <si>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</si>
  <si>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</si>
  <si>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</si>
  <si>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</si>
  <si>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</si>
  <si>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</si>
  <si>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</si>
  <si>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</si>
  <si>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</si>
  <si>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</si>
  <si>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</si>
  <si>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</si>
  <si>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</si>
  <si>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</si>
  <si>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</si>
  <si>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</si>
  <si>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</si>
  <si>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</si>
  <si>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</si>
  <si>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</si>
  <si>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</si>
  <si>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</si>
  <si>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</si>
  <si>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</si>
  <si>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</si>
  <si>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</si>
  <si>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</si>
  <si>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</si>
  <si>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</si>
  <si>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</si>
  <si>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</si>
  <si>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</si>
  <si>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</si>
  <si>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</si>
  <si>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</si>
  <si>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</si>
  <si>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</si>
  <si>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</si>
  <si>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</si>
  <si>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</si>
  <si>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</si>
  <si>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</si>
  <si>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</si>
  <si>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</si>
  <si>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</si>
  <si>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</si>
  <si>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</si>
  <si>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</si>
  <si>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</si>
  <si>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</si>
  <si>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</si>
  <si>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</si>
  <si>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</si>
  <si>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</si>
  <si>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</si>
  <si>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</si>
  <si>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</si>
  <si>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</si>
  <si>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</si>
  <si>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</si>
  <si>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</si>
  <si>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</si>
  <si>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</si>
  <si>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</si>
  <si>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</si>
  <si>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</si>
  <si>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</si>
  <si>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</si>
  <si>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</si>
  <si>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</si>
  <si>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</si>
  <si>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</si>
  <si>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</si>
  <si>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</si>
  <si>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</si>
  <si>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</si>
  <si>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</si>
  <si>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</si>
  <si>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</si>
  <si>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</si>
  <si>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</si>
  <si>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</si>
  <si>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</si>
  <si>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</si>
  <si>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</si>
  <si>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</si>
  <si>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</si>
  <si>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</si>
  <si>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</si>
  <si>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</si>
  <si>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</si>
  <si>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</si>
  <si>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</si>
  <si>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</si>
  <si>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</si>
  <si>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</si>
  <si>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</si>
  <si>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</si>
  <si>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</si>
  <si>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</si>
  <si>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</si>
  <si>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</si>
  <si>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</si>
  <si>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</si>
  <si>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</si>
  <si>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</si>
  <si>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</si>
  <si>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</si>
  <si>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</si>
  <si>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</si>
  <si>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</si>
  <si>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</si>
  <si>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</si>
  <si>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</si>
  <si>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</si>
  <si>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</si>
  <si>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</si>
  <si>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</si>
  <si>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</si>
  <si>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</si>
  <si>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</si>
  <si>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</si>
  <si>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</si>
  <si>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</si>
  <si>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</si>
  <si>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</si>
  <si>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</si>
  <si>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</si>
  <si>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</si>
  <si>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</si>
  <si>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</si>
  <si>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</si>
  <si>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</si>
  <si>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</si>
  <si>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</si>
  <si>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</si>
  <si>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</si>
  <si>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</si>
  <si>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</si>
  <si>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</si>
  <si>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</si>
  <si>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</si>
  <si>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</si>
  <si>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</si>
  <si>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</si>
  <si>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</si>
  <si>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</si>
  <si>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</si>
  <si>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</si>
  <si>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</si>
  <si>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</si>
  <si>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</si>
  <si>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</si>
  <si>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</si>
  <si>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</si>
  <si>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</si>
  <si>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</si>
  <si>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</si>
  <si>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</si>
  <si>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</si>
  <si>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</si>
  <si>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Jabbar</t>
  </si>
  <si>
    <t>6 Brother</t>
  </si>
  <si>
    <t xml:space="preserve">Address: Babra Market </t>
  </si>
  <si>
    <t>Ali General Store</t>
  </si>
  <si>
    <t xml:space="preserve">Address: Sindhu Chowk </t>
  </si>
  <si>
    <t>Shaheen Store</t>
  </si>
  <si>
    <t>Address: Gopal Nager</t>
  </si>
  <si>
    <t>Kashmir Store</t>
  </si>
  <si>
    <t>Fazal Kabeeb Baker</t>
  </si>
  <si>
    <t>Banjour Store</t>
  </si>
  <si>
    <t xml:space="preserve">Address: Petrol Station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</si>
</sst>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1" sqref="U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46241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6 Brother</v>
      </c>
      <c r="T3" s="301">
        <f>+'1'!P35</f>
        <v>2680.945112589407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Ali General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Shaheen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Kashmir Store</v>
      </c>
      <c r="T6" s="301">
        <f>+'4'!P35</f>
        <v>2744.1895840741522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18</v>
      </c>
      <c r="I7" s="235">
        <f>(G7*D7)*F7+H7*F7</f>
        <v>944.32499999999993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75.545999999999992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33.051375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835.72762499999999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178.47457627118638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5.0710110063559313</v>
      </c>
      <c r="P7" s="310">
        <f>M7+N7+O7</f>
        <v>1019.2732122775423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</v>
      </c>
      <c r="R7" s="314">
        <v>5</v>
      </c>
      <c r="S7" s="300" t="str">
        <f>+'5'!A6:A6</f>
        <v>Fazal Kabeeb Baker</v>
      </c>
      <c r="T7" s="301">
        <f>+'5'!P35</f>
        <v>2931.3217996131361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</v>
      </c>
      <c r="R8" s="314">
        <v>6</v>
      </c>
      <c r="S8" s="300" t="str">
        <f>+'6'!A6:A6</f>
        <v>Banjour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18</v>
      </c>
      <c r="I9" s="236">
        <f t="shared" si="0"/>
        <v>944.32499999999993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75.545999999999992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33.051375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835.72762499999999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178.47457627118638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5.0710110063559313</v>
      </c>
      <c r="P9" s="311">
        <f t="shared" si="2"/>
        <v>1019.2732122775423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6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</v>
      </c>
      <c r="I10" s="236">
        <f t="shared" si="0"/>
        <v>1743.3600000000001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139.46880000000002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61.017600000000009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1542.8736000000001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329.49152542372883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9.3618256271186446</v>
      </c>
      <c r="P10" s="311">
        <f t="shared" si="2"/>
        <v>1881.7269510508474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</v>
      </c>
      <c r="I11" s="236">
        <f t="shared" si="0"/>
        <v>1162.24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92.97920000000002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40.678400000000003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1028.5824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219.66101694915255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6.2412170847457631</v>
      </c>
      <c r="P11" s="311">
        <f t="shared" si="2"/>
        <v>1254.4846340338984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</v>
      </c>
      <c r="I12" s="236">
        <f t="shared" si="0"/>
        <v>1307.52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104.60160000000002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45.763200000000005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1157.1551999999999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247.11864406779662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7.0213692203389835</v>
      </c>
      <c r="P12" s="311">
        <f t="shared" si="2"/>
        <v>1411.2952132881355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98</v>
      </c>
      <c r="I13" s="236">
        <f t="shared" si="0"/>
        <v>3844.5400000000004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192.22700000000003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134.55890000000005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196.07154</v>
      </c>
      <c r="M13" s="230">
        <f t="shared" si="1"/>
        <v>3321.6825600000002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747.45762711864359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20.345700935593221</v>
      </c>
      <c r="P13" s="311">
        <f t="shared" si="2"/>
        <v>4089.485888054237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5.25</v>
      </c>
      <c r="H16" s="113">
        <f t="shared" ref="H16:M16" si="3">SUM(H7:H15)</f>
        <v>210</v>
      </c>
      <c r="I16" s="114">
        <f t="shared" si="3"/>
        <v>10890.635</v>
      </c>
      <c r="J16" s="274">
        <f>SUM(J7:J15)</f>
        <v>755.91460000000006</v>
      </c>
      <c r="K16" s="275">
        <f t="shared" si="3"/>
        <v>381.17222500000008</v>
      </c>
      <c r="L16" s="276">
        <f t="shared" si="3"/>
        <v>196.07154</v>
      </c>
      <c r="M16" s="232">
        <f t="shared" si="3"/>
        <v>9557.4766350000009</v>
      </c>
      <c r="N16" s="233">
        <f>SUM(N7:N15)</f>
        <v>2079.1525423728808</v>
      </c>
      <c r="O16" s="101">
        <f>SUM(O7:O15)</f>
        <v>58.183145886864409</v>
      </c>
      <c r="P16" s="113">
        <f>SUM(P7:P15)</f>
        <v>11694.812323259745</v>
      </c>
      <c r="Q16" s="128">
        <f>SUM(Q7:Q15)</f>
        <v>58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10890.635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755.91460000000006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577.24376500000005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9557.4766350000009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2079.1525423728808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11636.629177372881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58.183145886864409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11694.812323259745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11694.812323259745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514</v>
      </c>
    </row>
    <row r="51" spans="2:2" x14ac:dyDescent="0.35">
      <c r="B51" t="s">
        <v>515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ref="I18:I21" si="7">(G18*D18)*F18+H18*F18</f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7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42</v>
      </c>
      <c r="I25" s="114">
        <f t="shared" ref="I25:M25" si="10">SUM(I16:I24)</f>
        <v>2487.2250000000004</v>
      </c>
      <c r="J25" s="274">
        <f>SUM(J16:J24)</f>
        <v>191.91659999999999</v>
      </c>
      <c r="K25" s="275">
        <f t="shared" si="10"/>
        <v>87.052875</v>
      </c>
      <c r="L25" s="276">
        <f t="shared" si="10"/>
        <v>12.004380000000001</v>
      </c>
      <c r="M25" s="232">
        <f t="shared" si="10"/>
        <v>2196.2511449999997</v>
      </c>
      <c r="N25" s="233">
        <f>SUM(N16:N24)</f>
        <v>471.35593220338984</v>
      </c>
      <c r="O25" s="101">
        <f>SUM(O16:O24)</f>
        <v>13.338035386016948</v>
      </c>
      <c r="P25" s="113">
        <f>SUM(P16:P24)</f>
        <v>2680.9451125894066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2487.2250000000004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191.91659999999999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99.057254999999998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2196.2511450000002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471.35593220338984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2667.60707720339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13.33803538601695</v>
      </c>
    </row>
    <row r="35" spans="2:16" ht="15.75" customHeight="1" thickBot="1" x14ac:dyDescent="0.4">
      <c r="N35" s="371" t="s">
        <v>88</v>
      </c>
      <c r="O35" s="372"/>
      <c r="P35" s="297">
        <f>+P33+P34</f>
        <v>2680.945112589407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2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2542.4050000000002</v>
      </c>
      <c r="J25" s="274">
        <f>SUM(J16:J24)</f>
        <v>203.39239999999998</v>
      </c>
      <c r="K25" s="275">
        <f t="shared" si="7"/>
        <v>88.984175000000008</v>
      </c>
      <c r="L25" s="276">
        <f t="shared" si="7"/>
        <v>0</v>
      </c>
      <c r="M25" s="232">
        <f t="shared" si="7"/>
        <v>2250.028425</v>
      </c>
      <c r="N25" s="233">
        <f>SUM(N16:N24)</f>
        <v>480.50847457627117</v>
      </c>
      <c r="O25" s="101">
        <f>SUM(O16:O24)</f>
        <v>13.652684497881356</v>
      </c>
      <c r="P25" s="113">
        <f>SUM(P16:P24)</f>
        <v>2744.1895840741527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2542.4050000000002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203.39239999999998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88.984175000000008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2250.028425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480.50847457627117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2730.536899576271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13.652684497881355</v>
      </c>
    </row>
    <row r="35" spans="2:16" ht="15.75" customHeight="1" thickBot="1" x14ac:dyDescent="0.4">
      <c r="N35" s="371" t="s">
        <v>88</v>
      </c>
      <c r="O35" s="372"/>
      <c r="P35" s="297">
        <f>+P33+P34</f>
        <v>2744.1895840741522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522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48</v>
      </c>
      <c r="I25" s="114">
        <f t="shared" si="7"/>
        <v>2722.6050000000005</v>
      </c>
      <c r="J25" s="274">
        <f>SUM(J16:J24)</f>
        <v>203.68559999999999</v>
      </c>
      <c r="K25" s="275">
        <f t="shared" si="7"/>
        <v>95.29117500000001</v>
      </c>
      <c r="L25" s="276">
        <f t="shared" si="7"/>
        <v>24.008760000000002</v>
      </c>
      <c r="M25" s="232">
        <f t="shared" si="7"/>
        <v>2399.6194649999998</v>
      </c>
      <c r="N25" s="233">
        <f>SUM(N16:N24)</f>
        <v>517.11864406779659</v>
      </c>
      <c r="O25" s="101">
        <f>SUM(O16:O24)</f>
        <v>14.583690545338982</v>
      </c>
      <c r="P25" s="113">
        <f>SUM(P16:P24)</f>
        <v>2931.3217996131357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2722.6050000000005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203.68559999999999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119.299935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2399.6194650000007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517.11864406779659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2916.7381090677973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14.583690545338987</v>
      </c>
    </row>
    <row r="35" spans="2:16" ht="15.75" customHeight="1" thickBot="1" x14ac:dyDescent="0.4">
      <c r="N35" s="371" t="s">
        <v>88</v>
      </c>
      <c r="O35" s="372"/>
      <c r="P35" s="297">
        <f>+P33+P34</f>
        <v>2931.3217996131361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513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526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46241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46240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46242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46241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2026-08-07T11:38:30Z</dcterms:modified>
</cp:coreProperties>
</file>