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1A9EDE3-85E3-45D6-B4F1-AA028EB72829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<sst xmlns="http://schemas.openxmlformats.org/spreadsheetml/2006/main" count="3977" uniqueCount="513">
  <si>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</si>
  <si>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</si>
  <si>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</si>
  <si>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</si>
  <si>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</si>
  <si>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</si>
  <si>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</si>
  <si>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</si>
  <si>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</si>
  <si>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</si>
  <si>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</si>
  <si>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</si>
  <si>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</si>
  <si>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</si>
  <si>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</si>
  <si>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</si>
  <si>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</si>
  <si>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</si>
  <si>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</si>
  <si>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</si>
  <si>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</si>
  <si>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</si>
  <si>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</si>
  <si>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</si>
  <si>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</si>
  <si>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</si>
  <si>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</si>
  <si>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</si>
  <si>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</si>
  <si>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</si>
  <si>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</si>
  <si>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</si>
  <si>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</si>
  <si>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</si>
  <si>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</si>
  <si>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</si>
  <si>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</si>
  <si>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</si>
  <si>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</si>
  <si>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</si>
  <si>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</si>
  <si>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</si>
  <si>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</si>
  <si>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</si>
  <si>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</si>
  <si>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</si>
  <si>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</si>
  <si>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</si>
  <si>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</si>
  <si>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</si>
  <si>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</si>
  <si>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</si>
  <si>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</si>
  <si>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</si>
  <si>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</si>
  <si>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</si>
  <si>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</si>
  <si>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</si>
  <si>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</si>
  <si>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</si>
  <si>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</si>
  <si>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</si>
  <si>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</si>
  <si>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</si>
  <si>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</si>
  <si>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</si>
  <si>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</si>
  <si>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</si>
  <si>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</si>
  <si>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</si>
  <si>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</si>
  <si>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</si>
  <si>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</si>
  <si>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</si>
  <si>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</si>
  <si>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</si>
  <si>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</si>
  <si>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</si>
  <si>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</si>
  <si>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</si>
  <si>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</si>
  <si>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</si>
  <si>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</si>
  <si>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</si>
  <si>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</si>
  <si>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</si>
  <si>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</si>
  <si>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</si>
  <si>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</si>
  <si>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</si>
  <si>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</si>
  <si>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</si>
  <si>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</si>
  <si>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</si>
  <si>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</si>
  <si>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</si>
  <si>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</si>
  <si>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</si>
  <si>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</si>
  <si>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</si>
  <si>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</si>
  <si>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</si>
  <si>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</si>
  <si>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</si>
  <si>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</si>
  <si>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</si>
  <si>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</si>
  <si>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</si>
  <si>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</si>
  <si>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</si>
  <si>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</si>
  <si>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</si>
  <si>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</si>
  <si>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</si>
  <si>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</si>
  <si>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</si>
  <si>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</si>
  <si>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</si>
  <si>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</si>
  <si>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</si>
  <si>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</si>
  <si>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</si>
  <si>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</si>
  <si>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</si>
  <si>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</si>
  <si>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</si>
  <si>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</si>
  <si>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</si>
  <si>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</si>
  <si>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</si>
  <si>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</si>
  <si>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</si>
  <si>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</si>
  <si>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</si>
  <si>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</si>
  <si>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</si>
  <si>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</si>
  <si>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</si>
  <si>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</si>
  <si>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</si>
  <si>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</si>
  <si>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</si>
  <si>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</si>
  <si>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</si>
  <si>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</si>
  <si>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</si>
  <si>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</si>
  <si>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</si>
  <si>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</si>
  <si>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</si>
  <si>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</si>
  <si>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</si>
  <si>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</si>
  <si>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</si>
  <si>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</si>
  <si>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</si>
  <si>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</si>
  <si>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</si>
  <si>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</si>
  <si>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</si>
  <si>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</si>
  <si>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</si>
  <si>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</si>
  <si>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</si>
  <si>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</si>
  <si>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</si>
  <si>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</si>
  <si>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</si>
  <si>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</si>
  <si>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</si>
  <si>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</si>
  <si>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</si>
  <si>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</si>
  <si>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</si>
  <si>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</si>
  <si>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</si>
  <si>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</si>
  <si>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</si>
  <si>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</si>
  <si>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</si>
  <si>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</si>
  <si>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</si>
  <si>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</si>
  <si>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</si>
  <si>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</si>
  <si>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</si>
  <si>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</si>
  <si>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</si>
  <si>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</si>
  <si>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</si>
  <si>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</si>
  <si>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</si>
  <si>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</si>
  <si>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</si>
  <si>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</si>
  <si>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</si>
  <si>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</si>
  <si>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</si>
  <si>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</si>
  <si>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</si>
  <si>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</si>
  <si>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</si>
  <si>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</si>
  <si>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</si>
  <si>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</si>
  <si>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</si>
  <si>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</si>
  <si>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</si>
  <si>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</si>
  <si>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</si>
  <si>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</si>
  <si>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</si>
  <si>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</si>
  <si>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</si>
  <si>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</si>
  <si>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</si>
  <si>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</si>
  <si>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</si>
  <si>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</si>
  <si>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</si>
  <si>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</si>
  <si>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</si>
  <si>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</si>
  <si>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</si>
  <si>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</si>
  <si>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</si>
  <si>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</si>
  <si>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</si>
  <si>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</si>
  <si>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</si>
  <si>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</si>
  <si>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</si>
  <si>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</si>
  <si>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</si>
  <si>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</si>
  <si>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</si>
  <si>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</si>
  <si>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</si>
  <si>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</si>
  <si>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</si>
  <si>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</si>
  <si>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</si>
  <si>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</si>
  <si>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</si>
  <si>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</si>
  <si>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</si>
  <si>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</si>
  <si>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</si>
  <si>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</si>
  <si>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</si>
  <si>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</si>
  <si>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</si>
  <si>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</si>
  <si>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</si>
  <si>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</si>
  <si>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</si>
  <si>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</si>
  <si>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</si>
  <si>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</si>
  <si>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</si>
  <si>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</si>
  <si>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</si>
  <si>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</si>
  <si>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</si>
  <si>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</si>
  <si>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</si>
  <si>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</si>
  <si>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</si>
  <si>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</si>
  <si>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</si>
  <si>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</si>
  <si>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</si>
  <si>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</si>
  <si>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</si>
  <si>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</si>
  <si>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</si>
  <si>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</si>
  <si>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</si>
  <si>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</si>
  <si>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</si>
  <si>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</si>
  <si>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</si>
  <si>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</si>
  <si>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</si>
  <si>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</si>
  <si>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</si>
  <si>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</si>
  <si>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</si>
  <si>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</si>
  <si>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</si>
  <si>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</si>
  <si>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</si>
  <si>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</si>
  <si>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</si>
  <si>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</si>
  <si>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</si>
  <si>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</si>
  <si>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</si>
  <si>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</si>
  <si>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</si>
  <si>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</si>
  <si>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</si>
  <si>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</si>
  <si>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</si>
  <si>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</si>
  <si>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</si>
  <si>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</si>
  <si>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</si>
  <si>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</si>
  <si>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</si>
  <si>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</si>
  <si>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</si>
  <si>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</si>
  <si>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</si>
  <si>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</si>
  <si>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</si>
  <si>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</si>
  <si>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</si>
  <si>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</si>
  <si>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</si>
  <si>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</si>
  <si>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</si>
  <si>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</si>
  <si>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</si>
  <si>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</si>
  <si>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</si>
  <si>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</si>
  <si>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</si>
  <si>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</si>
  <si>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</si>
  <si>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</si>
  <si>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</si>
  <si>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</si>
  <si>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</si>
  <si>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</si>
  <si>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</si>
  <si>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</si>
  <si>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</si>
  <si>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</si>
  <si>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</si>
  <si>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</si>
  <si>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</si>
  <si>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</si>
  <si>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</si>
  <si>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</si>
  <si>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</si>
  <si>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</si>
  <si>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</si>
  <si>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</si>
  <si>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</si>
  <si>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</si>
  <si>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</si>
  <si>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</si>
  <si>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</si>
  <si>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</si>
  <si>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</si>
  <si>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</si>
  <si>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</si>
  <si>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</si>
  <si>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</si>
  <si>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</si>
  <si>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</si>
  <si>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</si>
  <si>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</si>
  <si>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</si>
  <si>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</si>
  <si>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</si>
  <si>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</si>
  <si>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</si>
  <si>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</si>
  <si>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</si>
  <si>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</si>
  <si>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</si>
  <si>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</si>
  <si>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</si>
  <si>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</si>
  <si>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</si>
  <si>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</si>
  <si>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</si>
  <si>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</si>
  <si>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</si>
  <si>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</si>
  <si>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</si>
  <si>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</si>
  <si>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</si>
  <si>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</si>
  <si>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</si>
  <si>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</si>
  <si>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</si>
  <si>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</si>
  <si>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</si>
  <si>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</si>
  <si>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</si>
  <si>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</si>
  <si>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</si>
  <si>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</si>
  <si>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</si>
  <si>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</si>
  <si>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</si>
  <si>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</si>
  <si>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</si>
  <si>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</si>
  <si>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</si>
  <si>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</si>
  <si>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</si>
  <si>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</si>
  <si>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</si>
  <si>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</si>
  <si>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</si>
  <si>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</si>
  <si>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</si>
  <si>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</si>
  <si>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</si>
  <si>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</si>
  <si>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</si>
  <si>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</si>
  <si>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</si>
  <si>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</si>
  <si>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</si>
  <si>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</si>
  <si>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</si>
  <si>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</si>
  <si>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</si>
  <si>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</si>
  <si>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</si>
  <si>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</si>
  <si>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</si>
  <si>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</si>
  <si>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</si>
  <si>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</si>
  <si>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</si>
  <si>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</si>
  <si>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</si>
  <si>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</si>
  <si>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</si>
  <si>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</si>
  <si>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</si>
  <si>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</si>
  <si>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</si>
  <si>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</si>
  <si>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</si>
  <si>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</si>
  <si>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</si>
  <si>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</si>
  <si>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</si>
  <si>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</si>
  <si>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</si>
  <si>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</si>
  <si>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</si>
  <si>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</si>
  <si>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</si>
  <si>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</si>
  <si>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</si>
  <si>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</si>
  <si>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</si>
  <si>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</si>
  <si>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</si>
  <si>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</si>
  <si>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</si>
  <si>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</si>
  <si>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</si>
  <si>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</si>
  <si>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</si>
  <si>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</si>
  <si>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</si>
  <si>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</si>
  <si>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</si>
  <si>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</si>
  <si>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</si>
  <si>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</si>
  <si>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</si>
  <si>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</si>
  <si>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</si>
  <si>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</si>
  <si>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</si>
  <si>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</si>
  <si>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</si>
  <si>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</si>
  <si>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</si>
  <si>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</si>
  <si>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</si>
  <si>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</si>
  <si>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</si>
  <si>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</si>
  <si>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</si>
  <si>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</si>
  <si>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</si>
  <si>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</si>
  <si>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</si>
  <si>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</si>
  <si>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</si>
  <si>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</si>
  <si>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</si>
  <si>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</si>
  <si>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</si>
  <si>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</si>
  <si>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</si>
  <si>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</si>
  <si>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</si>
  <si>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</si>
  <si>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</si>
  <si>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</si>
  <si>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</si>
  <si>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</si>
  <si>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</si>
  <si>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</si>
  <si>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</si>
  <si>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</si>
  <si>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</si>
  <si>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</si>
  <si>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</si>
  <si>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</si>
  <si>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Free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</si>
</sst>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6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46240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Free Sampling</v>
      </c>
      <c r="T3" s="301">
        <f>+'1'!P35</f>
        <v>800.34623950233038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Free Sampling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Free Sampling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Free Sampling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</v>
      </c>
      <c r="I7" s="235">
        <f>(G7*D7)*F7+H7*F7</f>
        <v>52.462499999999999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4.1970000000000001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1.8361875000000001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46.429312499999995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9.9152542372881314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0.28172283368644063</v>
      </c>
      <c r="P7" s="310">
        <f>M7+N7+O7</f>
        <v>56.626289570974564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Free Sampling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</v>
      </c>
      <c r="I8" s="236">
        <f t="shared" ref="I8:I14" si="0">(G8*D8)*F8+H8*F8</f>
        <v>157.38749999999999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12.590999999999999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5.5085625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139.2879375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29.745762711864394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0.84516850105932195</v>
      </c>
      <c r="P8" s="311">
        <f t="shared" ref="P8:P15" si="2">M8+N8+O8</f>
        <v>169.87886871292372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Free Sampling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</v>
      </c>
      <c r="I9" s="236">
        <f t="shared" si="0"/>
        <v>52.462499999999999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4.1970000000000001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1.8361875000000001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46.429312499999995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9.9152542372881314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0.28172283368644063</v>
      </c>
      <c r="P9" s="311">
        <f t="shared" si="2"/>
        <v>56.626289570974564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Free Sampling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</v>
      </c>
      <c r="I10" s="236">
        <f t="shared" si="0"/>
        <v>217.92000000000002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17.433600000000002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7.6272000000000011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192.85920000000002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41.186440677966104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1.1702282033898306</v>
      </c>
      <c r="P10" s="311">
        <f t="shared" si="2"/>
        <v>235.21586888135593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Free Sampling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</v>
      </c>
      <c r="I11" s="236">
        <f t="shared" si="0"/>
        <v>72.64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5.8112000000000004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2.5424000000000002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64.2864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13.728813559322035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0.39007606779661019</v>
      </c>
      <c r="P11" s="311">
        <f t="shared" si="2"/>
        <v>78.405289627118648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Free Sampling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</v>
      </c>
      <c r="I12" s="236">
        <f t="shared" si="0"/>
        <v>72.64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5.8112000000000004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2.5424000000000002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64.2864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13.728813559322035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0.39007606779661019</v>
      </c>
      <c r="P12" s="311">
        <f t="shared" si="2"/>
        <v>78.405289627118648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Free Sampling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</v>
      </c>
      <c r="I13" s="236">
        <f t="shared" si="0"/>
        <v>117.69000000000001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5.884500000000001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4.1191500000000012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6.0021900000000006</v>
      </c>
      <c r="M13" s="230">
        <f t="shared" si="1"/>
        <v>101.68416000000001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22.881355932203377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0.62282757966101687</v>
      </c>
      <c r="P13" s="311">
        <f t="shared" si="2"/>
        <v>125.1883435118644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Free Sampling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Free Sampling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Free Sampling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0.32500000000000001</v>
      </c>
      <c r="H16" s="113">
        <f t="shared" ref="H16:M16" si="3">SUM(H7:H15)</f>
        <v>13</v>
      </c>
      <c r="I16" s="114">
        <f t="shared" si="3"/>
        <v>743.2025000000001</v>
      </c>
      <c r="J16" s="274">
        <f>SUM(J7:J15)</f>
        <v>55.9255</v>
      </c>
      <c r="K16" s="275">
        <f t="shared" si="3"/>
        <v>26.012087500000003</v>
      </c>
      <c r="L16" s="276">
        <f t="shared" si="3"/>
        <v>6.0021900000000006</v>
      </c>
      <c r="M16" s="232">
        <f t="shared" si="3"/>
        <v>655.2627225</v>
      </c>
      <c r="N16" s="233">
        <f>SUM(N7:N15)</f>
        <v>141.1016949152542</v>
      </c>
      <c r="O16" s="101">
        <f>SUM(O7:O15)</f>
        <v>3.9818220870762708</v>
      </c>
      <c r="P16" s="113">
        <f>SUM(P7:P15)</f>
        <v>800.3462395023306</v>
      </c>
      <c r="Q16" s="128">
        <f>SUM(Q7:Q15)</f>
        <v>0</v>
      </c>
      <c r="R16" s="314">
        <v>14</v>
      </c>
      <c r="S16" s="300" t="str">
        <f>+'14'!A6:A6</f>
        <v>Free Sampling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Free Sampling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Free Sampling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743.2025000000001</v>
      </c>
      <c r="R19" s="299">
        <v>17</v>
      </c>
      <c r="S19" s="300" t="str">
        <f>+'17'!A6:A6</f>
        <v>Free Sampling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55.9255</v>
      </c>
      <c r="R20" s="299">
        <v>18</v>
      </c>
      <c r="S20" s="300" t="str">
        <f>+'18'!A6:A6</f>
        <v>Free Sampling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32.014277500000006</v>
      </c>
      <c r="R21" s="299">
        <v>19</v>
      </c>
      <c r="S21" s="300" t="str">
        <f>+'19'!A6:A6</f>
        <v>Free Sampling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655.2627225</v>
      </c>
      <c r="R22" s="299">
        <v>20</v>
      </c>
      <c r="S22" s="300" t="str">
        <f>+'20'!A6:A6</f>
        <v>Free Sampling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141.1016949152542</v>
      </c>
      <c r="R23" s="299">
        <v>21</v>
      </c>
      <c r="S23" s="300" t="str">
        <f>+'21'!A6:A6</f>
        <v>Free Sampling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796.36441741525414</v>
      </c>
      <c r="R24" s="299">
        <v>22</v>
      </c>
      <c r="S24" s="300" t="str">
        <f>+'22'!A6:A6</f>
        <v>Free Sampling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3.9818220870762708</v>
      </c>
      <c r="R25" s="299">
        <v>23</v>
      </c>
      <c r="S25" s="300" t="str">
        <f>+'23'!A6:A6</f>
        <v>Free Sampling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800.34623950233038</v>
      </c>
      <c r="R26" s="299">
        <v>24</v>
      </c>
      <c r="S26" s="300" t="str">
        <f>+'24'!A6:A6</f>
        <v>Free Sampling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Free Sampling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Free Sampling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Free Sampling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Free Sampling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Free Sampling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Free Sampling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800.34623950233038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2" sqref="H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7.2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</v>
      </c>
      <c r="I16" s="235">
        <f>(G16*D16)*F16+H16*F16</f>
        <v>52.462499999999999</v>
      </c>
      <c r="J16" s="271">
        <f>$I16*S16</f>
        <v>4.1970000000000001</v>
      </c>
      <c r="K16" s="127">
        <f>$I16*T16</f>
        <v>1.8361875000000001</v>
      </c>
      <c r="L16" s="118">
        <f>$I16*U16</f>
        <v>0</v>
      </c>
      <c r="M16" s="229">
        <f>I16-SUM(J16:L16)</f>
        <v>46.429312499999995</v>
      </c>
      <c r="N16" s="248">
        <f>+(G16*D16+H16)*V16</f>
        <v>9.9152542372881314</v>
      </c>
      <c r="O16" s="238">
        <f>(N16+M16)*$O$15</f>
        <v>0.28172283368644063</v>
      </c>
      <c r="P16" s="310">
        <f>M16+N16+O16</f>
        <v>56.626289570974564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</v>
      </c>
      <c r="I18" s="236">
        <f t="shared" ref="I18:I21" si="7">(G18*D18)*F18+H18*F18</f>
        <v>52.462499999999999</v>
      </c>
      <c r="J18" s="272">
        <f t="shared" si="1"/>
        <v>4.1970000000000001</v>
      </c>
      <c r="K18" s="128">
        <f t="shared" si="1"/>
        <v>1.8361875000000001</v>
      </c>
      <c r="L18" s="119">
        <f t="shared" si="1"/>
        <v>0</v>
      </c>
      <c r="M18" s="230">
        <f t="shared" si="2"/>
        <v>46.429312499999995</v>
      </c>
      <c r="N18" s="277">
        <f t="shared" si="3"/>
        <v>9.9152542372881314</v>
      </c>
      <c r="O18" s="239">
        <f t="shared" si="4"/>
        <v>0.28172283368644063</v>
      </c>
      <c r="P18" s="311">
        <f t="shared" si="5"/>
        <v>56.626289570974564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7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7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7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3</v>
      </c>
      <c r="I22" s="236">
        <f t="shared" si="0"/>
        <v>117.69000000000001</v>
      </c>
      <c r="J22" s="272">
        <f t="shared" si="1"/>
        <v>5.884500000000001</v>
      </c>
      <c r="K22" s="128">
        <f t="shared" si="1"/>
        <v>4.1191500000000012</v>
      </c>
      <c r="L22" s="119">
        <f t="shared" si="1"/>
        <v>6.0021900000000006</v>
      </c>
      <c r="M22" s="230">
        <f t="shared" si="2"/>
        <v>101.68416000000001</v>
      </c>
      <c r="N22" s="277">
        <f t="shared" si="3"/>
        <v>22.881355932203377</v>
      </c>
      <c r="O22" s="239">
        <f t="shared" si="4"/>
        <v>0.62282757966101687</v>
      </c>
      <c r="P22" s="311">
        <f t="shared" si="5"/>
        <v>125.1883435118644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13</v>
      </c>
      <c r="I25" s="114">
        <f t="shared" ref="I25:M25" si="10">SUM(I16:I24)</f>
        <v>743.2025000000001</v>
      </c>
      <c r="J25" s="274">
        <f>SUM(J16:J24)</f>
        <v>55.9255</v>
      </c>
      <c r="K25" s="275">
        <f t="shared" si="10"/>
        <v>26.012087500000003</v>
      </c>
      <c r="L25" s="276">
        <f t="shared" si="10"/>
        <v>6.0021900000000006</v>
      </c>
      <c r="M25" s="232">
        <f t="shared" si="10"/>
        <v>655.2627225</v>
      </c>
      <c r="N25" s="233">
        <f>SUM(N16:N24)</f>
        <v>141.1016949152542</v>
      </c>
      <c r="O25" s="101">
        <f>SUM(O16:O24)</f>
        <v>3.9818220870762708</v>
      </c>
      <c r="P25" s="113">
        <f>SUM(P16:P24)</f>
        <v>800.3462395023306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743.2025000000001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55.9255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32.014277500000006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655.2627225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141.1016949152542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796.36441741525414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3.9818220870762708</v>
      </c>
    </row>
    <row r="35" spans="2:16" ht="15.75" customHeight="1" thickBot="1" x14ac:dyDescent="0.4">
      <c r="N35" s="342" t="s">
        <v>88</v>
      </c>
      <c r="O35" s="343"/>
      <c r="P35" s="297">
        <f>+P33+P34</f>
        <v>800.34623950233038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46240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46240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2026-08-06T08:41:50Z</dcterms:modified>
</cp:coreProperties>
</file>