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4670C75-6DCD-4074-9F11-924ACB65F38E}" xr6:coauthVersionLast="47" xr6:coauthVersionMax="47" xr10:uidLastSave="{00000000-0000-0000-0000-000000000000}"/>
  <bookViews>
    <workbookView xWindow="-110" yWindow="-110" windowWidth="19420" windowHeight="10420" tabRatio="594" firstSheet="3" activeTab="18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M20" i="61" s="1"/>
  <c r="O20" i="61" s="1"/>
  <c r="P20" i="61" s="1"/>
  <c r="R20" i="61" s="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3" i="54" l="1"/>
  <c r="O23" i="54" s="1"/>
  <c r="P23" i="54" s="1"/>
  <c r="K12" i="62"/>
  <c r="J15" i="62"/>
  <c r="M21" i="51"/>
  <c r="M16" i="48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M21" i="44"/>
  <c r="O21" i="44" s="1"/>
  <c r="P21" i="44" s="1"/>
  <c r="M17" i="60"/>
  <c r="O17" i="60" s="1"/>
  <c r="P17" i="60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1" i="50" l="1"/>
  <c r="M12" i="62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<sst xmlns="http://schemas.openxmlformats.org/spreadsheetml/2006/main" count="3948" uniqueCount="547">
  <si>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</si>
  <si>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</si>
  <si>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</si>
  <si>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</si>
  <si>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</si>
  <si>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</si>
  <si>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</si>
  <si>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</si>
  <si>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</si>
  <si>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</si>
  <si>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</si>
  <si>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</si>
  <si>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</si>
  <si>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</si>
  <si>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</si>
  <si>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</si>
  <si>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</si>
  <si>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</si>
  <si>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</si>
  <si>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</si>
  <si>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</si>
  <si>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</si>
  <si>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</si>
  <si>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</si>
  <si>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</si>
  <si>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</si>
  <si>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</si>
  <si>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</si>
  <si>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</si>
  <si>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</si>
  <si>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</si>
  <si>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</si>
  <si>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</si>
  <si>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</si>
  <si>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</si>
  <si>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</si>
  <si>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</si>
  <si>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</si>
  <si>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</si>
  <si>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</si>
  <si>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</si>
  <si>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</si>
  <si>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</si>
  <si>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</si>
  <si>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</si>
  <si>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</si>
  <si>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</si>
  <si>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</si>
  <si>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</si>
  <si>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</si>
  <si>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</si>
  <si>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</si>
  <si>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</si>
  <si>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</si>
  <si>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</si>
  <si>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</si>
  <si>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</si>
  <si>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</si>
  <si>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</si>
  <si>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</si>
  <si>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</si>
  <si>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</si>
  <si>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</si>
  <si>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</si>
  <si>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</si>
  <si>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</si>
  <si>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</si>
  <si>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</si>
  <si>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</si>
  <si>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</si>
  <si>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</si>
  <si>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</si>
  <si>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</si>
  <si>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</si>
  <si>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</si>
  <si>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</si>
  <si>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</si>
  <si>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</si>
  <si>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</si>
  <si>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</si>
  <si>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</si>
  <si>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</si>
  <si>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</si>
  <si>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</si>
  <si>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</si>
  <si>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</si>
  <si>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</si>
  <si>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</si>
  <si>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</si>
  <si>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</si>
  <si>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</si>
  <si>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</si>
  <si>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</si>
  <si>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</si>
  <si>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</si>
  <si>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</si>
  <si>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</si>
  <si>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</si>
  <si>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</si>
  <si>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</si>
  <si>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</si>
  <si>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</si>
  <si>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</si>
  <si>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</si>
  <si>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</si>
  <si>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</si>
  <si>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</si>
  <si>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</si>
  <si>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</si>
  <si>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</si>
  <si>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</si>
  <si>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</si>
  <si>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</si>
  <si>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</si>
  <si>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</si>
  <si>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</si>
  <si>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</si>
  <si>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</si>
  <si>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</si>
  <si>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</si>
  <si>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</si>
  <si>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</si>
  <si>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</si>
  <si>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</si>
  <si>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</si>
  <si>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</si>
  <si>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</si>
  <si>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</si>
  <si>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</si>
  <si>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</si>
  <si>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</si>
  <si>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</si>
  <si>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</si>
  <si>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</si>
  <si>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</si>
  <si>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</si>
  <si>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</si>
  <si>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</si>
  <si>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</si>
  <si>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</si>
  <si>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</si>
  <si>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</si>
  <si>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</si>
  <si>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</si>
  <si>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</si>
  <si>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</si>
  <si>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</si>
  <si>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</si>
  <si>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</si>
  <si>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</si>
  <si>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</si>
  <si>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</si>
  <si>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</si>
  <si>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</si>
  <si>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</si>
  <si>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</si>
  <si>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</si>
  <si>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</si>
  <si>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</si>
  <si>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</si>
  <si>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</si>
  <si>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</si>
  <si>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</si>
  <si>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</si>
  <si>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</si>
  <si>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</si>
  <si>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</si>
  <si>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</si>
  <si>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</si>
  <si>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</si>
  <si>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</si>
  <si>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</si>
  <si>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</si>
  <si>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</si>
  <si>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</si>
  <si>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</si>
  <si>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</si>
  <si>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</si>
  <si>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</si>
  <si>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</si>
  <si>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</si>
  <si>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</si>
  <si>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</si>
  <si>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</si>
  <si>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</si>
  <si>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</si>
  <si>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</si>
  <si>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</si>
  <si>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</si>
  <si>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</si>
  <si>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</si>
  <si>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</si>
  <si>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</si>
  <si>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</si>
  <si>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</si>
  <si>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</si>
  <si>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</si>
  <si>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</si>
  <si>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</si>
  <si>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</si>
  <si>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</si>
  <si>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</si>
  <si>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</si>
  <si>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</si>
  <si>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</si>
  <si>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</si>
  <si>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</si>
  <si>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</si>
  <si>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</si>
  <si>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</si>
  <si>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</si>
  <si>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</si>
  <si>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</si>
  <si>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</si>
  <si>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</si>
  <si>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</si>
  <si>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</si>
  <si>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</si>
  <si>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</si>
  <si>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</si>
  <si>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</si>
  <si>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</si>
  <si>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</si>
  <si>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</si>
  <si>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</si>
  <si>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</si>
  <si>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</si>
  <si>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</si>
  <si>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</si>
  <si>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</si>
  <si>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</si>
  <si>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</si>
  <si>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</si>
  <si>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</si>
  <si>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</si>
  <si>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</si>
  <si>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</si>
  <si>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</si>
  <si>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</si>
  <si>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</si>
  <si>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</si>
  <si>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</si>
  <si>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</si>
  <si>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</si>
  <si>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</si>
  <si>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</si>
  <si>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</si>
  <si>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</si>
  <si>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</si>
  <si>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</si>
  <si>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</si>
  <si>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</si>
  <si>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</si>
  <si>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</si>
  <si>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</si>
  <si>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</si>
  <si>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</si>
  <si>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</si>
  <si>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</si>
  <si>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</si>
  <si>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</si>
  <si>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</si>
  <si>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</si>
  <si>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</si>
  <si>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</si>
  <si>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</si>
  <si>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</si>
  <si>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</si>
  <si>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</si>
  <si>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</si>
  <si>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</si>
  <si>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</si>
  <si>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</si>
  <si>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</si>
  <si>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</si>
  <si>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</si>
  <si>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</si>
  <si>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</si>
  <si>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</si>
  <si>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</si>
  <si>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</si>
  <si>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</si>
  <si>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</si>
  <si>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</si>
  <si>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</si>
  <si>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</si>
  <si>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</si>
  <si>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</si>
  <si>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</si>
  <si>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</si>
  <si>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</si>
  <si>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</si>
  <si>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</si>
  <si>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</si>
  <si>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</si>
  <si>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</si>
  <si>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</si>
  <si>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</si>
  <si>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</si>
  <si>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</si>
  <si>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</si>
  <si>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</si>
  <si>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</si>
  <si>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</si>
  <si>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</si>
  <si>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</si>
  <si>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</si>
  <si>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</si>
  <si>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</si>
  <si>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</si>
  <si>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</si>
  <si>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</si>
  <si>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</si>
  <si>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</si>
  <si>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</si>
  <si>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</si>
  <si>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</si>
  <si>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</si>
  <si>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</si>
  <si>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</si>
  <si>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</si>
  <si>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</si>
  <si>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</si>
  <si>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</si>
  <si>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</si>
  <si>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</si>
  <si>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</si>
  <si>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</si>
  <si>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</si>
  <si>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</si>
  <si>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</si>
  <si>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</si>
  <si>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</si>
  <si>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</si>
  <si>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</si>
  <si>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</si>
  <si>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</si>
  <si>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</si>
  <si>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</si>
  <si>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</si>
  <si>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</si>
  <si>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</si>
  <si>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</si>
  <si>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</si>
  <si>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</si>
  <si>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</si>
  <si>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</si>
  <si>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</si>
  <si>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</si>
  <si>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</si>
  <si>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</si>
  <si>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</si>
  <si>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</si>
  <si>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</si>
  <si>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</si>
  <si>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</si>
  <si>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</si>
  <si>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</si>
  <si>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</si>
  <si>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</si>
  <si>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</si>
  <si>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</si>
  <si>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</si>
  <si>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</si>
  <si>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</si>
  <si>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</si>
  <si>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</si>
  <si>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</si>
  <si>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</si>
  <si>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</si>
  <si>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</si>
  <si>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</si>
  <si>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</si>
  <si>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</si>
  <si>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</si>
  <si>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</si>
  <si>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</si>
  <si>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</si>
  <si>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</si>
  <si>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</si>
  <si>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</si>
  <si>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</si>
  <si>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</si>
  <si>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</si>
  <si>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</si>
  <si>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</si>
  <si>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</si>
  <si>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</si>
  <si>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</si>
  <si>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</si>
  <si>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</si>
  <si>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</si>
  <si>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</si>
  <si>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</si>
  <si>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</si>
  <si>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</si>
  <si>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</si>
  <si>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</si>
  <si>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</si>
  <si>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</si>
  <si>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</si>
  <si>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</si>
  <si>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</si>
  <si>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</si>
  <si>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</si>
  <si>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</si>
  <si>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</si>
  <si>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</si>
  <si>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</si>
  <si>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</si>
  <si>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</si>
  <si>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</si>
  <si>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</si>
  <si>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</si>
  <si>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</si>
  <si>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</si>
  <si>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</si>
  <si>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</si>
  <si>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</si>
  <si>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</si>
  <si>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</si>
  <si>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</si>
  <si>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</si>
  <si>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</si>
  <si>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</si>
  <si>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</si>
  <si>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</si>
  <si>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</si>
  <si>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</si>
  <si>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</si>
  <si>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</si>
  <si>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</si>
  <si>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</si>
  <si>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</si>
  <si>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</si>
  <si>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</si>
  <si>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</si>
  <si>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</si>
  <si>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</si>
  <si>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</si>
  <si>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</si>
  <si>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</si>
  <si>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</si>
  <si>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</si>
  <si>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</si>
  <si>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</si>
  <si>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</si>
  <si>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</si>
  <si>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</si>
  <si>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</si>
  <si>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</si>
  <si>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</si>
  <si>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</si>
  <si>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</si>
  <si>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</si>
  <si>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</si>
  <si>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</si>
  <si>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</si>
  <si>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</si>
  <si>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</si>
  <si>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</si>
  <si>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</si>
  <si>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</si>
  <si>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</si>
  <si>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</si>
  <si>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</si>
  <si>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</si>
  <si>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</si>
  <si>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</si>
  <si>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</si>
  <si>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</si>
  <si>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</si>
  <si>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</si>
  <si>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</si>
  <si>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</si>
  <si>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</si>
  <si>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</si>
  <si>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</si>
  <si>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</si>
  <si>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</si>
  <si>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</si>
  <si>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</si>
  <si>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</si>
  <si>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</si>
  <si>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</si>
  <si>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</si>
  <si>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</si>
  <si>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</si>
  <si>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</si>
  <si>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</si>
  <si>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</si>
  <si>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</si>
  <si>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</si>
  <si>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</si>
  <si>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</si>
  <si>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</si>
  <si>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</si>
  <si>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</si>
  <si>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</si>
  <si>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</si>
  <si>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</si>
  <si>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</si>
  <si>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</si>
  <si>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</si>
  <si>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</si>
  <si>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</si>
  <si>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</si>
  <si>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</si>
  <si>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</si>
  <si>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</si>
  <si>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</si>
  <si>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</si>
  <si>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</si>
  <si>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</si>
  <si>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</si>
  <si>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</si>
  <si>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 Joher Town</t>
  </si>
  <si>
    <t xml:space="preserve">Address: B Block Joher Town </t>
  </si>
  <si>
    <t>Gourmet Food</t>
  </si>
  <si>
    <t>Gourmet Food Rehman Pura</t>
  </si>
  <si>
    <t>Address: Rehman Pura</t>
  </si>
  <si>
    <t>Gourmet Food Ghalib Market</t>
  </si>
  <si>
    <t>Address: Ghalib Market</t>
  </si>
  <si>
    <t xml:space="preserve">Gourmet Food Shama </t>
  </si>
  <si>
    <t xml:space="preserve">Address: Shahma </t>
  </si>
  <si>
    <t xml:space="preserve">Address: Muslim Town Ayubia </t>
  </si>
  <si>
    <t xml:space="preserve">Gourmet Food Muslim Town Ayubia </t>
  </si>
  <si>
    <t xml:space="preserve">Gourmet Food Walton </t>
  </si>
  <si>
    <t xml:space="preserve">Address: Walton </t>
  </si>
  <si>
    <t>Gourmet Food Barkat Market</t>
  </si>
  <si>
    <t>Address: Barker Market</t>
  </si>
  <si>
    <t xml:space="preserve">Gourmet Food Firdos Market </t>
  </si>
  <si>
    <t>Address:Firdos Market</t>
  </si>
  <si>
    <t>Gourmet Food Nishat</t>
  </si>
  <si>
    <t>Address:Nishat</t>
  </si>
  <si>
    <t xml:space="preserve">Gourmet Food Umer Chowk </t>
  </si>
  <si>
    <t xml:space="preserve">Address: Umer Chowk </t>
  </si>
  <si>
    <t xml:space="preserve">Gourmet Food Model Towm </t>
  </si>
  <si>
    <t xml:space="preserve">Address: Link Road Model Town </t>
  </si>
  <si>
    <t>Gourmet Food Riwand Road</t>
  </si>
  <si>
    <t>Address:Riwand Road</t>
  </si>
  <si>
    <t>Gourmet Food Choung</t>
  </si>
  <si>
    <t>Address: Choung</t>
  </si>
  <si>
    <t xml:space="preserve">Gourmet Food Moterway </t>
  </si>
  <si>
    <t>Address: Moter Way</t>
  </si>
  <si>
    <t>Gourmet Food College Road</t>
  </si>
  <si>
    <t>Address:College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</si>
</sst>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7"/>
      <c r="B3" s="327"/>
      <c r="C3" s="327"/>
      <c r="D3" s="327"/>
      <c r="E3" s="327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</row>
    <row r="4" spans="1:29" x14ac:dyDescent="0.35">
      <c r="A4" s="329" t="s">
        <v>436</v>
      </c>
      <c r="B4" s="165" t="s">
        <v>437</v>
      </c>
      <c r="C4" s="165"/>
      <c r="D4" s="331" t="s">
        <v>438</v>
      </c>
      <c r="E4" s="333" t="s">
        <v>439</v>
      </c>
      <c r="F4" s="335" t="s">
        <v>58</v>
      </c>
      <c r="G4" s="335"/>
      <c r="H4" s="336" t="s">
        <v>440</v>
      </c>
      <c r="I4" s="336"/>
      <c r="J4" s="337" t="s">
        <v>441</v>
      </c>
      <c r="K4" s="338"/>
      <c r="L4" s="337" t="s">
        <v>442</v>
      </c>
      <c r="M4" s="338"/>
      <c r="N4" s="339" t="s">
        <v>443</v>
      </c>
      <c r="O4" s="339"/>
      <c r="P4" s="337" t="s">
        <v>86</v>
      </c>
      <c r="Q4" s="338"/>
      <c r="R4" s="337" t="s">
        <v>444</v>
      </c>
      <c r="S4" s="338"/>
      <c r="T4" s="340" t="s">
        <v>445</v>
      </c>
      <c r="U4" s="340"/>
      <c r="V4" s="341" t="s">
        <v>446</v>
      </c>
      <c r="W4" s="342"/>
      <c r="X4" s="341" t="s">
        <v>447</v>
      </c>
      <c r="Y4" s="342"/>
    </row>
    <row r="5" spans="1:29" ht="26.25" customHeight="1" thickBot="1" x14ac:dyDescent="0.4">
      <c r="A5" s="330"/>
      <c r="B5" s="167" t="s">
        <v>448</v>
      </c>
      <c r="C5" s="167" t="s">
        <v>438</v>
      </c>
      <c r="D5" s="332"/>
      <c r="E5" s="33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A16"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7" t="s">
        <v>91</v>
      </c>
      <c r="B2" s="367"/>
      <c r="C2" s="367"/>
      <c r="E2" s="354" t="s">
        <v>499</v>
      </c>
      <c r="F2" s="355"/>
      <c r="G2" s="355"/>
      <c r="H2" s="352" t="s">
        <v>518</v>
      </c>
      <c r="I2" s="352"/>
      <c r="J2" s="353"/>
      <c r="R2" s="349" t="s">
        <v>498</v>
      </c>
      <c r="S2" s="350"/>
      <c r="T2" s="351"/>
    </row>
    <row r="3" spans="1:20 16377:16378" ht="21.75" customHeight="1" thickBot="1" x14ac:dyDescent="0.4">
      <c r="A3" s="368" t="s">
        <v>92</v>
      </c>
      <c r="B3" s="368"/>
      <c r="C3" s="368"/>
      <c r="E3" s="358" t="s">
        <v>511</v>
      </c>
      <c r="F3" s="359"/>
      <c r="G3" s="359"/>
      <c r="H3" s="356">
        <f ca="1">TODAY()</f>
        <v>46262</v>
      </c>
      <c r="I3" s="356"/>
      <c r="J3" s="357"/>
      <c r="K3" s="369" t="s">
        <v>43</v>
      </c>
      <c r="L3" s="369"/>
      <c r="M3" s="369"/>
      <c r="N3" s="368"/>
      <c r="O3" s="368"/>
      <c r="P3" s="368"/>
      <c r="R3" s="299">
        <v>1</v>
      </c>
      <c r="S3" s="300" t="str">
        <f>+'1'!A6:A6</f>
        <v>Gourmet Food Joher Town</v>
      </c>
      <c r="T3" s="301">
        <f>+'1'!P35</f>
        <v>6320.450510466103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Gourmet Food Rehman Pura</v>
      </c>
      <c r="T4" s="301">
        <f>+'2'!P35</f>
        <v>2844.1987850847459</v>
      </c>
      <c r="XEX4" t="s">
        <v>105</v>
      </c>
    </row>
    <row r="5" spans="1:20 16377:16378" ht="21.75" customHeight="1" thickBot="1" x14ac:dyDescent="0.4">
      <c r="A5" s="388" t="s">
        <v>51</v>
      </c>
      <c r="B5" s="360"/>
      <c r="C5" s="390" t="s">
        <v>90</v>
      </c>
      <c r="D5" s="115" t="s">
        <v>52</v>
      </c>
      <c r="E5" s="392" t="s">
        <v>58</v>
      </c>
      <c r="F5" s="393"/>
      <c r="G5" s="365" t="s">
        <v>54</v>
      </c>
      <c r="H5" s="366"/>
      <c r="I5" s="394" t="s">
        <v>77</v>
      </c>
      <c r="J5" s="364" t="s">
        <v>55</v>
      </c>
      <c r="K5" s="365"/>
      <c r="L5" s="366"/>
      <c r="M5" s="360" t="s">
        <v>84</v>
      </c>
      <c r="N5" s="362" t="s">
        <v>495</v>
      </c>
      <c r="O5" s="103" t="s">
        <v>89</v>
      </c>
      <c r="P5" s="115" t="s">
        <v>56</v>
      </c>
      <c r="Q5" s="315" t="s">
        <v>510</v>
      </c>
      <c r="R5" s="314">
        <v>3</v>
      </c>
      <c r="S5" s="300" t="str">
        <f>+'3'!A6:A6</f>
        <v>Gourmet Food Ghalib Market</v>
      </c>
      <c r="T5" s="301">
        <f>+'3'!P35</f>
        <v>2844.1987850847459</v>
      </c>
      <c r="XEX5" t="s">
        <v>106</v>
      </c>
    </row>
    <row r="6" spans="1:20 16377:16378" ht="21.75" customHeight="1" thickBot="1" x14ac:dyDescent="0.4">
      <c r="A6" s="389"/>
      <c r="B6" s="361"/>
      <c r="C6" s="39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3"/>
      <c r="J6" s="143" t="s">
        <v>59</v>
      </c>
      <c r="K6" s="144" t="s">
        <v>39</v>
      </c>
      <c r="L6" s="145" t="s">
        <v>493</v>
      </c>
      <c r="M6" s="361"/>
      <c r="N6" s="363"/>
      <c r="O6" s="228" t="e">
        <f>IF(#REF!="Filer",0.5%,2.5%)</f>
        <v>#REF!</v>
      </c>
      <c r="P6" s="111" t="s">
        <v>38</v>
      </c>
      <c r="Q6" s="315" t="s">
        <v>509</v>
      </c>
      <c r="R6" s="314">
        <v>4</v>
      </c>
      <c r="S6" s="300" t="str">
        <f>+'4'!A6:A6</f>
        <v xml:space="preserve">Gourmet Food Shama </v>
      </c>
      <c r="T6" s="301">
        <f>+'4'!P35</f>
        <v>2844.1987850847459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80</v>
      </c>
      <c r="I7" s="235">
        <f>(G7*D7)*F7+H7*F7</f>
        <v>4197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755.45999999999992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146.89500000000001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3294.645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793.22033898305051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20.439326694915252</v>
      </c>
      <c r="P7" s="310">
        <f>M7+N7+O7</f>
        <v>4108.3046656779661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40</v>
      </c>
      <c r="R7" s="314">
        <v>5</v>
      </c>
      <c r="S7" s="300" t="str">
        <f>+'5'!A6:A6</f>
        <v xml:space="preserve">Gourmet Food Muslim Town Ayubia </v>
      </c>
      <c r="T7" s="301">
        <f>+'5'!P35</f>
        <v>2054.1523328389831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120</v>
      </c>
      <c r="I8" s="236">
        <f t="shared" ref="I8:I14" si="0">(G8*D8)*F8+H8*F8</f>
        <v>6295.5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1133.1899999999998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220.34250000000003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4941.9675000000007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1189.8305084745757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30.658990042372878</v>
      </c>
      <c r="P8" s="311">
        <f t="shared" ref="P8:P15" si="2">M8+N8+O8</f>
        <v>6162.4569985169492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Gourmet Food Walton </v>
      </c>
      <c r="T8" s="301">
        <f>+'6'!P35</f>
        <v>4266.2981776271181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Gourmet Food Barkat Market</v>
      </c>
      <c r="T9" s="301">
        <f>+'7'!P35</f>
        <v>8374.6028433050833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120</v>
      </c>
      <c r="I10" s="236">
        <f t="shared" si="0"/>
        <v>8716.7999999999993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1569.0239999999997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305.08800000000002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6842.6880000000001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1647.457627118644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42.450728135593216</v>
      </c>
      <c r="P10" s="311">
        <f t="shared" si="2"/>
        <v>8532.5963552542362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20</v>
      </c>
      <c r="R10" s="314">
        <v>8</v>
      </c>
      <c r="S10" s="300" t="str">
        <f>+'8'!A6:A6</f>
        <v xml:space="preserve">Gourmet Food Firdos Market </v>
      </c>
      <c r="T10" s="301">
        <f>+'8'!P35</f>
        <v>6320.450510466103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100</v>
      </c>
      <c r="I11" s="236">
        <f t="shared" si="0"/>
        <v>7264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1307.5199999999998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254.24000000000004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5702.24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1372.8813559322034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35.375606779661013</v>
      </c>
      <c r="P11" s="311">
        <f t="shared" si="2"/>
        <v>7110.4969627118644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20</v>
      </c>
      <c r="R11" s="314">
        <v>9</v>
      </c>
      <c r="S11" s="300" t="str">
        <f>+'9'!A6:A6</f>
        <v>Gourmet Food Nishat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140</v>
      </c>
      <c r="I12" s="236">
        <f t="shared" si="0"/>
        <v>10169.6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1830.5279999999996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355.93600000000004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7983.1360000000004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1922.0338983050847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49.52584949152542</v>
      </c>
      <c r="P12" s="311">
        <f t="shared" si="2"/>
        <v>9954.6957477966098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20</v>
      </c>
      <c r="R12" s="314">
        <v>10</v>
      </c>
      <c r="S12" s="300" t="str">
        <f>+'10'!A6:A6</f>
        <v xml:space="preserve">Gourmet Food Umer Chowk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Gourmet Food Model Towm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Gourmet Food Riwand Road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Gourmet Food Choung</v>
      </c>
      <c r="T15" s="301">
        <f>+'13'!P35</f>
        <v>0</v>
      </c>
    </row>
    <row r="16" spans="1:20 16377:16378" ht="21.75" customHeight="1" thickBot="1" x14ac:dyDescent="0.4">
      <c r="A16" s="370">
        <f>COUNT(A7:A15)</f>
        <v>0</v>
      </c>
      <c r="B16" s="371"/>
      <c r="C16" s="371" t="s">
        <v>40</v>
      </c>
      <c r="D16" s="371"/>
      <c r="E16" s="371"/>
      <c r="F16" s="372"/>
      <c r="G16" s="117">
        <f>H16/40</f>
        <v>14</v>
      </c>
      <c r="H16" s="113">
        <f t="shared" ref="H16:M16" si="3">SUM(H7:H15)</f>
        <v>560</v>
      </c>
      <c r="I16" s="114">
        <f t="shared" si="3"/>
        <v>36642.9</v>
      </c>
      <c r="J16" s="274">
        <f>SUM(J7:J15)</f>
        <v>6595.7219999999979</v>
      </c>
      <c r="K16" s="275">
        <f t="shared" si="3"/>
        <v>1282.5015000000003</v>
      </c>
      <c r="L16" s="276">
        <f t="shared" si="3"/>
        <v>0</v>
      </c>
      <c r="M16" s="232">
        <f t="shared" si="3"/>
        <v>28764.676500000001</v>
      </c>
      <c r="N16" s="233">
        <f>SUM(N7:N15)</f>
        <v>6925.4237288135591</v>
      </c>
      <c r="O16" s="101">
        <f>SUM(O7:O15)</f>
        <v>178.4505011440678</v>
      </c>
      <c r="P16" s="113">
        <f>SUM(P7:P15)</f>
        <v>35868.550729957627</v>
      </c>
      <c r="Q16" s="128">
        <f>SUM(Q7:Q15)</f>
        <v>100</v>
      </c>
      <c r="R16" s="314">
        <v>14</v>
      </c>
      <c r="S16" s="300" t="str">
        <f>+'14'!A6:A6</f>
        <v xml:space="preserve">Gourmet Food Moterway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Gourmet Food College Road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3" t="s">
        <v>64</v>
      </c>
      <c r="C19" s="374"/>
      <c r="D19" s="374"/>
      <c r="E19" s="374"/>
      <c r="F19" s="374"/>
      <c r="G19" s="374"/>
      <c r="H19" s="374"/>
      <c r="I19" s="374"/>
      <c r="J19" s="374"/>
      <c r="K19" s="374"/>
      <c r="L19" s="375"/>
      <c r="N19" s="382" t="s">
        <v>60</v>
      </c>
      <c r="O19" s="383"/>
      <c r="P19" s="139">
        <f>I16</f>
        <v>36642.9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6"/>
      <c r="C20" s="377"/>
      <c r="D20" s="377"/>
      <c r="E20" s="377"/>
      <c r="F20" s="377"/>
      <c r="G20" s="377"/>
      <c r="H20" s="377"/>
      <c r="I20" s="377"/>
      <c r="J20" s="377"/>
      <c r="K20" s="377"/>
      <c r="L20" s="378"/>
      <c r="N20" s="384" t="s">
        <v>85</v>
      </c>
      <c r="O20" s="385"/>
      <c r="P20" s="140">
        <f>+J16</f>
        <v>6595.7219999999979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6"/>
      <c r="C21" s="377"/>
      <c r="D21" s="377"/>
      <c r="E21" s="377"/>
      <c r="F21" s="377"/>
      <c r="G21" s="377"/>
      <c r="H21" s="377"/>
      <c r="I21" s="377"/>
      <c r="J21" s="377"/>
      <c r="K21" s="377"/>
      <c r="L21" s="378"/>
      <c r="N21" s="384" t="s">
        <v>86</v>
      </c>
      <c r="O21" s="385"/>
      <c r="P21" s="140">
        <f>+K16+L16</f>
        <v>1282.5015000000003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6"/>
      <c r="C22" s="377"/>
      <c r="D22" s="377"/>
      <c r="E22" s="377"/>
      <c r="F22" s="377"/>
      <c r="G22" s="377"/>
      <c r="H22" s="377"/>
      <c r="I22" s="377"/>
      <c r="J22" s="377"/>
      <c r="K22" s="377"/>
      <c r="L22" s="378"/>
      <c r="M22" s="131"/>
      <c r="N22" s="384" t="s">
        <v>87</v>
      </c>
      <c r="O22" s="385"/>
      <c r="P22" s="140">
        <f>P19-P20-P21</f>
        <v>28764.676500000001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6"/>
      <c r="C23" s="377"/>
      <c r="D23" s="377"/>
      <c r="E23" s="377"/>
      <c r="F23" s="377"/>
      <c r="G23" s="377"/>
      <c r="H23" s="377"/>
      <c r="I23" s="377"/>
      <c r="J23" s="377"/>
      <c r="K23" s="377"/>
      <c r="L23" s="378"/>
      <c r="M23" s="131"/>
      <c r="N23" s="136" t="s">
        <v>61</v>
      </c>
      <c r="O23" s="133">
        <v>0.18</v>
      </c>
      <c r="P23" s="140">
        <f>+N16</f>
        <v>6925.4237288135591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6"/>
      <c r="C24" s="377"/>
      <c r="D24" s="377"/>
      <c r="E24" s="377"/>
      <c r="F24" s="377"/>
      <c r="G24" s="377"/>
      <c r="H24" s="377"/>
      <c r="I24" s="377"/>
      <c r="J24" s="377"/>
      <c r="K24" s="377"/>
      <c r="L24" s="378"/>
      <c r="M24" s="131"/>
      <c r="N24" s="386" t="s">
        <v>76</v>
      </c>
      <c r="O24" s="387"/>
      <c r="P24" s="140">
        <f>P22+P23</f>
        <v>35690.100228813564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9"/>
      <c r="C25" s="380"/>
      <c r="D25" s="380"/>
      <c r="E25" s="380"/>
      <c r="F25" s="380"/>
      <c r="G25" s="380"/>
      <c r="H25" s="380"/>
      <c r="I25" s="380"/>
      <c r="J25" s="380"/>
      <c r="K25" s="380"/>
      <c r="L25" s="381"/>
      <c r="M25" s="99"/>
      <c r="N25" s="138" t="s">
        <v>83</v>
      </c>
      <c r="O25" s="137" t="e">
        <f>IF(#REF!="Filer",0.5%,2.5%)</f>
        <v>#REF!</v>
      </c>
      <c r="P25" s="140">
        <f>+O16</f>
        <v>178.4505011440678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3" t="s">
        <v>88</v>
      </c>
      <c r="O26" s="344"/>
      <c r="P26" s="297">
        <f>+P24+P25</f>
        <v>35868.550729957635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5"/>
      <c r="D27" s="345"/>
      <c r="E27" s="345"/>
      <c r="F27" s="345"/>
      <c r="G27" s="345"/>
      <c r="H27" s="345"/>
      <c r="I27" s="346"/>
      <c r="J27" s="347"/>
      <c r="K27" s="348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35868.550729957627</v>
      </c>
    </row>
    <row r="44" spans="2:20" x14ac:dyDescent="0.35">
      <c r="B44" t="s">
        <v>503</v>
      </c>
    </row>
    <row r="45" spans="2:20" x14ac:dyDescent="0.35">
      <c r="B45" t="s">
        <v>504</v>
      </c>
    </row>
    <row r="46" spans="2:20" x14ac:dyDescent="0.35">
      <c r="B46" t="s">
        <v>505</v>
      </c>
    </row>
    <row r="47" spans="2:20" x14ac:dyDescent="0.35">
      <c r="B47" t="s">
        <v>506</v>
      </c>
    </row>
    <row r="48" spans="2:20" x14ac:dyDescent="0.35">
      <c r="B48" t="s">
        <v>507</v>
      </c>
    </row>
    <row r="49" spans="2:2" x14ac:dyDescent="0.35">
      <c r="B49" t="s">
        <v>512</v>
      </c>
    </row>
    <row r="50" spans="2:2" x14ac:dyDescent="0.35">
      <c r="B50" t="s">
        <v>513</v>
      </c>
    </row>
    <row r="51" spans="2:2" x14ac:dyDescent="0.35">
      <c r="B51" t="s">
        <v>514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4" workbookViewId="0">
      <selection activeCell="B36" sqref="B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7.25" customHeight="1" x14ac:dyDescent="0.4">
      <c r="A6" s="397" t="s">
        <v>516</v>
      </c>
      <c r="B6" s="397"/>
      <c r="C6" s="397"/>
      <c r="F6" s="85"/>
      <c r="G6" s="86"/>
      <c r="K6" s="369" t="s">
        <v>69</v>
      </c>
      <c r="L6" s="369"/>
      <c r="M6" s="369"/>
      <c r="N6" s="398" t="s">
        <v>503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517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7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7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7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" si="8">SUM(G16:G24)</f>
        <v>0</v>
      </c>
      <c r="H25" s="113">
        <f t="shared" ref="H25" si="9">SUM(H16:H24)</f>
        <v>100</v>
      </c>
      <c r="I25" s="114">
        <f t="shared" ref="I25:M25" si="10">SUM(I16:I24)</f>
        <v>6456.9000000000005</v>
      </c>
      <c r="J25" s="274">
        <f>SUM(J16:J24)</f>
        <v>1162.2419999999997</v>
      </c>
      <c r="K25" s="275">
        <f t="shared" si="10"/>
        <v>225.99150000000003</v>
      </c>
      <c r="L25" s="276">
        <f t="shared" si="10"/>
        <v>0</v>
      </c>
      <c r="M25" s="232">
        <f t="shared" si="10"/>
        <v>5068.6664999999994</v>
      </c>
      <c r="N25" s="233">
        <f>SUM(N16:N24)</f>
        <v>1220.3389830508472</v>
      </c>
      <c r="O25" s="101">
        <f>SUM(O16:O24)</f>
        <v>31.445027415254238</v>
      </c>
      <c r="P25" s="113">
        <f>SUM(P16:P24)</f>
        <v>6320.4505104661012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6456.9000000000005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1162.2419999999997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225.99150000000003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5068.6665000000012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6289.0054830508489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31.445027415254245</v>
      </c>
    </row>
    <row r="35" spans="2:16" ht="15.75" customHeight="1" thickBot="1" x14ac:dyDescent="0.4">
      <c r="N35" s="343" t="s">
        <v>88</v>
      </c>
      <c r="O35" s="344"/>
      <c r="P35" s="297">
        <f>+P33+P34</f>
        <v>6320.450510466103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1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519</v>
      </c>
      <c r="B6" s="397"/>
      <c r="C6" s="397"/>
      <c r="F6" s="85"/>
      <c r="G6" s="86"/>
      <c r="K6" s="369" t="s">
        <v>69</v>
      </c>
      <c r="L6" s="369"/>
      <c r="M6" s="369"/>
      <c r="N6" s="398" t="s">
        <v>503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520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101.69600000000001</v>
      </c>
      <c r="L21" s="119">
        <f t="shared" si="1"/>
        <v>0</v>
      </c>
      <c r="M21" s="230">
        <f t="shared" si="2"/>
        <v>2280.8959999999997</v>
      </c>
      <c r="N21" s="277">
        <f t="shared" si="3"/>
        <v>549.15254237288138</v>
      </c>
      <c r="O21" s="239">
        <f t="shared" si="4"/>
        <v>14.150242711864406</v>
      </c>
      <c r="P21" s="311">
        <f t="shared" si="5"/>
        <v>2844.1987850847454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523.00799999999992</v>
      </c>
      <c r="K25" s="275">
        <f t="shared" si="7"/>
        <v>101.69600000000001</v>
      </c>
      <c r="L25" s="276">
        <f t="shared" si="7"/>
        <v>0</v>
      </c>
      <c r="M25" s="232">
        <f t="shared" si="7"/>
        <v>2280.8959999999997</v>
      </c>
      <c r="N25" s="233">
        <f>SUM(N16:N24)</f>
        <v>549.15254237288138</v>
      </c>
      <c r="O25" s="101">
        <f>SUM(O16:O24)</f>
        <v>14.150242711864406</v>
      </c>
      <c r="P25" s="113">
        <f>SUM(P16:P24)</f>
        <v>2844.1987850847454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2905.6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523.00799999999992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101.69600000000001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2280.8960000000002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2830.0485423728815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14.150242711864408</v>
      </c>
    </row>
    <row r="35" spans="2:16" ht="15.75" customHeight="1" thickBot="1" x14ac:dyDescent="0.4">
      <c r="N35" s="343" t="s">
        <v>88</v>
      </c>
      <c r="O35" s="344"/>
      <c r="P35" s="297">
        <f>+P33+P34</f>
        <v>2844.1987850847459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0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8.75" customHeight="1" x14ac:dyDescent="0.4">
      <c r="A6" s="397" t="s">
        <v>521</v>
      </c>
      <c r="B6" s="397"/>
      <c r="C6" s="397"/>
      <c r="F6" s="85"/>
      <c r="G6" s="86"/>
      <c r="K6" s="369" t="s">
        <v>69</v>
      </c>
      <c r="L6" s="369"/>
      <c r="M6" s="369"/>
      <c r="N6" s="398" t="s">
        <v>503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522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101.69600000000001</v>
      </c>
      <c r="L19" s="119">
        <f t="shared" si="1"/>
        <v>0</v>
      </c>
      <c r="M19" s="230">
        <f t="shared" si="2"/>
        <v>2280.8959999999997</v>
      </c>
      <c r="N19" s="277">
        <f t="shared" si="3"/>
        <v>549.15254237288138</v>
      </c>
      <c r="O19" s="239">
        <f t="shared" si="4"/>
        <v>14.150242711864406</v>
      </c>
      <c r="P19" s="311">
        <f t="shared" si="5"/>
        <v>2844.1987850847454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523.00799999999992</v>
      </c>
      <c r="K25" s="275">
        <f t="shared" si="7"/>
        <v>101.69600000000001</v>
      </c>
      <c r="L25" s="276">
        <f t="shared" si="7"/>
        <v>0</v>
      </c>
      <c r="M25" s="232">
        <f t="shared" si="7"/>
        <v>2280.8959999999997</v>
      </c>
      <c r="N25" s="233">
        <f>SUM(N16:N24)</f>
        <v>549.15254237288138</v>
      </c>
      <c r="O25" s="101">
        <f>SUM(O16:O24)</f>
        <v>14.150242711864406</v>
      </c>
      <c r="P25" s="113">
        <f>SUM(P16:P24)</f>
        <v>2844.1987850847454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2905.6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523.00799999999992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101.69600000000001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2280.8960000000002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2830.0485423728815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14.150242711864408</v>
      </c>
    </row>
    <row r="35" spans="2:16" ht="15.75" customHeight="1" thickBot="1" x14ac:dyDescent="0.4">
      <c r="N35" s="343" t="s">
        <v>88</v>
      </c>
      <c r="O35" s="344"/>
      <c r="P35" s="297">
        <f>+P33+P34</f>
        <v>2844.1987850847459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10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523</v>
      </c>
      <c r="B6" s="397"/>
      <c r="C6" s="397"/>
      <c r="F6" s="85"/>
      <c r="G6" s="86"/>
      <c r="K6" s="369" t="s">
        <v>69</v>
      </c>
      <c r="L6" s="369"/>
      <c r="M6" s="369"/>
      <c r="N6" s="398" t="s">
        <v>503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524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523.00799999999992</v>
      </c>
      <c r="K25" s="275">
        <f t="shared" si="7"/>
        <v>101.69600000000001</v>
      </c>
      <c r="L25" s="276">
        <f t="shared" si="7"/>
        <v>0</v>
      </c>
      <c r="M25" s="232">
        <f t="shared" si="7"/>
        <v>2280.8959999999997</v>
      </c>
      <c r="N25" s="233">
        <f>SUM(N16:N24)</f>
        <v>549.15254237288138</v>
      </c>
      <c r="O25" s="101">
        <f>SUM(O16:O24)</f>
        <v>14.150242711864406</v>
      </c>
      <c r="P25" s="113">
        <f>SUM(P16:P24)</f>
        <v>2844.1987850847454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2905.6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523.00799999999992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101.69600000000001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2280.8960000000002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2830.0485423728815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14.150242711864408</v>
      </c>
    </row>
    <row r="35" spans="2:16" ht="15.75" customHeight="1" thickBot="1" x14ac:dyDescent="0.4">
      <c r="N35" s="343" t="s">
        <v>88</v>
      </c>
      <c r="O35" s="344"/>
      <c r="P35" s="297">
        <f>+P33+P34</f>
        <v>2844.1987850847459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526</v>
      </c>
      <c r="B6" s="397"/>
      <c r="C6" s="397"/>
      <c r="F6" s="85"/>
      <c r="G6" s="86"/>
      <c r="K6" s="369" t="s">
        <v>69</v>
      </c>
      <c r="L6" s="369"/>
      <c r="M6" s="369"/>
      <c r="N6" s="398" t="s">
        <v>503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525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73.447500000000005</v>
      </c>
      <c r="L25" s="276">
        <f t="shared" si="7"/>
        <v>0</v>
      </c>
      <c r="M25" s="232">
        <f t="shared" si="7"/>
        <v>1647.3225</v>
      </c>
      <c r="N25" s="233">
        <f>SUM(N16:N24)</f>
        <v>396.61016949152526</v>
      </c>
      <c r="O25" s="101">
        <f>SUM(O16:O24)</f>
        <v>10.219663347457626</v>
      </c>
      <c r="P25" s="113">
        <f>SUM(P16:P24)</f>
        <v>2054.1523328389831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2098.5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377.72999999999996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73.447500000000005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1647.3225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2043.9326694915253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10.219663347457626</v>
      </c>
    </row>
    <row r="35" spans="2:16" ht="15.75" customHeight="1" thickBot="1" x14ac:dyDescent="0.4">
      <c r="N35" s="343" t="s">
        <v>88</v>
      </c>
      <c r="O35" s="344"/>
      <c r="P35" s="297">
        <f>+P33+P34</f>
        <v>2054.1523328389831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9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527</v>
      </c>
      <c r="B6" s="397"/>
      <c r="C6" s="397"/>
      <c r="F6" s="85"/>
      <c r="G6" s="86"/>
      <c r="K6" s="369" t="s">
        <v>69</v>
      </c>
      <c r="L6" s="369"/>
      <c r="M6" s="369"/>
      <c r="N6" s="398" t="s">
        <v>503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528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60</v>
      </c>
      <c r="I25" s="114">
        <f t="shared" si="7"/>
        <v>4358.3999999999996</v>
      </c>
      <c r="J25" s="274">
        <f>SUM(J16:J24)</f>
        <v>784.51199999999994</v>
      </c>
      <c r="K25" s="275">
        <f t="shared" si="7"/>
        <v>152.54400000000001</v>
      </c>
      <c r="L25" s="276">
        <f t="shared" si="7"/>
        <v>0</v>
      </c>
      <c r="M25" s="232">
        <f t="shared" si="7"/>
        <v>3421.3439999999996</v>
      </c>
      <c r="N25" s="233">
        <f>SUM(N16:N24)</f>
        <v>823.72881355932213</v>
      </c>
      <c r="O25" s="101">
        <f>SUM(O16:O24)</f>
        <v>21.225364067796608</v>
      </c>
      <c r="P25" s="113">
        <f>SUM(P16:P24)</f>
        <v>4266.2981776271181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4358.3999999999996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784.51199999999994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152.54400000000001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3421.3440000000001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823.72881355932213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4245.0728135593217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21.225364067796608</v>
      </c>
    </row>
    <row r="35" spans="2:16" ht="15.75" customHeight="1" thickBot="1" x14ac:dyDescent="0.4">
      <c r="N35" s="343" t="s">
        <v>88</v>
      </c>
      <c r="O35" s="344"/>
      <c r="P35" s="297">
        <f>+P33+P34</f>
        <v>4266.2981776271181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529</v>
      </c>
      <c r="B6" s="397"/>
      <c r="C6" s="397"/>
      <c r="F6" s="85"/>
      <c r="G6" s="86"/>
      <c r="K6" s="369" t="s">
        <v>69</v>
      </c>
      <c r="L6" s="369"/>
      <c r="M6" s="369"/>
      <c r="N6" s="398" t="s">
        <v>503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530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140</v>
      </c>
      <c r="I25" s="114">
        <f t="shared" si="7"/>
        <v>8555.4</v>
      </c>
      <c r="J25" s="274">
        <f>SUM(J16:J24)</f>
        <v>1539.9719999999998</v>
      </c>
      <c r="K25" s="275">
        <f t="shared" si="7"/>
        <v>299.43900000000002</v>
      </c>
      <c r="L25" s="276">
        <f t="shared" si="7"/>
        <v>0</v>
      </c>
      <c r="M25" s="232">
        <f t="shared" si="7"/>
        <v>6715.9889999999996</v>
      </c>
      <c r="N25" s="233">
        <f>SUM(N16:N24)</f>
        <v>1616.9491525423725</v>
      </c>
      <c r="O25" s="101">
        <f>SUM(O16:O24)</f>
        <v>41.664690762711864</v>
      </c>
      <c r="P25" s="113">
        <f>SUM(P16:P24)</f>
        <v>8374.6028433050851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8555.4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1539.9719999999998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299.43900000000002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6715.9889999999996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1616.9491525423725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8332.9381525423723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41.664690762711864</v>
      </c>
    </row>
    <row r="35" spans="2:16" ht="15.75" customHeight="1" thickBot="1" x14ac:dyDescent="0.4">
      <c r="N35" s="343" t="s">
        <v>88</v>
      </c>
      <c r="O35" s="344"/>
      <c r="P35" s="297">
        <f>+P33+P34</f>
        <v>8374.6028433050833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8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531</v>
      </c>
      <c r="B6" s="397"/>
      <c r="C6" s="397"/>
      <c r="F6" s="85"/>
      <c r="G6" s="86"/>
      <c r="K6" s="369" t="s">
        <v>69</v>
      </c>
      <c r="L6" s="369"/>
      <c r="M6" s="369"/>
      <c r="N6" s="398" t="s">
        <v>503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532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100</v>
      </c>
      <c r="I25" s="114">
        <f t="shared" si="7"/>
        <v>6456.9000000000005</v>
      </c>
      <c r="J25" s="274">
        <f>SUM(J16:J24)</f>
        <v>1162.2419999999997</v>
      </c>
      <c r="K25" s="275">
        <f t="shared" si="7"/>
        <v>225.99150000000003</v>
      </c>
      <c r="L25" s="276">
        <f t="shared" si="7"/>
        <v>0</v>
      </c>
      <c r="M25" s="232">
        <f t="shared" si="7"/>
        <v>5068.6664999999994</v>
      </c>
      <c r="N25" s="233">
        <f>SUM(N16:N24)</f>
        <v>1220.3389830508472</v>
      </c>
      <c r="O25" s="101">
        <f>SUM(O16:O24)</f>
        <v>31.445027415254238</v>
      </c>
      <c r="P25" s="113">
        <f>SUM(P16:P24)</f>
        <v>6320.4505104661012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6456.9000000000005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1162.2419999999997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225.99150000000003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5068.6665000000012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6289.0054830508489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31.445027415254245</v>
      </c>
    </row>
    <row r="35" spans="2:16" ht="15.75" customHeight="1" thickBot="1" x14ac:dyDescent="0.4">
      <c r="N35" s="343" t="s">
        <v>88</v>
      </c>
      <c r="O35" s="344"/>
      <c r="P35" s="297">
        <f>+P33+P34</f>
        <v>6320.450510466103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10" workbookViewId="0">
      <selection activeCell="H16" sqref="H16:H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533</v>
      </c>
      <c r="B6" s="397"/>
      <c r="C6" s="397"/>
      <c r="F6" s="85"/>
      <c r="G6" s="86"/>
      <c r="K6" s="369" t="s">
        <v>69</v>
      </c>
      <c r="L6" s="369"/>
      <c r="M6" s="369"/>
      <c r="N6" s="398" t="s">
        <v>503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534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7" workbookViewId="0">
      <selection activeCell="H16" sqref="H16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535</v>
      </c>
      <c r="B6" s="397"/>
      <c r="C6" s="397"/>
      <c r="F6" s="85"/>
      <c r="G6" s="86"/>
      <c r="K6" s="369" t="s">
        <v>69</v>
      </c>
      <c r="L6" s="369"/>
      <c r="M6" s="369"/>
      <c r="N6" s="398" t="s">
        <v>503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536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8" workbookViewId="0">
      <selection activeCell="H16" sqref="H16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537</v>
      </c>
      <c r="B6" s="397"/>
      <c r="C6" s="397"/>
      <c r="F6" s="85"/>
      <c r="G6" s="86"/>
      <c r="K6" s="369" t="s">
        <v>69</v>
      </c>
      <c r="L6" s="369"/>
      <c r="M6" s="369"/>
      <c r="N6" s="398" t="s">
        <v>503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538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8" workbookViewId="0">
      <selection activeCell="I18" sqref="I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539</v>
      </c>
      <c r="B6" s="397"/>
      <c r="C6" s="397"/>
      <c r="F6" s="85"/>
      <c r="G6" s="86"/>
      <c r="K6" s="369" t="s">
        <v>69</v>
      </c>
      <c r="L6" s="369"/>
      <c r="M6" s="369"/>
      <c r="N6" s="398" t="s">
        <v>503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540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11" workbookViewId="0">
      <selection activeCell="H18" sqref="H18: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541</v>
      </c>
      <c r="B6" s="397"/>
      <c r="C6" s="397"/>
      <c r="F6" s="85"/>
      <c r="G6" s="86"/>
      <c r="K6" s="369" t="s">
        <v>69</v>
      </c>
      <c r="L6" s="369"/>
      <c r="M6" s="369"/>
      <c r="N6" s="398" t="s">
        <v>503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542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7" workbookViewId="0">
      <selection activeCell="I11" sqref="I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543</v>
      </c>
      <c r="B6" s="397"/>
      <c r="C6" s="397"/>
      <c r="F6" s="85"/>
      <c r="G6" s="86"/>
      <c r="K6" s="369" t="s">
        <v>69</v>
      </c>
      <c r="L6" s="369"/>
      <c r="M6" s="369"/>
      <c r="N6" s="398" t="s">
        <v>503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544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abSelected="1" topLeftCell="A10"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545</v>
      </c>
      <c r="B6" s="397"/>
      <c r="C6" s="397"/>
      <c r="F6" s="85"/>
      <c r="G6" s="86"/>
      <c r="K6" s="369" t="s">
        <v>69</v>
      </c>
      <c r="L6" s="369"/>
      <c r="M6" s="369"/>
      <c r="N6" s="398" t="s">
        <v>503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546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>
        <v>40</v>
      </c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20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>
        <v>20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20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500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8.75" customHeight="1" x14ac:dyDescent="0.4">
      <c r="A6" s="397" t="s">
        <v>501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43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502</v>
      </c>
      <c r="B4" s="368"/>
      <c r="C4" s="368"/>
      <c r="F4" s="85"/>
      <c r="G4" s="1"/>
      <c r="K4" s="369" t="s">
        <v>44</v>
      </c>
      <c r="L4" s="369"/>
      <c r="M4" s="369"/>
      <c r="N4" s="399">
        <v>46241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46240</v>
      </c>
      <c r="O5" s="368"/>
      <c r="P5" s="368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508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508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7" t="s">
        <v>91</v>
      </c>
      <c r="B2" s="367"/>
      <c r="C2" s="367"/>
    </row>
    <row r="3" spans="1:18 16382:16383" ht="15" customHeight="1" x14ac:dyDescent="0.35">
      <c r="A3" s="368" t="s">
        <v>92</v>
      </c>
      <c r="B3" s="368"/>
      <c r="C3" s="368"/>
      <c r="F3" s="85"/>
      <c r="G3" s="1"/>
      <c r="J3" s="369" t="s">
        <v>43</v>
      </c>
      <c r="K3" s="369"/>
      <c r="L3" s="369"/>
      <c r="M3" s="368"/>
      <c r="N3" s="368"/>
      <c r="O3" s="368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8" t="s">
        <v>65</v>
      </c>
      <c r="B4" s="368"/>
      <c r="C4" s="368"/>
      <c r="F4" s="85"/>
      <c r="G4" s="1"/>
      <c r="J4" s="369" t="s">
        <v>44</v>
      </c>
      <c r="K4" s="369"/>
      <c r="L4" s="369"/>
      <c r="M4" s="399">
        <f ca="1">TODAY()+1</f>
        <v>46263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69" t="s">
        <v>45</v>
      </c>
      <c r="K5" s="369"/>
      <c r="L5" s="369"/>
      <c r="M5" s="399">
        <f ca="1">M4-1</f>
        <v>46262</v>
      </c>
      <c r="N5" s="368"/>
      <c r="O5" s="368"/>
      <c r="Q5" s="85"/>
      <c r="R5" s="1"/>
    </row>
    <row r="6" spans="1:18 16382:16383" ht="15" customHeight="1" x14ac:dyDescent="0.35">
      <c r="A6" s="369" t="s">
        <v>94</v>
      </c>
      <c r="B6" s="369"/>
      <c r="C6" s="369"/>
      <c r="F6" s="85"/>
      <c r="G6" s="86"/>
      <c r="J6" s="369" t="s">
        <v>69</v>
      </c>
      <c r="K6" s="369"/>
      <c r="L6" s="369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9" t="s">
        <v>73</v>
      </c>
      <c r="B7" s="369"/>
      <c r="C7" s="369"/>
      <c r="F7" s="85"/>
      <c r="G7" s="86"/>
      <c r="J7" s="369" t="s">
        <v>66</v>
      </c>
      <c r="K7" s="369"/>
      <c r="L7" s="369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5" t="s">
        <v>95</v>
      </c>
      <c r="B8" s="395"/>
      <c r="C8" s="395"/>
      <c r="F8" s="85"/>
      <c r="G8" s="86"/>
      <c r="J8" s="369" t="s">
        <v>67</v>
      </c>
      <c r="K8" s="369"/>
      <c r="L8" s="369"/>
      <c r="M8" s="398" t="s">
        <v>71</v>
      </c>
      <c r="N8" s="398"/>
      <c r="O8" s="398"/>
      <c r="Q8" s="85"/>
      <c r="R8" s="86"/>
    </row>
    <row r="9" spans="1:18 16382:16383" x14ac:dyDescent="0.35">
      <c r="A9" s="395" t="s">
        <v>96</v>
      </c>
      <c r="B9" s="395"/>
      <c r="C9" s="395"/>
      <c r="F9" s="85"/>
      <c r="G9" s="86"/>
      <c r="J9" s="369" t="s">
        <v>68</v>
      </c>
      <c r="K9" s="369"/>
      <c r="L9" s="369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395" t="s">
        <v>97</v>
      </c>
      <c r="B10" s="395"/>
      <c r="C10" s="395"/>
      <c r="F10" s="85"/>
      <c r="G10" s="1"/>
      <c r="J10" s="369" t="s">
        <v>46</v>
      </c>
      <c r="K10" s="369"/>
      <c r="L10" s="369"/>
      <c r="M10" s="368" t="s">
        <v>47</v>
      </c>
      <c r="N10" s="368"/>
      <c r="O10" s="368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9" t="s">
        <v>48</v>
      </c>
      <c r="K11" s="369"/>
      <c r="L11" s="369"/>
      <c r="M11" s="368" t="s">
        <v>49</v>
      </c>
      <c r="N11" s="368"/>
      <c r="O11" s="368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9" t="s">
        <v>50</v>
      </c>
      <c r="K12" s="369"/>
      <c r="L12" s="369"/>
      <c r="M12" s="368"/>
      <c r="N12" s="368"/>
      <c r="O12" s="368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8" t="s">
        <v>51</v>
      </c>
      <c r="B14" s="360"/>
      <c r="C14" s="390" t="s">
        <v>90</v>
      </c>
      <c r="D14" s="88" t="s">
        <v>52</v>
      </c>
      <c r="E14" s="95" t="s">
        <v>74</v>
      </c>
      <c r="F14" s="115" t="s">
        <v>53</v>
      </c>
      <c r="G14" s="364" t="s">
        <v>54</v>
      </c>
      <c r="H14" s="366"/>
      <c r="I14" s="394" t="s">
        <v>77</v>
      </c>
      <c r="J14" s="365" t="s">
        <v>55</v>
      </c>
      <c r="K14" s="366"/>
      <c r="L14" s="39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9"/>
      <c r="B15" s="361"/>
      <c r="C15" s="39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3"/>
      <c r="J15" s="144" t="s">
        <v>39</v>
      </c>
      <c r="K15" s="145" t="s">
        <v>59</v>
      </c>
      <c r="L15" s="36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5"/>
      <c r="M28" s="382" t="s">
        <v>60</v>
      </c>
      <c r="N28" s="383"/>
      <c r="O28" s="139">
        <f>I25</f>
        <v>1452.8</v>
      </c>
    </row>
    <row r="29" spans="1:18 16383:16383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8"/>
      <c r="M29" s="384" t="s">
        <v>85</v>
      </c>
      <c r="N29" s="385"/>
      <c r="O29" s="140">
        <f>K25</f>
        <v>0</v>
      </c>
    </row>
    <row r="30" spans="1:18 16383:16383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8"/>
      <c r="M30" s="384" t="s">
        <v>86</v>
      </c>
      <c r="N30" s="385"/>
      <c r="O30" s="140">
        <f>J25</f>
        <v>50.848000000000006</v>
      </c>
    </row>
    <row r="31" spans="1:18 16383:16383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8"/>
      <c r="L31" s="131"/>
      <c r="M31" s="384" t="s">
        <v>87</v>
      </c>
      <c r="N31" s="385"/>
      <c r="O31" s="140">
        <f>O28-O29-O30</f>
        <v>1401.952</v>
      </c>
    </row>
    <row r="32" spans="1:18 16383:16383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8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8"/>
      <c r="L33" s="131"/>
      <c r="M33" s="386" t="s">
        <v>76</v>
      </c>
      <c r="N33" s="387"/>
      <c r="O33" s="140">
        <f>O31+O32</f>
        <v>1710.3814400000001</v>
      </c>
    </row>
    <row r="34" spans="2:15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1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3" t="s">
        <v>88</v>
      </c>
      <c r="N35" s="344"/>
      <c r="O35" s="141">
        <f>O28-O29+O31+O34</f>
        <v>2897.511536</v>
      </c>
    </row>
    <row r="36" spans="2:15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5" t="s">
        <v>438</v>
      </c>
      <c r="D1" s="402" t="s">
        <v>439</v>
      </c>
      <c r="E1" s="335" t="s">
        <v>58</v>
      </c>
      <c r="F1" s="335"/>
      <c r="G1" s="336" t="s">
        <v>440</v>
      </c>
      <c r="H1" s="336"/>
      <c r="I1" s="409" t="s">
        <v>441</v>
      </c>
      <c r="J1" s="409"/>
      <c r="K1" s="409" t="s">
        <v>442</v>
      </c>
      <c r="L1" s="409"/>
      <c r="M1" s="404" t="s">
        <v>484</v>
      </c>
      <c r="N1" s="405"/>
      <c r="O1" s="406"/>
    </row>
    <row r="2" spans="3:24" ht="29" x14ac:dyDescent="0.35">
      <c r="C2" s="335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0" t="s">
        <v>438</v>
      </c>
      <c r="D7" s="334" t="s">
        <v>439</v>
      </c>
      <c r="E7" s="403" t="s">
        <v>58</v>
      </c>
      <c r="F7" s="403"/>
      <c r="G7" s="401" t="s">
        <v>440</v>
      </c>
      <c r="H7" s="336"/>
      <c r="I7" s="337" t="s">
        <v>441</v>
      </c>
      <c r="J7" s="338"/>
      <c r="K7" s="337" t="s">
        <v>442</v>
      </c>
      <c r="L7" s="338"/>
      <c r="M7" s="404" t="s">
        <v>484</v>
      </c>
      <c r="N7" s="405"/>
      <c r="O7" s="406"/>
      <c r="P7" s="256" t="s">
        <v>475</v>
      </c>
      <c r="Q7" s="242" t="s">
        <v>473</v>
      </c>
      <c r="R7" s="402" t="s">
        <v>475</v>
      </c>
      <c r="S7" s="402" t="s">
        <v>485</v>
      </c>
      <c r="T7" s="400" t="s">
        <v>486</v>
      </c>
      <c r="U7" s="400" t="s">
        <v>486</v>
      </c>
    </row>
    <row r="8" spans="3:24" ht="15" customHeight="1" thickBot="1" x14ac:dyDescent="0.4">
      <c r="C8" s="332"/>
      <c r="D8" s="33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1"/>
      <c r="U8" s="40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1" t="s">
        <v>438</v>
      </c>
      <c r="D13" s="333" t="s">
        <v>439</v>
      </c>
      <c r="E13" s="335" t="s">
        <v>58</v>
      </c>
      <c r="F13" s="335"/>
      <c r="G13" s="336" t="s">
        <v>440</v>
      </c>
      <c r="H13" s="336"/>
      <c r="I13" s="337" t="s">
        <v>441</v>
      </c>
      <c r="J13" s="338"/>
      <c r="K13" s="337" t="s">
        <v>442</v>
      </c>
      <c r="L13" s="338"/>
      <c r="M13" s="404" t="s">
        <v>484</v>
      </c>
      <c r="N13" s="405"/>
      <c r="O13" s="406"/>
      <c r="P13" s="256" t="s">
        <v>475</v>
      </c>
      <c r="Q13" s="242" t="s">
        <v>473</v>
      </c>
      <c r="R13" s="402" t="s">
        <v>475</v>
      </c>
      <c r="S13" s="402" t="s">
        <v>485</v>
      </c>
      <c r="T13" s="400" t="s">
        <v>486</v>
      </c>
      <c r="U13" s="400" t="s">
        <v>486</v>
      </c>
    </row>
    <row r="14" spans="3:24" ht="29.5" thickBot="1" x14ac:dyDescent="0.4">
      <c r="C14" s="332"/>
      <c r="D14" s="33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1"/>
      <c r="U14" s="40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1" t="s">
        <v>438</v>
      </c>
      <c r="D20" s="333" t="s">
        <v>439</v>
      </c>
      <c r="E20" s="335" t="s">
        <v>58</v>
      </c>
      <c r="F20" s="335"/>
      <c r="G20" s="336" t="s">
        <v>440</v>
      </c>
      <c r="H20" s="336"/>
      <c r="I20" s="337" t="s">
        <v>441</v>
      </c>
      <c r="J20" s="338"/>
      <c r="K20" s="337" t="s">
        <v>442</v>
      </c>
      <c r="L20" s="338"/>
      <c r="M20" s="404" t="s">
        <v>484</v>
      </c>
      <c r="N20" s="405"/>
      <c r="O20" s="406"/>
      <c r="P20" s="256" t="s">
        <v>475</v>
      </c>
      <c r="Q20" s="242" t="s">
        <v>473</v>
      </c>
      <c r="R20" s="402" t="s">
        <v>475</v>
      </c>
      <c r="S20" s="402" t="s">
        <v>485</v>
      </c>
      <c r="T20" s="400" t="s">
        <v>486</v>
      </c>
      <c r="U20" s="400" t="s">
        <v>486</v>
      </c>
    </row>
    <row r="21" spans="3:21" ht="29.5" thickBot="1" x14ac:dyDescent="0.4">
      <c r="C21" s="332"/>
      <c r="D21" s="33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1"/>
      <c r="U21" s="40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1" t="s">
        <v>438</v>
      </c>
      <c r="D27" s="333" t="s">
        <v>439</v>
      </c>
      <c r="E27" s="335" t="s">
        <v>58</v>
      </c>
      <c r="F27" s="335"/>
      <c r="G27" s="336" t="s">
        <v>440</v>
      </c>
      <c r="H27" s="336"/>
      <c r="I27" s="337" t="s">
        <v>441</v>
      </c>
      <c r="J27" s="338"/>
      <c r="K27" s="337" t="s">
        <v>442</v>
      </c>
      <c r="L27" s="338"/>
      <c r="M27" s="404" t="s">
        <v>484</v>
      </c>
      <c r="N27" s="405"/>
      <c r="O27" s="406"/>
      <c r="P27" s="256" t="s">
        <v>475</v>
      </c>
      <c r="Q27" s="242" t="s">
        <v>473</v>
      </c>
      <c r="R27" s="402" t="s">
        <v>475</v>
      </c>
      <c r="S27" s="402" t="s">
        <v>485</v>
      </c>
      <c r="T27" s="400" t="s">
        <v>486</v>
      </c>
      <c r="U27" s="400" t="s">
        <v>486</v>
      </c>
    </row>
    <row r="28" spans="3:21" ht="29.5" thickBot="1" x14ac:dyDescent="0.4">
      <c r="C28" s="332"/>
      <c r="D28" s="33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1"/>
      <c r="U28" s="40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5" t="s">
        <v>438</v>
      </c>
      <c r="C1" s="402" t="s">
        <v>439</v>
      </c>
      <c r="D1" s="335" t="s">
        <v>58</v>
      </c>
      <c r="E1" s="335"/>
      <c r="F1" s="336" t="s">
        <v>440</v>
      </c>
      <c r="G1" s="336"/>
      <c r="H1" s="409" t="s">
        <v>441</v>
      </c>
      <c r="I1" s="409"/>
      <c r="J1" s="409" t="s">
        <v>442</v>
      </c>
      <c r="K1" s="409"/>
      <c r="L1" s="404" t="s">
        <v>484</v>
      </c>
      <c r="M1" s="405"/>
      <c r="N1" s="406"/>
    </row>
    <row r="2" spans="2:17" ht="29" x14ac:dyDescent="0.35">
      <c r="B2" s="335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2026-08-28T05:17:31Z</dcterms:modified>
</cp:coreProperties>
</file>