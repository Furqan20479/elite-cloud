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E879568-467A-44E5-9A23-62B4AE28DC1C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1" l="1"/>
  <c r="M16" i="48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M21" i="44"/>
  <c r="O21" i="44" s="1"/>
  <c r="P21" i="44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<sst xmlns="http://schemas.openxmlformats.org/spreadsheetml/2006/main" count="3948" uniqueCount="547">
  <si>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</si>
  <si>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</si>
  <si>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</si>
  <si>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</si>
  <si>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</si>
  <si>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</si>
  <si>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</si>
  <si>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</si>
  <si>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</si>
  <si>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</si>
  <si>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</si>
  <si>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</si>
  <si>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</si>
  <si>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</si>
  <si>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</si>
  <si>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</si>
  <si>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</si>
  <si>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</si>
  <si>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</si>
  <si>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</si>
  <si>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</si>
  <si>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</si>
  <si>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</si>
  <si>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</si>
  <si>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</si>
  <si>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</si>
  <si>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</si>
  <si>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</si>
  <si>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</si>
  <si>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</si>
  <si>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</si>
  <si>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</si>
  <si>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</si>
  <si>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</si>
  <si>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</si>
  <si>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</si>
  <si>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</si>
  <si>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</si>
  <si>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</si>
  <si>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</si>
  <si>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</si>
  <si>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</si>
  <si>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</si>
  <si>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</si>
  <si>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</si>
  <si>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</si>
  <si>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</si>
  <si>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</si>
  <si>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</si>
  <si>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</si>
  <si>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</si>
  <si>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</si>
  <si>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</si>
  <si>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</si>
  <si>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</si>
  <si>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</si>
  <si>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</si>
  <si>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</si>
  <si>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</si>
  <si>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</si>
  <si>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</si>
  <si>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</si>
  <si>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</si>
  <si>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</si>
  <si>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</si>
  <si>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</si>
  <si>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</si>
  <si>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</si>
  <si>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</si>
  <si>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</si>
  <si>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</si>
  <si>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</si>
  <si>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</si>
  <si>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</si>
  <si>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</si>
  <si>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</si>
  <si>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</si>
  <si>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</si>
  <si>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</si>
  <si>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</si>
  <si>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</si>
  <si>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</si>
  <si>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</si>
  <si>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</si>
  <si>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</si>
  <si>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</si>
  <si>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</si>
  <si>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</si>
  <si>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</si>
  <si>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</si>
  <si>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</si>
  <si>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</si>
  <si>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</si>
  <si>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</si>
  <si>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</si>
  <si>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</si>
  <si>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</si>
  <si>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</si>
  <si>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</si>
  <si>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</si>
  <si>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</si>
  <si>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</si>
  <si>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</si>
  <si>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</si>
  <si>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</si>
  <si>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</si>
  <si>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</si>
  <si>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</si>
  <si>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</si>
  <si>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</si>
  <si>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</si>
  <si>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</si>
  <si>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</si>
  <si>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</si>
  <si>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</si>
  <si>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</si>
  <si>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</si>
  <si>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</si>
  <si>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</si>
  <si>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</si>
  <si>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</si>
  <si>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</si>
  <si>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</si>
  <si>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</si>
  <si>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</si>
  <si>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</si>
  <si>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</si>
  <si>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</si>
  <si>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</si>
  <si>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</si>
  <si>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</si>
  <si>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</si>
  <si>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</si>
  <si>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</si>
  <si>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</si>
  <si>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</si>
  <si>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</si>
  <si>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</si>
  <si>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</si>
  <si>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</si>
  <si>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</si>
  <si>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</si>
  <si>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</si>
  <si>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</si>
  <si>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</si>
  <si>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</si>
  <si>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</si>
  <si>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</si>
  <si>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</si>
  <si>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</si>
  <si>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</si>
  <si>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</si>
  <si>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</si>
  <si>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</si>
  <si>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</si>
  <si>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</si>
  <si>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</si>
  <si>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</si>
  <si>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</si>
  <si>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</si>
  <si>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</si>
  <si>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</si>
  <si>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</si>
  <si>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</si>
  <si>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</si>
  <si>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</si>
  <si>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</si>
  <si>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</si>
  <si>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</si>
  <si>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</si>
  <si>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</si>
  <si>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</si>
  <si>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</si>
  <si>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</si>
  <si>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</si>
  <si>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</si>
  <si>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</si>
  <si>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</si>
  <si>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</si>
  <si>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</si>
  <si>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</si>
  <si>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</si>
  <si>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</si>
  <si>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</si>
  <si>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</si>
  <si>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</si>
  <si>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</si>
  <si>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</si>
  <si>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</si>
  <si>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</si>
  <si>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</si>
  <si>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</si>
  <si>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</si>
  <si>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</si>
  <si>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</si>
  <si>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</si>
  <si>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</si>
  <si>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</si>
  <si>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</si>
  <si>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</si>
  <si>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</si>
  <si>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</si>
  <si>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</si>
  <si>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</si>
  <si>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</si>
  <si>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</si>
  <si>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</si>
  <si>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</si>
  <si>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</si>
  <si>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</si>
  <si>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</si>
  <si>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</si>
  <si>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</si>
  <si>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</si>
  <si>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</si>
  <si>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</si>
  <si>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</si>
  <si>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</si>
  <si>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</si>
  <si>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</si>
  <si>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</si>
  <si>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</si>
  <si>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</si>
  <si>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</si>
  <si>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</si>
  <si>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</si>
  <si>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</si>
  <si>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</si>
  <si>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</si>
  <si>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</si>
  <si>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</si>
  <si>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</si>
  <si>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</si>
  <si>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</si>
  <si>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</si>
  <si>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</si>
  <si>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</si>
  <si>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</si>
  <si>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</si>
  <si>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</si>
  <si>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</si>
  <si>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</si>
  <si>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</si>
  <si>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</si>
  <si>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</si>
  <si>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</si>
  <si>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</si>
  <si>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</si>
  <si>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</si>
  <si>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</si>
  <si>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</si>
  <si>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</si>
  <si>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</si>
  <si>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</si>
  <si>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</si>
  <si>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</si>
  <si>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</si>
  <si>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</si>
  <si>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</si>
  <si>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</si>
  <si>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</si>
  <si>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</si>
  <si>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</si>
  <si>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</si>
  <si>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</si>
  <si>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</si>
  <si>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</si>
  <si>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</si>
  <si>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</si>
  <si>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</si>
  <si>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</si>
  <si>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</si>
  <si>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</si>
  <si>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</si>
  <si>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</si>
  <si>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</si>
  <si>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</si>
  <si>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</si>
  <si>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</si>
  <si>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</si>
  <si>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</si>
  <si>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</si>
  <si>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</si>
  <si>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</si>
  <si>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</si>
  <si>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</si>
  <si>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</si>
  <si>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</si>
  <si>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</si>
  <si>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</si>
  <si>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</si>
  <si>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</si>
  <si>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</si>
  <si>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</si>
  <si>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</si>
  <si>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</si>
  <si>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</si>
  <si>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</si>
  <si>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</si>
  <si>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</si>
  <si>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</si>
  <si>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</si>
  <si>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</si>
  <si>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</si>
  <si>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</si>
  <si>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</si>
  <si>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</si>
  <si>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</si>
  <si>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</si>
  <si>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</si>
  <si>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</si>
  <si>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</si>
  <si>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</si>
  <si>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</si>
  <si>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</si>
  <si>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</si>
  <si>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</si>
  <si>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</si>
  <si>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</si>
  <si>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</si>
  <si>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</si>
  <si>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</si>
  <si>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</si>
  <si>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</si>
  <si>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</si>
  <si>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</si>
  <si>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</si>
  <si>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</si>
  <si>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</si>
  <si>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</si>
  <si>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</si>
  <si>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</si>
  <si>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</si>
  <si>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</si>
  <si>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</si>
  <si>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</si>
  <si>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</si>
  <si>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</si>
  <si>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</si>
  <si>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</si>
  <si>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</si>
  <si>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</si>
  <si>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</si>
  <si>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</si>
  <si>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</si>
  <si>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</si>
  <si>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</si>
  <si>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</si>
  <si>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</si>
  <si>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</si>
  <si>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</si>
  <si>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</si>
  <si>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</si>
  <si>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</si>
  <si>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</si>
  <si>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</si>
  <si>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</si>
  <si>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</si>
  <si>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</si>
  <si>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</si>
  <si>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</si>
  <si>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</si>
  <si>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</si>
  <si>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</si>
  <si>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</si>
  <si>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</si>
  <si>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</si>
  <si>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</si>
  <si>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</si>
  <si>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</si>
  <si>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</si>
  <si>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</si>
  <si>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</si>
  <si>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</si>
  <si>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</si>
  <si>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</si>
  <si>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</si>
  <si>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</si>
  <si>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</si>
  <si>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</si>
  <si>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</si>
  <si>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</si>
  <si>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</si>
  <si>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</si>
  <si>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</si>
  <si>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</si>
  <si>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</si>
  <si>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</si>
  <si>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</si>
  <si>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</si>
  <si>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</si>
  <si>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</si>
  <si>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</si>
  <si>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</si>
  <si>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</si>
  <si>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</si>
  <si>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</si>
  <si>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</si>
  <si>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</si>
  <si>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</si>
  <si>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</si>
  <si>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</si>
  <si>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</si>
  <si>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</si>
  <si>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</si>
  <si>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</si>
  <si>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</si>
  <si>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</si>
  <si>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</si>
  <si>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</si>
  <si>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</si>
  <si>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</si>
  <si>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</si>
  <si>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</si>
  <si>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</si>
  <si>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</si>
  <si>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</si>
  <si>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</si>
  <si>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</si>
  <si>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</si>
  <si>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</si>
  <si>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</si>
  <si>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</si>
  <si>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</si>
  <si>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</si>
  <si>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</si>
  <si>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</si>
  <si>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</si>
  <si>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</si>
  <si>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</si>
  <si>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</si>
  <si>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</si>
  <si>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</si>
  <si>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</si>
  <si>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</si>
  <si>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</si>
  <si>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</si>
  <si>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</si>
  <si>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</si>
  <si>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</si>
  <si>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</si>
  <si>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</si>
  <si>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</si>
  <si>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</si>
  <si>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</si>
  <si>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</si>
  <si>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</si>
  <si>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</si>
  <si>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</si>
  <si>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</si>
  <si>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</si>
  <si>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</si>
  <si>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</si>
  <si>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</si>
  <si>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</si>
  <si>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</si>
  <si>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</si>
  <si>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</si>
  <si>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</si>
  <si>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</si>
  <si>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</si>
  <si>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</si>
  <si>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</si>
  <si>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</si>
  <si>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</si>
  <si>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</si>
  <si>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</si>
  <si>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</si>
  <si>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</si>
  <si>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</si>
  <si>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</si>
  <si>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</si>
  <si>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</si>
  <si>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</si>
  <si>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</si>
  <si>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</si>
  <si>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</si>
  <si>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</si>
  <si>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</si>
  <si>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</si>
  <si>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</si>
  <si>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</si>
  <si>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</si>
  <si>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</si>
  <si>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</si>
  <si>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</si>
  <si>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</si>
  <si>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</si>
  <si>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</si>
  <si>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</si>
  <si>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</si>
  <si>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</si>
  <si>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</si>
  <si>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</si>
  <si>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</si>
  <si>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</si>
  <si>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</si>
  <si>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</si>
  <si>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</si>
  <si>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</si>
  <si>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</si>
  <si>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</si>
  <si>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</si>
  <si>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</si>
  <si>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</si>
  <si>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</si>
  <si>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</si>
  <si>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</si>
  <si>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</si>
  <si>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</si>
  <si>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</si>
  <si>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</si>
  <si>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</si>
  <si>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</si>
  <si>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</si>
  <si>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</si>
  <si>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 Joher Town</t>
  </si>
  <si>
    <t xml:space="preserve">Address: B Block Joher Town </t>
  </si>
  <si>
    <t>Gourmet Food</t>
  </si>
  <si>
    <t>Gourmet Food Rehman Pura</t>
  </si>
  <si>
    <t>Address: Rehman Pura</t>
  </si>
  <si>
    <t>Gourmet Food Ghalib Market</t>
  </si>
  <si>
    <t>Address: Ghalib Market</t>
  </si>
  <si>
    <t xml:space="preserve">Gourmet Food Shama </t>
  </si>
  <si>
    <t xml:space="preserve">Address: Shahma </t>
  </si>
  <si>
    <t xml:space="preserve">Address: Muslim Town Ayubia </t>
  </si>
  <si>
    <t xml:space="preserve">Gourmet Food Muslim Town Ayubia </t>
  </si>
  <si>
    <t xml:space="preserve">Gourmet Food Walton </t>
  </si>
  <si>
    <t xml:space="preserve">Address: Walton </t>
  </si>
  <si>
    <t>Gourmet Food Barkat Market</t>
  </si>
  <si>
    <t>Address: Barker Market</t>
  </si>
  <si>
    <t xml:space="preserve">Gourmet Food Firdos Market </t>
  </si>
  <si>
    <t>Address:Firdos Market</t>
  </si>
  <si>
    <t>Gourmet Food Nishat</t>
  </si>
  <si>
    <t>Address:Nishat</t>
  </si>
  <si>
    <t xml:space="preserve">Gourmet Food Umer Chowk </t>
  </si>
  <si>
    <t xml:space="preserve">Address: Umer Chowk </t>
  </si>
  <si>
    <t xml:space="preserve">Gourmet Food Model Towm </t>
  </si>
  <si>
    <t xml:space="preserve">Address: Link Road Model Town </t>
  </si>
  <si>
    <t>Gourmet Food Riwand Road</t>
  </si>
  <si>
    <t>Address:Riwand Road</t>
  </si>
  <si>
    <t>Gourmet Food Choung</t>
  </si>
  <si>
    <t>Address: Choung</t>
  </si>
  <si>
    <t xml:space="preserve">Gourmet Food Moterway </t>
  </si>
  <si>
    <t>Address: Moter Way</t>
  </si>
  <si>
    <t>Gourmet Food College Road</t>
  </si>
  <si>
    <t>Address:College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</si>
</sst>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9" fontId="18" fillId="0" borderId="48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5" workbookViewId="0">
      <selection activeCell="H33" sqref="H3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518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511</v>
      </c>
      <c r="F3" s="358"/>
      <c r="G3" s="358"/>
      <c r="H3" s="355">
        <f ca="1">TODAY()</f>
        <v>46240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Gourmet Food Joher Town</v>
      </c>
      <c r="T3" s="301">
        <f>+'1'!P35</f>
        <v>6320.450510466103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Gourmet Food Rehman Pura</v>
      </c>
      <c r="T4" s="301">
        <f>+'2'!P35</f>
        <v>2844.1987850847459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510</v>
      </c>
      <c r="R5" s="314">
        <v>3</v>
      </c>
      <c r="S5" s="300" t="str">
        <f>+'3'!A6:A6</f>
        <v>Gourmet Food Ghalib Market</v>
      </c>
      <c r="T5" s="301">
        <f>+'3'!P35</f>
        <v>2844.1987850847459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509</v>
      </c>
      <c r="R6" s="314">
        <v>4</v>
      </c>
      <c r="S6" s="300" t="str">
        <f>+'4'!A6:A6</f>
        <v xml:space="preserve">Gourmet Food Shama </v>
      </c>
      <c r="T6" s="301">
        <f>+'4'!P35</f>
        <v>2844.1987850847459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360</v>
      </c>
      <c r="I7" s="235">
        <f>(G7*D7)*F7+H7*F7</f>
        <v>18886.5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3399.5699999999997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661.02750000000003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14825.9025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3569.4915254237267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91.976970127118634</v>
      </c>
      <c r="P7" s="310">
        <f>M7+N7+O7</f>
        <v>18487.370995550846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Gourmet Food Muslim Town Ayubia </v>
      </c>
      <c r="T7" s="301">
        <f>+'5'!P35</f>
        <v>2054.1523328389831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280</v>
      </c>
      <c r="I8" s="236">
        <f t="shared" ref="I8:I14" si="0">(G8*D8)*F8+H8*F8</f>
        <v>14689.5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2644.1099999999997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514.13250000000005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11531.2575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2776.2711864406765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71.537643432203382</v>
      </c>
      <c r="P8" s="311">
        <f t="shared" ref="P8:P15" si="2">M8+N8+O8</f>
        <v>14379.066329872881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Gourmet Food Walton </v>
      </c>
      <c r="T8" s="301">
        <f>+'6'!P35</f>
        <v>4266.2981776271181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755.45999999999992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3294.645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20.439326694915252</v>
      </c>
      <c r="P9" s="311">
        <f t="shared" si="2"/>
        <v>4108.3046656779661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Gourmet Food Barkat Market</v>
      </c>
      <c r="T9" s="301">
        <f>+'7'!P35</f>
        <v>8374.6028433050833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240</v>
      </c>
      <c r="I10" s="236">
        <f t="shared" si="0"/>
        <v>17433.599999999999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3138.0479999999993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610.17600000000004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13685.376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3294.915254237289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84.901456271186419</v>
      </c>
      <c r="P10" s="311">
        <f t="shared" si="2"/>
        <v>17065.192710508476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Gourmet Food Firdos Market </v>
      </c>
      <c r="T10" s="301">
        <f>+'8'!P35</f>
        <v>6320.450510466103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220</v>
      </c>
      <c r="I11" s="236">
        <f t="shared" si="0"/>
        <v>15980.8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2876.5439999999994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559.32800000000009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12544.928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3020.3389830508481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77.826334915254222</v>
      </c>
      <c r="P11" s="311">
        <f t="shared" si="2"/>
        <v>15643.093317966102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Gourmet Food Nishat</v>
      </c>
      <c r="T11" s="301">
        <f>+'9'!P35</f>
        <v>20857.510352288133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280</v>
      </c>
      <c r="I12" s="236">
        <f t="shared" si="0"/>
        <v>20339.2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3661.0559999999991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711.87199999999996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15966.272000000001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3844.0677966101703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99.051698983050812</v>
      </c>
      <c r="P12" s="311">
        <f t="shared" si="2"/>
        <v>19909.39149559322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Gourmet Food Umer Chowk </v>
      </c>
      <c r="T12" s="301">
        <f>+'10'!P35</f>
        <v>8374.6028433050833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Gourmet Food Model Towm </v>
      </c>
      <c r="T13" s="301">
        <f>+'11'!P35</f>
        <v>8374.6028433050833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Gourmet Food Riwand Road</v>
      </c>
      <c r="T14" s="301">
        <f>+'12'!P35</f>
        <v>2054.1523328389831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Gourmet Food Choung</v>
      </c>
      <c r="T15" s="301">
        <f>+'13'!P35</f>
        <v>4266.2981776271181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36.5</v>
      </c>
      <c r="H16" s="113">
        <f t="shared" ref="H16:M16" si="3">SUM(H7:H15)</f>
        <v>1460</v>
      </c>
      <c r="I16" s="114">
        <f t="shared" si="3"/>
        <v>91526.599999999991</v>
      </c>
      <c r="J16" s="274">
        <f>SUM(J7:J15)</f>
        <v>16474.787999999997</v>
      </c>
      <c r="K16" s="275">
        <f t="shared" si="3"/>
        <v>3203.431</v>
      </c>
      <c r="L16" s="276">
        <f t="shared" si="3"/>
        <v>0</v>
      </c>
      <c r="M16" s="232">
        <f t="shared" si="3"/>
        <v>71848.380999999994</v>
      </c>
      <c r="N16" s="233">
        <f>SUM(N7:N15)</f>
        <v>17298.30508474576</v>
      </c>
      <c r="O16" s="101">
        <f>SUM(O7:O15)</f>
        <v>445.73343042372869</v>
      </c>
      <c r="P16" s="113">
        <f>SUM(P7:P15)</f>
        <v>89592.419515169488</v>
      </c>
      <c r="Q16" s="128">
        <f>SUM(Q7:Q15)</f>
        <v>0</v>
      </c>
      <c r="R16" s="314">
        <v>14</v>
      </c>
      <c r="S16" s="300" t="str">
        <f>+'14'!A6:A6</f>
        <v xml:space="preserve">Gourmet Food Moterway </v>
      </c>
      <c r="T16" s="301">
        <f>+'14'!P35</f>
        <v>3476.2517253813558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Gourmet Food College Road</v>
      </c>
      <c r="T17" s="301">
        <f>+'15'!P35</f>
        <v>6320.450510466103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91526.599999999991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16474.787999999997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3203.431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71848.380999999994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17298.30508474576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89146.686084745757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445.73343042372869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89592.419515169488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89592.419515169502</v>
      </c>
    </row>
    <row r="44" spans="2:20" x14ac:dyDescent="0.35">
      <c r="B44" t="s">
        <v>503</v>
      </c>
    </row>
    <row r="45" spans="2:20" x14ac:dyDescent="0.35">
      <c r="B45" t="s">
        <v>504</v>
      </c>
    </row>
    <row r="46" spans="2:20" x14ac:dyDescent="0.35">
      <c r="B46" t="s">
        <v>505</v>
      </c>
    </row>
    <row r="47" spans="2:20" x14ac:dyDescent="0.35">
      <c r="B47" t="s">
        <v>506</v>
      </c>
    </row>
    <row r="48" spans="2:20" x14ac:dyDescent="0.35">
      <c r="B48" t="s">
        <v>507</v>
      </c>
    </row>
    <row r="49" spans="2:2" x14ac:dyDescent="0.35">
      <c r="B49" t="s">
        <v>512</v>
      </c>
    </row>
    <row r="50" spans="2:2" x14ac:dyDescent="0.35">
      <c r="B50" t="s">
        <v>513</v>
      </c>
    </row>
    <row r="51" spans="2:2" x14ac:dyDescent="0.35">
      <c r="B51" t="s">
        <v>514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7.25" customHeight="1" x14ac:dyDescent="0.4">
      <c r="A6" s="396" t="s">
        <v>516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517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100</v>
      </c>
      <c r="I25" s="114">
        <f t="shared" ref="I25:M25" si="10">SUM(I16:I24)</f>
        <v>6456.9000000000005</v>
      </c>
      <c r="J25" s="274">
        <f>SUM(J16:J24)</f>
        <v>1162.2419999999997</v>
      </c>
      <c r="K25" s="275">
        <f t="shared" si="10"/>
        <v>225.99150000000003</v>
      </c>
      <c r="L25" s="276">
        <f t="shared" si="10"/>
        <v>0</v>
      </c>
      <c r="M25" s="232">
        <f t="shared" si="10"/>
        <v>5068.6664999999994</v>
      </c>
      <c r="N25" s="233">
        <f>SUM(N16:N24)</f>
        <v>1220.3389830508472</v>
      </c>
      <c r="O25" s="101">
        <f>SUM(O16:O24)</f>
        <v>31.445027415254238</v>
      </c>
      <c r="P25" s="113">
        <f>SUM(P16:P24)</f>
        <v>6320.4505104661012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6456.9000000000005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1162.2419999999997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225.99150000000003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5068.6665000000012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6289.0054830508489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31.445027415254245</v>
      </c>
    </row>
    <row r="35" spans="2:16" ht="15.75" customHeight="1" thickBot="1" x14ac:dyDescent="0.4">
      <c r="N35" s="342" t="s">
        <v>88</v>
      </c>
      <c r="O35" s="343"/>
      <c r="P35" s="297">
        <f>+P33+P34</f>
        <v>6320.450510466103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1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519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2905.6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523.00799999999992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101.69600000000001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2280.8960000000002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2830.0485423728815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42" t="s">
        <v>88</v>
      </c>
      <c r="O35" s="343"/>
      <c r="P35" s="297">
        <f>+P33+P34</f>
        <v>2844.1987850847459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8.75" customHeight="1" x14ac:dyDescent="0.4">
      <c r="A6" s="396" t="s">
        <v>521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522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2905.6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523.00799999999992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101.69600000000001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2280.8960000000002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2830.0485423728815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42" t="s">
        <v>88</v>
      </c>
      <c r="O35" s="343"/>
      <c r="P35" s="297">
        <f>+P33+P34</f>
        <v>2844.1987850847459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523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524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2905.6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523.00799999999992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101.69600000000001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2280.8960000000002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2830.0485423728815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42" t="s">
        <v>88</v>
      </c>
      <c r="O35" s="343"/>
      <c r="P35" s="297">
        <f>+P33+P34</f>
        <v>2844.1987850847459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526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2098.5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377.72999999999996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73.447500000000005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1647.3225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2043.9326694915253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2" t="s">
        <v>88</v>
      </c>
      <c r="O35" s="343"/>
      <c r="P35" s="297">
        <f>+P33+P34</f>
        <v>2054.1523328389831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9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527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528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60</v>
      </c>
      <c r="I25" s="114">
        <f t="shared" si="7"/>
        <v>4358.3999999999996</v>
      </c>
      <c r="J25" s="274">
        <f>SUM(J16:J24)</f>
        <v>784.51199999999994</v>
      </c>
      <c r="K25" s="275">
        <f t="shared" si="7"/>
        <v>152.54400000000001</v>
      </c>
      <c r="L25" s="276">
        <f t="shared" si="7"/>
        <v>0</v>
      </c>
      <c r="M25" s="232">
        <f t="shared" si="7"/>
        <v>3421.3439999999996</v>
      </c>
      <c r="N25" s="233">
        <f>SUM(N16:N24)</f>
        <v>823.72881355932213</v>
      </c>
      <c r="O25" s="101">
        <f>SUM(O16:O24)</f>
        <v>21.225364067796608</v>
      </c>
      <c r="P25" s="113">
        <f>SUM(P16:P24)</f>
        <v>4266.2981776271181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4358.3999999999996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784.51199999999994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152.54400000000001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3421.3440000000001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823.72881355932213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4245.0728135593217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21.225364067796608</v>
      </c>
    </row>
    <row r="35" spans="2:16" ht="15.75" customHeight="1" thickBot="1" x14ac:dyDescent="0.4">
      <c r="N35" s="342" t="s">
        <v>88</v>
      </c>
      <c r="O35" s="343"/>
      <c r="P35" s="297">
        <f>+P33+P34</f>
        <v>4266.2981776271181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529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530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299.43900000000002</v>
      </c>
      <c r="L25" s="276">
        <f t="shared" si="7"/>
        <v>0</v>
      </c>
      <c r="M25" s="232">
        <f t="shared" si="7"/>
        <v>6715.9889999999996</v>
      </c>
      <c r="N25" s="233">
        <f>SUM(N16:N24)</f>
        <v>1616.9491525423725</v>
      </c>
      <c r="O25" s="101">
        <f>SUM(O16:O24)</f>
        <v>41.664690762711864</v>
      </c>
      <c r="P25" s="113">
        <f>SUM(P16:P24)</f>
        <v>8374.6028433050851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8555.4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1539.9719999999998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299.43900000000002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6715.9889999999996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8332.9381525423723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41.664690762711864</v>
      </c>
    </row>
    <row r="35" spans="2:16" ht="15.75" customHeight="1" thickBot="1" x14ac:dyDescent="0.4">
      <c r="N35" s="342" t="s">
        <v>88</v>
      </c>
      <c r="O35" s="343"/>
      <c r="P35" s="297">
        <f>+P33+P34</f>
        <v>8374.6028433050833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8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531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532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225.99150000000003</v>
      </c>
      <c r="L25" s="276">
        <f t="shared" si="7"/>
        <v>0</v>
      </c>
      <c r="M25" s="232">
        <f t="shared" si="7"/>
        <v>5068.6664999999994</v>
      </c>
      <c r="N25" s="233">
        <f>SUM(N16:N24)</f>
        <v>1220.3389830508472</v>
      </c>
      <c r="O25" s="101">
        <f>SUM(O16:O24)</f>
        <v>31.445027415254238</v>
      </c>
      <c r="P25" s="113">
        <f>SUM(P16:P24)</f>
        <v>6320.4505104661012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6456.9000000000005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1162.2419999999997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225.99150000000003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5068.6665000000012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6289.0054830508489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31.445027415254245</v>
      </c>
    </row>
    <row r="35" spans="2:16" ht="15.75" customHeight="1" thickBot="1" x14ac:dyDescent="0.4">
      <c r="N35" s="342" t="s">
        <v>88</v>
      </c>
      <c r="O35" s="343"/>
      <c r="P35" s="297">
        <f>+P33+P34</f>
        <v>6320.450510466103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533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534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146.89500000000001</v>
      </c>
      <c r="L16" s="118">
        <f>$I16*U16</f>
        <v>0</v>
      </c>
      <c r="M16" s="229">
        <f>I16-SUM(J16:L16)</f>
        <v>3294.645</v>
      </c>
      <c r="N16" s="248">
        <f>+(G16*D16+H16)*V16</f>
        <v>793.22033898305051</v>
      </c>
      <c r="O16" s="238">
        <f>(N16+M16)*$O$15</f>
        <v>20.439326694915252</v>
      </c>
      <c r="P16" s="310">
        <f>M16+N16+O16</f>
        <v>4108.3046656779661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3294.645</v>
      </c>
      <c r="N17" s="277">
        <f t="shared" ref="N17:N24" si="3">+(G17*D17+H17)*V17</f>
        <v>793.22033898305051</v>
      </c>
      <c r="O17" s="239">
        <f t="shared" ref="O17:O24" si="4">(N17+M17)*$O$15</f>
        <v>20.439326694915252</v>
      </c>
      <c r="P17" s="311">
        <f t="shared" ref="P17:P24" si="5">M17+N17+O17</f>
        <v>4108.3046656779661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146.89500000000001</v>
      </c>
      <c r="L18" s="119">
        <f t="shared" si="1"/>
        <v>0</v>
      </c>
      <c r="M18" s="230">
        <f t="shared" si="2"/>
        <v>3294.645</v>
      </c>
      <c r="N18" s="277">
        <f t="shared" si="3"/>
        <v>793.22033898305051</v>
      </c>
      <c r="O18" s="239">
        <f t="shared" si="4"/>
        <v>20.439326694915252</v>
      </c>
      <c r="P18" s="311">
        <f t="shared" si="5"/>
        <v>4108.3046656779661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101.69600000000001</v>
      </c>
      <c r="L20" s="119">
        <f t="shared" si="1"/>
        <v>0</v>
      </c>
      <c r="M20" s="230">
        <f t="shared" si="2"/>
        <v>2280.8959999999997</v>
      </c>
      <c r="N20" s="277">
        <f t="shared" si="3"/>
        <v>549.15254237288138</v>
      </c>
      <c r="O20" s="239">
        <f t="shared" si="4"/>
        <v>14.150242711864406</v>
      </c>
      <c r="P20" s="311">
        <f t="shared" si="5"/>
        <v>2844.1987850847454</v>
      </c>
      <c r="Q20" s="156"/>
      <c r="R20">
        <f>P20/21</f>
        <v>135.43803738498787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360</v>
      </c>
      <c r="I25" s="114">
        <f t="shared" si="7"/>
        <v>21307.8</v>
      </c>
      <c r="J25" s="274">
        <f>SUM(J16:J24)</f>
        <v>3835.4039999999991</v>
      </c>
      <c r="K25" s="275">
        <f t="shared" si="7"/>
        <v>745.77300000000014</v>
      </c>
      <c r="L25" s="276">
        <f t="shared" si="7"/>
        <v>0</v>
      </c>
      <c r="M25" s="232">
        <f t="shared" si="7"/>
        <v>16726.623</v>
      </c>
      <c r="N25" s="233">
        <f>SUM(N16:N24)</f>
        <v>4027.1186440677952</v>
      </c>
      <c r="O25" s="101">
        <f>SUM(O16:O24)</f>
        <v>103.76870822033898</v>
      </c>
      <c r="P25" s="113">
        <f>SUM(P16:P24)</f>
        <v>20857.510352288133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21307.8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3835.4039999999991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745.77300000000014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16726.623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4027.1186440677952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20753.741644067795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103.76870822033898</v>
      </c>
    </row>
    <row r="35" spans="2:16" ht="15.75" customHeight="1" thickBot="1" x14ac:dyDescent="0.4">
      <c r="N35" s="342" t="s">
        <v>88</v>
      </c>
      <c r="O35" s="343"/>
      <c r="P35" s="297">
        <f>+P33+P34</f>
        <v>20857.510352288133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535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536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299.43900000000002</v>
      </c>
      <c r="L25" s="276">
        <f t="shared" si="7"/>
        <v>0</v>
      </c>
      <c r="M25" s="232">
        <f t="shared" si="7"/>
        <v>6715.9889999999996</v>
      </c>
      <c r="N25" s="233">
        <f>SUM(N16:N24)</f>
        <v>1616.9491525423725</v>
      </c>
      <c r="O25" s="101">
        <f>SUM(O16:O24)</f>
        <v>41.664690762711864</v>
      </c>
      <c r="P25" s="113">
        <f>SUM(P16:P24)</f>
        <v>8374.6028433050851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8555.4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1539.9719999999998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299.43900000000002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6715.9889999999996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8332.9381525423723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41.664690762711864</v>
      </c>
    </row>
    <row r="35" spans="2:16" ht="15.75" customHeight="1" thickBot="1" x14ac:dyDescent="0.4">
      <c r="N35" s="342" t="s">
        <v>88</v>
      </c>
      <c r="O35" s="343"/>
      <c r="P35" s="297">
        <f>+P33+P34</f>
        <v>8374.6028433050833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8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537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538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299.43900000000002</v>
      </c>
      <c r="L25" s="276">
        <f t="shared" si="7"/>
        <v>0</v>
      </c>
      <c r="M25" s="232">
        <f t="shared" si="7"/>
        <v>6715.9889999999996</v>
      </c>
      <c r="N25" s="233">
        <f>SUM(N16:N24)</f>
        <v>1616.9491525423725</v>
      </c>
      <c r="O25" s="101">
        <f>SUM(O16:O24)</f>
        <v>41.664690762711864</v>
      </c>
      <c r="P25" s="113">
        <f>SUM(P16:P24)</f>
        <v>8374.6028433050851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8555.4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1539.9719999999998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299.43900000000002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6715.9889999999996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8332.9381525423723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41.664690762711864</v>
      </c>
    </row>
    <row r="35" spans="2:16" ht="15.75" customHeight="1" thickBot="1" x14ac:dyDescent="0.4">
      <c r="N35" s="342" t="s">
        <v>88</v>
      </c>
      <c r="O35" s="343"/>
      <c r="P35" s="297">
        <f>+P33+P34</f>
        <v>8374.6028433050833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11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539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540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2098.5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377.72999999999996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73.447500000000005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1647.3225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2043.9326694915253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2" t="s">
        <v>88</v>
      </c>
      <c r="O35" s="343"/>
      <c r="P35" s="297">
        <f>+P33+P34</f>
        <v>2054.1523328389831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541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542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60</v>
      </c>
      <c r="I25" s="114">
        <f t="shared" si="7"/>
        <v>4358.3999999999996</v>
      </c>
      <c r="J25" s="274">
        <f>SUM(J16:J24)</f>
        <v>784.51199999999994</v>
      </c>
      <c r="K25" s="275">
        <f t="shared" si="7"/>
        <v>152.54400000000001</v>
      </c>
      <c r="L25" s="276">
        <f t="shared" si="7"/>
        <v>0</v>
      </c>
      <c r="M25" s="232">
        <f t="shared" si="7"/>
        <v>3421.3439999999996</v>
      </c>
      <c r="N25" s="233">
        <f>SUM(N16:N24)</f>
        <v>823.72881355932213</v>
      </c>
      <c r="O25" s="101">
        <f>SUM(O16:O24)</f>
        <v>21.225364067796608</v>
      </c>
      <c r="P25" s="113">
        <f>SUM(P16:P24)</f>
        <v>4266.2981776271181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4358.3999999999996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784.51199999999994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152.54400000000001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3421.3440000000001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823.72881355932213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4245.0728135593217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21.225364067796608</v>
      </c>
    </row>
    <row r="35" spans="2:16" ht="15.75" customHeight="1" thickBot="1" x14ac:dyDescent="0.4">
      <c r="N35" s="342" t="s">
        <v>88</v>
      </c>
      <c r="O35" s="343"/>
      <c r="P35" s="297">
        <f>+P33+P34</f>
        <v>4266.2981776271181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543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544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60</v>
      </c>
      <c r="I25" s="114">
        <f t="shared" si="7"/>
        <v>3551.3</v>
      </c>
      <c r="J25" s="274">
        <f>SUM(J16:J24)</f>
        <v>639.23399999999992</v>
      </c>
      <c r="K25" s="275">
        <f t="shared" si="7"/>
        <v>124.2955</v>
      </c>
      <c r="L25" s="276">
        <f t="shared" si="7"/>
        <v>0</v>
      </c>
      <c r="M25" s="232">
        <f t="shared" si="7"/>
        <v>2787.7704999999996</v>
      </c>
      <c r="N25" s="233">
        <f>SUM(N16:N24)</f>
        <v>671.18644067796595</v>
      </c>
      <c r="O25" s="101">
        <f>SUM(O16:O24)</f>
        <v>17.29478470338983</v>
      </c>
      <c r="P25" s="113">
        <f>SUM(P16:P24)</f>
        <v>3476.2517253813558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3551.3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639.23399999999992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124.2955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2787.7705000000001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671.18644067796595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3458.956940677966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17.29478470338983</v>
      </c>
    </row>
    <row r="35" spans="2:16" ht="15.75" customHeight="1" thickBot="1" x14ac:dyDescent="0.4">
      <c r="N35" s="342" t="s">
        <v>88</v>
      </c>
      <c r="O35" s="343"/>
      <c r="P35" s="297">
        <f>+P33+P34</f>
        <v>3476.2517253813558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545</v>
      </c>
      <c r="B6" s="396"/>
      <c r="C6" s="396"/>
      <c r="F6" s="85"/>
      <c r="G6" s="86"/>
      <c r="K6" s="368" t="s">
        <v>69</v>
      </c>
      <c r="L6" s="368"/>
      <c r="M6" s="368"/>
      <c r="N6" s="397" t="s">
        <v>503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546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225.99150000000003</v>
      </c>
      <c r="L25" s="276">
        <f t="shared" si="7"/>
        <v>0</v>
      </c>
      <c r="M25" s="232">
        <f t="shared" si="7"/>
        <v>5068.6664999999994</v>
      </c>
      <c r="N25" s="233">
        <f>SUM(N16:N24)</f>
        <v>1220.3389830508472</v>
      </c>
      <c r="O25" s="101">
        <f>SUM(O16:O24)</f>
        <v>31.445027415254238</v>
      </c>
      <c r="P25" s="113">
        <f>SUM(P16:P24)</f>
        <v>6320.4505104661012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6456.9000000000005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1162.2419999999997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225.99150000000003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5068.6665000000012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6289.0054830508489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31.445027415254245</v>
      </c>
    </row>
    <row r="35" spans="2:16" ht="15.75" customHeight="1" thickBot="1" x14ac:dyDescent="0.4">
      <c r="N35" s="342" t="s">
        <v>88</v>
      </c>
      <c r="O35" s="343"/>
      <c r="P35" s="297">
        <f>+P33+P34</f>
        <v>6320.450510466103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8.7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5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502</v>
      </c>
      <c r="B4" s="367"/>
      <c r="C4" s="367"/>
      <c r="F4" s="85"/>
      <c r="G4" s="1"/>
      <c r="K4" s="368" t="s">
        <v>44</v>
      </c>
      <c r="L4" s="368"/>
      <c r="M4" s="368"/>
      <c r="N4" s="398">
        <v>46241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46240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515</v>
      </c>
      <c r="B7" s="368"/>
      <c r="C7" s="368"/>
      <c r="F7" s="85"/>
      <c r="G7" s="86"/>
      <c r="K7" s="368" t="s">
        <v>66</v>
      </c>
      <c r="L7" s="368"/>
      <c r="M7" s="368"/>
      <c r="N7" s="397" t="s">
        <v>508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508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412">
        <v>0.18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46241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46240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2026-08-06T12:58:32Z</dcterms:modified>
</cp:coreProperties>
</file>