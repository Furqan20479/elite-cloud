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D2300A0-7D9B-4221-AB1D-AA4D1A15EF03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54" l="1"/>
  <c r="O23" i="54" s="1"/>
  <c r="P23" i="54" s="1"/>
  <c r="K12" i="62"/>
  <c r="J15" i="62"/>
  <c r="M21" i="51"/>
  <c r="M16" i="48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M21" i="44"/>
  <c r="O21" i="44" s="1"/>
  <c r="P21" i="44" s="1"/>
  <c r="M17" i="60"/>
  <c r="O17" i="60" s="1"/>
  <c r="P17" i="60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1" i="50" l="1"/>
  <c r="M12" i="62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<sst xmlns="http://schemas.openxmlformats.org/spreadsheetml/2006/main" count="3948" uniqueCount="547">
  <si>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</si>
  <si>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</si>
  <si>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</si>
  <si>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</si>
  <si>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</si>
  <si>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</si>
  <si>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</si>
  <si>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</si>
  <si>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</si>
  <si>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</si>
  <si>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</si>
  <si>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</si>
  <si>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</si>
  <si>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</si>
  <si>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</si>
  <si>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</si>
  <si>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</si>
  <si>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</si>
  <si>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</si>
  <si>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</si>
  <si>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</si>
  <si>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</si>
  <si>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</si>
  <si>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</si>
  <si>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</si>
  <si>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</si>
  <si>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</si>
  <si>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</si>
  <si>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</si>
  <si>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</si>
  <si>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</si>
  <si>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</si>
  <si>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</si>
  <si>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</si>
  <si>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</si>
  <si>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</si>
  <si>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</si>
  <si>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</si>
  <si>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</si>
  <si>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</si>
  <si>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</si>
  <si>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</si>
  <si>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</si>
  <si>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</si>
  <si>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</si>
  <si>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</si>
  <si>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</si>
  <si>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</si>
  <si>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</si>
  <si>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</si>
  <si>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</si>
  <si>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</si>
  <si>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</si>
  <si>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</si>
  <si>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</si>
  <si>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</si>
  <si>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</si>
  <si>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</si>
  <si>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</si>
  <si>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</si>
  <si>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</si>
  <si>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</si>
  <si>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</si>
  <si>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</si>
  <si>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</si>
  <si>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</si>
  <si>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</si>
  <si>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</si>
  <si>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</si>
  <si>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</si>
  <si>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</si>
  <si>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</si>
  <si>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</si>
  <si>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</si>
  <si>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</si>
  <si>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</si>
  <si>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</si>
  <si>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</si>
  <si>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</si>
  <si>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</si>
  <si>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</si>
  <si>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</si>
  <si>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</si>
  <si>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</si>
  <si>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</si>
  <si>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</si>
  <si>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</si>
  <si>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</si>
  <si>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</si>
  <si>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</si>
  <si>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</si>
  <si>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</si>
  <si>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</si>
  <si>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</si>
  <si>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</si>
  <si>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</si>
  <si>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</si>
  <si>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</si>
  <si>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</si>
  <si>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</si>
  <si>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</si>
  <si>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</si>
  <si>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</si>
  <si>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</si>
  <si>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</si>
  <si>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</si>
  <si>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</si>
  <si>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</si>
  <si>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</si>
  <si>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</si>
  <si>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</si>
  <si>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</si>
  <si>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</si>
  <si>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</si>
  <si>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</si>
  <si>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</si>
  <si>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</si>
  <si>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</si>
  <si>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</si>
  <si>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</si>
  <si>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</si>
  <si>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</si>
  <si>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</si>
  <si>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</si>
  <si>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</si>
  <si>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</si>
  <si>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</si>
  <si>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</si>
  <si>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</si>
  <si>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</si>
  <si>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</si>
  <si>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</si>
  <si>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</si>
  <si>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</si>
  <si>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</si>
  <si>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</si>
  <si>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</si>
  <si>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</si>
  <si>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</si>
  <si>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</si>
  <si>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</si>
  <si>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</si>
  <si>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</si>
  <si>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</si>
  <si>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</si>
  <si>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</si>
  <si>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</si>
  <si>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</si>
  <si>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</si>
  <si>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</si>
  <si>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</si>
  <si>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</si>
  <si>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</si>
  <si>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</si>
  <si>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</si>
  <si>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</si>
  <si>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</si>
  <si>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</si>
  <si>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</si>
  <si>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</si>
  <si>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</si>
  <si>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</si>
  <si>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</si>
  <si>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</si>
  <si>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</si>
  <si>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</si>
  <si>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</si>
  <si>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</si>
  <si>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</si>
  <si>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</si>
  <si>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</si>
  <si>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</si>
  <si>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</si>
  <si>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</si>
  <si>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</si>
  <si>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</si>
  <si>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</si>
  <si>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</si>
  <si>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</si>
  <si>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</si>
  <si>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</si>
  <si>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</si>
  <si>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</si>
  <si>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</si>
  <si>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</si>
  <si>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</si>
  <si>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</si>
  <si>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</si>
  <si>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</si>
  <si>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</si>
  <si>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</si>
  <si>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</si>
  <si>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</si>
  <si>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</si>
  <si>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</si>
  <si>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</si>
  <si>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</si>
  <si>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</si>
  <si>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</si>
  <si>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</si>
  <si>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</si>
  <si>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</si>
  <si>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</si>
  <si>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</si>
  <si>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</si>
  <si>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</si>
  <si>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</si>
  <si>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</si>
  <si>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</si>
  <si>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</si>
  <si>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</si>
  <si>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</si>
  <si>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</si>
  <si>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</si>
  <si>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</si>
  <si>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</si>
  <si>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</si>
  <si>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</si>
  <si>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</si>
  <si>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</si>
  <si>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</si>
  <si>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</si>
  <si>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</si>
  <si>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</si>
  <si>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</si>
  <si>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</si>
  <si>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</si>
  <si>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</si>
  <si>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</si>
  <si>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</si>
  <si>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</si>
  <si>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</si>
  <si>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</si>
  <si>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</si>
  <si>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</si>
  <si>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</si>
  <si>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</si>
  <si>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</si>
  <si>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</si>
  <si>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</si>
  <si>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</si>
  <si>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</si>
  <si>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</si>
  <si>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</si>
  <si>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</si>
  <si>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</si>
  <si>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</si>
  <si>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</si>
  <si>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</si>
  <si>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</si>
  <si>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</si>
  <si>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</si>
  <si>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</si>
  <si>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</si>
  <si>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</si>
  <si>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</si>
  <si>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</si>
  <si>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</si>
  <si>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</si>
  <si>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</si>
  <si>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</si>
  <si>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</si>
  <si>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</si>
  <si>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</si>
  <si>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</si>
  <si>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</si>
  <si>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</si>
  <si>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</si>
  <si>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</si>
  <si>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</si>
  <si>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</si>
  <si>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</si>
  <si>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</si>
  <si>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</si>
  <si>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</si>
  <si>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</si>
  <si>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</si>
  <si>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</si>
  <si>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</si>
  <si>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</si>
  <si>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</si>
  <si>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</si>
  <si>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</si>
  <si>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</si>
  <si>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</si>
  <si>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</si>
  <si>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</si>
  <si>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</si>
  <si>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</si>
  <si>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</si>
  <si>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</si>
  <si>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</si>
  <si>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</si>
  <si>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</si>
  <si>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</si>
  <si>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</si>
  <si>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</si>
  <si>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</si>
  <si>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</si>
  <si>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</si>
  <si>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</si>
  <si>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</si>
  <si>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</si>
  <si>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</si>
  <si>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</si>
  <si>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</si>
  <si>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</si>
  <si>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</si>
  <si>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</si>
  <si>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</si>
  <si>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</si>
  <si>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</si>
  <si>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</si>
  <si>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</si>
  <si>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</si>
  <si>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</si>
  <si>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</si>
  <si>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</si>
  <si>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</si>
  <si>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</si>
  <si>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</si>
  <si>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</si>
  <si>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</si>
  <si>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</si>
  <si>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</si>
  <si>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</si>
  <si>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</si>
  <si>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</si>
  <si>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</si>
  <si>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</si>
  <si>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</si>
  <si>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</si>
  <si>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</si>
  <si>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</si>
  <si>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</si>
  <si>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</si>
  <si>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</si>
  <si>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</si>
  <si>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</si>
  <si>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</si>
  <si>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</si>
  <si>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</si>
  <si>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</si>
  <si>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</si>
  <si>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</si>
  <si>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</si>
  <si>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</si>
  <si>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</si>
  <si>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</si>
  <si>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</si>
  <si>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</si>
  <si>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</si>
  <si>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</si>
  <si>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</si>
  <si>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</si>
  <si>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</si>
  <si>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</si>
  <si>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</si>
  <si>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</si>
  <si>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</si>
  <si>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</si>
  <si>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</si>
  <si>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</si>
  <si>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</si>
  <si>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</si>
  <si>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</si>
  <si>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</si>
  <si>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</si>
  <si>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</si>
  <si>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</si>
  <si>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</si>
  <si>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</si>
  <si>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</si>
  <si>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</si>
  <si>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</si>
  <si>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</si>
  <si>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</si>
  <si>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</si>
  <si>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</si>
  <si>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</si>
  <si>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</si>
  <si>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</si>
  <si>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</si>
  <si>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</si>
  <si>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</si>
  <si>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</si>
  <si>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</si>
  <si>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</si>
  <si>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</si>
  <si>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</si>
  <si>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</si>
  <si>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</si>
  <si>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</si>
  <si>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</si>
  <si>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</si>
  <si>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</si>
  <si>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</si>
  <si>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</si>
  <si>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</si>
  <si>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</si>
  <si>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</si>
  <si>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</si>
  <si>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</si>
  <si>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</si>
  <si>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</si>
  <si>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</si>
  <si>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</si>
  <si>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</si>
  <si>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</si>
  <si>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</si>
  <si>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</si>
  <si>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</si>
  <si>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</si>
  <si>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</si>
  <si>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</si>
  <si>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</si>
  <si>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</si>
  <si>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</si>
  <si>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</si>
  <si>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</si>
  <si>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</si>
  <si>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</si>
  <si>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</si>
  <si>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</si>
  <si>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</si>
  <si>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</si>
  <si>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</si>
  <si>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</si>
  <si>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</si>
  <si>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</si>
  <si>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</si>
  <si>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</si>
  <si>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</si>
  <si>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</si>
  <si>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</si>
  <si>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</si>
  <si>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</si>
  <si>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</si>
  <si>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</si>
  <si>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</si>
  <si>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</si>
  <si>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</si>
  <si>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</si>
  <si>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</si>
  <si>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</si>
  <si>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</si>
  <si>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</si>
  <si>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</si>
  <si>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</si>
  <si>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</si>
  <si>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</si>
  <si>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</si>
  <si>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</si>
  <si>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</si>
  <si>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</si>
  <si>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</si>
  <si>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</si>
  <si>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</si>
  <si>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</si>
  <si>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</si>
  <si>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</si>
  <si>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</si>
  <si>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</si>
  <si>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</si>
  <si>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</si>
  <si>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</si>
  <si>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</si>
  <si>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</si>
  <si>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</si>
  <si>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</si>
  <si>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</si>
  <si>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</si>
  <si>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</si>
  <si>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</si>
  <si>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</si>
  <si>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</si>
  <si>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</si>
  <si>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</si>
  <si>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</si>
  <si>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</si>
  <si>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</si>
  <si>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</si>
  <si>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</si>
  <si>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</si>
  <si>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</si>
  <si>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</si>
  <si>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</si>
  <si>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</si>
  <si>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</si>
  <si>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</si>
  <si>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</si>
  <si>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</si>
  <si>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</si>
  <si>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</si>
  <si>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</si>
  <si>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</si>
  <si>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</si>
  <si>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</si>
  <si>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</si>
  <si>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</si>
  <si>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</si>
  <si>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</si>
  <si>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</si>
  <si>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</si>
  <si>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</si>
  <si>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</si>
  <si>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</si>
  <si>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</si>
  <si>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</si>
  <si>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</si>
  <si>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</si>
  <si>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</si>
  <si>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</si>
  <si>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</si>
  <si>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</si>
  <si>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</si>
  <si>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 Joher Town</t>
  </si>
  <si>
    <t xml:space="preserve">Address: B Block Joher Town </t>
  </si>
  <si>
    <t>Gourmet Food</t>
  </si>
  <si>
    <t>Gourmet Food Rehman Pura</t>
  </si>
  <si>
    <t>Address: Rehman Pura</t>
  </si>
  <si>
    <t>Gourmet Food Ghalib Market</t>
  </si>
  <si>
    <t>Address: Ghalib Market</t>
  </si>
  <si>
    <t xml:space="preserve">Gourmet Food Shama </t>
  </si>
  <si>
    <t xml:space="preserve">Address: Shahma </t>
  </si>
  <si>
    <t xml:space="preserve">Address: Muslim Town Ayubia </t>
  </si>
  <si>
    <t xml:space="preserve">Gourmet Food Muslim Town Ayubia </t>
  </si>
  <si>
    <t xml:space="preserve">Gourmet Food Walton </t>
  </si>
  <si>
    <t xml:space="preserve">Address: Walton </t>
  </si>
  <si>
    <t>Gourmet Food Barkat Market</t>
  </si>
  <si>
    <t>Address: Barker Market</t>
  </si>
  <si>
    <t xml:space="preserve">Gourmet Food Firdos Market </t>
  </si>
  <si>
    <t>Address:Firdos Market</t>
  </si>
  <si>
    <t>Gourmet Food Nishat</t>
  </si>
  <si>
    <t>Address:Nishat</t>
  </si>
  <si>
    <t xml:space="preserve">Gourmet Food Umer Chowk </t>
  </si>
  <si>
    <t xml:space="preserve">Address: Umer Chowk </t>
  </si>
  <si>
    <t xml:space="preserve">Gourmet Food Model Towm </t>
  </si>
  <si>
    <t xml:space="preserve">Address: Link Road Model Town </t>
  </si>
  <si>
    <t>Gourmet Food Riwand Road</t>
  </si>
  <si>
    <t>Address:Riwand Road</t>
  </si>
  <si>
    <t>Gourmet Food Choung</t>
  </si>
  <si>
    <t>Address: Choung</t>
  </si>
  <si>
    <t xml:space="preserve">Gourmet Food Moterway </t>
  </si>
  <si>
    <t>Address: Moter Way</t>
  </si>
  <si>
    <t>Gourmet Food College Road</t>
  </si>
  <si>
    <t>Address:College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</si>
</sst>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499</v>
      </c>
      <c r="F2" s="355"/>
      <c r="G2" s="355"/>
      <c r="H2" s="352" t="s">
        <v>518</v>
      </c>
      <c r="I2" s="352"/>
      <c r="J2" s="353"/>
      <c r="R2" s="349" t="s">
        <v>498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511</v>
      </c>
      <c r="F3" s="359"/>
      <c r="G3" s="359"/>
      <c r="H3" s="356">
        <f ca="1">TODAY()</f>
        <v>46244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>Gourmet Food Joher Town</v>
      </c>
      <c r="T3" s="301">
        <f>+'1'!P35</f>
        <v>6320.450510466103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Gourmet Food Rehman Pura</v>
      </c>
      <c r="T4" s="301">
        <f>+'2'!P35</f>
        <v>2844.1987850847459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510</v>
      </c>
      <c r="R5" s="314">
        <v>3</v>
      </c>
      <c r="S5" s="300" t="str">
        <f>+'3'!A6:A6</f>
        <v>Gourmet Food Ghalib Market</v>
      </c>
      <c r="T5" s="301">
        <f>+'3'!P35</f>
        <v>2844.1987850847459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509</v>
      </c>
      <c r="R6" s="314">
        <v>4</v>
      </c>
      <c r="S6" s="300" t="str">
        <f>+'4'!A6:A6</f>
        <v xml:space="preserve">Gourmet Food Shama </v>
      </c>
      <c r="T6" s="301">
        <f>+'4'!P35</f>
        <v>2844.1987850847459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1133.1899999999998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4941.9675000000007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30.658990042372878</v>
      </c>
      <c r="P7" s="310">
        <f>M7+N7+O7</f>
        <v>6162.4569985169492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Gourmet Food Muslim Town Ayubia </v>
      </c>
      <c r="T7" s="301">
        <f>+'5'!P35</f>
        <v>2054.1523328389831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1133.1899999999998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220.34250000000003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4941.9675000000007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30.658990042372878</v>
      </c>
      <c r="P8" s="311">
        <f t="shared" ref="P8:P15" si="2">M8+N8+O8</f>
        <v>6162.4569985169492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Gourmet Food Walton </v>
      </c>
      <c r="T8" s="301">
        <f>+'6'!P35</f>
        <v>4266.2981776271181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Gourmet Food Barkat Market</v>
      </c>
      <c r="T9" s="301">
        <f>+'7'!P35</f>
        <v>8374.6028433050833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140</v>
      </c>
      <c r="I10" s="236">
        <f t="shared" si="0"/>
        <v>10169.6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1830.5279999999996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355.93600000000004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7983.1360000000004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1922.0338983050847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49.52584949152542</v>
      </c>
      <c r="P10" s="311">
        <f t="shared" si="2"/>
        <v>9954.6957477966098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Gourmet Food Firdos Market </v>
      </c>
      <c r="T10" s="301">
        <f>+'8'!P35</f>
        <v>6320.450510466103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1569.0239999999997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6842.6880000000001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42.450728135593216</v>
      </c>
      <c r="P11" s="311">
        <f t="shared" si="2"/>
        <v>8532.5963552542362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Gourmet Food Nishat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160</v>
      </c>
      <c r="I12" s="236">
        <f t="shared" si="0"/>
        <v>11622.4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2092.0319999999997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406.78400000000005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9123.5839999999989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2196.6101694915255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56.600970847457624</v>
      </c>
      <c r="P12" s="311">
        <f t="shared" si="2"/>
        <v>11376.795140338982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Gourmet Food Umer Chowk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Gourmet Food Model Towm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Gourmet Food Riwand Road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Gourmet Food Choung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16.5</v>
      </c>
      <c r="H16" s="113">
        <f t="shared" ref="H16:M16" si="3">SUM(H7:H15)</f>
        <v>660</v>
      </c>
      <c r="I16" s="114">
        <f t="shared" si="3"/>
        <v>43099.799999999996</v>
      </c>
      <c r="J16" s="274">
        <f>SUM(J7:J15)</f>
        <v>7757.9639999999981</v>
      </c>
      <c r="K16" s="275">
        <f t="shared" si="3"/>
        <v>1508.4930000000002</v>
      </c>
      <c r="L16" s="276">
        <f t="shared" si="3"/>
        <v>0</v>
      </c>
      <c r="M16" s="232">
        <f t="shared" si="3"/>
        <v>33833.343000000008</v>
      </c>
      <c r="N16" s="233">
        <f>SUM(N7:N15)</f>
        <v>8145.7627118644068</v>
      </c>
      <c r="O16" s="101">
        <f>SUM(O7:O15)</f>
        <v>209.89552855932203</v>
      </c>
      <c r="P16" s="113">
        <f>SUM(P7:P15)</f>
        <v>42189.001240423728</v>
      </c>
      <c r="Q16" s="128">
        <f>SUM(Q7:Q15)</f>
        <v>0</v>
      </c>
      <c r="R16" s="314">
        <v>14</v>
      </c>
      <c r="S16" s="300" t="str">
        <f>+'14'!A6:A6</f>
        <v xml:space="preserve">Gourmet Food Moterway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Gourmet Food College Road</v>
      </c>
      <c r="T17" s="301">
        <f>+'15'!P35</f>
        <v>6320.450510466103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43099.799999999996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7757.9639999999981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1508.4930000000002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33833.342999999993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8145.7627118644068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41979.105711864402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209.89552855932203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42189.001240423728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42189.001240423728</v>
      </c>
    </row>
    <row r="44" spans="2:20" x14ac:dyDescent="0.35">
      <c r="B44" t="s">
        <v>503</v>
      </c>
    </row>
    <row r="45" spans="2:20" x14ac:dyDescent="0.35">
      <c r="B45" t="s">
        <v>504</v>
      </c>
    </row>
    <row r="46" spans="2:20" x14ac:dyDescent="0.35">
      <c r="B46" t="s">
        <v>505</v>
      </c>
    </row>
    <row r="47" spans="2:20" x14ac:dyDescent="0.35">
      <c r="B47" t="s">
        <v>506</v>
      </c>
    </row>
    <row r="48" spans="2:20" x14ac:dyDescent="0.35">
      <c r="B48" t="s">
        <v>507</v>
      </c>
    </row>
    <row r="49" spans="2:2" x14ac:dyDescent="0.35">
      <c r="B49" t="s">
        <v>512</v>
      </c>
    </row>
    <row r="50" spans="2:2" x14ac:dyDescent="0.35">
      <c r="B50" t="s">
        <v>513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>
      <selection activeCell="B36" sqref="B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7.25" customHeight="1" x14ac:dyDescent="0.4">
      <c r="A6" s="397" t="s">
        <v>516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517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1647.3225</v>
      </c>
      <c r="N17" s="277">
        <f t="shared" ref="N17:N24" si="3">+(G17*D17+H17)*V17</f>
        <v>396.61016949152526</v>
      </c>
      <c r="O17" s="239">
        <f t="shared" ref="O17:O24" si="4">(N17+M17)*$O$15</f>
        <v>10.219663347457626</v>
      </c>
      <c r="P17" s="311">
        <f t="shared" ref="P17:P24" si="5">M17+N17+O17</f>
        <v>2054.1523328389831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100</v>
      </c>
      <c r="I25" s="114">
        <f t="shared" ref="I25:M25" si="10">SUM(I16:I24)</f>
        <v>6456.9000000000005</v>
      </c>
      <c r="J25" s="274">
        <f>SUM(J16:J24)</f>
        <v>1162.2419999999997</v>
      </c>
      <c r="K25" s="275">
        <f t="shared" si="10"/>
        <v>225.99150000000003</v>
      </c>
      <c r="L25" s="276">
        <f t="shared" si="10"/>
        <v>0</v>
      </c>
      <c r="M25" s="232">
        <f t="shared" si="10"/>
        <v>5068.6664999999994</v>
      </c>
      <c r="N25" s="233">
        <f>SUM(N16:N24)</f>
        <v>1220.3389830508472</v>
      </c>
      <c r="O25" s="101">
        <f>SUM(O16:O24)</f>
        <v>31.445027415254238</v>
      </c>
      <c r="P25" s="113">
        <f>SUM(P16:P24)</f>
        <v>6320.4505104661012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6456.9000000000005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1162.2419999999997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225.99150000000003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5068.6665000000012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1220.3389830508472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6289.0054830508489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31.445027415254245</v>
      </c>
    </row>
    <row r="35" spans="2:16" ht="15.75" customHeight="1" thickBot="1" x14ac:dyDescent="0.4">
      <c r="N35" s="343" t="s">
        <v>88</v>
      </c>
      <c r="O35" s="344"/>
      <c r="P35" s="297">
        <f>+P33+P34</f>
        <v>6320.450510466103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1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520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101.69600000000001</v>
      </c>
      <c r="L21" s="119">
        <f t="shared" si="1"/>
        <v>0</v>
      </c>
      <c r="M21" s="230">
        <f t="shared" si="2"/>
        <v>2280.8959999999997</v>
      </c>
      <c r="N21" s="277">
        <f t="shared" si="3"/>
        <v>549.15254237288138</v>
      </c>
      <c r="O21" s="239">
        <f t="shared" si="4"/>
        <v>14.150242711864406</v>
      </c>
      <c r="P21" s="311">
        <f t="shared" si="5"/>
        <v>2844.1987850847454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523.00799999999992</v>
      </c>
      <c r="K25" s="275">
        <f t="shared" si="7"/>
        <v>101.69600000000001</v>
      </c>
      <c r="L25" s="276">
        <f t="shared" si="7"/>
        <v>0</v>
      </c>
      <c r="M25" s="232">
        <f t="shared" si="7"/>
        <v>2280.8959999999997</v>
      </c>
      <c r="N25" s="233">
        <f>SUM(N16:N24)</f>
        <v>549.15254237288138</v>
      </c>
      <c r="O25" s="101">
        <f>SUM(O16:O24)</f>
        <v>14.150242711864406</v>
      </c>
      <c r="P25" s="113">
        <f>SUM(P16:P24)</f>
        <v>2844.1987850847454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2905.6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523.00799999999992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101.69600000000001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2280.8960000000002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2830.0485423728815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14.150242711864408</v>
      </c>
    </row>
    <row r="35" spans="2:16" ht="15.75" customHeight="1" thickBot="1" x14ac:dyDescent="0.4">
      <c r="N35" s="343" t="s">
        <v>88</v>
      </c>
      <c r="O35" s="344"/>
      <c r="P35" s="297">
        <f>+P33+P34</f>
        <v>2844.1987850847459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0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8.75" customHeight="1" x14ac:dyDescent="0.4">
      <c r="A6" s="397" t="s">
        <v>521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522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311">
        <f t="shared" si="5"/>
        <v>2844.1987850847454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523.00799999999992</v>
      </c>
      <c r="K25" s="275">
        <f t="shared" si="7"/>
        <v>101.69600000000001</v>
      </c>
      <c r="L25" s="276">
        <f t="shared" si="7"/>
        <v>0</v>
      </c>
      <c r="M25" s="232">
        <f t="shared" si="7"/>
        <v>2280.8959999999997</v>
      </c>
      <c r="N25" s="233">
        <f>SUM(N16:N24)</f>
        <v>549.15254237288138</v>
      </c>
      <c r="O25" s="101">
        <f>SUM(O16:O24)</f>
        <v>14.150242711864406</v>
      </c>
      <c r="P25" s="113">
        <f>SUM(P16:P24)</f>
        <v>2844.1987850847454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2905.6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523.00799999999992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101.69600000000001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2280.8960000000002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2830.0485423728815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14.150242711864408</v>
      </c>
    </row>
    <row r="35" spans="2:16" ht="15.75" customHeight="1" thickBot="1" x14ac:dyDescent="0.4">
      <c r="N35" s="343" t="s">
        <v>88</v>
      </c>
      <c r="O35" s="344"/>
      <c r="P35" s="297">
        <f>+P33+P34</f>
        <v>2844.1987850847459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0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524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523.00799999999992</v>
      </c>
      <c r="K25" s="275">
        <f t="shared" si="7"/>
        <v>101.69600000000001</v>
      </c>
      <c r="L25" s="276">
        <f t="shared" si="7"/>
        <v>0</v>
      </c>
      <c r="M25" s="232">
        <f t="shared" si="7"/>
        <v>2280.8959999999997</v>
      </c>
      <c r="N25" s="233">
        <f>SUM(N16:N24)</f>
        <v>549.15254237288138</v>
      </c>
      <c r="O25" s="101">
        <f>SUM(O16:O24)</f>
        <v>14.150242711864406</v>
      </c>
      <c r="P25" s="113">
        <f>SUM(P16:P24)</f>
        <v>2844.1987850847454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2905.6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523.00799999999992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101.69600000000001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2280.8960000000002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2830.0485423728815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14.150242711864408</v>
      </c>
    </row>
    <row r="35" spans="2:16" ht="15.75" customHeight="1" thickBot="1" x14ac:dyDescent="0.4">
      <c r="N35" s="343" t="s">
        <v>88</v>
      </c>
      <c r="O35" s="344"/>
      <c r="P35" s="297">
        <f>+P33+P34</f>
        <v>2844.1987850847459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526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1647.3225</v>
      </c>
      <c r="N17" s="277">
        <f t="shared" ref="N17:N24" si="3">+(G17*D17+H17)*V17</f>
        <v>396.61016949152526</v>
      </c>
      <c r="O17" s="239">
        <f t="shared" ref="O17:O24" si="4">(N17+M17)*$O$15</f>
        <v>10.219663347457626</v>
      </c>
      <c r="P17" s="311">
        <f t="shared" ref="P17:P24" si="5">M17+N17+O17</f>
        <v>2054.1523328389831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2098.5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377.72999999999996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73.447500000000005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1647.3225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2043.9326694915253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3" t="s">
        <v>88</v>
      </c>
      <c r="O35" s="344"/>
      <c r="P35" s="297">
        <f>+P33+P34</f>
        <v>2054.1523328389831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9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527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528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60</v>
      </c>
      <c r="I25" s="114">
        <f t="shared" si="7"/>
        <v>4358.3999999999996</v>
      </c>
      <c r="J25" s="274">
        <f>SUM(J16:J24)</f>
        <v>784.51199999999994</v>
      </c>
      <c r="K25" s="275">
        <f t="shared" si="7"/>
        <v>152.54400000000001</v>
      </c>
      <c r="L25" s="276">
        <f t="shared" si="7"/>
        <v>0</v>
      </c>
      <c r="M25" s="232">
        <f t="shared" si="7"/>
        <v>3421.3439999999996</v>
      </c>
      <c r="N25" s="233">
        <f>SUM(N16:N24)</f>
        <v>823.72881355932213</v>
      </c>
      <c r="O25" s="101">
        <f>SUM(O16:O24)</f>
        <v>21.225364067796608</v>
      </c>
      <c r="P25" s="113">
        <f>SUM(P16:P24)</f>
        <v>4266.2981776271181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4358.3999999999996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784.51199999999994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152.54400000000001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3421.3440000000001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823.72881355932213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4245.0728135593217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21.225364067796608</v>
      </c>
    </row>
    <row r="35" spans="2:16" ht="15.75" customHeight="1" thickBot="1" x14ac:dyDescent="0.4">
      <c r="N35" s="343" t="s">
        <v>88</v>
      </c>
      <c r="O35" s="344"/>
      <c r="P35" s="297">
        <f>+P33+P34</f>
        <v>4266.2981776271181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529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530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1647.3225</v>
      </c>
      <c r="N17" s="277">
        <f t="shared" ref="N17:N24" si="3">+(G17*D17+H17)*V17</f>
        <v>396.61016949152526</v>
      </c>
      <c r="O17" s="239">
        <f t="shared" ref="O17:O24" si="4">(N17+M17)*$O$15</f>
        <v>10.219663347457626</v>
      </c>
      <c r="P17" s="311">
        <f t="shared" ref="P17:P24" si="5">M17+N17+O17</f>
        <v>2054.1523328389831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140</v>
      </c>
      <c r="I25" s="114">
        <f t="shared" si="7"/>
        <v>8555.4</v>
      </c>
      <c r="J25" s="274">
        <f>SUM(J16:J24)</f>
        <v>1539.9719999999998</v>
      </c>
      <c r="K25" s="275">
        <f t="shared" si="7"/>
        <v>299.43900000000002</v>
      </c>
      <c r="L25" s="276">
        <f t="shared" si="7"/>
        <v>0</v>
      </c>
      <c r="M25" s="232">
        <f t="shared" si="7"/>
        <v>6715.9889999999996</v>
      </c>
      <c r="N25" s="233">
        <f>SUM(N16:N24)</f>
        <v>1616.9491525423725</v>
      </c>
      <c r="O25" s="101">
        <f>SUM(O16:O24)</f>
        <v>41.664690762711864</v>
      </c>
      <c r="P25" s="113">
        <f>SUM(P16:P24)</f>
        <v>8374.6028433050851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8555.4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1539.9719999999998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299.43900000000002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6715.9889999999996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1616.9491525423725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8332.9381525423723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41.664690762711864</v>
      </c>
    </row>
    <row r="35" spans="2:16" ht="15.75" customHeight="1" thickBot="1" x14ac:dyDescent="0.4">
      <c r="N35" s="343" t="s">
        <v>88</v>
      </c>
      <c r="O35" s="344"/>
      <c r="P35" s="297">
        <f>+P33+P34</f>
        <v>8374.6028433050833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8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531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532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100</v>
      </c>
      <c r="I25" s="114">
        <f t="shared" si="7"/>
        <v>6456.9000000000005</v>
      </c>
      <c r="J25" s="274">
        <f>SUM(J16:J24)</f>
        <v>1162.2419999999997</v>
      </c>
      <c r="K25" s="275">
        <f t="shared" si="7"/>
        <v>225.99150000000003</v>
      </c>
      <c r="L25" s="276">
        <f t="shared" si="7"/>
        <v>0</v>
      </c>
      <c r="M25" s="232">
        <f t="shared" si="7"/>
        <v>5068.6664999999994</v>
      </c>
      <c r="N25" s="233">
        <f>SUM(N16:N24)</f>
        <v>1220.3389830508472</v>
      </c>
      <c r="O25" s="101">
        <f>SUM(O16:O24)</f>
        <v>31.445027415254238</v>
      </c>
      <c r="P25" s="113">
        <f>SUM(P16:P24)</f>
        <v>6320.4505104661012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6456.9000000000005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1162.2419999999997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225.99150000000003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5068.6665000000012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1220.3389830508472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6289.0054830508489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31.445027415254245</v>
      </c>
    </row>
    <row r="35" spans="2:16" ht="15.75" customHeight="1" thickBot="1" x14ac:dyDescent="0.4">
      <c r="N35" s="343" t="s">
        <v>88</v>
      </c>
      <c r="O35" s="344"/>
      <c r="P35" s="297">
        <f>+P33+P34</f>
        <v>6320.450510466103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10" workbookViewId="0">
      <selection activeCell="H16" sqref="H16:H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533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534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7"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535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536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8"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537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538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8" workbookViewId="0">
      <selection activeCell="I18" sqref="I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539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540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11" workbookViewId="0">
      <selection activeCell="H18" sqref="H18: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541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542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7" workbookViewId="0">
      <selection activeCell="I11" sqref="I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543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544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7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545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546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100</v>
      </c>
      <c r="I25" s="114">
        <f t="shared" si="7"/>
        <v>6456.9000000000005</v>
      </c>
      <c r="J25" s="274">
        <f>SUM(J16:J24)</f>
        <v>1162.2419999999997</v>
      </c>
      <c r="K25" s="275">
        <f t="shared" si="7"/>
        <v>225.99150000000003</v>
      </c>
      <c r="L25" s="276">
        <f t="shared" si="7"/>
        <v>0</v>
      </c>
      <c r="M25" s="232">
        <f t="shared" si="7"/>
        <v>5068.6664999999994</v>
      </c>
      <c r="N25" s="233">
        <f>SUM(N16:N24)</f>
        <v>1220.3389830508472</v>
      </c>
      <c r="O25" s="101">
        <f>SUM(O16:O24)</f>
        <v>31.445027415254238</v>
      </c>
      <c r="P25" s="113">
        <f>SUM(P16:P24)</f>
        <v>6320.4505104661012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6456.9000000000005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1162.2419999999997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225.99150000000003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5068.6665000000012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1220.3389830508472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6289.0054830508489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31.445027415254245</v>
      </c>
    </row>
    <row r="35" spans="2:16" ht="15.75" customHeight="1" thickBot="1" x14ac:dyDescent="0.4">
      <c r="N35" s="343" t="s">
        <v>88</v>
      </c>
      <c r="O35" s="344"/>
      <c r="P35" s="297">
        <f>+P33+P34</f>
        <v>6320.450510466103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8.75" customHeight="1" x14ac:dyDescent="0.4">
      <c r="A6" s="397" t="s">
        <v>501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46245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46244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2026-08-10T05:33:04Z</dcterms:modified>
</cp:coreProperties>
</file>