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F2A702-61DA-409C-9F95-2729B0075A7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<sst xmlns="http://schemas.openxmlformats.org/spreadsheetml/2006/main" count="3978" uniqueCount="531">
  <si>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</si>
  <si>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</si>
  <si>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</si>
  <si>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</si>
  <si>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</si>
  <si>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</si>
  <si>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</si>
  <si>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</si>
  <si>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</si>
  <si>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</si>
  <si>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</si>
  <si>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</si>
  <si>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</si>
  <si>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</si>
  <si>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</si>
  <si>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</si>
  <si>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</si>
  <si>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</si>
  <si>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</si>
  <si>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</si>
  <si>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</si>
  <si>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</si>
  <si>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</si>
  <si>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</si>
  <si>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</si>
  <si>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</si>
  <si>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</si>
  <si>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</si>
  <si>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</si>
  <si>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</si>
  <si>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</si>
  <si>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</si>
  <si>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</si>
  <si>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</si>
  <si>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</si>
  <si>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</si>
  <si>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</si>
  <si>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</si>
  <si>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</si>
  <si>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</si>
  <si>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</si>
  <si>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</si>
  <si>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</si>
  <si>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</si>
  <si>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</si>
  <si>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</si>
  <si>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</si>
  <si>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</si>
  <si>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</si>
  <si>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</si>
  <si>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</si>
  <si>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</si>
  <si>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</si>
  <si>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</si>
  <si>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</si>
  <si>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</si>
  <si>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</si>
  <si>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</si>
  <si>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</si>
  <si>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</si>
  <si>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</si>
  <si>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</si>
  <si>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</si>
  <si>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</si>
  <si>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</si>
  <si>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</si>
  <si>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</si>
  <si>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</si>
  <si>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</si>
  <si>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</si>
  <si>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</si>
  <si>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</si>
  <si>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</si>
  <si>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</si>
  <si>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</si>
  <si>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</si>
  <si>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</si>
  <si>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</si>
  <si>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</si>
  <si>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</si>
  <si>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</si>
  <si>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</si>
  <si>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</si>
  <si>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</si>
  <si>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</si>
  <si>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</si>
  <si>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</si>
  <si>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</si>
  <si>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</si>
  <si>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</si>
  <si>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</si>
  <si>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</si>
  <si>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</si>
  <si>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</si>
  <si>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</si>
  <si>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</si>
  <si>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</si>
  <si>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</si>
  <si>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</si>
  <si>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</si>
  <si>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</si>
  <si>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</si>
  <si>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</si>
  <si>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</si>
  <si>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</si>
  <si>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</si>
  <si>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</si>
  <si>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</si>
  <si>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</si>
  <si>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</si>
  <si>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</si>
  <si>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</si>
  <si>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</si>
  <si>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</si>
  <si>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</si>
  <si>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</si>
  <si>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</si>
  <si>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</si>
  <si>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</si>
  <si>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</si>
  <si>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</si>
  <si>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</si>
  <si>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</si>
  <si>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</si>
  <si>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</si>
  <si>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</si>
  <si>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</si>
  <si>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</si>
  <si>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</si>
  <si>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</si>
  <si>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</si>
  <si>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</si>
  <si>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</si>
  <si>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</si>
  <si>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</si>
  <si>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</si>
  <si>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</si>
  <si>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</si>
  <si>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</si>
  <si>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</si>
  <si>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</si>
  <si>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</si>
  <si>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</si>
  <si>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</si>
  <si>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</si>
  <si>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</si>
  <si>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</si>
  <si>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</si>
  <si>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</si>
  <si>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</si>
  <si>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</si>
  <si>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</si>
  <si>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</si>
  <si>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</si>
  <si>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</si>
  <si>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</si>
  <si>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</si>
  <si>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</si>
  <si>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</si>
  <si>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</si>
  <si>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</si>
  <si>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</si>
  <si>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</si>
  <si>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</si>
  <si>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</si>
  <si>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</si>
  <si>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</si>
  <si>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</si>
  <si>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</si>
  <si>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</si>
  <si>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</si>
  <si>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</si>
  <si>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</si>
  <si>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</si>
  <si>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</si>
  <si>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</si>
  <si>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</si>
  <si>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</si>
  <si>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</si>
  <si>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</si>
  <si>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</si>
  <si>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</si>
  <si>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</si>
  <si>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</si>
  <si>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</si>
  <si>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</si>
  <si>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</si>
  <si>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</si>
  <si>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</si>
  <si>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</si>
  <si>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</si>
  <si>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</si>
  <si>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</si>
  <si>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</si>
  <si>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</si>
  <si>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</si>
  <si>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</si>
  <si>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</si>
  <si>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</si>
  <si>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</si>
  <si>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</si>
  <si>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</si>
  <si>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</si>
  <si>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</si>
  <si>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</si>
  <si>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</si>
  <si>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</si>
  <si>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</si>
  <si>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</si>
  <si>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</si>
  <si>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</si>
  <si>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</si>
  <si>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</si>
  <si>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</si>
  <si>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</si>
  <si>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</si>
  <si>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</si>
  <si>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</si>
  <si>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</si>
  <si>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</si>
  <si>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</si>
  <si>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</si>
  <si>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</si>
  <si>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</si>
  <si>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</si>
  <si>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</si>
  <si>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</si>
  <si>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</si>
  <si>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</si>
  <si>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</si>
  <si>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</si>
  <si>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</si>
  <si>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</si>
  <si>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</si>
  <si>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</si>
  <si>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</si>
  <si>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</si>
  <si>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</si>
  <si>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</si>
  <si>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</si>
  <si>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</si>
  <si>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</si>
  <si>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</si>
  <si>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</si>
  <si>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</si>
  <si>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</si>
  <si>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</si>
  <si>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</si>
  <si>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</si>
  <si>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</si>
  <si>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</si>
  <si>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</si>
  <si>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</si>
  <si>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</si>
  <si>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</si>
  <si>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</si>
  <si>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</si>
  <si>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</si>
  <si>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</si>
  <si>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</si>
  <si>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</si>
  <si>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</si>
  <si>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</si>
  <si>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</si>
  <si>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</si>
  <si>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</si>
  <si>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</si>
  <si>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</si>
  <si>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</si>
  <si>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</si>
  <si>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</si>
  <si>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</si>
  <si>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</si>
  <si>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</si>
  <si>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</si>
  <si>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</si>
  <si>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</si>
  <si>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</si>
  <si>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</si>
  <si>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</si>
  <si>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</si>
  <si>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</si>
  <si>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</si>
  <si>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</si>
  <si>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</si>
  <si>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</si>
  <si>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</si>
  <si>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</si>
  <si>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</si>
  <si>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</si>
  <si>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</si>
  <si>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</si>
  <si>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</si>
  <si>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</si>
  <si>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</si>
  <si>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</si>
  <si>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</si>
  <si>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</si>
  <si>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</si>
  <si>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</si>
  <si>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</si>
  <si>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</si>
  <si>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</si>
  <si>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</si>
  <si>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</si>
  <si>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</si>
  <si>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</si>
  <si>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</si>
  <si>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</si>
  <si>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</si>
  <si>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</si>
  <si>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</si>
  <si>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</si>
  <si>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</si>
  <si>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</si>
  <si>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</si>
  <si>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</si>
  <si>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</si>
  <si>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</si>
  <si>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</si>
  <si>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</si>
  <si>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</si>
  <si>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</si>
  <si>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</si>
  <si>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</si>
  <si>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</si>
  <si>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</si>
  <si>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</si>
  <si>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</si>
  <si>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</si>
  <si>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</si>
  <si>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</si>
  <si>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</si>
  <si>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</si>
  <si>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</si>
  <si>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</si>
  <si>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</si>
  <si>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</si>
  <si>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</si>
  <si>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</si>
  <si>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</si>
  <si>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</si>
  <si>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</si>
  <si>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</si>
  <si>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</si>
  <si>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</si>
  <si>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</si>
  <si>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</si>
  <si>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</si>
  <si>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</si>
  <si>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</si>
  <si>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</si>
  <si>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</si>
  <si>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</si>
  <si>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</si>
  <si>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</si>
  <si>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</si>
  <si>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</si>
  <si>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</si>
  <si>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</si>
  <si>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</si>
  <si>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</si>
  <si>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</si>
  <si>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</si>
  <si>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</si>
  <si>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</si>
  <si>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</si>
  <si>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</si>
  <si>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</si>
  <si>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</si>
  <si>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</si>
  <si>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</si>
  <si>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</si>
  <si>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</si>
  <si>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</si>
  <si>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</si>
  <si>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</si>
  <si>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</si>
  <si>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</si>
  <si>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</si>
  <si>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</si>
  <si>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</si>
  <si>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</si>
  <si>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</si>
  <si>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</si>
  <si>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</si>
  <si>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</si>
  <si>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</si>
  <si>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</si>
  <si>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</si>
  <si>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</si>
  <si>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</si>
  <si>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</si>
  <si>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</si>
  <si>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</si>
  <si>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</si>
  <si>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</si>
  <si>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</si>
  <si>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</si>
  <si>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</si>
  <si>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</si>
  <si>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</si>
  <si>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</si>
  <si>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</si>
  <si>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</si>
  <si>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</si>
  <si>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</si>
  <si>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</si>
  <si>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</si>
  <si>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</si>
  <si>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</si>
  <si>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</si>
  <si>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</si>
  <si>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</si>
  <si>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</si>
  <si>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</si>
  <si>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</si>
  <si>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</si>
  <si>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</si>
  <si>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</si>
  <si>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</si>
  <si>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</si>
  <si>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</si>
  <si>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</si>
  <si>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</si>
  <si>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</si>
  <si>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</si>
  <si>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</si>
  <si>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</si>
  <si>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</si>
  <si>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</si>
  <si>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</si>
  <si>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</si>
  <si>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</si>
  <si>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</si>
  <si>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</si>
  <si>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</si>
  <si>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</si>
  <si>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</si>
  <si>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</si>
  <si>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</si>
  <si>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</si>
  <si>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</si>
  <si>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</si>
  <si>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</si>
  <si>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</si>
  <si>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</si>
  <si>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</si>
  <si>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</si>
  <si>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</si>
  <si>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</si>
  <si>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</si>
  <si>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</si>
  <si>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</si>
  <si>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</si>
  <si>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</si>
  <si>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</si>
  <si>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</si>
  <si>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</si>
  <si>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</si>
  <si>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</si>
  <si>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</si>
  <si>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</si>
  <si>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</si>
  <si>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</si>
  <si>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</si>
  <si>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</si>
  <si>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</si>
  <si>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</si>
  <si>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</si>
  <si>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</si>
  <si>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</si>
  <si>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</si>
  <si>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</si>
  <si>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</si>
  <si>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</si>
  <si>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</si>
  <si>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</si>
  <si>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</si>
  <si>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</si>
  <si>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</si>
  <si>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</si>
  <si>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</si>
  <si>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</si>
  <si>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</si>
  <si>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</si>
  <si>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</si>
  <si>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</si>
  <si>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</si>
  <si>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</si>
  <si>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</si>
  <si>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</si>
  <si>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</si>
  <si>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</si>
  <si>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</si>
  <si>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</si>
  <si>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</si>
  <si>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</si>
  <si>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</si>
  <si>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</si>
  <si>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</si>
  <si>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</si>
  <si>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</si>
  <si>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</si>
  <si>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</si>
  <si>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</si>
  <si>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</si>
  <si>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</si>
  <si>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</si>
  <si>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</si>
  <si>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</si>
  <si>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</si>
  <si>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</si>
  <si>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</si>
  <si>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</si>
  <si>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Zeshan </t>
  </si>
  <si>
    <t>khan Store</t>
  </si>
  <si>
    <t>Address: Gulshan Colony</t>
  </si>
  <si>
    <t>Moon Store</t>
  </si>
  <si>
    <t>Awan store</t>
  </si>
  <si>
    <t>Bilal Store</t>
  </si>
  <si>
    <t>Manter Store</t>
  </si>
  <si>
    <t xml:space="preserve">Bin Hadi </t>
  </si>
  <si>
    <t xml:space="preserve">HR Mart </t>
  </si>
  <si>
    <t xml:space="preserve">Shery Mart </t>
  </si>
  <si>
    <t>Arslan Store</t>
  </si>
  <si>
    <t>Madina Store</t>
  </si>
  <si>
    <t>Baber Store</t>
  </si>
  <si>
    <t>Euro Store</t>
  </si>
  <si>
    <t>D Mart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</si>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</sst>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C32" sqref="C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khan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Moon Store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Awan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Bilal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Manter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311">
        <f t="shared" ref="P8:P15" si="2">M8+N8+O8</f>
        <v>3397.5773742584738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Bin Hadi </v>
      </c>
      <c r="T8" s="301">
        <f>+'6'!P35</f>
        <v>1201.3473746440677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HR Mart 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117</v>
      </c>
      <c r="I10" s="236">
        <f t="shared" si="0"/>
        <v>8498.8799999999992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679.91039999999998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297.46080000000006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7521.5087999999996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1606.2711864406779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45.638899932203394</v>
      </c>
      <c r="P10" s="311">
        <f t="shared" si="2"/>
        <v>9173.4188863728796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Shery Mart 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106</v>
      </c>
      <c r="I11" s="236">
        <f t="shared" si="0"/>
        <v>7699.84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615.98720000000003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269.49440000000004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6814.3584000000001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1455.2542372881358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41.348063186440683</v>
      </c>
      <c r="P11" s="311">
        <f t="shared" si="2"/>
        <v>8310.9607004745758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Arslan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297</v>
      </c>
      <c r="I12" s="236">
        <f t="shared" si="0"/>
        <v>21574.080000000002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1725.9264000000001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755.09280000000012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19093.060800000003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4077.4576271186443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115.85259213559323</v>
      </c>
      <c r="P12" s="311">
        <f t="shared" si="2"/>
        <v>23286.371019254242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Madina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142</v>
      </c>
      <c r="I13" s="236">
        <f t="shared" si="0"/>
        <v>5570.6600000000008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278.53300000000007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194.97310000000004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284.10365999999999</v>
      </c>
      <c r="M13" s="230">
        <f t="shared" si="1"/>
        <v>4813.0502400000005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1083.0508474576263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29.480505437288137</v>
      </c>
      <c r="P13" s="311">
        <f t="shared" si="2"/>
        <v>5925.581592894915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Baber Store</v>
      </c>
      <c r="T13" s="301">
        <f>+'11'!P35</f>
        <v>7070.4410814152552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</v>
      </c>
      <c r="T14" s="301">
        <f>+'12'!P35</f>
        <v>5401.2631679237293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D Mart</v>
      </c>
      <c r="T15" s="301">
        <f>+'13'!P35</f>
        <v>15681.057925423729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18.55</v>
      </c>
      <c r="H16" s="113">
        <f t="shared" ref="H16:M16" si="3">SUM(H7:H15)</f>
        <v>742</v>
      </c>
      <c r="I16" s="114">
        <f t="shared" si="3"/>
        <v>47540.460000000006</v>
      </c>
      <c r="J16" s="274">
        <f>SUM(J7:J15)</f>
        <v>3636.1169999999997</v>
      </c>
      <c r="K16" s="275">
        <f t="shared" si="3"/>
        <v>1663.9161000000004</v>
      </c>
      <c r="L16" s="276">
        <f t="shared" si="3"/>
        <v>284.10365999999999</v>
      </c>
      <c r="M16" s="232">
        <f t="shared" si="3"/>
        <v>41956.323239999998</v>
      </c>
      <c r="N16" s="233">
        <f>SUM(N7:N15)</f>
        <v>9015.2542372881362</v>
      </c>
      <c r="O16" s="101">
        <f>SUM(O7:O15)</f>
        <v>254.85788738644069</v>
      </c>
      <c r="P16" s="113">
        <f>SUM(P7:P15)</f>
        <v>51226.43536467458</v>
      </c>
      <c r="Q16" s="128">
        <f>SUM(Q7:Q15)</f>
        <v>0</v>
      </c>
      <c r="R16" s="314">
        <v>14</v>
      </c>
      <c r="S16" s="300" t="str">
        <f>+'14'!A6:A6</f>
        <v xml:space="preserve">Urban Mart </v>
      </c>
      <c r="T16" s="301">
        <f>+'14'!P35</f>
        <v>14714.777627877966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47540.460000000006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3636.1169999999997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1948.0197600000004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41956.323240000005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9015.2542372881362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50971.577477288141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254.85788738644069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51226.43536467458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51226.43536467458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113">
        <f>SUM(P16:P24)</f>
        <v>2352.1586888135594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2179.1999999999998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174.33600000000001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76.272000000000006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1928.5919999999999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2340.4564067796609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2" t="s">
        <v>88</v>
      </c>
      <c r="O35" s="343"/>
      <c r="P35" s="297">
        <f>+P33+P34</f>
        <v>2352.1586888135594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1118.7</v>
      </c>
      <c r="J25" s="274">
        <f>SUM(J16:J24)</f>
        <v>77.727000000000004</v>
      </c>
      <c r="K25" s="275">
        <f t="shared" si="7"/>
        <v>39.154500000000006</v>
      </c>
      <c r="L25" s="276">
        <f t="shared" si="7"/>
        <v>20.007300000000001</v>
      </c>
      <c r="M25" s="232">
        <f t="shared" si="7"/>
        <v>981.8112000000001</v>
      </c>
      <c r="N25" s="233">
        <f>SUM(N16:N24)</f>
        <v>213.55932203389827</v>
      </c>
      <c r="O25" s="101">
        <f>SUM(O16:O24)</f>
        <v>5.9768526101694919</v>
      </c>
      <c r="P25" s="113">
        <f>SUM(P16:P24)</f>
        <v>1201.3473746440677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1118.7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77.727000000000004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59.161800000000007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981.81119999999999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213.55932203389827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1195.3705220338982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5.976852610169491</v>
      </c>
    </row>
    <row r="35" spans="2:16" ht="15.75" customHeight="1" thickBot="1" x14ac:dyDescent="0.4">
      <c r="N35" s="342" t="s">
        <v>88</v>
      </c>
      <c r="O35" s="343"/>
      <c r="P35" s="297">
        <f>+P33+P34</f>
        <v>1201.3473746440677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6573.3000000000011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5784.417300000001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7070.4410814152552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400.32799999999997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4428.6285000000007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5374.3912118644075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697.34399999999994</v>
      </c>
      <c r="K21" s="128">
        <f t="shared" si="1"/>
        <v>305.08800000000002</v>
      </c>
      <c r="L21" s="119">
        <f t="shared" si="1"/>
        <v>0</v>
      </c>
      <c r="M21" s="230">
        <f t="shared" si="2"/>
        <v>7714.3679999999995</v>
      </c>
      <c r="N21" s="277">
        <f t="shared" si="3"/>
        <v>1647.4576271186443</v>
      </c>
      <c r="O21" s="239">
        <f t="shared" si="4"/>
        <v>46.80912813559322</v>
      </c>
      <c r="P21" s="311">
        <f t="shared" si="5"/>
        <v>9408.6347552542375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12857.279999999999</v>
      </c>
      <c r="N25" s="233">
        <f>SUM(N16:N24)</f>
        <v>2745.7627118644068</v>
      </c>
      <c r="O25" s="101">
        <f>SUM(O16:O24)</f>
        <v>78.015213559322035</v>
      </c>
      <c r="P25" s="113">
        <f>SUM(P16:P24)</f>
        <v>15681.057925423729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1162.24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508.48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12857.28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15603.042711864407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42" t="s">
        <v>88</v>
      </c>
      <c r="O35" s="343"/>
      <c r="P35" s="297">
        <f>+P33+P34</f>
        <v>15681.057925423729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52</v>
      </c>
      <c r="I22" s="236">
        <f t="shared" si="0"/>
        <v>2039.9600000000003</v>
      </c>
      <c r="J22" s="272">
        <f t="shared" si="1"/>
        <v>101.99800000000002</v>
      </c>
      <c r="K22" s="128">
        <f t="shared" si="1"/>
        <v>71.398600000000016</v>
      </c>
      <c r="L22" s="119">
        <f t="shared" si="1"/>
        <v>104.03796000000001</v>
      </c>
      <c r="M22" s="230">
        <f t="shared" si="2"/>
        <v>1762.5254400000003</v>
      </c>
      <c r="N22" s="277">
        <f t="shared" si="3"/>
        <v>396.6101694915252</v>
      </c>
      <c r="O22" s="239">
        <f t="shared" si="4"/>
        <v>10.795678047457628</v>
      </c>
      <c r="P22" s="311">
        <f t="shared" si="5"/>
        <v>2169.9312875389833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212</v>
      </c>
      <c r="I25" s="114">
        <f t="shared" si="7"/>
        <v>13662.36</v>
      </c>
      <c r="J25" s="274">
        <f>SUM(J16:J24)</f>
        <v>1031.79</v>
      </c>
      <c r="K25" s="275">
        <f t="shared" si="7"/>
        <v>478.18260000000009</v>
      </c>
      <c r="L25" s="276">
        <f t="shared" si="7"/>
        <v>104.03796000000001</v>
      </c>
      <c r="M25" s="232">
        <f t="shared" si="7"/>
        <v>12048.349440000002</v>
      </c>
      <c r="N25" s="233">
        <f>SUM(N16:N24)</f>
        <v>2593.2203389830506</v>
      </c>
      <c r="O25" s="101">
        <f>SUM(O16:O24)</f>
        <v>73.207848894915259</v>
      </c>
      <c r="P25" s="113">
        <f>SUM(P16:P24)</f>
        <v>14714.777627877967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13662.36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1031.79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582.22056000000009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12048.34944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2593.2203389830506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14641.56977898305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73.207848894915259</v>
      </c>
    </row>
    <row r="35" spans="2:16" ht="15.75" customHeight="1" thickBot="1" x14ac:dyDescent="0.4">
      <c r="N35" s="342" t="s">
        <v>88</v>
      </c>
      <c r="O35" s="343"/>
      <c r="P35" s="297">
        <f>+P33+P34</f>
        <v>14714.777627877966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2" sqref="B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2026-08-06T11:29:35Z</dcterms:modified>
</cp:coreProperties>
</file>