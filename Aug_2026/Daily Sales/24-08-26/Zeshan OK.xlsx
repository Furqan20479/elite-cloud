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2A68818-8EB8-4FDA-9266-703D93A6357F}" xr6:coauthVersionLast="47" xr6:coauthVersionMax="47" xr10:uidLastSave="{00000000-0000-0000-0000-000000000000}"/>
  <bookViews>
    <workbookView xWindow="-110" yWindow="-110" windowWidth="19420" windowHeight="10420" tabRatio="80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M22" i="56" s="1"/>
  <c r="O22" i="56" s="1"/>
  <c r="P22" i="56" s="1"/>
  <c r="L22" i="56"/>
  <c r="K22" i="56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69" l="1"/>
  <c r="O21" i="69" s="1"/>
  <c r="P21" i="69" s="1"/>
  <c r="M17" i="61"/>
  <c r="O17" i="61" s="1"/>
  <c r="P17" i="61" s="1"/>
  <c r="M16" i="60"/>
  <c r="M16" i="58"/>
  <c r="O16" i="58" s="1"/>
  <c r="P16" i="58" s="1"/>
  <c r="M16" i="59"/>
  <c r="O16" i="59" s="1"/>
  <c r="P16" i="59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<sst xmlns="http://schemas.openxmlformats.org/spreadsheetml/2006/main" count="3978" uniqueCount="542">
  <si>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</si>
  <si>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</si>
  <si>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</si>
  <si>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</si>
  <si>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</si>
  <si>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</si>
  <si>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</si>
  <si>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</si>
  <si>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</si>
  <si>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</si>
  <si>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</si>
  <si>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</si>
  <si>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</si>
  <si>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</si>
  <si>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</si>
  <si>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</si>
  <si>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</si>
  <si>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</si>
  <si>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</si>
  <si>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</si>
  <si>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</si>
  <si>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</si>
  <si>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</si>
  <si>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</si>
  <si>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</si>
  <si>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</si>
  <si>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</si>
  <si>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</si>
  <si>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</si>
  <si>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</si>
  <si>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</si>
  <si>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</si>
  <si>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</si>
  <si>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</si>
  <si>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</si>
  <si>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</si>
  <si>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</si>
  <si>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</si>
  <si>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</si>
  <si>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</si>
  <si>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</si>
  <si>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</si>
  <si>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</si>
  <si>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</si>
  <si>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</si>
  <si>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</si>
  <si>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</si>
  <si>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</si>
  <si>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</si>
  <si>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</si>
  <si>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</si>
  <si>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</si>
  <si>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</si>
  <si>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</si>
  <si>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</si>
  <si>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</si>
  <si>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</si>
  <si>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</si>
  <si>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</si>
  <si>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</si>
  <si>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</si>
  <si>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</si>
  <si>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</si>
  <si>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</si>
  <si>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</si>
  <si>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</si>
  <si>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</si>
  <si>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</si>
  <si>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</si>
  <si>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</si>
  <si>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</si>
  <si>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</si>
  <si>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</si>
  <si>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</si>
  <si>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</si>
  <si>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</si>
  <si>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</si>
  <si>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</si>
  <si>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</si>
  <si>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</si>
  <si>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</si>
  <si>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</si>
  <si>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</si>
  <si>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</si>
  <si>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</si>
  <si>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</si>
  <si>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</si>
  <si>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</si>
  <si>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</si>
  <si>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</si>
  <si>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</si>
  <si>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</si>
  <si>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</si>
  <si>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</si>
  <si>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</si>
  <si>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</si>
  <si>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</si>
  <si>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</si>
  <si>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</si>
  <si>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</si>
  <si>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</si>
  <si>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</si>
  <si>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</si>
  <si>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</si>
  <si>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</si>
  <si>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</si>
  <si>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</si>
  <si>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</si>
  <si>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</si>
  <si>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</si>
  <si>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</si>
  <si>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</si>
  <si>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</si>
  <si>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</si>
  <si>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</si>
  <si>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</si>
  <si>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</si>
  <si>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</si>
  <si>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</si>
  <si>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</si>
  <si>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</si>
  <si>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</si>
  <si>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</si>
  <si>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</si>
  <si>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</si>
  <si>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</si>
  <si>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</si>
  <si>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</si>
  <si>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</si>
  <si>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</si>
  <si>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</si>
  <si>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</si>
  <si>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</si>
  <si>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</si>
  <si>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</si>
  <si>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</si>
  <si>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</si>
  <si>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</si>
  <si>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</si>
  <si>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</si>
  <si>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</si>
  <si>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</si>
  <si>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</si>
  <si>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</si>
  <si>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</si>
  <si>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</si>
  <si>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</si>
  <si>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</si>
  <si>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</si>
  <si>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</si>
  <si>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</si>
  <si>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</si>
  <si>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</si>
  <si>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</si>
  <si>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</si>
  <si>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</si>
  <si>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</si>
  <si>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</si>
  <si>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</si>
  <si>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</si>
  <si>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</si>
  <si>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</si>
  <si>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</si>
  <si>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</si>
  <si>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</si>
  <si>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</si>
  <si>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</si>
  <si>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</si>
  <si>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</si>
  <si>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</si>
  <si>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</si>
  <si>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</si>
  <si>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</si>
  <si>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</si>
  <si>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</si>
  <si>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</si>
  <si>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</si>
  <si>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</si>
  <si>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</si>
  <si>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</si>
  <si>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</si>
  <si>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</si>
  <si>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</si>
  <si>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</si>
  <si>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</si>
  <si>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</si>
  <si>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</si>
  <si>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</si>
  <si>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</si>
  <si>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</si>
  <si>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</si>
  <si>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</si>
  <si>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</si>
  <si>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</si>
  <si>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</si>
  <si>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</si>
  <si>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</si>
  <si>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</si>
  <si>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</si>
  <si>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</si>
  <si>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</si>
  <si>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</si>
  <si>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</si>
  <si>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</si>
  <si>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</si>
  <si>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</si>
  <si>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</si>
  <si>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</si>
  <si>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</si>
  <si>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</si>
  <si>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</si>
  <si>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</si>
  <si>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</si>
  <si>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</si>
  <si>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</si>
  <si>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</si>
  <si>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</si>
  <si>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</si>
  <si>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</si>
  <si>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</si>
  <si>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</si>
  <si>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</si>
  <si>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</si>
  <si>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</si>
  <si>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</si>
  <si>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</si>
  <si>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</si>
  <si>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</si>
  <si>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</si>
  <si>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</si>
  <si>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</si>
  <si>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</si>
  <si>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</si>
  <si>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</si>
  <si>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</si>
  <si>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</si>
  <si>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</si>
  <si>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</si>
  <si>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</si>
  <si>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</si>
  <si>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</si>
  <si>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</si>
  <si>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</si>
  <si>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</si>
  <si>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</si>
  <si>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</si>
  <si>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</si>
  <si>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</si>
  <si>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</si>
  <si>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</si>
  <si>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</si>
  <si>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</si>
  <si>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</si>
  <si>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</si>
  <si>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</si>
  <si>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</si>
  <si>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</si>
  <si>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</si>
  <si>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</si>
  <si>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</si>
  <si>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</si>
  <si>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</si>
  <si>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</si>
  <si>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</si>
  <si>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</si>
  <si>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</si>
  <si>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</si>
  <si>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</si>
  <si>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</si>
  <si>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</si>
  <si>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</si>
  <si>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</si>
  <si>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</si>
  <si>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</si>
  <si>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</si>
  <si>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</si>
  <si>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</si>
  <si>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</si>
  <si>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</si>
  <si>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</si>
  <si>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</si>
  <si>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</si>
  <si>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</si>
  <si>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</si>
  <si>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</si>
  <si>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</si>
  <si>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</si>
  <si>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</si>
  <si>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</si>
  <si>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</si>
  <si>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</si>
  <si>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</si>
  <si>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</si>
  <si>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</si>
  <si>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</si>
  <si>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</si>
  <si>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</si>
  <si>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</si>
  <si>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</si>
  <si>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</si>
  <si>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</si>
  <si>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</si>
  <si>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</si>
  <si>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</si>
  <si>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</si>
  <si>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</si>
  <si>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</si>
  <si>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</si>
  <si>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</si>
  <si>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</si>
  <si>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</si>
  <si>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</si>
  <si>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</si>
  <si>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</si>
  <si>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</si>
  <si>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</si>
  <si>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</si>
  <si>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</si>
  <si>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</si>
  <si>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</si>
  <si>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</si>
  <si>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</si>
  <si>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</si>
  <si>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</si>
  <si>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</si>
  <si>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</si>
  <si>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</si>
  <si>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</si>
  <si>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</si>
  <si>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</si>
  <si>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</si>
  <si>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</si>
  <si>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</si>
  <si>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</si>
  <si>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</si>
  <si>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</si>
  <si>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</si>
  <si>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</si>
  <si>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</si>
  <si>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</si>
  <si>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</si>
  <si>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</si>
  <si>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</si>
  <si>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</si>
  <si>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</si>
  <si>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</si>
  <si>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</si>
  <si>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</si>
  <si>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</si>
  <si>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</si>
  <si>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</si>
  <si>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</si>
  <si>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</si>
  <si>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</si>
  <si>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</si>
  <si>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</si>
  <si>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</si>
  <si>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</si>
  <si>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</si>
  <si>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</si>
  <si>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</si>
  <si>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</si>
  <si>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</si>
  <si>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</si>
  <si>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</si>
  <si>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</si>
  <si>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</si>
  <si>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</si>
  <si>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</si>
  <si>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</si>
  <si>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</si>
  <si>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</si>
  <si>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</si>
  <si>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</si>
  <si>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</si>
  <si>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</si>
  <si>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</si>
  <si>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</si>
  <si>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</si>
  <si>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</si>
  <si>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</si>
  <si>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</si>
  <si>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</si>
  <si>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</si>
  <si>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</si>
  <si>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</si>
  <si>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</si>
  <si>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</si>
  <si>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</si>
  <si>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</si>
  <si>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</si>
  <si>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</si>
  <si>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</si>
  <si>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</si>
  <si>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</si>
  <si>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</si>
  <si>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</si>
  <si>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</si>
  <si>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</si>
  <si>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</si>
  <si>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</si>
  <si>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</si>
  <si>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</si>
  <si>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</si>
  <si>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</si>
  <si>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</si>
  <si>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</si>
  <si>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</si>
  <si>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</si>
  <si>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</si>
  <si>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</si>
  <si>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</si>
  <si>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</si>
  <si>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</si>
  <si>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</si>
  <si>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</si>
  <si>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</si>
  <si>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</si>
  <si>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</si>
  <si>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</si>
  <si>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</si>
  <si>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</si>
  <si>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</si>
  <si>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</si>
  <si>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</si>
  <si>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</si>
  <si>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</si>
  <si>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</si>
  <si>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</si>
  <si>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</si>
  <si>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</si>
  <si>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</si>
  <si>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</si>
  <si>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</si>
  <si>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</si>
  <si>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</si>
  <si>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</si>
  <si>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</si>
  <si>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</si>
  <si>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</si>
  <si>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</si>
  <si>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</si>
  <si>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</si>
  <si>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</si>
  <si>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</si>
  <si>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</si>
  <si>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</si>
  <si>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</si>
  <si>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</si>
  <si>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</si>
  <si>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</si>
  <si>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</si>
  <si>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</si>
  <si>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</si>
  <si>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</si>
  <si>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</si>
  <si>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</si>
  <si>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</si>
  <si>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</si>
  <si>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</si>
  <si>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</si>
  <si>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</si>
  <si>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</si>
  <si>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</si>
  <si>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</si>
  <si>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</si>
  <si>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</si>
  <si>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</si>
  <si>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</si>
  <si>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</si>
  <si>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</si>
  <si>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</si>
  <si>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</si>
  <si>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</si>
  <si>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</si>
  <si>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</si>
  <si>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</si>
  <si>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</si>
  <si>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</si>
  <si>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</si>
  <si>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</si>
  <si>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</si>
  <si>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</si>
  <si>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</si>
  <si>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</si>
  <si>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</si>
  <si>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</si>
  <si>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</si>
  <si>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</si>
  <si>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</si>
  <si>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</si>
  <si>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</si>
  <si>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</si>
  <si>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</si>
  <si>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</si>
  <si>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</si>
  <si>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</si>
  <si>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</si>
  <si>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</si>
  <si>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</si>
  <si>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</si>
  <si>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</si>
  <si>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</si>
  <si>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</si>
  <si>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</si>
  <si>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</si>
  <si>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</si>
  <si>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</si>
  <si>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</si>
  <si>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</si>
  <si>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</si>
  <si>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</si>
  <si>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</si>
  <si>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Zeshan </t>
  </si>
  <si>
    <t>Address: Badian Road</t>
  </si>
  <si>
    <t>Toheed Store</t>
  </si>
  <si>
    <t>G.M Store</t>
  </si>
  <si>
    <t>Fakhir Store</t>
  </si>
  <si>
    <t>Mian Store</t>
  </si>
  <si>
    <t>Saleem Store</t>
  </si>
  <si>
    <t>Ch Store</t>
  </si>
  <si>
    <t>Malik Store</t>
  </si>
  <si>
    <t xml:space="preserve">Khalil Bakers </t>
  </si>
  <si>
    <t>Ms Store</t>
  </si>
  <si>
    <t>Yaseen Store</t>
  </si>
  <si>
    <t>786 Store</t>
  </si>
  <si>
    <t>Nadeem Store</t>
  </si>
  <si>
    <t>Irfan Store</t>
  </si>
  <si>
    <t>SM Store</t>
  </si>
  <si>
    <t>Faizan Store</t>
  </si>
  <si>
    <t xml:space="preserve">Adeel Pharmacy </t>
  </si>
  <si>
    <t>Imran Store</t>
  </si>
  <si>
    <t>Saeed Store</t>
  </si>
  <si>
    <t>Usman Store</t>
  </si>
  <si>
    <t>Ghose Store</t>
  </si>
  <si>
    <t>Ahmad Store</t>
  </si>
  <si>
    <t>Madina Store</t>
  </si>
  <si>
    <t>Al Barkat Store</t>
  </si>
  <si>
    <t>Daim Store</t>
  </si>
  <si>
    <t>Khan Store</t>
  </si>
  <si>
    <t xml:space="preserve">Hikers </t>
  </si>
  <si>
    <t xml:space="preserve">Hadi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</si>
</sst>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9" workbookViewId="0">
      <selection activeCell="I13" sqref="I1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4" t="s">
        <v>91</v>
      </c>
      <c r="B2" s="394"/>
      <c r="C2" s="394"/>
      <c r="E2" s="386" t="s">
        <v>499</v>
      </c>
      <c r="F2" s="387"/>
      <c r="G2" s="387"/>
      <c r="H2" s="384" t="s">
        <v>513</v>
      </c>
      <c r="I2" s="384"/>
      <c r="J2" s="385"/>
      <c r="R2" s="381" t="s">
        <v>498</v>
      </c>
      <c r="S2" s="382"/>
      <c r="T2" s="383"/>
    </row>
    <row r="3" spans="1:20 16377:16378" ht="21.75" customHeight="1" thickBot="1" x14ac:dyDescent="0.4">
      <c r="A3" s="395" t="s">
        <v>92</v>
      </c>
      <c r="B3" s="395"/>
      <c r="C3" s="395"/>
      <c r="E3" s="390" t="s">
        <v>509</v>
      </c>
      <c r="F3" s="391"/>
      <c r="G3" s="391"/>
      <c r="H3" s="388">
        <f ca="1">TODAY()</f>
        <v>46258</v>
      </c>
      <c r="I3" s="388"/>
      <c r="J3" s="389"/>
      <c r="K3" s="396" t="s">
        <v>43</v>
      </c>
      <c r="L3" s="396"/>
      <c r="M3" s="396"/>
      <c r="N3" s="395"/>
      <c r="O3" s="395"/>
      <c r="P3" s="395"/>
      <c r="R3" s="299">
        <v>1</v>
      </c>
      <c r="S3" s="300" t="str">
        <f>+'1'!A6:A6</f>
        <v>Toheed Store</v>
      </c>
      <c r="T3" s="301">
        <f>+'1'!P35</f>
        <v>10150.026376929023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G.M Store</v>
      </c>
      <c r="T4" s="301">
        <f>+'2'!P35</f>
        <v>6272.4231701694916</v>
      </c>
      <c r="XEX4" t="s">
        <v>105</v>
      </c>
    </row>
    <row r="5" spans="1:20 16377:16378" ht="21.75" customHeight="1" thickBot="1" x14ac:dyDescent="0.4">
      <c r="A5" s="346" t="s">
        <v>51</v>
      </c>
      <c r="B5" s="347"/>
      <c r="C5" s="350" t="s">
        <v>90</v>
      </c>
      <c r="D5" s="115" t="s">
        <v>52</v>
      </c>
      <c r="E5" s="352" t="s">
        <v>58</v>
      </c>
      <c r="F5" s="353"/>
      <c r="G5" s="354" t="s">
        <v>54</v>
      </c>
      <c r="H5" s="355"/>
      <c r="I5" s="356" t="s">
        <v>77</v>
      </c>
      <c r="J5" s="393" t="s">
        <v>55</v>
      </c>
      <c r="K5" s="354"/>
      <c r="L5" s="355"/>
      <c r="M5" s="347" t="s">
        <v>84</v>
      </c>
      <c r="N5" s="392" t="s">
        <v>495</v>
      </c>
      <c r="O5" s="103" t="s">
        <v>89</v>
      </c>
      <c r="P5" s="115" t="s">
        <v>56</v>
      </c>
      <c r="Q5" s="315" t="s">
        <v>508</v>
      </c>
      <c r="R5" s="314">
        <v>3</v>
      </c>
      <c r="S5" s="300" t="str">
        <f>+'3'!A6:A6</f>
        <v>Fakhir Store</v>
      </c>
      <c r="T5" s="301">
        <f>+'3'!P35</f>
        <v>784.05289627118646</v>
      </c>
      <c r="XEX5" t="s">
        <v>106</v>
      </c>
    </row>
    <row r="6" spans="1:20 16377:16378" ht="21.75" customHeight="1" thickBot="1" x14ac:dyDescent="0.4">
      <c r="A6" s="348"/>
      <c r="B6" s="349"/>
      <c r="C6" s="35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7"/>
      <c r="J6" s="143" t="s">
        <v>59</v>
      </c>
      <c r="K6" s="144" t="s">
        <v>39</v>
      </c>
      <c r="L6" s="145" t="s">
        <v>493</v>
      </c>
      <c r="M6" s="349"/>
      <c r="N6" s="357"/>
      <c r="O6" s="228" t="e">
        <f>IF(#REF!="Filer",0.5%,2.5%)</f>
        <v>#REF!</v>
      </c>
      <c r="P6" s="111" t="s">
        <v>38</v>
      </c>
      <c r="Q6" s="315" t="s">
        <v>507</v>
      </c>
      <c r="R6" s="314">
        <v>4</v>
      </c>
      <c r="S6" s="300" t="str">
        <f>+'4'!A6:A6</f>
        <v>Mian Store</v>
      </c>
      <c r="T6" s="301">
        <f>+'4'!P35</f>
        <v>784.05289627118646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39</v>
      </c>
      <c r="I7" s="235">
        <f>(G7*D7)*F7+H7*F7</f>
        <v>2046.0374999999999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163.68299999999999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71.611312499999997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1810.7431875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386.69491525423712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10.987190513771186</v>
      </c>
      <c r="P7" s="310">
        <f>M7+N7+O7</f>
        <v>2208.4252932680083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21</v>
      </c>
      <c r="R7" s="314">
        <v>5</v>
      </c>
      <c r="S7" s="300" t="str">
        <f>+'5'!A6:A6</f>
        <v>Saleem Store</v>
      </c>
      <c r="T7" s="301">
        <f>+'5'!P35</f>
        <v>784.05289627118646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20</v>
      </c>
      <c r="R8" s="314">
        <v>6</v>
      </c>
      <c r="S8" s="300" t="str">
        <f>+'6'!A6:A6</f>
        <v>Ch Store</v>
      </c>
      <c r="T8" s="301">
        <f>+'6'!P35</f>
        <v>784.05289627118646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Malik Store</v>
      </c>
      <c r="T9" s="301">
        <f>+'7'!P35</f>
        <v>784.05289627118646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115</v>
      </c>
      <c r="I10" s="236">
        <f t="shared" si="0"/>
        <v>8353.6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668.28800000000001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292.37600000000003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7392.9360000000006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1578.8135593220345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44.858747796610174</v>
      </c>
      <c r="P10" s="311">
        <f t="shared" si="2"/>
        <v>9016.6083071186458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15</v>
      </c>
      <c r="R10" s="314">
        <v>8</v>
      </c>
      <c r="S10" s="300" t="str">
        <f>+'8'!A6:A6</f>
        <v xml:space="preserve">Khalil Bakers </v>
      </c>
      <c r="T10" s="301">
        <f>+'8'!P35</f>
        <v>784.05289627118646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464.89600000000007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5142.9119999999994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31.206085423728812</v>
      </c>
      <c r="P11" s="311">
        <f t="shared" si="2"/>
        <v>6272.4231701694907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Ms Store</v>
      </c>
      <c r="T11" s="301">
        <f>+'9'!P35</f>
        <v>784.05289627118646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190</v>
      </c>
      <c r="I12" s="236">
        <f t="shared" si="0"/>
        <v>13801.6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1104.1279999999999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483.05599999999998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12214.416000000001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2608.4745762711873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74.114452881355945</v>
      </c>
      <c r="P12" s="311">
        <f t="shared" si="2"/>
        <v>14897.005029152544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Yaseen Store</v>
      </c>
      <c r="T12" s="301">
        <f>+'10'!P35</f>
        <v>784.05289627118646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80</v>
      </c>
      <c r="I13" s="236">
        <f t="shared" si="0"/>
        <v>3138.4000000000005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156.92000000000004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109.84400000000002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160.05840000000001</v>
      </c>
      <c r="M13" s="230">
        <f t="shared" si="1"/>
        <v>2711.5776000000005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610.16949152542338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16.60873545762712</v>
      </c>
      <c r="P13" s="311">
        <f t="shared" si="2"/>
        <v>3338.355826983051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20</v>
      </c>
      <c r="R13" s="314">
        <v>11</v>
      </c>
      <c r="S13" s="300" t="str">
        <f>+'11'!A6:A6</f>
        <v>786 Store</v>
      </c>
      <c r="T13" s="301">
        <f>+'11'!P35</f>
        <v>784.05289627118646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Nadeem Store</v>
      </c>
      <c r="T14" s="301">
        <f>+'12'!P35</f>
        <v>784.05289627118646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Irfan Store</v>
      </c>
      <c r="T15" s="301">
        <f>+'13'!P35</f>
        <v>784.05289627118646</v>
      </c>
    </row>
    <row r="16" spans="1:20 16377:16378" ht="21.75" customHeight="1" thickBot="1" x14ac:dyDescent="0.4">
      <c r="A16" s="397">
        <f>COUNT(A7:A15)</f>
        <v>0</v>
      </c>
      <c r="B16" s="358"/>
      <c r="C16" s="358" t="s">
        <v>40</v>
      </c>
      <c r="D16" s="358"/>
      <c r="E16" s="358"/>
      <c r="F16" s="359"/>
      <c r="G16" s="117">
        <f>H16/40</f>
        <v>12.6</v>
      </c>
      <c r="H16" s="113">
        <f t="shared" ref="H16:M16" si="3">SUM(H7:H15)</f>
        <v>504</v>
      </c>
      <c r="I16" s="114">
        <f t="shared" si="3"/>
        <v>33150.837500000001</v>
      </c>
      <c r="J16" s="274">
        <f>SUM(J7:J15)</f>
        <v>2557.915</v>
      </c>
      <c r="K16" s="275">
        <f t="shared" si="3"/>
        <v>1160.2793125000001</v>
      </c>
      <c r="L16" s="276">
        <f t="shared" si="3"/>
        <v>160.05840000000001</v>
      </c>
      <c r="M16" s="232">
        <f t="shared" si="3"/>
        <v>29272.5847875</v>
      </c>
      <c r="N16" s="233">
        <f>SUM(N7:N15)</f>
        <v>6282.4576271186452</v>
      </c>
      <c r="O16" s="101">
        <f>SUM(O7:O15)</f>
        <v>177.77521207309323</v>
      </c>
      <c r="P16" s="113">
        <f>SUM(P7:P15)</f>
        <v>35732.817626691743</v>
      </c>
      <c r="Q16" s="128">
        <f>SUM(Q7:Q15)</f>
        <v>76</v>
      </c>
      <c r="R16" s="314">
        <v>14</v>
      </c>
      <c r="S16" s="318">
        <v>0.08</v>
      </c>
      <c r="T16" s="301">
        <f>+'14'!P35</f>
        <v>784.05289627118646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Faizan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Adeel Pharmacy </v>
      </c>
      <c r="T18" s="301">
        <f>+'16'!P35</f>
        <v>0</v>
      </c>
    </row>
    <row r="19" spans="1:20" ht="21.75" customHeight="1" x14ac:dyDescent="0.35">
      <c r="B19" s="360" t="s">
        <v>64</v>
      </c>
      <c r="C19" s="361"/>
      <c r="D19" s="361"/>
      <c r="E19" s="361"/>
      <c r="F19" s="361"/>
      <c r="G19" s="361"/>
      <c r="H19" s="361"/>
      <c r="I19" s="361"/>
      <c r="J19" s="361"/>
      <c r="K19" s="361"/>
      <c r="L19" s="362"/>
      <c r="N19" s="369" t="s">
        <v>60</v>
      </c>
      <c r="O19" s="370"/>
      <c r="P19" s="139">
        <f>I16</f>
        <v>33150.837500000001</v>
      </c>
      <c r="R19" s="299">
        <v>17</v>
      </c>
      <c r="S19" s="300" t="str">
        <f>+'17'!A6:A6</f>
        <v>Imran Store</v>
      </c>
      <c r="T19" s="301">
        <f>+'17'!P35</f>
        <v>0</v>
      </c>
    </row>
    <row r="20" spans="1:20" ht="21.75" customHeight="1" x14ac:dyDescent="0.35">
      <c r="B20" s="363"/>
      <c r="C20" s="364"/>
      <c r="D20" s="364"/>
      <c r="E20" s="364"/>
      <c r="F20" s="364"/>
      <c r="G20" s="364"/>
      <c r="H20" s="364"/>
      <c r="I20" s="364"/>
      <c r="J20" s="364"/>
      <c r="K20" s="364"/>
      <c r="L20" s="365"/>
      <c r="N20" s="371" t="s">
        <v>85</v>
      </c>
      <c r="O20" s="372"/>
      <c r="P20" s="140">
        <f>+J16</f>
        <v>2557.915</v>
      </c>
      <c r="R20" s="299">
        <v>18</v>
      </c>
      <c r="S20" s="300" t="str">
        <f>+'18'!A6:A6</f>
        <v>Saeed Store</v>
      </c>
      <c r="T20" s="301">
        <f>+'18'!P35</f>
        <v>0</v>
      </c>
    </row>
    <row r="21" spans="1:20" ht="21.75" customHeight="1" x14ac:dyDescent="0.35">
      <c r="B21" s="363"/>
      <c r="C21" s="364"/>
      <c r="D21" s="364"/>
      <c r="E21" s="364"/>
      <c r="F21" s="364"/>
      <c r="G21" s="364"/>
      <c r="H21" s="364"/>
      <c r="I21" s="364"/>
      <c r="J21" s="364"/>
      <c r="K21" s="364"/>
      <c r="L21" s="365"/>
      <c r="N21" s="371" t="s">
        <v>86</v>
      </c>
      <c r="O21" s="372"/>
      <c r="P21" s="140">
        <f>+K16+L16</f>
        <v>1320.3377125000002</v>
      </c>
      <c r="R21" s="299">
        <v>19</v>
      </c>
      <c r="S21" s="300" t="str">
        <f>+'19'!A6:A6</f>
        <v>Usman Store</v>
      </c>
      <c r="T21" s="301">
        <f>+'19'!P35</f>
        <v>0</v>
      </c>
    </row>
    <row r="22" spans="1:20" ht="21.75" customHeight="1" x14ac:dyDescent="0.35">
      <c r="B22" s="363"/>
      <c r="C22" s="364"/>
      <c r="D22" s="364"/>
      <c r="E22" s="364"/>
      <c r="F22" s="364"/>
      <c r="G22" s="364"/>
      <c r="H22" s="364"/>
      <c r="I22" s="364"/>
      <c r="J22" s="364"/>
      <c r="K22" s="364"/>
      <c r="L22" s="365"/>
      <c r="M22" s="131"/>
      <c r="N22" s="371" t="s">
        <v>87</v>
      </c>
      <c r="O22" s="372"/>
      <c r="P22" s="140">
        <f>P19-P20-P21</f>
        <v>29272.5847875</v>
      </c>
      <c r="R22" s="299">
        <v>20</v>
      </c>
      <c r="S22" s="300" t="str">
        <f>+'20'!A6:A6</f>
        <v>Ghose Store</v>
      </c>
      <c r="T22" s="301">
        <f>+'20'!P35</f>
        <v>0</v>
      </c>
    </row>
    <row r="23" spans="1:20" ht="21.75" customHeight="1" x14ac:dyDescent="0.35">
      <c r="B23" s="363"/>
      <c r="C23" s="364"/>
      <c r="D23" s="364"/>
      <c r="E23" s="364"/>
      <c r="F23" s="364"/>
      <c r="G23" s="364"/>
      <c r="H23" s="364"/>
      <c r="I23" s="364"/>
      <c r="J23" s="364"/>
      <c r="K23" s="364"/>
      <c r="L23" s="365"/>
      <c r="M23" s="131"/>
      <c r="N23" s="136" t="s">
        <v>61</v>
      </c>
      <c r="O23" s="133">
        <v>0.18</v>
      </c>
      <c r="P23" s="140">
        <f>+N16</f>
        <v>6282.4576271186452</v>
      </c>
      <c r="R23" s="299">
        <v>21</v>
      </c>
      <c r="S23" s="300" t="str">
        <f>+'21'!A6:A6</f>
        <v>Ahmad Store</v>
      </c>
      <c r="T23" s="301">
        <f>+'21'!P35</f>
        <v>3136.2115850847458</v>
      </c>
    </row>
    <row r="24" spans="1:20" ht="21.75" customHeight="1" x14ac:dyDescent="0.35">
      <c r="B24" s="363"/>
      <c r="C24" s="364"/>
      <c r="D24" s="364"/>
      <c r="E24" s="364"/>
      <c r="F24" s="364"/>
      <c r="G24" s="364"/>
      <c r="H24" s="364"/>
      <c r="I24" s="364"/>
      <c r="J24" s="364"/>
      <c r="K24" s="364"/>
      <c r="L24" s="365"/>
      <c r="M24" s="131"/>
      <c r="N24" s="373" t="s">
        <v>76</v>
      </c>
      <c r="O24" s="374"/>
      <c r="P24" s="140">
        <f>P22+P23</f>
        <v>35555.042414618641</v>
      </c>
      <c r="R24" s="299">
        <v>22</v>
      </c>
      <c r="S24" s="300" t="str">
        <f>+'22'!A6:A6</f>
        <v>Madina Store</v>
      </c>
      <c r="T24" s="301">
        <f>+'22'!P35</f>
        <v>1669.1779134915255</v>
      </c>
    </row>
    <row r="25" spans="1:20" ht="21.75" customHeight="1" thickBot="1" x14ac:dyDescent="0.4">
      <c r="B25" s="366"/>
      <c r="C25" s="367"/>
      <c r="D25" s="367"/>
      <c r="E25" s="367"/>
      <c r="F25" s="367"/>
      <c r="G25" s="367"/>
      <c r="H25" s="367"/>
      <c r="I25" s="367"/>
      <c r="J25" s="367"/>
      <c r="K25" s="367"/>
      <c r="L25" s="368"/>
      <c r="M25" s="99"/>
      <c r="N25" s="138" t="s">
        <v>83</v>
      </c>
      <c r="O25" s="137" t="e">
        <f>IF(#REF!="Filer",0.5%,2.5%)</f>
        <v>#REF!</v>
      </c>
      <c r="P25" s="140">
        <f>+O16</f>
        <v>177.77521207309323</v>
      </c>
      <c r="R25" s="299">
        <v>23</v>
      </c>
      <c r="S25" s="300" t="str">
        <f>+'23'!A6:A6</f>
        <v>Al Barkat Store</v>
      </c>
      <c r="T25" s="301">
        <f>+'23'!P35</f>
        <v>1960.1322406779661</v>
      </c>
    </row>
    <row r="26" spans="1:20" ht="21.75" customHeight="1" thickBot="1" x14ac:dyDescent="0.4">
      <c r="N26" s="375" t="s">
        <v>88</v>
      </c>
      <c r="O26" s="376"/>
      <c r="P26" s="297">
        <f>+P24+P25</f>
        <v>35732.817626691736</v>
      </c>
      <c r="R26" s="299">
        <v>24</v>
      </c>
      <c r="S26" s="300" t="str">
        <f>+'24'!A6:A6</f>
        <v>Daim Store</v>
      </c>
      <c r="T26" s="301">
        <f>+'24'!P35</f>
        <v>784.05289627118646</v>
      </c>
    </row>
    <row r="27" spans="1:20" ht="21.75" customHeight="1" thickBot="1" x14ac:dyDescent="0.4">
      <c r="B27" s="121" t="s">
        <v>63</v>
      </c>
      <c r="C27" s="377"/>
      <c r="D27" s="377"/>
      <c r="E27" s="377"/>
      <c r="F27" s="377"/>
      <c r="G27" s="377"/>
      <c r="H27" s="377"/>
      <c r="I27" s="378"/>
      <c r="J27" s="379"/>
      <c r="K27" s="380"/>
      <c r="R27" s="299">
        <v>25</v>
      </c>
      <c r="S27" s="300" t="str">
        <f>+'25'!A6:A6</f>
        <v>Khan Store</v>
      </c>
      <c r="T27" s="301">
        <f>+'25'!P35</f>
        <v>784.05289627118646</v>
      </c>
    </row>
    <row r="28" spans="1:20" ht="21.75" customHeight="1" x14ac:dyDescent="0.35">
      <c r="R28" s="299">
        <v>26</v>
      </c>
      <c r="S28" s="300" t="str">
        <f>+'26'!A6:A6</f>
        <v xml:space="preserve">Hikers </v>
      </c>
      <c r="T28" s="301">
        <f>+'26'!P35</f>
        <v>784.05289627118646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Hadi </v>
      </c>
      <c r="T29" s="301">
        <f>+'27'!P35</f>
        <v>784.05289627118646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35732.817626691729</v>
      </c>
    </row>
    <row r="44" spans="2:20" x14ac:dyDescent="0.35">
      <c r="B44" t="s">
        <v>501</v>
      </c>
    </row>
    <row r="45" spans="2:20" x14ac:dyDescent="0.35">
      <c r="B45" t="s">
        <v>502</v>
      </c>
    </row>
    <row r="46" spans="2:20" x14ac:dyDescent="0.35">
      <c r="B46" t="s">
        <v>503</v>
      </c>
    </row>
    <row r="47" spans="2:20" x14ac:dyDescent="0.35">
      <c r="B47" t="s">
        <v>504</v>
      </c>
    </row>
    <row r="48" spans="2:20" x14ac:dyDescent="0.35">
      <c r="B48" t="s">
        <v>505</v>
      </c>
    </row>
    <row r="49" spans="2:2" x14ac:dyDescent="0.35">
      <c r="B49" t="s">
        <v>510</v>
      </c>
    </row>
    <row r="50" spans="2:2" x14ac:dyDescent="0.35">
      <c r="B50" t="s">
        <v>512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500</v>
      </c>
      <c r="B4" s="395"/>
      <c r="C4" s="395"/>
      <c r="F4" s="85"/>
      <c r="G4" s="1"/>
      <c r="K4" s="396" t="s">
        <v>44</v>
      </c>
      <c r="L4" s="396"/>
      <c r="M4" s="396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46257</v>
      </c>
      <c r="O5" s="395"/>
      <c r="P5" s="395"/>
      <c r="R5" s="85"/>
      <c r="S5" s="266"/>
    </row>
    <row r="6" spans="1:22 16383:16384" ht="17.2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">
        <v>513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506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506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508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39</v>
      </c>
      <c r="I16" s="235">
        <f>(G16*D16)*F16+H16*F16</f>
        <v>2046.0374999999999</v>
      </c>
      <c r="J16" s="271">
        <f>$I16*S16</f>
        <v>163.68299999999999</v>
      </c>
      <c r="K16" s="127">
        <f>$I16*T16</f>
        <v>71.611312499999997</v>
      </c>
      <c r="L16" s="118">
        <f>$I16*U16</f>
        <v>0</v>
      </c>
      <c r="M16" s="229">
        <f>I16-SUM(J16:L16)</f>
        <v>1810.7431875</v>
      </c>
      <c r="N16" s="248">
        <f>+(G16*D16+H16)*V16</f>
        <v>386.69491525423712</v>
      </c>
      <c r="O16" s="238">
        <f>(N16+M16)*$O$15</f>
        <v>10.987190513771186</v>
      </c>
      <c r="P16" s="310">
        <f>M16+N16+O16</f>
        <v>2208.4252932680083</v>
      </c>
      <c r="Q16" s="320">
        <v>1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321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321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321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321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321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321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321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321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" si="8">SUM(G16:G24)</f>
        <v>0</v>
      </c>
      <c r="H25" s="113">
        <f t="shared" ref="H25" si="9">SUM(H16:H24)</f>
        <v>159</v>
      </c>
      <c r="I25" s="114">
        <f t="shared" ref="I25:M25" si="10">SUM(I16:I24)</f>
        <v>9426.4375</v>
      </c>
      <c r="J25" s="274">
        <f>SUM(J16:J24)</f>
        <v>707.03899999999999</v>
      </c>
      <c r="K25" s="275">
        <f t="shared" si="10"/>
        <v>329.92531250000008</v>
      </c>
      <c r="L25" s="276">
        <f t="shared" si="10"/>
        <v>80.029200000000003</v>
      </c>
      <c r="M25" s="232">
        <f t="shared" si="10"/>
        <v>8309.4439875000007</v>
      </c>
      <c r="N25" s="233">
        <f>SUM(N16:N24)</f>
        <v>1790.0847457627117</v>
      </c>
      <c r="O25" s="101">
        <f>SUM(O16:O24)</f>
        <v>50.497643666313564</v>
      </c>
      <c r="P25" s="113">
        <f>SUM(P16:P24)</f>
        <v>10150.026376929025</v>
      </c>
      <c r="Q25" s="320">
        <f>SUM(Q16:Q24)</f>
        <v>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9426.4375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707.03899999999999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409.95451250000008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8309.4439874999989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1790.0847457627117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10099.52873326271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50.49764366631355</v>
      </c>
    </row>
    <row r="35" spans="2:16" ht="15.75" customHeight="1" thickBot="1" x14ac:dyDescent="0.4">
      <c r="N35" s="375" t="s">
        <v>88</v>
      </c>
      <c r="O35" s="376"/>
      <c r="P35" s="297">
        <f>+P33+P34</f>
        <v>10150.026376929023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500</v>
      </c>
      <c r="B4" s="395"/>
      <c r="C4" s="395"/>
      <c r="F4" s="85"/>
      <c r="G4" s="1"/>
      <c r="K4" s="396" t="s">
        <v>44</v>
      </c>
      <c r="L4" s="396"/>
      <c r="M4" s="396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46257</v>
      </c>
      <c r="O5" s="395"/>
      <c r="P5" s="395"/>
      <c r="R5" s="85"/>
      <c r="S5" s="266"/>
    </row>
    <row r="6" spans="1:22 16383:16384" ht="15" customHeight="1" x14ac:dyDescent="0.4">
      <c r="A6" s="401" t="s">
        <v>516</v>
      </c>
      <c r="B6" s="401"/>
      <c r="C6" s="401"/>
      <c r="F6" s="85"/>
      <c r="G6" s="86"/>
      <c r="K6" s="396" t="s">
        <v>69</v>
      </c>
      <c r="L6" s="396"/>
      <c r="M6" s="396"/>
      <c r="N6" s="398" t="s">
        <v>513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506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506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311">
        <f t="shared" si="5"/>
        <v>1568.1057925423729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311">
        <f t="shared" si="5"/>
        <v>1568.1057925423729</v>
      </c>
      <c r="Q20" s="156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113">
        <f>SUM(P16:P24)</f>
        <v>6272.4231701694916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5811.2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464.89600000000002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203.39200000000002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5142.9120000000003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6241.2170847457628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5" t="s">
        <v>88</v>
      </c>
      <c r="O35" s="376"/>
      <c r="P35" s="297">
        <f>+P33+P34</f>
        <v>6272.4231701694916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500</v>
      </c>
      <c r="B4" s="395"/>
      <c r="C4" s="395"/>
      <c r="F4" s="85"/>
      <c r="G4" s="1"/>
      <c r="K4" s="396" t="s">
        <v>44</v>
      </c>
      <c r="L4" s="396"/>
      <c r="M4" s="396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46257</v>
      </c>
      <c r="O5" s="395"/>
      <c r="P5" s="395"/>
      <c r="R5" s="85"/>
      <c r="S5" s="266"/>
    </row>
    <row r="6" spans="1:22 16383:16384" ht="18.75" customHeight="1" x14ac:dyDescent="0.4">
      <c r="A6" s="401" t="s">
        <v>517</v>
      </c>
      <c r="B6" s="401"/>
      <c r="C6" s="401"/>
      <c r="F6" s="85"/>
      <c r="G6" s="86"/>
      <c r="K6" s="396" t="s">
        <v>69</v>
      </c>
      <c r="L6" s="396"/>
      <c r="M6" s="396"/>
      <c r="N6" s="398" t="s">
        <v>513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506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506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726.4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58.112000000000002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25.424000000000003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642.86400000000003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780.15213559322035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5" t="s">
        <v>88</v>
      </c>
      <c r="O35" s="376"/>
      <c r="P35" s="297">
        <f>+P33+P34</f>
        <v>784.05289627118646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500</v>
      </c>
      <c r="B4" s="395"/>
      <c r="C4" s="395"/>
      <c r="F4" s="85"/>
      <c r="G4" s="1"/>
      <c r="K4" s="396" t="s">
        <v>44</v>
      </c>
      <c r="L4" s="396"/>
      <c r="M4" s="396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46257</v>
      </c>
      <c r="O5" s="395"/>
      <c r="P5" s="395"/>
      <c r="R5" s="85"/>
      <c r="S5" s="266"/>
    </row>
    <row r="6" spans="1:22 16383:16384" ht="15" customHeight="1" x14ac:dyDescent="0.4">
      <c r="A6" s="401" t="s">
        <v>518</v>
      </c>
      <c r="B6" s="401"/>
      <c r="C6" s="401"/>
      <c r="F6" s="85"/>
      <c r="G6" s="86"/>
      <c r="K6" s="396" t="s">
        <v>69</v>
      </c>
      <c r="L6" s="396"/>
      <c r="M6" s="396"/>
      <c r="N6" s="398" t="s">
        <v>513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506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506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726.4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58.112000000000002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25.424000000000003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642.86400000000003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780.15213559322035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5" t="s">
        <v>88</v>
      </c>
      <c r="O35" s="376"/>
      <c r="P35" s="297">
        <f>+P33+P34</f>
        <v>784.05289627118646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500</v>
      </c>
      <c r="B4" s="395"/>
      <c r="C4" s="395"/>
      <c r="F4" s="85"/>
      <c r="G4" s="1"/>
      <c r="K4" s="396" t="s">
        <v>44</v>
      </c>
      <c r="L4" s="396"/>
      <c r="M4" s="396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46257</v>
      </c>
      <c r="O5" s="395"/>
      <c r="P5" s="395"/>
      <c r="R5" s="85"/>
      <c r="S5" s="266"/>
    </row>
    <row r="6" spans="1:22 16383:16384" ht="15" customHeight="1" x14ac:dyDescent="0.4">
      <c r="A6" s="401" t="s">
        <v>519</v>
      </c>
      <c r="B6" s="401"/>
      <c r="C6" s="401"/>
      <c r="F6" s="85"/>
      <c r="G6" s="86"/>
      <c r="K6" s="396" t="s">
        <v>69</v>
      </c>
      <c r="L6" s="396"/>
      <c r="M6" s="396"/>
      <c r="N6" s="398" t="s">
        <v>513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506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506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726.4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58.112000000000002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25.424000000000003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642.86400000000003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780.15213559322035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5" t="s">
        <v>88</v>
      </c>
      <c r="O35" s="376"/>
      <c r="P35" s="297">
        <f>+P33+P34</f>
        <v>784.05289627118646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500</v>
      </c>
      <c r="B4" s="395"/>
      <c r="C4" s="395"/>
      <c r="F4" s="85"/>
      <c r="G4" s="1"/>
      <c r="K4" s="396" t="s">
        <v>44</v>
      </c>
      <c r="L4" s="396"/>
      <c r="M4" s="396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46257</v>
      </c>
      <c r="O5" s="395"/>
      <c r="P5" s="395"/>
      <c r="R5" s="85"/>
      <c r="S5" s="266"/>
    </row>
    <row r="6" spans="1:22 16383:16384" ht="15" customHeight="1" x14ac:dyDescent="0.4">
      <c r="A6" s="401" t="s">
        <v>520</v>
      </c>
      <c r="B6" s="401"/>
      <c r="C6" s="401"/>
      <c r="F6" s="85"/>
      <c r="G6" s="86"/>
      <c r="K6" s="396" t="s">
        <v>69</v>
      </c>
      <c r="L6" s="396"/>
      <c r="M6" s="396"/>
      <c r="N6" s="398" t="s">
        <v>513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506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506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726.4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58.112000000000002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25.424000000000003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642.86400000000003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780.15213559322035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5" t="s">
        <v>88</v>
      </c>
      <c r="O35" s="376"/>
      <c r="P35" s="297">
        <f>+P33+P34</f>
        <v>784.05289627118646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500</v>
      </c>
      <c r="B4" s="395"/>
      <c r="C4" s="395"/>
      <c r="F4" s="85"/>
      <c r="G4" s="1"/>
      <c r="K4" s="396" t="s">
        <v>44</v>
      </c>
      <c r="L4" s="396"/>
      <c r="M4" s="396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46257</v>
      </c>
      <c r="O5" s="395"/>
      <c r="P5" s="395"/>
      <c r="R5" s="85"/>
      <c r="S5" s="266"/>
    </row>
    <row r="6" spans="1:22 16383:16384" ht="15" customHeight="1" x14ac:dyDescent="0.4">
      <c r="A6" s="401" t="s">
        <v>521</v>
      </c>
      <c r="B6" s="401"/>
      <c r="C6" s="401"/>
      <c r="F6" s="85"/>
      <c r="G6" s="86"/>
      <c r="K6" s="396" t="s">
        <v>69</v>
      </c>
      <c r="L6" s="396"/>
      <c r="M6" s="396"/>
      <c r="N6" s="398" t="s">
        <v>513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506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506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311">
        <f t="shared" si="5"/>
        <v>392.02644813559323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311">
        <f t="shared" si="5"/>
        <v>392.02644813559323</v>
      </c>
      <c r="Q20" s="156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726.4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58.112000000000002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25.424000000000003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642.86400000000003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780.15213559322035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5" t="s">
        <v>88</v>
      </c>
      <c r="O35" s="376"/>
      <c r="P35" s="297">
        <f>+P33+P34</f>
        <v>784.05289627118646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500</v>
      </c>
      <c r="B4" s="395"/>
      <c r="C4" s="395"/>
      <c r="F4" s="85"/>
      <c r="G4" s="1"/>
      <c r="K4" s="396" t="s">
        <v>44</v>
      </c>
      <c r="L4" s="396"/>
      <c r="M4" s="396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46257</v>
      </c>
      <c r="O5" s="395"/>
      <c r="P5" s="395"/>
      <c r="R5" s="85"/>
      <c r="S5" s="266"/>
    </row>
    <row r="6" spans="1:22 16383:16384" ht="15" customHeight="1" x14ac:dyDescent="0.4">
      <c r="A6" s="401" t="s">
        <v>522</v>
      </c>
      <c r="B6" s="401"/>
      <c r="C6" s="401"/>
      <c r="F6" s="85"/>
      <c r="G6" s="86"/>
      <c r="K6" s="396" t="s">
        <v>69</v>
      </c>
      <c r="L6" s="396"/>
      <c r="M6" s="396"/>
      <c r="N6" s="398" t="s">
        <v>513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506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506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311">
        <f t="shared" si="5"/>
        <v>392.02644813559323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311">
        <f t="shared" si="5"/>
        <v>392.02644813559323</v>
      </c>
      <c r="Q20" s="156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726.4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58.112000000000002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25.424000000000003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642.86400000000003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780.15213559322035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5" t="s">
        <v>88</v>
      </c>
      <c r="O35" s="376"/>
      <c r="P35" s="297">
        <f>+P33+P34</f>
        <v>784.05289627118646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500</v>
      </c>
      <c r="B4" s="395"/>
      <c r="C4" s="395"/>
      <c r="F4" s="85"/>
      <c r="G4" s="1"/>
      <c r="K4" s="396" t="s">
        <v>44</v>
      </c>
      <c r="L4" s="396"/>
      <c r="M4" s="396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46257</v>
      </c>
      <c r="O5" s="395"/>
      <c r="P5" s="395"/>
      <c r="R5" s="85"/>
      <c r="S5" s="266"/>
    </row>
    <row r="6" spans="1:22 16383:16384" ht="15" customHeight="1" x14ac:dyDescent="0.4">
      <c r="A6" s="401" t="s">
        <v>523</v>
      </c>
      <c r="B6" s="401"/>
      <c r="C6" s="401"/>
      <c r="F6" s="85"/>
      <c r="G6" s="86"/>
      <c r="K6" s="396" t="s">
        <v>69</v>
      </c>
      <c r="L6" s="396"/>
      <c r="M6" s="396"/>
      <c r="N6" s="398" t="s">
        <v>513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506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506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726.4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58.112000000000002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25.424000000000003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642.86400000000003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780.15213559322035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5" t="s">
        <v>88</v>
      </c>
      <c r="O35" s="376"/>
      <c r="P35" s="297">
        <f>+P33+P34</f>
        <v>784.05289627118646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500</v>
      </c>
      <c r="B4" s="395"/>
      <c r="C4" s="395"/>
      <c r="F4" s="85"/>
      <c r="G4" s="1"/>
      <c r="K4" s="396" t="s">
        <v>44</v>
      </c>
      <c r="L4" s="396"/>
      <c r="M4" s="396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46257</v>
      </c>
      <c r="O5" s="395"/>
      <c r="P5" s="395"/>
      <c r="R5" s="85"/>
      <c r="S5" s="266"/>
    </row>
    <row r="6" spans="1:22 16383:16384" ht="15" customHeight="1" x14ac:dyDescent="0.4">
      <c r="A6" s="401" t="s">
        <v>524</v>
      </c>
      <c r="B6" s="401"/>
      <c r="C6" s="401"/>
      <c r="F6" s="85"/>
      <c r="G6" s="86"/>
      <c r="K6" s="396" t="s">
        <v>69</v>
      </c>
      <c r="L6" s="396"/>
      <c r="M6" s="396"/>
      <c r="N6" s="398" t="s">
        <v>513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506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506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726.4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58.112000000000002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25.424000000000003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642.86400000000003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780.15213559322035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5" t="s">
        <v>88</v>
      </c>
      <c r="O35" s="376"/>
      <c r="P35" s="297">
        <f>+P33+P34</f>
        <v>784.05289627118646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500</v>
      </c>
      <c r="B4" s="395"/>
      <c r="C4" s="395"/>
      <c r="F4" s="85"/>
      <c r="G4" s="1"/>
      <c r="K4" s="396" t="s">
        <v>44</v>
      </c>
      <c r="L4" s="396"/>
      <c r="M4" s="396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46257</v>
      </c>
      <c r="O5" s="395"/>
      <c r="P5" s="395"/>
      <c r="R5" s="85"/>
      <c r="S5" s="266"/>
    </row>
    <row r="6" spans="1:22 16383:16384" ht="15" customHeight="1" x14ac:dyDescent="0.4">
      <c r="A6" s="401" t="s">
        <v>525</v>
      </c>
      <c r="B6" s="401"/>
      <c r="C6" s="401"/>
      <c r="F6" s="85"/>
      <c r="G6" s="86"/>
      <c r="K6" s="396" t="s">
        <v>69</v>
      </c>
      <c r="L6" s="396"/>
      <c r="M6" s="396"/>
      <c r="N6" s="398" t="s">
        <v>513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506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506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726.4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58.112000000000002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25.424000000000003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642.86400000000003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780.15213559322035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5" t="s">
        <v>88</v>
      </c>
      <c r="O35" s="376"/>
      <c r="P35" s="297">
        <f>+P33+P34</f>
        <v>784.05289627118646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500</v>
      </c>
      <c r="B4" s="395"/>
      <c r="C4" s="395"/>
      <c r="F4" s="85"/>
      <c r="G4" s="1"/>
      <c r="K4" s="396" t="s">
        <v>44</v>
      </c>
      <c r="L4" s="396"/>
      <c r="M4" s="396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46257</v>
      </c>
      <c r="O5" s="395"/>
      <c r="P5" s="395"/>
      <c r="R5" s="85"/>
      <c r="S5" s="266"/>
    </row>
    <row r="6" spans="1:22 16383:16384" ht="15" customHeight="1" x14ac:dyDescent="0.4">
      <c r="A6" s="401" t="s">
        <v>526</v>
      </c>
      <c r="B6" s="401"/>
      <c r="C6" s="401"/>
      <c r="F6" s="85"/>
      <c r="G6" s="86"/>
      <c r="K6" s="396" t="s">
        <v>69</v>
      </c>
      <c r="L6" s="396"/>
      <c r="M6" s="396"/>
      <c r="N6" s="398" t="s">
        <v>513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506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506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726.4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58.112000000000002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25.424000000000003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642.86400000000003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780.15213559322035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5" t="s">
        <v>88</v>
      </c>
      <c r="O35" s="376"/>
      <c r="P35" s="297">
        <f>+P33+P34</f>
        <v>784.05289627118646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500</v>
      </c>
      <c r="B4" s="395"/>
      <c r="C4" s="395"/>
      <c r="F4" s="85"/>
      <c r="G4" s="1"/>
      <c r="K4" s="396" t="s">
        <v>44</v>
      </c>
      <c r="L4" s="396"/>
      <c r="M4" s="396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46257</v>
      </c>
      <c r="O5" s="395"/>
      <c r="P5" s="395"/>
      <c r="R5" s="85"/>
      <c r="S5" s="266"/>
    </row>
    <row r="6" spans="1:22 16383:16384" ht="15" customHeight="1" x14ac:dyDescent="0.4">
      <c r="A6" s="401" t="s">
        <v>527</v>
      </c>
      <c r="B6" s="401"/>
      <c r="C6" s="401"/>
      <c r="F6" s="85"/>
      <c r="G6" s="86"/>
      <c r="K6" s="396" t="s">
        <v>69</v>
      </c>
      <c r="L6" s="396"/>
      <c r="M6" s="396"/>
      <c r="N6" s="398" t="s">
        <v>513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506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506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726.4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58.112000000000002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25.424000000000003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642.86400000000003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780.15213559322035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5" t="s">
        <v>88</v>
      </c>
      <c r="O35" s="376"/>
      <c r="P35" s="297">
        <f>+P33+P34</f>
        <v>784.05289627118646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7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500</v>
      </c>
      <c r="B4" s="395"/>
      <c r="C4" s="395"/>
      <c r="F4" s="85"/>
      <c r="G4" s="1"/>
      <c r="K4" s="396" t="s">
        <v>44</v>
      </c>
      <c r="L4" s="396"/>
      <c r="M4" s="396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46257</v>
      </c>
      <c r="O5" s="395"/>
      <c r="P5" s="395"/>
      <c r="R5" s="85"/>
      <c r="S5" s="266"/>
    </row>
    <row r="6" spans="1:22 16383:16384" ht="15" customHeight="1" x14ac:dyDescent="0.4">
      <c r="A6" s="401" t="s">
        <v>528</v>
      </c>
      <c r="B6" s="401"/>
      <c r="C6" s="401"/>
      <c r="F6" s="85"/>
      <c r="G6" s="86"/>
      <c r="K6" s="396" t="s">
        <v>69</v>
      </c>
      <c r="L6" s="396"/>
      <c r="M6" s="396"/>
      <c r="N6" s="398" t="s">
        <v>513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506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506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726.4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58.112000000000002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25.424000000000003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642.86400000000003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780.15213559322035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5" t="s">
        <v>88</v>
      </c>
      <c r="O35" s="376"/>
      <c r="P35" s="297">
        <f>+P33+P34</f>
        <v>784.05289627118646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500</v>
      </c>
      <c r="B4" s="395"/>
      <c r="C4" s="395"/>
      <c r="F4" s="85"/>
      <c r="G4" s="1"/>
      <c r="K4" s="396" t="s">
        <v>44</v>
      </c>
      <c r="L4" s="396"/>
      <c r="M4" s="396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46257</v>
      </c>
      <c r="O5" s="395"/>
      <c r="P5" s="395"/>
      <c r="R5" s="85"/>
      <c r="S5" s="266"/>
    </row>
    <row r="6" spans="1:22 16383:16384" ht="15" customHeight="1" x14ac:dyDescent="0.4">
      <c r="A6" s="401" t="s">
        <v>529</v>
      </c>
      <c r="B6" s="401"/>
      <c r="C6" s="401"/>
      <c r="F6" s="85"/>
      <c r="G6" s="86"/>
      <c r="K6" s="396" t="s">
        <v>69</v>
      </c>
      <c r="L6" s="396"/>
      <c r="M6" s="396"/>
      <c r="N6" s="398" t="s">
        <v>513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506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506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96">
        <v>10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16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500</v>
      </c>
      <c r="B4" s="395"/>
      <c r="C4" s="395"/>
      <c r="F4" s="85"/>
      <c r="G4" s="1"/>
      <c r="K4" s="396" t="s">
        <v>44</v>
      </c>
      <c r="L4" s="396"/>
      <c r="M4" s="396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46257</v>
      </c>
      <c r="O5" s="395"/>
      <c r="P5" s="395"/>
      <c r="R5" s="85"/>
      <c r="S5" s="266"/>
    </row>
    <row r="6" spans="1:22 16383:16384" ht="15" customHeight="1" x14ac:dyDescent="0.4">
      <c r="A6" s="401" t="s">
        <v>530</v>
      </c>
      <c r="B6" s="401"/>
      <c r="C6" s="401"/>
      <c r="F6" s="85"/>
      <c r="G6" s="86"/>
      <c r="K6" s="396" t="s">
        <v>69</v>
      </c>
      <c r="L6" s="396"/>
      <c r="M6" s="396"/>
      <c r="N6" s="398" t="s">
        <v>513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506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506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96">
        <v>10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10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500</v>
      </c>
      <c r="B4" s="395"/>
      <c r="C4" s="395"/>
      <c r="F4" s="85"/>
      <c r="G4" s="1"/>
      <c r="K4" s="396" t="s">
        <v>44</v>
      </c>
      <c r="L4" s="396"/>
      <c r="M4" s="396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46257</v>
      </c>
      <c r="O5" s="395"/>
      <c r="P5" s="395"/>
      <c r="R5" s="85"/>
      <c r="S5" s="266"/>
    </row>
    <row r="6" spans="1:22 16383:16384" ht="15" customHeight="1" x14ac:dyDescent="0.4">
      <c r="A6" s="401" t="s">
        <v>531</v>
      </c>
      <c r="B6" s="401"/>
      <c r="C6" s="401"/>
      <c r="F6" s="85"/>
      <c r="G6" s="86"/>
      <c r="K6" s="396" t="s">
        <v>69</v>
      </c>
      <c r="L6" s="396"/>
      <c r="M6" s="396"/>
      <c r="N6" s="398" t="s">
        <v>513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506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506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112">
        <v>10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500</v>
      </c>
      <c r="B4" s="395"/>
      <c r="C4" s="395"/>
      <c r="F4" s="85"/>
      <c r="G4" s="1"/>
      <c r="K4" s="396" t="s">
        <v>44</v>
      </c>
      <c r="L4" s="396"/>
      <c r="M4" s="396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46257</v>
      </c>
      <c r="O5" s="395"/>
      <c r="P5" s="395"/>
      <c r="R5" s="85"/>
      <c r="S5" s="266"/>
    </row>
    <row r="6" spans="1:22 16383:16384" ht="15" customHeight="1" x14ac:dyDescent="0.4">
      <c r="A6" s="401" t="s">
        <v>532</v>
      </c>
      <c r="B6" s="401"/>
      <c r="C6" s="401"/>
      <c r="F6" s="85"/>
      <c r="G6" s="86"/>
      <c r="K6" s="396" t="s">
        <v>69</v>
      </c>
      <c r="L6" s="396"/>
      <c r="M6" s="396"/>
      <c r="N6" s="398" t="s">
        <v>513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506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506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112">
        <v>10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13"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500</v>
      </c>
      <c r="B4" s="395"/>
      <c r="C4" s="395"/>
      <c r="F4" s="85"/>
      <c r="G4" s="1"/>
      <c r="K4" s="396" t="s">
        <v>44</v>
      </c>
      <c r="L4" s="396"/>
      <c r="M4" s="396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46257</v>
      </c>
      <c r="O5" s="395"/>
      <c r="P5" s="395"/>
      <c r="R5" s="85"/>
      <c r="S5" s="266"/>
    </row>
    <row r="6" spans="1:22 16383:16384" ht="15" customHeight="1" x14ac:dyDescent="0.4">
      <c r="A6" s="401" t="s">
        <v>533</v>
      </c>
      <c r="B6" s="401"/>
      <c r="C6" s="401"/>
      <c r="F6" s="85"/>
      <c r="G6" s="86"/>
      <c r="K6" s="396" t="s">
        <v>69</v>
      </c>
      <c r="L6" s="396"/>
      <c r="M6" s="396"/>
      <c r="N6" s="398" t="s">
        <v>513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506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506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96">
        <v>10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7"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500</v>
      </c>
      <c r="B4" s="395"/>
      <c r="C4" s="395"/>
      <c r="F4" s="85"/>
      <c r="G4" s="1"/>
      <c r="K4" s="396" t="s">
        <v>44</v>
      </c>
      <c r="L4" s="396"/>
      <c r="M4" s="396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46257</v>
      </c>
      <c r="O5" s="395"/>
      <c r="P5" s="395"/>
      <c r="R5" s="85"/>
      <c r="S5" s="266"/>
    </row>
    <row r="6" spans="1:22 16383:16384" ht="18.75" customHeight="1" x14ac:dyDescent="0.4">
      <c r="A6" s="401" t="s">
        <v>534</v>
      </c>
      <c r="B6" s="401"/>
      <c r="C6" s="401"/>
      <c r="F6" s="85"/>
      <c r="G6" s="86"/>
      <c r="K6" s="396" t="s">
        <v>69</v>
      </c>
      <c r="L6" s="396"/>
      <c r="M6" s="396"/>
      <c r="N6" s="398" t="s">
        <v>513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506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506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96">
        <v>10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10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500</v>
      </c>
      <c r="B4" s="395"/>
      <c r="C4" s="395"/>
      <c r="F4" s="85"/>
      <c r="G4" s="1"/>
      <c r="K4" s="396" t="s">
        <v>44</v>
      </c>
      <c r="L4" s="396"/>
      <c r="M4" s="396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46257</v>
      </c>
      <c r="O5" s="395"/>
      <c r="P5" s="395"/>
      <c r="R5" s="85"/>
      <c r="S5" s="266"/>
    </row>
    <row r="6" spans="1:22 16383:16384" ht="15" customHeight="1" x14ac:dyDescent="0.4">
      <c r="A6" s="401" t="s">
        <v>535</v>
      </c>
      <c r="B6" s="401"/>
      <c r="C6" s="401"/>
      <c r="F6" s="85"/>
      <c r="G6" s="86"/>
      <c r="K6" s="396" t="s">
        <v>69</v>
      </c>
      <c r="L6" s="396"/>
      <c r="M6" s="396"/>
      <c r="N6" s="398" t="s">
        <v>513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506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506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2905.6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232.44799999999998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101.696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2571.4560000000001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3120.6085423728814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5" t="s">
        <v>88</v>
      </c>
      <c r="O35" s="376"/>
      <c r="P35" s="297">
        <f>+P33+P34</f>
        <v>3136.2115850847458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7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500</v>
      </c>
      <c r="B4" s="395"/>
      <c r="C4" s="395"/>
      <c r="F4" s="85"/>
      <c r="G4" s="1"/>
      <c r="K4" s="396" t="s">
        <v>44</v>
      </c>
      <c r="L4" s="396"/>
      <c r="M4" s="396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46257</v>
      </c>
      <c r="O5" s="395"/>
      <c r="P5" s="395"/>
      <c r="R5" s="85"/>
      <c r="S5" s="266"/>
    </row>
    <row r="6" spans="1:22 16383:16384" ht="15" customHeight="1" x14ac:dyDescent="0.4">
      <c r="A6" s="401" t="s">
        <v>536</v>
      </c>
      <c r="B6" s="401"/>
      <c r="C6" s="401"/>
      <c r="F6" s="85"/>
      <c r="G6" s="86"/>
      <c r="K6" s="396" t="s">
        <v>69</v>
      </c>
      <c r="L6" s="396"/>
      <c r="M6" s="396"/>
      <c r="N6" s="398" t="s">
        <v>513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506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506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1569.2000000000003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78.460000000000022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134.95120000000003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1355.7888000000003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1660.873545762712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5" t="s">
        <v>88</v>
      </c>
      <c r="O35" s="376"/>
      <c r="P35" s="297">
        <f>+P33+P34</f>
        <v>1669.1779134915255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opLeftCell="A13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500</v>
      </c>
      <c r="B4" s="395"/>
      <c r="C4" s="395"/>
      <c r="F4" s="85"/>
      <c r="G4" s="1"/>
      <c r="K4" s="396" t="s">
        <v>44</v>
      </c>
      <c r="L4" s="396"/>
      <c r="M4" s="396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46257</v>
      </c>
      <c r="O5" s="395"/>
      <c r="P5" s="395"/>
      <c r="R5" s="85"/>
      <c r="S5" s="266"/>
    </row>
    <row r="6" spans="1:22 16383:16384" ht="15" customHeight="1" x14ac:dyDescent="0.4">
      <c r="A6" s="401" t="s">
        <v>537</v>
      </c>
      <c r="B6" s="401"/>
      <c r="C6" s="401"/>
      <c r="F6" s="85"/>
      <c r="G6" s="86"/>
      <c r="K6" s="396" t="s">
        <v>69</v>
      </c>
      <c r="L6" s="396"/>
      <c r="M6" s="396"/>
      <c r="N6" s="398" t="s">
        <v>513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506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506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96">
        <v>15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25</v>
      </c>
      <c r="I25" s="114">
        <f t="shared" si="7"/>
        <v>1816</v>
      </c>
      <c r="J25" s="274">
        <f>SUM(J16:J24)</f>
        <v>145.28</v>
      </c>
      <c r="K25" s="275">
        <f t="shared" si="7"/>
        <v>63.56</v>
      </c>
      <c r="L25" s="276">
        <f t="shared" si="7"/>
        <v>0</v>
      </c>
      <c r="M25" s="232">
        <f t="shared" si="7"/>
        <v>1607.1599999999999</v>
      </c>
      <c r="N25" s="233">
        <f>SUM(N16:N24)</f>
        <v>343.22033898305085</v>
      </c>
      <c r="O25" s="101">
        <f>SUM(O16:O24)</f>
        <v>9.7519016949152544</v>
      </c>
      <c r="P25" s="113">
        <f>SUM(P16:P24)</f>
        <v>1960.1322406779661</v>
      </c>
      <c r="Q25" s="128">
        <f>SUM(Q16:Q24)</f>
        <v>15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1816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145.28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63.56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1607.16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343.22033898305085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1950.3803389830509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9.7519016949152544</v>
      </c>
    </row>
    <row r="35" spans="2:16" ht="15.75" customHeight="1" thickBot="1" x14ac:dyDescent="0.4">
      <c r="N35" s="375" t="s">
        <v>88</v>
      </c>
      <c r="O35" s="376"/>
      <c r="P35" s="297">
        <f>+P33+P34</f>
        <v>1960.1322406779661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topLeftCell="A13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500</v>
      </c>
      <c r="B4" s="395"/>
      <c r="C4" s="395"/>
      <c r="F4" s="85"/>
      <c r="G4" s="1"/>
      <c r="K4" s="396" t="s">
        <v>44</v>
      </c>
      <c r="L4" s="396"/>
      <c r="M4" s="396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46257</v>
      </c>
      <c r="O5" s="395"/>
      <c r="P5" s="395"/>
      <c r="R5" s="85"/>
      <c r="S5" s="266"/>
    </row>
    <row r="6" spans="1:22 16383:16384" ht="15" customHeight="1" x14ac:dyDescent="0.4">
      <c r="A6" s="401" t="s">
        <v>538</v>
      </c>
      <c r="B6" s="401"/>
      <c r="C6" s="401"/>
      <c r="F6" s="85"/>
      <c r="G6" s="86"/>
      <c r="K6" s="396" t="s">
        <v>69</v>
      </c>
      <c r="L6" s="396"/>
      <c r="M6" s="396"/>
      <c r="N6" s="398" t="s">
        <v>513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506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506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726.4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58.112000000000002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25.424000000000003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642.86400000000003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780.15213559322035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5" t="s">
        <v>88</v>
      </c>
      <c r="O35" s="376"/>
      <c r="P35" s="297">
        <f>+P33+P34</f>
        <v>784.05289627118646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topLeftCell="A7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500</v>
      </c>
      <c r="B4" s="395"/>
      <c r="C4" s="395"/>
      <c r="F4" s="85"/>
      <c r="G4" s="1"/>
      <c r="K4" s="396" t="s">
        <v>44</v>
      </c>
      <c r="L4" s="396"/>
      <c r="M4" s="396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46257</v>
      </c>
      <c r="O5" s="395"/>
      <c r="P5" s="395"/>
      <c r="R5" s="85"/>
      <c r="S5" s="266"/>
    </row>
    <row r="6" spans="1:22 16383:16384" ht="15" customHeight="1" x14ac:dyDescent="0.4">
      <c r="A6" s="401" t="s">
        <v>539</v>
      </c>
      <c r="B6" s="401"/>
      <c r="C6" s="401"/>
      <c r="F6" s="85"/>
      <c r="G6" s="86"/>
      <c r="K6" s="396" t="s">
        <v>69</v>
      </c>
      <c r="L6" s="396"/>
      <c r="M6" s="396"/>
      <c r="N6" s="398" t="s">
        <v>513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506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506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726.4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58.112000000000002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25.424000000000003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642.86400000000003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780.15213559322035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5" t="s">
        <v>88</v>
      </c>
      <c r="O35" s="376"/>
      <c r="P35" s="297">
        <f>+P33+P34</f>
        <v>784.05289627118646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topLeftCell="A1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500</v>
      </c>
      <c r="B4" s="395"/>
      <c r="C4" s="395"/>
      <c r="F4" s="85"/>
      <c r="G4" s="1"/>
      <c r="K4" s="396" t="s">
        <v>44</v>
      </c>
      <c r="L4" s="396"/>
      <c r="M4" s="396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46257</v>
      </c>
      <c r="O5" s="395"/>
      <c r="P5" s="395"/>
      <c r="R5" s="85"/>
      <c r="S5" s="266"/>
    </row>
    <row r="6" spans="1:22 16383:16384" ht="15" customHeight="1" x14ac:dyDescent="0.4">
      <c r="A6" s="401" t="s">
        <v>540</v>
      </c>
      <c r="B6" s="401"/>
      <c r="C6" s="401"/>
      <c r="F6" s="85"/>
      <c r="G6" s="86"/>
      <c r="K6" s="396" t="s">
        <v>69</v>
      </c>
      <c r="L6" s="396"/>
      <c r="M6" s="396"/>
      <c r="N6" s="398" t="s">
        <v>513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506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506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726.4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58.112000000000002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25.424000000000003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642.86400000000003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780.15213559322035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5" t="s">
        <v>88</v>
      </c>
      <c r="O35" s="376"/>
      <c r="P35" s="297">
        <f>+P33+P34</f>
        <v>784.05289627118646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500</v>
      </c>
      <c r="B4" s="395"/>
      <c r="C4" s="395"/>
      <c r="F4" s="85"/>
      <c r="G4" s="1"/>
      <c r="K4" s="396" t="s">
        <v>44</v>
      </c>
      <c r="L4" s="396"/>
      <c r="M4" s="396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46257</v>
      </c>
      <c r="O5" s="395"/>
      <c r="P5" s="395"/>
      <c r="R5" s="85"/>
      <c r="S5" s="266"/>
    </row>
    <row r="6" spans="1:22 16383:16384" ht="15" customHeight="1" x14ac:dyDescent="0.4">
      <c r="A6" s="401" t="s">
        <v>541</v>
      </c>
      <c r="B6" s="401"/>
      <c r="C6" s="401"/>
      <c r="F6" s="85"/>
      <c r="G6" s="86"/>
      <c r="K6" s="396" t="s">
        <v>69</v>
      </c>
      <c r="L6" s="396"/>
      <c r="M6" s="396"/>
      <c r="N6" s="398" t="s">
        <v>513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506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506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726.4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58.112000000000002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25.424000000000003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642.86400000000003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780.15213559322035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5" t="s">
        <v>88</v>
      </c>
      <c r="O35" s="376"/>
      <c r="P35" s="297">
        <f>+P33+P34</f>
        <v>784.05289627118646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500</v>
      </c>
      <c r="B4" s="395"/>
      <c r="C4" s="395"/>
      <c r="F4" s="85"/>
      <c r="G4" s="1"/>
      <c r="K4" s="396" t="s">
        <v>44</v>
      </c>
      <c r="L4" s="396"/>
      <c r="M4" s="396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46257</v>
      </c>
      <c r="O5" s="395"/>
      <c r="P5" s="395"/>
      <c r="R5" s="85"/>
      <c r="S5" s="266"/>
    </row>
    <row r="6" spans="1:22 16383:16384" ht="15" customHeight="1" x14ac:dyDescent="0.4">
      <c r="A6" s="401" t="s">
        <v>496</v>
      </c>
      <c r="B6" s="401"/>
      <c r="C6" s="401"/>
      <c r="F6" s="85"/>
      <c r="G6" s="86"/>
      <c r="K6" s="396" t="s">
        <v>69</v>
      </c>
      <c r="L6" s="396"/>
      <c r="M6" s="396"/>
      <c r="N6" s="398" t="s">
        <v>513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506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506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500</v>
      </c>
      <c r="B4" s="395"/>
      <c r="C4" s="395"/>
      <c r="F4" s="85"/>
      <c r="G4" s="1"/>
      <c r="K4" s="396" t="s">
        <v>44</v>
      </c>
      <c r="L4" s="396"/>
      <c r="M4" s="396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46257</v>
      </c>
      <c r="O5" s="395"/>
      <c r="P5" s="395"/>
      <c r="R5" s="85"/>
      <c r="S5" s="266"/>
    </row>
    <row r="6" spans="1:22 16383:16384" ht="15" customHeight="1" x14ac:dyDescent="0.4">
      <c r="A6" s="401" t="s">
        <v>496</v>
      </c>
      <c r="B6" s="401"/>
      <c r="C6" s="401"/>
      <c r="F6" s="85"/>
      <c r="G6" s="86"/>
      <c r="K6" s="396" t="s">
        <v>69</v>
      </c>
      <c r="L6" s="396"/>
      <c r="M6" s="396"/>
      <c r="N6" s="398" t="s">
        <v>513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506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506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500</v>
      </c>
      <c r="B4" s="395"/>
      <c r="C4" s="395"/>
      <c r="F4" s="85"/>
      <c r="G4" s="1"/>
      <c r="K4" s="396" t="s">
        <v>44</v>
      </c>
      <c r="L4" s="396"/>
      <c r="M4" s="396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46257</v>
      </c>
      <c r="O5" s="395"/>
      <c r="P5" s="395"/>
      <c r="R5" s="85"/>
      <c r="S5" s="266"/>
    </row>
    <row r="6" spans="1:22 16383:16384" ht="15" customHeight="1" x14ac:dyDescent="0.4">
      <c r="A6" s="401" t="s">
        <v>496</v>
      </c>
      <c r="B6" s="401"/>
      <c r="C6" s="401"/>
      <c r="F6" s="85"/>
      <c r="G6" s="86"/>
      <c r="K6" s="396" t="s">
        <v>69</v>
      </c>
      <c r="L6" s="396"/>
      <c r="M6" s="396"/>
      <c r="N6" s="398" t="s">
        <v>513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506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506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4" t="s">
        <v>91</v>
      </c>
      <c r="B2" s="394"/>
      <c r="C2" s="394"/>
    </row>
    <row r="3" spans="1:18 16382:16383" ht="15" customHeight="1" x14ac:dyDescent="0.35">
      <c r="A3" s="395" t="s">
        <v>92</v>
      </c>
      <c r="B3" s="395"/>
      <c r="C3" s="395"/>
      <c r="F3" s="85"/>
      <c r="G3" s="1"/>
      <c r="J3" s="396" t="s">
        <v>43</v>
      </c>
      <c r="K3" s="396"/>
      <c r="L3" s="396"/>
      <c r="M3" s="395"/>
      <c r="N3" s="395"/>
      <c r="O3" s="395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5" t="s">
        <v>65</v>
      </c>
      <c r="B4" s="395"/>
      <c r="C4" s="395"/>
      <c r="F4" s="85"/>
      <c r="G4" s="1"/>
      <c r="J4" s="396" t="s">
        <v>44</v>
      </c>
      <c r="K4" s="396"/>
      <c r="L4" s="396"/>
      <c r="M4" s="399">
        <f ca="1">TODAY()+1</f>
        <v>46259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00" t="s">
        <v>93</v>
      </c>
      <c r="B5" s="400"/>
      <c r="C5" s="400"/>
      <c r="F5" s="85"/>
      <c r="G5" s="1"/>
      <c r="J5" s="396" t="s">
        <v>45</v>
      </c>
      <c r="K5" s="396"/>
      <c r="L5" s="396"/>
      <c r="M5" s="399">
        <f ca="1">M4-1</f>
        <v>46258</v>
      </c>
      <c r="N5" s="395"/>
      <c r="O5" s="395"/>
      <c r="Q5" s="85"/>
      <c r="R5" s="1"/>
    </row>
    <row r="6" spans="1:18 16382:16383" ht="15" customHeight="1" x14ac:dyDescent="0.35">
      <c r="A6" s="396" t="s">
        <v>94</v>
      </c>
      <c r="B6" s="396"/>
      <c r="C6" s="396"/>
      <c r="F6" s="85"/>
      <c r="G6" s="86"/>
      <c r="J6" s="396" t="s">
        <v>69</v>
      </c>
      <c r="K6" s="396"/>
      <c r="L6" s="396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6" t="s">
        <v>73</v>
      </c>
      <c r="B7" s="396"/>
      <c r="C7" s="396"/>
      <c r="F7" s="85"/>
      <c r="G7" s="86"/>
      <c r="J7" s="396" t="s">
        <v>66</v>
      </c>
      <c r="K7" s="396"/>
      <c r="L7" s="396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2" t="s">
        <v>95</v>
      </c>
      <c r="B8" s="402"/>
      <c r="C8" s="402"/>
      <c r="F8" s="85"/>
      <c r="G8" s="86"/>
      <c r="J8" s="396" t="s">
        <v>67</v>
      </c>
      <c r="K8" s="396"/>
      <c r="L8" s="396"/>
      <c r="M8" s="398" t="s">
        <v>71</v>
      </c>
      <c r="N8" s="398"/>
      <c r="O8" s="398"/>
      <c r="Q8" s="85"/>
      <c r="R8" s="86"/>
    </row>
    <row r="9" spans="1:18 16382:16383" x14ac:dyDescent="0.35">
      <c r="A9" s="402" t="s">
        <v>96</v>
      </c>
      <c r="B9" s="402"/>
      <c r="C9" s="402"/>
      <c r="F9" s="85"/>
      <c r="G9" s="86"/>
      <c r="J9" s="396" t="s">
        <v>68</v>
      </c>
      <c r="K9" s="396"/>
      <c r="L9" s="396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402" t="s">
        <v>97</v>
      </c>
      <c r="B10" s="402"/>
      <c r="C10" s="402"/>
      <c r="F10" s="85"/>
      <c r="G10" s="1"/>
      <c r="J10" s="396" t="s">
        <v>46</v>
      </c>
      <c r="K10" s="396"/>
      <c r="L10" s="396"/>
      <c r="M10" s="395" t="s">
        <v>47</v>
      </c>
      <c r="N10" s="395"/>
      <c r="O10" s="395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6" t="s">
        <v>48</v>
      </c>
      <c r="K11" s="396"/>
      <c r="L11" s="396"/>
      <c r="M11" s="395" t="s">
        <v>49</v>
      </c>
      <c r="N11" s="395"/>
      <c r="O11" s="395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6" t="s">
        <v>50</v>
      </c>
      <c r="K12" s="396"/>
      <c r="L12" s="396"/>
      <c r="M12" s="395"/>
      <c r="N12" s="395"/>
      <c r="O12" s="395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6" t="s">
        <v>51</v>
      </c>
      <c r="B14" s="347"/>
      <c r="C14" s="350" t="s">
        <v>90</v>
      </c>
      <c r="D14" s="88" t="s">
        <v>52</v>
      </c>
      <c r="E14" s="95" t="s">
        <v>74</v>
      </c>
      <c r="F14" s="115" t="s">
        <v>53</v>
      </c>
      <c r="G14" s="393" t="s">
        <v>54</v>
      </c>
      <c r="H14" s="355"/>
      <c r="I14" s="356" t="s">
        <v>77</v>
      </c>
      <c r="J14" s="354" t="s">
        <v>55</v>
      </c>
      <c r="K14" s="355"/>
      <c r="L14" s="35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8"/>
      <c r="B15" s="349"/>
      <c r="C15" s="35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7"/>
      <c r="J15" s="144" t="s">
        <v>39</v>
      </c>
      <c r="K15" s="145" t="s">
        <v>59</v>
      </c>
      <c r="L15" s="357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2"/>
      <c r="M28" s="369" t="s">
        <v>60</v>
      </c>
      <c r="N28" s="370"/>
      <c r="O28" s="139">
        <f>I25</f>
        <v>1452.8</v>
      </c>
    </row>
    <row r="29" spans="1:18 16383:16383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5"/>
      <c r="M29" s="371" t="s">
        <v>85</v>
      </c>
      <c r="N29" s="372"/>
      <c r="O29" s="140">
        <f>K25</f>
        <v>0</v>
      </c>
    </row>
    <row r="30" spans="1:18 16383:16383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5"/>
      <c r="M30" s="371" t="s">
        <v>86</v>
      </c>
      <c r="N30" s="372"/>
      <c r="O30" s="140">
        <f>J25</f>
        <v>50.848000000000006</v>
      </c>
    </row>
    <row r="31" spans="1:18 16383:16383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5"/>
      <c r="L31" s="131"/>
      <c r="M31" s="371" t="s">
        <v>87</v>
      </c>
      <c r="N31" s="372"/>
      <c r="O31" s="140">
        <f>O28-O29-O30</f>
        <v>1401.952</v>
      </c>
    </row>
    <row r="32" spans="1:18 16383:16383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5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5"/>
      <c r="L33" s="131"/>
      <c r="M33" s="373" t="s">
        <v>76</v>
      </c>
      <c r="N33" s="374"/>
      <c r="O33" s="140">
        <f>O31+O32</f>
        <v>1710.3814400000001</v>
      </c>
    </row>
    <row r="34" spans="2:15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8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5" t="s">
        <v>88</v>
      </c>
      <c r="N35" s="376"/>
      <c r="O35" s="141">
        <f>O28-O29+O31+O34</f>
        <v>2897.511536</v>
      </c>
    </row>
    <row r="36" spans="2:15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6" t="s">
        <v>439</v>
      </c>
      <c r="E1" s="338" t="s">
        <v>58</v>
      </c>
      <c r="F1" s="338"/>
      <c r="G1" s="339" t="s">
        <v>440</v>
      </c>
      <c r="H1" s="339"/>
      <c r="I1" s="407" t="s">
        <v>441</v>
      </c>
      <c r="J1" s="407"/>
      <c r="K1" s="407" t="s">
        <v>442</v>
      </c>
      <c r="L1" s="407"/>
      <c r="M1" s="403" t="s">
        <v>484</v>
      </c>
      <c r="N1" s="404"/>
      <c r="O1" s="405"/>
    </row>
    <row r="2" spans="3:24" ht="29" x14ac:dyDescent="0.35">
      <c r="C2" s="338"/>
      <c r="D2" s="406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10" t="s">
        <v>58</v>
      </c>
      <c r="F7" s="410"/>
      <c r="G7" s="411" t="s">
        <v>440</v>
      </c>
      <c r="H7" s="339"/>
      <c r="I7" s="340" t="s">
        <v>441</v>
      </c>
      <c r="J7" s="341"/>
      <c r="K7" s="340" t="s">
        <v>442</v>
      </c>
      <c r="L7" s="341"/>
      <c r="M7" s="403" t="s">
        <v>484</v>
      </c>
      <c r="N7" s="404"/>
      <c r="O7" s="405"/>
      <c r="P7" s="256" t="s">
        <v>475</v>
      </c>
      <c r="Q7" s="242" t="s">
        <v>473</v>
      </c>
      <c r="R7" s="406" t="s">
        <v>475</v>
      </c>
      <c r="S7" s="406" t="s">
        <v>485</v>
      </c>
      <c r="T7" s="412" t="s">
        <v>486</v>
      </c>
      <c r="U7" s="412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6"/>
      <c r="S8" s="406"/>
      <c r="T8" s="411"/>
      <c r="U8" s="41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3" t="s">
        <v>484</v>
      </c>
      <c r="N13" s="404"/>
      <c r="O13" s="405"/>
      <c r="P13" s="256" t="s">
        <v>475</v>
      </c>
      <c r="Q13" s="242" t="s">
        <v>473</v>
      </c>
      <c r="R13" s="406" t="s">
        <v>475</v>
      </c>
      <c r="S13" s="406" t="s">
        <v>485</v>
      </c>
      <c r="T13" s="412" t="s">
        <v>486</v>
      </c>
      <c r="U13" s="412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6"/>
      <c r="S14" s="406"/>
      <c r="T14" s="411"/>
      <c r="U14" s="41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3" t="s">
        <v>484</v>
      </c>
      <c r="N20" s="404"/>
      <c r="O20" s="405"/>
      <c r="P20" s="256" t="s">
        <v>475</v>
      </c>
      <c r="Q20" s="242" t="s">
        <v>473</v>
      </c>
      <c r="R20" s="406" t="s">
        <v>475</v>
      </c>
      <c r="S20" s="406" t="s">
        <v>485</v>
      </c>
      <c r="T20" s="412" t="s">
        <v>486</v>
      </c>
      <c r="U20" s="412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6"/>
      <c r="S21" s="406"/>
      <c r="T21" s="411"/>
      <c r="U21" s="41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3" t="s">
        <v>484</v>
      </c>
      <c r="N27" s="404"/>
      <c r="O27" s="405"/>
      <c r="P27" s="256" t="s">
        <v>475</v>
      </c>
      <c r="Q27" s="242" t="s">
        <v>473</v>
      </c>
      <c r="R27" s="406" t="s">
        <v>475</v>
      </c>
      <c r="S27" s="406" t="s">
        <v>485</v>
      </c>
      <c r="T27" s="412" t="s">
        <v>486</v>
      </c>
      <c r="U27" s="412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6"/>
      <c r="S28" s="406"/>
      <c r="T28" s="411"/>
      <c r="U28" s="41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6" t="s">
        <v>439</v>
      </c>
      <c r="D1" s="338" t="s">
        <v>58</v>
      </c>
      <c r="E1" s="338"/>
      <c r="F1" s="339" t="s">
        <v>440</v>
      </c>
      <c r="G1" s="339"/>
      <c r="H1" s="407" t="s">
        <v>441</v>
      </c>
      <c r="I1" s="407"/>
      <c r="J1" s="407" t="s">
        <v>442</v>
      </c>
      <c r="K1" s="407"/>
      <c r="L1" s="403" t="s">
        <v>484</v>
      </c>
      <c r="M1" s="404"/>
      <c r="N1" s="405"/>
    </row>
    <row r="2" spans="2:17" ht="29" x14ac:dyDescent="0.35">
      <c r="B2" s="338"/>
      <c r="C2" s="406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5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5"/>
      <c r="G60" s="160" t="s">
        <v>195</v>
      </c>
      <c r="H60" s="161" t="s">
        <v>100</v>
      </c>
    </row>
    <row r="61" spans="5:8" x14ac:dyDescent="0.35">
      <c r="E61" s="159" t="s">
        <v>192</v>
      </c>
      <c r="F61" s="415"/>
      <c r="G61" s="160" t="s">
        <v>196</v>
      </c>
      <c r="H61" s="161" t="s">
        <v>98</v>
      </c>
    </row>
    <row r="62" spans="5:8" x14ac:dyDescent="0.35">
      <c r="E62" s="159" t="s">
        <v>192</v>
      </c>
      <c r="F62" s="415"/>
      <c r="G62" s="160" t="s">
        <v>197</v>
      </c>
      <c r="H62" s="161" t="s">
        <v>101</v>
      </c>
    </row>
    <row r="63" spans="5:8" x14ac:dyDescent="0.35">
      <c r="E63" s="159" t="s">
        <v>192</v>
      </c>
      <c r="F63" s="415"/>
      <c r="G63" s="160" t="s">
        <v>198</v>
      </c>
      <c r="H63" s="161" t="s">
        <v>102</v>
      </c>
    </row>
    <row r="64" spans="5:8" x14ac:dyDescent="0.35">
      <c r="E64" s="159" t="s">
        <v>192</v>
      </c>
      <c r="F64" s="415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5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5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5"/>
      <c r="G121" s="160" t="s">
        <v>273</v>
      </c>
      <c r="H121" s="161" t="s">
        <v>98</v>
      </c>
    </row>
    <row r="122" spans="5:8" x14ac:dyDescent="0.35">
      <c r="E122" s="159" t="s">
        <v>269</v>
      </c>
      <c r="F122" s="415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5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5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5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5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5"/>
      <c r="G241" s="160" t="s">
        <v>432</v>
      </c>
      <c r="H241" s="161" t="s">
        <v>98</v>
      </c>
    </row>
    <row r="242" spans="5:8" x14ac:dyDescent="0.35">
      <c r="E242" s="159" t="s">
        <v>428</v>
      </c>
      <c r="F242" s="415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5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5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2026-08-24T14:03:24Z</dcterms:modified>
</cp:coreProperties>
</file>