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0698602-5F06-4AE3-B897-29CE329A7CF2}" xr6:coauthVersionLast="47" xr6:coauthVersionMax="47" xr10:uidLastSave="{00000000-0000-0000-0000-000000000000}"/>
  <bookViews>
    <workbookView xWindow="-110" yWindow="-110" windowWidth="19420" windowHeight="10420" tabRatio="80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16" i="62" l="1"/>
  <c r="S15" i="62"/>
  <c r="H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69" l="1"/>
  <c r="O21" i="69" s="1"/>
  <c r="P21" i="69" s="1"/>
  <c r="M17" i="61"/>
  <c r="O17" i="61" s="1"/>
  <c r="P17" i="61" s="1"/>
  <c r="M16" i="60"/>
  <c r="M16" i="58"/>
  <c r="O16" i="58" s="1"/>
  <c r="P16" i="58" s="1"/>
  <c r="M16" i="59"/>
  <c r="O16" i="59" s="1"/>
  <c r="P16" i="59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<sst xmlns="http://schemas.openxmlformats.org/spreadsheetml/2006/main" count="3978" uniqueCount="542">
  <si>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</si>
  <si>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</si>
  <si>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</si>
  <si>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</si>
  <si>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</si>
  <si>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</si>
  <si>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</si>
  <si>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</si>
  <si>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</si>
  <si>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</si>
  <si>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</si>
  <si>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</si>
  <si>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</si>
  <si>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</si>
  <si>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</si>
  <si>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</si>
  <si>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</si>
  <si>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</si>
  <si>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</si>
  <si>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</si>
  <si>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</si>
  <si>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</si>
  <si>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</si>
  <si>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</si>
  <si>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</si>
  <si>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</si>
  <si>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</si>
  <si>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</si>
  <si>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</si>
  <si>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</si>
  <si>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</si>
  <si>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</si>
  <si>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</si>
  <si>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</si>
  <si>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</si>
  <si>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</si>
  <si>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</si>
  <si>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</si>
  <si>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</si>
  <si>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</si>
  <si>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</si>
  <si>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</si>
  <si>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</si>
  <si>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</si>
  <si>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</si>
  <si>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</si>
  <si>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</si>
  <si>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</si>
  <si>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</si>
  <si>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</si>
  <si>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</si>
  <si>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</si>
  <si>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</si>
  <si>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</si>
  <si>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</si>
  <si>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</si>
  <si>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</si>
  <si>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</si>
  <si>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</si>
  <si>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</si>
  <si>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</si>
  <si>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</si>
  <si>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</si>
  <si>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</si>
  <si>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</si>
  <si>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</si>
  <si>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</si>
  <si>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</si>
  <si>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</si>
  <si>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</si>
  <si>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</si>
  <si>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</si>
  <si>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</si>
  <si>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</si>
  <si>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</si>
  <si>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</si>
  <si>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</si>
  <si>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</si>
  <si>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</si>
  <si>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</si>
  <si>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</si>
  <si>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</si>
  <si>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</si>
  <si>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</si>
  <si>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</si>
  <si>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</si>
  <si>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</si>
  <si>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</si>
  <si>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</si>
  <si>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</si>
  <si>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</si>
  <si>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</si>
  <si>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</si>
  <si>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</si>
  <si>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</si>
  <si>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</si>
  <si>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</si>
  <si>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</si>
  <si>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</si>
  <si>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</si>
  <si>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</si>
  <si>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</si>
  <si>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</si>
  <si>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</si>
  <si>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</si>
  <si>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</si>
  <si>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</si>
  <si>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</si>
  <si>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</si>
  <si>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</si>
  <si>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</si>
  <si>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</si>
  <si>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</si>
  <si>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</si>
  <si>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</si>
  <si>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</si>
  <si>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</si>
  <si>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</si>
  <si>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</si>
  <si>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</si>
  <si>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</si>
  <si>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</si>
  <si>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</si>
  <si>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</si>
  <si>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</si>
  <si>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</si>
  <si>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</si>
  <si>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</si>
  <si>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</si>
  <si>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</si>
  <si>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</si>
  <si>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</si>
  <si>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</si>
  <si>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</si>
  <si>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</si>
  <si>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</si>
  <si>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</si>
  <si>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</si>
  <si>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</si>
  <si>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</si>
  <si>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</si>
  <si>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</si>
  <si>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</si>
  <si>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</si>
  <si>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</si>
  <si>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</si>
  <si>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</si>
  <si>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</si>
  <si>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</si>
  <si>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</si>
  <si>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</si>
  <si>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</si>
  <si>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</si>
  <si>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</si>
  <si>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</si>
  <si>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</si>
  <si>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</si>
  <si>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</si>
  <si>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</si>
  <si>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</si>
  <si>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</si>
  <si>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</si>
  <si>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</si>
  <si>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</si>
  <si>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</si>
  <si>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</si>
  <si>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</si>
  <si>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</si>
  <si>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</si>
  <si>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</si>
  <si>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</si>
  <si>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</si>
  <si>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</si>
  <si>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</si>
  <si>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</si>
  <si>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</si>
  <si>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</si>
  <si>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</si>
  <si>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</si>
  <si>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</si>
  <si>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</si>
  <si>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</si>
  <si>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</si>
  <si>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</si>
  <si>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</si>
  <si>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</si>
  <si>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</si>
  <si>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</si>
  <si>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</si>
  <si>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</si>
  <si>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</si>
  <si>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</si>
  <si>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</si>
  <si>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</si>
  <si>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</si>
  <si>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</si>
  <si>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</si>
  <si>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</si>
  <si>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</si>
  <si>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</si>
  <si>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</si>
  <si>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</si>
  <si>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</si>
  <si>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</si>
  <si>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</si>
  <si>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</si>
  <si>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</si>
  <si>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</si>
  <si>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</si>
  <si>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</si>
  <si>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</si>
  <si>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</si>
  <si>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</si>
  <si>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</si>
  <si>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</si>
  <si>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</si>
  <si>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</si>
  <si>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</si>
  <si>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</si>
  <si>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</si>
  <si>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</si>
  <si>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</si>
  <si>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</si>
  <si>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</si>
  <si>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</si>
  <si>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</si>
  <si>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</si>
  <si>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</si>
  <si>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</si>
  <si>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</si>
  <si>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</si>
  <si>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</si>
  <si>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</si>
  <si>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</si>
  <si>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</si>
  <si>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</si>
  <si>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</si>
  <si>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</si>
  <si>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</si>
  <si>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</si>
  <si>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</si>
  <si>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</si>
  <si>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</si>
  <si>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</si>
  <si>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</si>
  <si>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</si>
  <si>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</si>
  <si>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</si>
  <si>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</si>
  <si>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</si>
  <si>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</si>
  <si>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</si>
  <si>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</si>
  <si>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</si>
  <si>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</si>
  <si>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</si>
  <si>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</si>
  <si>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</si>
  <si>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</si>
  <si>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</si>
  <si>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</si>
  <si>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</si>
  <si>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</si>
  <si>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</si>
  <si>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</si>
  <si>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</si>
  <si>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</si>
  <si>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</si>
  <si>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</si>
  <si>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</si>
  <si>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</si>
  <si>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</si>
  <si>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</si>
  <si>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</si>
  <si>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</si>
  <si>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</si>
  <si>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</si>
  <si>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</si>
  <si>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</si>
  <si>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</si>
  <si>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</si>
  <si>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</si>
  <si>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</si>
  <si>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</si>
  <si>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</si>
  <si>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</si>
  <si>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</si>
  <si>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</si>
  <si>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</si>
  <si>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</si>
  <si>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</si>
  <si>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</si>
  <si>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</si>
  <si>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</si>
  <si>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</si>
  <si>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</si>
  <si>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</si>
  <si>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</si>
  <si>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</si>
  <si>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</si>
  <si>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</si>
  <si>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</si>
  <si>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</si>
  <si>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</si>
  <si>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</si>
  <si>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</si>
  <si>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</si>
  <si>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</si>
  <si>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</si>
  <si>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</si>
  <si>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</si>
  <si>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</si>
  <si>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</si>
  <si>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</si>
  <si>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</si>
  <si>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</si>
  <si>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</si>
  <si>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</si>
  <si>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</si>
  <si>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</si>
  <si>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</si>
  <si>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</si>
  <si>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</si>
  <si>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</si>
  <si>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</si>
  <si>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</si>
  <si>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</si>
  <si>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</si>
  <si>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</si>
  <si>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</si>
  <si>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</si>
  <si>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</si>
  <si>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</si>
  <si>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</si>
  <si>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</si>
  <si>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</si>
  <si>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</si>
  <si>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</si>
  <si>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</si>
  <si>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</si>
  <si>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</si>
  <si>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</si>
  <si>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</si>
  <si>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</si>
  <si>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</si>
  <si>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</si>
  <si>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</si>
  <si>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</si>
  <si>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</si>
  <si>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</si>
  <si>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</si>
  <si>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</si>
  <si>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</si>
  <si>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</si>
  <si>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</si>
  <si>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</si>
  <si>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</si>
  <si>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</si>
  <si>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</si>
  <si>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</si>
  <si>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</si>
  <si>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</si>
  <si>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</si>
  <si>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</si>
  <si>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</si>
  <si>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</si>
  <si>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</si>
  <si>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</si>
  <si>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</si>
  <si>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</si>
  <si>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</si>
  <si>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</si>
  <si>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</si>
  <si>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</si>
  <si>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</si>
  <si>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</si>
  <si>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</si>
  <si>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</si>
  <si>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</si>
  <si>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</si>
  <si>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</si>
  <si>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</si>
  <si>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</si>
  <si>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</si>
  <si>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</si>
  <si>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</si>
  <si>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</si>
  <si>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</si>
  <si>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</si>
  <si>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</si>
  <si>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</si>
  <si>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</si>
  <si>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</si>
  <si>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</si>
  <si>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</si>
  <si>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</si>
  <si>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</si>
  <si>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</si>
  <si>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</si>
  <si>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</si>
  <si>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</si>
  <si>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</si>
  <si>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</si>
  <si>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</si>
  <si>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</si>
  <si>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</si>
  <si>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</si>
  <si>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</si>
  <si>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</si>
  <si>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</si>
  <si>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</si>
  <si>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</si>
  <si>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</si>
  <si>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</si>
  <si>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</si>
  <si>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</si>
  <si>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</si>
  <si>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</si>
  <si>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</si>
  <si>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</si>
  <si>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</si>
  <si>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</si>
  <si>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</si>
  <si>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</si>
  <si>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</si>
  <si>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</si>
  <si>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</si>
  <si>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</si>
  <si>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</si>
  <si>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</si>
  <si>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</si>
  <si>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</si>
  <si>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</si>
  <si>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</si>
  <si>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</si>
  <si>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</si>
  <si>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</si>
  <si>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</si>
  <si>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</si>
  <si>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</si>
  <si>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</si>
  <si>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</si>
  <si>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</si>
  <si>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</si>
  <si>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</si>
  <si>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</si>
  <si>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</si>
  <si>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</si>
  <si>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</si>
  <si>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</si>
  <si>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</si>
  <si>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</si>
  <si>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</si>
  <si>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</si>
  <si>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</si>
  <si>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</si>
  <si>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</si>
  <si>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</si>
  <si>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</si>
  <si>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</si>
  <si>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</si>
  <si>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</si>
  <si>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</si>
  <si>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</si>
  <si>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</si>
  <si>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</si>
  <si>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</si>
  <si>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</si>
  <si>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</si>
  <si>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</si>
  <si>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</si>
  <si>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</si>
  <si>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</si>
  <si>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</si>
  <si>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</si>
  <si>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</si>
  <si>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</si>
  <si>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</si>
  <si>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</si>
  <si>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</si>
  <si>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</si>
  <si>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</si>
  <si>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</si>
  <si>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</si>
  <si>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</si>
  <si>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</si>
  <si>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</si>
  <si>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</si>
  <si>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</si>
  <si>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</si>
  <si>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</si>
  <si>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</si>
  <si>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</si>
  <si>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</si>
  <si>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</si>
  <si>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</si>
  <si>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</si>
  <si>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</si>
  <si>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</si>
  <si>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</si>
  <si>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</si>
  <si>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</si>
  <si>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</si>
  <si>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</si>
  <si>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</si>
  <si>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</si>
  <si>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</si>
  <si>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</si>
  <si>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</si>
  <si>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</si>
  <si>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</si>
  <si>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</si>
  <si>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</si>
  <si>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Zeshan </t>
  </si>
  <si>
    <t>Address: Badian Road</t>
  </si>
  <si>
    <t>Toheed Store</t>
  </si>
  <si>
    <t>G.M Store</t>
  </si>
  <si>
    <t>Fakhir Store</t>
  </si>
  <si>
    <t>Mian Store</t>
  </si>
  <si>
    <t>Saleem Store</t>
  </si>
  <si>
    <t>Ch Store</t>
  </si>
  <si>
    <t>Malik Store</t>
  </si>
  <si>
    <t xml:space="preserve">Khalil Bakers </t>
  </si>
  <si>
    <t>Ms Store</t>
  </si>
  <si>
    <t>Yaseen Store</t>
  </si>
  <si>
    <t>786 Store</t>
  </si>
  <si>
    <t>Nadeem Store</t>
  </si>
  <si>
    <t>Irfan Store</t>
  </si>
  <si>
    <t>SM Store</t>
  </si>
  <si>
    <t>Faizan Store</t>
  </si>
  <si>
    <t xml:space="preserve">Adeel Pharmacy </t>
  </si>
  <si>
    <t>Imran Store</t>
  </si>
  <si>
    <t>Saeed Store</t>
  </si>
  <si>
    <t>Usman Store</t>
  </si>
  <si>
    <t>Ghose Store</t>
  </si>
  <si>
    <t>Ahmad Store</t>
  </si>
  <si>
    <t>Madina Store</t>
  </si>
  <si>
    <t>Al Barkat Store</t>
  </si>
  <si>
    <t>Daim Store</t>
  </si>
  <si>
    <t>Khan Store</t>
  </si>
  <si>
    <t xml:space="preserve">Hikers </t>
  </si>
  <si>
    <t xml:space="preserve">Hadi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</si>
</sst>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10"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499</v>
      </c>
      <c r="F2" s="358"/>
      <c r="G2" s="358"/>
      <c r="H2" s="355" t="s">
        <v>513</v>
      </c>
      <c r="I2" s="355"/>
      <c r="J2" s="356"/>
      <c r="R2" s="352" t="s">
        <v>498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509</v>
      </c>
      <c r="F3" s="362"/>
      <c r="G3" s="362"/>
      <c r="H3" s="359">
        <f ca="1">TODAY()</f>
        <v>46266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Toheed Store</v>
      </c>
      <c r="T3" s="301">
        <f>+'1'!P35</f>
        <v>10150.026376929023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G.M Store</v>
      </c>
      <c r="T4" s="301">
        <f>+'2'!P35</f>
        <v>6272.4231701694916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5" t="s">
        <v>508</v>
      </c>
      <c r="R5" s="314">
        <v>3</v>
      </c>
      <c r="S5" s="300" t="str">
        <f>+'3'!A6:A6</f>
        <v>Fakhir Store</v>
      </c>
      <c r="T5" s="301">
        <f>+'3'!P35</f>
        <v>784.05289627118646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5" t="s">
        <v>507</v>
      </c>
      <c r="R6" s="314">
        <v>4</v>
      </c>
      <c r="S6" s="300" t="str">
        <f>+'4'!A6:A6</f>
        <v>Mian Store</v>
      </c>
      <c r="T6" s="301">
        <f>+'4'!P35</f>
        <v>784.05289627118646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39</v>
      </c>
      <c r="I7" s="235">
        <f>(G7*D7)*F7+H7*F7</f>
        <v>2046.0374999999999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163.68299999999999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71.611312499999997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1810.7431875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386.69491525423712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10.987190513771186</v>
      </c>
      <c r="P7" s="310">
        <f>M7+N7+O7</f>
        <v>2208.4252932680083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21</v>
      </c>
      <c r="R7" s="314">
        <v>5</v>
      </c>
      <c r="S7" s="300" t="str">
        <f>+'5'!A6:A6</f>
        <v>Saleem Store</v>
      </c>
      <c r="T7" s="301">
        <f>+'5'!P35</f>
        <v>784.05289627118646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4">
        <v>6</v>
      </c>
      <c r="S8" s="300" t="str">
        <f>+'6'!A6:A6</f>
        <v>Ch Store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Malik Store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115</v>
      </c>
      <c r="I10" s="236">
        <f t="shared" si="0"/>
        <v>8353.6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668.28800000000001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292.37600000000003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7392.9360000000006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1578.8135593220345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44.858747796610174</v>
      </c>
      <c r="P10" s="311">
        <f t="shared" si="2"/>
        <v>9016.6083071186458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4">
        <v>8</v>
      </c>
      <c r="S10" s="300" t="str">
        <f>+'8'!A6:A6</f>
        <v xml:space="preserve">Khalil Bakers 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464.89600000000007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5142.9119999999994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31.206085423728812</v>
      </c>
      <c r="P11" s="311">
        <f t="shared" si="2"/>
        <v>6272.4231701694907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Ms Store</v>
      </c>
      <c r="T11" s="301">
        <f>+'9'!P35</f>
        <v>784.05289627118646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190</v>
      </c>
      <c r="I12" s="236">
        <f t="shared" si="0"/>
        <v>13801.6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1104.1279999999999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483.05599999999998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12214.416000000001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2608.4745762711873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74.114452881355945</v>
      </c>
      <c r="P12" s="311">
        <f t="shared" si="2"/>
        <v>14897.005029152544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Yaseen Store</v>
      </c>
      <c r="T12" s="301">
        <f>+'10'!P35</f>
        <v>784.05289627118646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20</v>
      </c>
      <c r="R13" s="314">
        <v>11</v>
      </c>
      <c r="S13" s="300" t="str">
        <f>+'11'!A6:A6</f>
        <v>786 Store</v>
      </c>
      <c r="T13" s="301">
        <f>+'11'!P35</f>
        <v>784.05289627118646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Nadeem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Irfan Store</v>
      </c>
      <c r="T15" s="301">
        <f>+'13'!P35</f>
        <v>784.05289627118646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12.6</v>
      </c>
      <c r="H16" s="113">
        <f t="shared" ref="H16:M16" si="3">SUM(H7:H15)</f>
        <v>504</v>
      </c>
      <c r="I16" s="114">
        <f t="shared" si="3"/>
        <v>33150.837500000001</v>
      </c>
      <c r="J16" s="274">
        <f>SUM(J7:J15)</f>
        <v>2557.915</v>
      </c>
      <c r="K16" s="275">
        <f t="shared" si="3"/>
        <v>1160.2793125000001</v>
      </c>
      <c r="L16" s="276">
        <f t="shared" si="3"/>
        <v>160.05840000000001</v>
      </c>
      <c r="M16" s="232">
        <f t="shared" si="3"/>
        <v>29272.5847875</v>
      </c>
      <c r="N16" s="233">
        <f>SUM(N7:N15)</f>
        <v>6282.4576271186452</v>
      </c>
      <c r="O16" s="101">
        <f>SUM(O7:O15)</f>
        <v>177.77521207309323</v>
      </c>
      <c r="P16" s="113">
        <f>SUM(P7:P15)</f>
        <v>35732.817626691743</v>
      </c>
      <c r="Q16" s="128">
        <f>SUM(Q7:Q15)</f>
        <v>76</v>
      </c>
      <c r="R16" s="314">
        <v>14</v>
      </c>
      <c r="S16" s="318" t="str">
        <f>+'14'!A6:A6</f>
        <v>SM Store</v>
      </c>
      <c r="T16" s="301">
        <f>+'14'!P35</f>
        <v>784.05289627118646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Faizan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Adeel Pharmacy 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33150.837500000001</v>
      </c>
      <c r="R19" s="299">
        <v>17</v>
      </c>
      <c r="S19" s="300" t="str">
        <f>+'17'!A6:A6</f>
        <v>Imran Store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2557.915</v>
      </c>
      <c r="R20" s="299">
        <v>18</v>
      </c>
      <c r="S20" s="300" t="str">
        <f>+'18'!A6:A6</f>
        <v>Saeed Store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1320.3377125000002</v>
      </c>
      <c r="R21" s="299">
        <v>19</v>
      </c>
      <c r="S21" s="300" t="str">
        <f>+'19'!A6:A6</f>
        <v>Usman Store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29272.5847875</v>
      </c>
      <c r="R22" s="299">
        <v>20</v>
      </c>
      <c r="S22" s="300" t="str">
        <f>+'20'!A6:A6</f>
        <v>Ghose Store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6282.4576271186452</v>
      </c>
      <c r="R23" s="299">
        <v>21</v>
      </c>
      <c r="S23" s="300" t="str">
        <f>+'21'!A6:A6</f>
        <v>Ahmad Store</v>
      </c>
      <c r="T23" s="301">
        <f>+'21'!P35</f>
        <v>3136.2115850847458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35555.042414618641</v>
      </c>
      <c r="R24" s="299">
        <v>22</v>
      </c>
      <c r="S24" s="300" t="str">
        <f>+'22'!A6:A6</f>
        <v>Madina Store</v>
      </c>
      <c r="T24" s="301">
        <f>+'22'!P35</f>
        <v>1669.1779134915255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177.77521207309323</v>
      </c>
      <c r="R25" s="299">
        <v>23</v>
      </c>
      <c r="S25" s="300" t="str">
        <f>+'23'!A6:A6</f>
        <v>Al Barkat Store</v>
      </c>
      <c r="T25" s="301">
        <f>+'23'!P35</f>
        <v>1960.1322406779661</v>
      </c>
    </row>
    <row r="26" spans="1:20" ht="21.75" customHeight="1" thickBot="1" x14ac:dyDescent="0.4">
      <c r="N26" s="346" t="s">
        <v>88</v>
      </c>
      <c r="O26" s="347"/>
      <c r="P26" s="297">
        <f>+P24+P25</f>
        <v>35732.817626691736</v>
      </c>
      <c r="R26" s="299">
        <v>24</v>
      </c>
      <c r="S26" s="300" t="str">
        <f>+'24'!A6:A6</f>
        <v>Daim Store</v>
      </c>
      <c r="T26" s="301">
        <f>+'24'!P35</f>
        <v>784.05289627118646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Khan Store</v>
      </c>
      <c r="T27" s="301">
        <f>+'25'!P35</f>
        <v>784.05289627118646</v>
      </c>
    </row>
    <row r="28" spans="1:20" ht="21.75" customHeight="1" x14ac:dyDescent="0.35">
      <c r="R28" s="299">
        <v>26</v>
      </c>
      <c r="S28" s="300" t="str">
        <f>+'26'!A6:A6</f>
        <v xml:space="preserve">Hikers </v>
      </c>
      <c r="T28" s="301">
        <f>+'26'!P35</f>
        <v>784.05289627118646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Hadi </v>
      </c>
      <c r="T29" s="301">
        <f>+'27'!P35</f>
        <v>784.05289627118646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35732.817626691729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  <row r="49" spans="2:2" x14ac:dyDescent="0.35">
      <c r="B49" t="s">
        <v>510</v>
      </c>
    </row>
    <row r="50" spans="2:2" x14ac:dyDescent="0.35">
      <c r="B50" t="s">
        <v>512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39</v>
      </c>
      <c r="I16" s="235">
        <f>(G16*D16)*F16+H16*F16</f>
        <v>2046.0374999999999</v>
      </c>
      <c r="J16" s="271">
        <f>$I16*S16</f>
        <v>163.68299999999999</v>
      </c>
      <c r="K16" s="127">
        <f>$I16*T16</f>
        <v>71.611312499999997</v>
      </c>
      <c r="L16" s="118">
        <f>$I16*U16</f>
        <v>0</v>
      </c>
      <c r="M16" s="229">
        <f>I16-SUM(J16:L16)</f>
        <v>1810.7431875</v>
      </c>
      <c r="N16" s="248">
        <f>+(G16*D16+H16)*V16</f>
        <v>386.69491525423712</v>
      </c>
      <c r="O16" s="238">
        <f>(N16+M16)*$O$15</f>
        <v>10.987190513771186</v>
      </c>
      <c r="P16" s="310">
        <f>M16+N16+O16</f>
        <v>2208.4252932680083</v>
      </c>
      <c r="Q16" s="320">
        <v>1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321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321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321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21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321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321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321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321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159</v>
      </c>
      <c r="I25" s="114">
        <f t="shared" ref="I25:M25" si="10">SUM(I16:I24)</f>
        <v>9426.4375</v>
      </c>
      <c r="J25" s="274">
        <f>SUM(J16:J24)</f>
        <v>707.03899999999999</v>
      </c>
      <c r="K25" s="275">
        <f t="shared" si="10"/>
        <v>329.92531250000008</v>
      </c>
      <c r="L25" s="276">
        <f t="shared" si="10"/>
        <v>80.029200000000003</v>
      </c>
      <c r="M25" s="232">
        <f t="shared" si="10"/>
        <v>8309.4439875000007</v>
      </c>
      <c r="N25" s="233">
        <f>SUM(N16:N24)</f>
        <v>1790.0847457627117</v>
      </c>
      <c r="O25" s="101">
        <f>SUM(O16:O24)</f>
        <v>50.497643666313564</v>
      </c>
      <c r="P25" s="113">
        <f>SUM(P16:P24)</f>
        <v>10150.026376929025</v>
      </c>
      <c r="Q25" s="320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9426.4375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707.03899999999999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409.95451250000008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8309.4439874999989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1790.0847457627117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10099.52873326271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50.49764366631355</v>
      </c>
    </row>
    <row r="35" spans="2:16" ht="15.75" customHeight="1" thickBot="1" x14ac:dyDescent="0.4">
      <c r="N35" s="346" t="s">
        <v>88</v>
      </c>
      <c r="O35" s="347"/>
      <c r="P35" s="297">
        <f>+P33+P34</f>
        <v>10150.026376929023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311">
        <f t="shared" si="5"/>
        <v>1568.1057925423729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311">
        <f t="shared" si="5"/>
        <v>1568.1057925423729</v>
      </c>
      <c r="Q20" s="156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113">
        <f>SUM(P16:P24)</f>
        <v>6272.4231701694916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5811.2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464.89600000000002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203.39200000000002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5142.9120000000003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6241.2170847457628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6" t="s">
        <v>88</v>
      </c>
      <c r="O35" s="347"/>
      <c r="P35" s="297">
        <f>+P33+P34</f>
        <v>6272.4231701694916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10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10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10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10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10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7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8.75" customHeight="1" x14ac:dyDescent="0.4">
      <c r="A6" s="400" t="s">
        <v>534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1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2905.6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232.44799999999998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101.696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2571.4560000000001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3120.6085423728814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6" t="s">
        <v>88</v>
      </c>
      <c r="O35" s="347"/>
      <c r="P35" s="297">
        <f>+P33+P34</f>
        <v>3136.2115850847458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1569.2000000000003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78.460000000000022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134.95120000000003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1355.7888000000003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1660.873545762712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6" t="s">
        <v>88</v>
      </c>
      <c r="O35" s="347"/>
      <c r="P35" s="297">
        <f>+P33+P34</f>
        <v>1669.1779134915255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1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537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25</v>
      </c>
      <c r="I25" s="114">
        <f t="shared" si="7"/>
        <v>1816</v>
      </c>
      <c r="J25" s="274">
        <f>SUM(J16:J24)</f>
        <v>145.28</v>
      </c>
      <c r="K25" s="275">
        <f t="shared" si="7"/>
        <v>63.56</v>
      </c>
      <c r="L25" s="276">
        <f t="shared" si="7"/>
        <v>0</v>
      </c>
      <c r="M25" s="232">
        <f t="shared" si="7"/>
        <v>1607.1599999999999</v>
      </c>
      <c r="N25" s="233">
        <f>SUM(N16:N24)</f>
        <v>343.22033898305085</v>
      </c>
      <c r="O25" s="101">
        <f>SUM(O16:O24)</f>
        <v>9.7519016949152544</v>
      </c>
      <c r="P25" s="113">
        <f>SUM(P16:P24)</f>
        <v>1960.1322406779661</v>
      </c>
      <c r="Q25" s="128">
        <f>SUM(Q16:Q24)</f>
        <v>15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1816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145.28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63.56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1607.16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343.22033898305085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1950.3803389830509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9.7519016949152544</v>
      </c>
    </row>
    <row r="35" spans="2:16" ht="15.75" customHeight="1" thickBot="1" x14ac:dyDescent="0.4">
      <c r="N35" s="346" t="s">
        <v>88</v>
      </c>
      <c r="O35" s="347"/>
      <c r="P35" s="297">
        <f>+P33+P34</f>
        <v>1960.1322406779661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13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538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7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1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540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541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726.4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58.112000000000002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25.424000000000003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642.86400000000003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780.15213559322035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6" t="s">
        <v>88</v>
      </c>
      <c r="O35" s="347"/>
      <c r="P35" s="297">
        <f>+P33+P34</f>
        <v>784.05289627118646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500</v>
      </c>
      <c r="B4" s="371"/>
      <c r="C4" s="371"/>
      <c r="F4" s="85"/>
      <c r="G4" s="1"/>
      <c r="K4" s="372" t="s">
        <v>44</v>
      </c>
      <c r="L4" s="372"/>
      <c r="M4" s="372"/>
      <c r="N4" s="402">
        <v>46258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46257</v>
      </c>
      <c r="O5" s="371"/>
      <c r="P5" s="371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72" t="s">
        <v>69</v>
      </c>
      <c r="L6" s="372"/>
      <c r="M6" s="372"/>
      <c r="N6" s="401" t="s">
        <v>513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506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506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46267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46266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2026-09-01T06:48:32Z</dcterms:modified>
</cp:coreProperties>
</file>