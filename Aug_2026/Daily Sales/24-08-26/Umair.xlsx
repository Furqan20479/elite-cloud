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53A466B-AC99-404D-AC11-A93C994EB545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R20" i="48" s="1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J7" i="62"/>
  <c r="M20" i="47"/>
  <c r="O20" i="47" s="1"/>
  <c r="P20" i="47" s="1"/>
  <c r="R20" i="47" s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<sst xmlns="http://schemas.openxmlformats.org/spreadsheetml/2006/main" count="3978" uniqueCount="531">
  <si>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</si>
  <si>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</si>
  <si>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</si>
  <si>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</si>
  <si>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</si>
  <si>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</si>
  <si>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</si>
  <si>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</si>
  <si>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</si>
  <si>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</si>
  <si>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</si>
  <si>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</si>
  <si>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</si>
  <si>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</si>
  <si>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</si>
  <si>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</si>
  <si>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</si>
  <si>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</si>
  <si>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</si>
  <si>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</si>
  <si>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</si>
  <si>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</si>
  <si>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</si>
  <si>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</si>
  <si>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</si>
  <si>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</si>
  <si>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</si>
  <si>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</si>
  <si>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</si>
  <si>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</si>
  <si>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</si>
  <si>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</si>
  <si>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</si>
  <si>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</si>
  <si>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</si>
  <si>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</si>
  <si>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</si>
  <si>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</si>
  <si>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</si>
  <si>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</si>
  <si>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</si>
  <si>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</si>
  <si>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</si>
  <si>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</si>
  <si>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</si>
  <si>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</si>
  <si>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</si>
  <si>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</si>
  <si>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</si>
  <si>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</si>
  <si>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</si>
  <si>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</si>
  <si>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</si>
  <si>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</si>
  <si>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</si>
  <si>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</si>
  <si>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</si>
  <si>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</si>
  <si>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</si>
  <si>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</si>
  <si>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</si>
  <si>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</si>
  <si>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</si>
  <si>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</si>
  <si>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</si>
  <si>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</si>
  <si>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</si>
  <si>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</si>
  <si>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</si>
  <si>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</si>
  <si>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</si>
  <si>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</si>
  <si>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</si>
  <si>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</si>
  <si>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</si>
  <si>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</si>
  <si>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</si>
  <si>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</si>
  <si>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</si>
  <si>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</si>
  <si>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</si>
  <si>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</si>
  <si>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</si>
  <si>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</si>
  <si>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</si>
  <si>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</si>
  <si>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</si>
  <si>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</si>
  <si>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</si>
  <si>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</si>
  <si>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</si>
  <si>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</si>
  <si>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</si>
  <si>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</si>
  <si>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</si>
  <si>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</si>
  <si>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</si>
  <si>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</si>
  <si>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</si>
  <si>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</si>
  <si>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</si>
  <si>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</si>
  <si>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</si>
  <si>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</si>
  <si>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</si>
  <si>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</si>
  <si>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</si>
  <si>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</si>
  <si>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</si>
  <si>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</si>
  <si>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</si>
  <si>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</si>
  <si>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</si>
  <si>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</si>
  <si>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</si>
  <si>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</si>
  <si>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</si>
  <si>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</si>
  <si>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</si>
  <si>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</si>
  <si>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</si>
  <si>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</si>
  <si>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</si>
  <si>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</si>
  <si>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</si>
  <si>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</si>
  <si>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</si>
  <si>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</si>
  <si>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</si>
  <si>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</si>
  <si>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</si>
  <si>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</si>
  <si>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</si>
  <si>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</si>
  <si>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</si>
  <si>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</si>
  <si>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</si>
  <si>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</si>
  <si>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</si>
  <si>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</si>
  <si>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</si>
  <si>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</si>
  <si>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</si>
  <si>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</si>
  <si>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</si>
  <si>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</si>
  <si>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</si>
  <si>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</si>
  <si>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</si>
  <si>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</si>
  <si>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</si>
  <si>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</si>
  <si>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</si>
  <si>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</si>
  <si>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</si>
  <si>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</si>
  <si>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</si>
  <si>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</si>
  <si>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</si>
  <si>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</si>
  <si>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</si>
  <si>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</si>
  <si>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</si>
  <si>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</si>
  <si>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</si>
  <si>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</si>
  <si>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</si>
  <si>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</si>
  <si>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</si>
  <si>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</si>
  <si>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</si>
  <si>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</si>
  <si>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</si>
  <si>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</si>
  <si>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</si>
  <si>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</si>
  <si>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</si>
  <si>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</si>
  <si>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</si>
  <si>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</si>
  <si>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</si>
  <si>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</si>
  <si>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</si>
  <si>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</si>
  <si>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</si>
  <si>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</si>
  <si>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</si>
  <si>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</si>
  <si>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</si>
  <si>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</si>
  <si>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</si>
  <si>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</si>
  <si>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</si>
  <si>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</si>
  <si>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</si>
  <si>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</si>
  <si>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</si>
  <si>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</si>
  <si>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</si>
  <si>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</si>
  <si>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</si>
  <si>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</si>
  <si>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</si>
  <si>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</si>
  <si>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</si>
  <si>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</si>
  <si>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</si>
  <si>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</si>
  <si>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</si>
  <si>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</si>
  <si>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</si>
  <si>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</si>
  <si>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</si>
  <si>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</si>
  <si>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</si>
  <si>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</si>
  <si>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</si>
  <si>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</si>
  <si>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</si>
  <si>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</si>
  <si>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</si>
  <si>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</si>
  <si>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</si>
  <si>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</si>
  <si>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</si>
  <si>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</si>
  <si>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</si>
  <si>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</si>
  <si>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</si>
  <si>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</si>
  <si>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</si>
  <si>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</si>
  <si>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</si>
  <si>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</si>
  <si>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</si>
  <si>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</si>
  <si>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</si>
  <si>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</si>
  <si>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</si>
  <si>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</si>
  <si>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</si>
  <si>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</si>
  <si>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</si>
  <si>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</si>
  <si>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</si>
  <si>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</si>
  <si>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</si>
  <si>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</si>
  <si>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</si>
  <si>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</si>
  <si>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</si>
  <si>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</si>
  <si>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</si>
  <si>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</si>
  <si>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</si>
  <si>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</si>
  <si>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</si>
  <si>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</si>
  <si>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</si>
  <si>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</si>
  <si>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</si>
  <si>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</si>
  <si>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</si>
  <si>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</si>
  <si>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</si>
  <si>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</si>
  <si>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</si>
  <si>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</si>
  <si>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</si>
  <si>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</si>
  <si>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</si>
  <si>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</si>
  <si>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</si>
  <si>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</si>
  <si>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</si>
  <si>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</si>
  <si>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</si>
  <si>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</si>
  <si>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</si>
  <si>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</si>
  <si>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</si>
  <si>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</si>
  <si>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</si>
  <si>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</si>
  <si>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</si>
  <si>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</si>
  <si>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</si>
  <si>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</si>
  <si>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</si>
  <si>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</si>
  <si>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</si>
  <si>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</si>
  <si>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</si>
  <si>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</si>
  <si>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</si>
  <si>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</si>
  <si>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</si>
  <si>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</si>
  <si>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</si>
  <si>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</si>
  <si>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</si>
  <si>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</si>
  <si>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</si>
  <si>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</si>
  <si>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</si>
  <si>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</si>
  <si>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</si>
  <si>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</si>
  <si>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</si>
  <si>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</si>
  <si>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</si>
  <si>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</si>
  <si>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</si>
  <si>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</si>
  <si>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</si>
  <si>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</si>
  <si>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</si>
  <si>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</si>
  <si>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</si>
  <si>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</si>
  <si>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</si>
  <si>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</si>
  <si>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</si>
  <si>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</si>
  <si>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</si>
  <si>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</si>
  <si>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</si>
  <si>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</si>
  <si>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</si>
  <si>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</si>
  <si>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</si>
  <si>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</si>
  <si>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</si>
  <si>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</si>
  <si>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</si>
  <si>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</si>
  <si>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</si>
  <si>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</si>
  <si>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</si>
  <si>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</si>
  <si>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</si>
  <si>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</si>
  <si>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</si>
  <si>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</si>
  <si>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</si>
  <si>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</si>
  <si>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</si>
  <si>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</si>
  <si>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</si>
  <si>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</si>
  <si>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</si>
  <si>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</si>
  <si>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</si>
  <si>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</si>
  <si>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</si>
  <si>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</si>
  <si>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</si>
  <si>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</si>
  <si>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</si>
  <si>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</si>
  <si>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</si>
  <si>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</si>
  <si>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</si>
  <si>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</si>
  <si>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</si>
  <si>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</si>
  <si>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</si>
  <si>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</si>
  <si>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</si>
  <si>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</si>
  <si>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</si>
  <si>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</si>
  <si>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</si>
  <si>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</si>
  <si>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</si>
  <si>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</si>
  <si>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</si>
  <si>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</si>
  <si>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</si>
  <si>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</si>
  <si>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</si>
  <si>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</si>
  <si>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</si>
  <si>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</si>
  <si>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</si>
  <si>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</si>
  <si>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</si>
  <si>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</si>
  <si>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</si>
  <si>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</si>
  <si>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</si>
  <si>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</si>
  <si>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</si>
  <si>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</si>
  <si>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</si>
  <si>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</si>
  <si>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</si>
  <si>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</si>
  <si>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</si>
  <si>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</si>
  <si>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</si>
  <si>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</si>
  <si>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</si>
  <si>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</si>
  <si>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</si>
  <si>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</si>
  <si>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</si>
  <si>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</si>
  <si>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</si>
  <si>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</si>
  <si>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</si>
  <si>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</si>
  <si>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</si>
  <si>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</si>
  <si>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</si>
  <si>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</si>
  <si>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</si>
  <si>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</si>
  <si>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</si>
  <si>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</si>
  <si>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</si>
  <si>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</si>
  <si>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</si>
  <si>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</si>
  <si>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</si>
  <si>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</si>
  <si>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</si>
  <si>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</si>
  <si>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</si>
  <si>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</si>
  <si>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</si>
  <si>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</si>
  <si>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</si>
  <si>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</si>
  <si>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</si>
  <si>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</si>
  <si>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</si>
  <si>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</si>
  <si>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</si>
  <si>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</si>
  <si>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</si>
  <si>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</si>
  <si>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</si>
  <si>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</si>
  <si>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</si>
  <si>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</si>
  <si>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</si>
  <si>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</si>
  <si>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</si>
  <si>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</si>
  <si>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</si>
  <si>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</si>
  <si>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</si>
  <si>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</si>
  <si>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</si>
  <si>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</si>
  <si>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</si>
  <si>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</si>
  <si>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</si>
  <si>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</si>
  <si>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</si>
  <si>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</si>
  <si>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</si>
  <si>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</si>
  <si>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</si>
  <si>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</si>
  <si>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</si>
  <si>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</si>
  <si>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</si>
  <si>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</si>
  <si>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</si>
  <si>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</si>
  <si>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</si>
  <si>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</si>
  <si>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</si>
  <si>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</si>
  <si>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</si>
  <si>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</si>
  <si>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</si>
  <si>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</si>
  <si>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</si>
  <si>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</si>
  <si>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</si>
  <si>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</si>
  <si>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</si>
  <si>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</si>
  <si>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</si>
  <si>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</si>
  <si>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</si>
  <si>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</si>
  <si>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</si>
  <si>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</si>
  <si>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</si>
  <si>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</si>
  <si>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</si>
  <si>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</si>
  <si>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</si>
  <si>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</si>
  <si>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</si>
  <si>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</si>
  <si>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</si>
  <si>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</si>
  <si>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</si>
  <si>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</si>
  <si>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</si>
  <si>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</si>
  <si>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</si>
  <si>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</si>
  <si>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</si>
  <si>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</si>
  <si>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</si>
  <si>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</si>
  <si>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</si>
  <si>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</si>
  <si>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</si>
  <si>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</si>
  <si>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Umair Rehman </t>
  </si>
  <si>
    <t>Address: Shadab Colony</t>
  </si>
  <si>
    <t>Umair</t>
  </si>
  <si>
    <t xml:space="preserve">MS Mart </t>
  </si>
  <si>
    <t xml:space="preserve">Multani  Bakery </t>
  </si>
  <si>
    <t>Husnain Store</t>
  </si>
  <si>
    <t xml:space="preserve">KK Super Mart </t>
  </si>
  <si>
    <t>Khatak Store</t>
  </si>
  <si>
    <t xml:space="preserve">Address: Pak Arab </t>
  </si>
  <si>
    <t>Waleed Store</t>
  </si>
  <si>
    <t>Bismillah Store</t>
  </si>
  <si>
    <t xml:space="preserve">Al Yousaf Bakery </t>
  </si>
  <si>
    <t>Chohan Store</t>
  </si>
  <si>
    <t xml:space="preserve">Urban Super Mart </t>
  </si>
  <si>
    <t xml:space="preserve">Address: Ferozpur Road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</si>
</sst>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499</v>
      </c>
      <c r="F2" s="385"/>
      <c r="G2" s="385"/>
      <c r="H2" s="382" t="s">
        <v>518</v>
      </c>
      <c r="I2" s="382"/>
      <c r="J2" s="383"/>
      <c r="R2" s="379" t="s">
        <v>498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512</v>
      </c>
      <c r="F3" s="389"/>
      <c r="G3" s="389"/>
      <c r="H3" s="386">
        <f ca="1">TODAY()</f>
        <v>46258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MS Mart </v>
      </c>
      <c r="T3" s="301">
        <f>+'1'!P35</f>
        <v>4805.3894985762709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Multani  Bakery </v>
      </c>
      <c r="T4" s="301">
        <f>+'2'!P35</f>
        <v>9931.3663336016962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Husnain Store</v>
      </c>
      <c r="T5" s="301">
        <f>+'3'!P35</f>
        <v>2265.051582838983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 xml:space="preserve">KK Super Mart 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64</v>
      </c>
      <c r="I7" s="235">
        <f>(G7*D7)*F7+H7*F7</f>
        <v>3357.6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268.608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117.51600000000001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2971.4759999999997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634.57627118644041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18.030261355932204</v>
      </c>
      <c r="P7" s="310">
        <f>M7+N7+O7</f>
        <v>3624.0825325423721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Khatak Store</v>
      </c>
      <c r="T7" s="301">
        <f>+'5'!P35</f>
        <v>1669.1779134915255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52</v>
      </c>
      <c r="I8" s="236">
        <f t="shared" ref="I8:I14" si="0">(G8*D8)*F8+H8*F8</f>
        <v>2728.0499999999997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218.244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95.481750000000005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2414.3242499999997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515.59322033898286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14.649587351694915</v>
      </c>
      <c r="P8" s="311">
        <f t="shared" ref="P8:P15" si="2">M8+N8+O8</f>
        <v>2944.5670576906778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Waleed Store</v>
      </c>
      <c r="T8" s="301">
        <f>+'6'!P35</f>
        <v>1568.1057925423729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96</v>
      </c>
      <c r="I9" s="236">
        <f t="shared" si="0"/>
        <v>5036.3999999999996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402.91199999999998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176.274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4457.2139999999999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951.86440677966061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27.045392033898302</v>
      </c>
      <c r="P9" s="311">
        <f t="shared" si="2"/>
        <v>5436.123798813559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Bismillah Store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155</v>
      </c>
      <c r="I10" s="236">
        <f t="shared" si="0"/>
        <v>11259.2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900.7360000000001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394.07200000000006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9964.3919999999998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2127.9661016949153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60.461790508474579</v>
      </c>
      <c r="P10" s="311">
        <f t="shared" si="2"/>
        <v>12152.81989220339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Al Yousaf Bakery </v>
      </c>
      <c r="T10" s="301">
        <f>+'8'!P35</f>
        <v>679.51547485169476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110</v>
      </c>
      <c r="I11" s="236">
        <f t="shared" si="0"/>
        <v>7990.4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639.23199999999997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279.66400000000004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7071.5039999999999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1510.1694915254238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42.908367457627122</v>
      </c>
      <c r="P11" s="311">
        <f t="shared" si="2"/>
        <v>8624.5818589830506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Chohan Store</v>
      </c>
      <c r="T11" s="301">
        <f>+'9'!P35</f>
        <v>1669.1779134915255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115</v>
      </c>
      <c r="I12" s="236">
        <f t="shared" si="0"/>
        <v>8353.6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668.28800000000001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292.37600000000003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7392.9360000000006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1578.8135593220341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44.858747796610174</v>
      </c>
      <c r="P12" s="311">
        <f t="shared" si="2"/>
        <v>9016.608307118644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Urban Super Mart </v>
      </c>
      <c r="T12" s="301">
        <f>+'10'!P35</f>
        <v>17946.109508262711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120</v>
      </c>
      <c r="I13" s="236">
        <f t="shared" si="0"/>
        <v>4707.6000000000004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235.38000000000005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164.76600000000002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240.08760000000001</v>
      </c>
      <c r="M13" s="230">
        <f t="shared" si="1"/>
        <v>4067.3664000000003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915.25423728813507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24.913103186440679</v>
      </c>
      <c r="P13" s="311">
        <f t="shared" si="2"/>
        <v>5007.533740474576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17.8</v>
      </c>
      <c r="H16" s="113">
        <f t="shared" ref="H16:M16" si="3">SUM(H7:H15)</f>
        <v>712</v>
      </c>
      <c r="I16" s="114">
        <f t="shared" si="3"/>
        <v>43432.85</v>
      </c>
      <c r="J16" s="274">
        <f>SUM(J7:J15)</f>
        <v>3333.4</v>
      </c>
      <c r="K16" s="275">
        <f t="shared" si="3"/>
        <v>1520.14975</v>
      </c>
      <c r="L16" s="276">
        <f t="shared" si="3"/>
        <v>240.08760000000001</v>
      </c>
      <c r="M16" s="232">
        <f t="shared" si="3"/>
        <v>38339.212650000001</v>
      </c>
      <c r="N16" s="233">
        <f>SUM(N7:N15)</f>
        <v>8234.2372881355932</v>
      </c>
      <c r="O16" s="101">
        <f>SUM(O7:O15)</f>
        <v>232.86724969067797</v>
      </c>
      <c r="P16" s="113">
        <f>SUM(P7:P15)</f>
        <v>46806.317187826266</v>
      </c>
      <c r="Q16" s="128">
        <f>SUM(Q7:Q15)</f>
        <v>0</v>
      </c>
      <c r="R16" s="314">
        <v>14</v>
      </c>
      <c r="S16" s="318">
        <v>0.08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43432.85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3333.4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1760.2373500000001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38339.212649999994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8234.2372881355932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46573.449938135585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232.86724969067797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46806.317187826266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46806.31718782628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D7" sqref="D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7.2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4474.8</v>
      </c>
      <c r="J25" s="274">
        <f>SUM(J16:J24)</f>
        <v>310.90800000000002</v>
      </c>
      <c r="K25" s="275">
        <f t="shared" si="10"/>
        <v>156.61799999999999</v>
      </c>
      <c r="L25" s="276">
        <f t="shared" si="10"/>
        <v>80.029200000000003</v>
      </c>
      <c r="M25" s="232">
        <f t="shared" si="10"/>
        <v>3927.2447999999999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4474.8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310.90800000000002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236.6472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3927.2447999999999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4781.4820881355927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3" t="s">
        <v>88</v>
      </c>
      <c r="O35" s="374"/>
      <c r="P35" s="297">
        <f>+P33+P34</f>
        <v>4805.3894985762709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D7" sqref="D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160</v>
      </c>
      <c r="I25" s="114">
        <f t="shared" si="7"/>
        <v>9201.1</v>
      </c>
      <c r="J25" s="274">
        <f>SUM(J16:J24)</f>
        <v>736.08799999999997</v>
      </c>
      <c r="K25" s="275">
        <f t="shared" si="7"/>
        <v>322.03850000000006</v>
      </c>
      <c r="L25" s="276">
        <f t="shared" si="7"/>
        <v>0</v>
      </c>
      <c r="M25" s="232">
        <f t="shared" si="7"/>
        <v>8142.9735000000001</v>
      </c>
      <c r="N25" s="233">
        <f>SUM(N16:N24)</f>
        <v>1738.983050847457</v>
      </c>
      <c r="O25" s="101">
        <f>SUM(O16:O24)</f>
        <v>49.409782754237284</v>
      </c>
      <c r="P25" s="113">
        <f>SUM(P16:P24)</f>
        <v>9931.3663336016944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9201.1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736.08799999999997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322.03850000000006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8142.973500000001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1738.983050847457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9881.9565508474589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49.409782754237298</v>
      </c>
    </row>
    <row r="35" spans="2:16" ht="15.75" customHeight="1" thickBot="1" x14ac:dyDescent="0.4">
      <c r="N35" s="373" t="s">
        <v>88</v>
      </c>
      <c r="O35" s="374"/>
      <c r="P35" s="297">
        <f>+P33+P34</f>
        <v>9931.3663336016962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D7" sqref="D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8.7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</v>
      </c>
      <c r="I18" s="236">
        <f t="shared" si="0"/>
        <v>839.4</v>
      </c>
      <c r="J18" s="272">
        <f t="shared" si="1"/>
        <v>67.152000000000001</v>
      </c>
      <c r="K18" s="128">
        <f t="shared" si="1"/>
        <v>29.379000000000001</v>
      </c>
      <c r="L18" s="119">
        <f t="shared" si="1"/>
        <v>0</v>
      </c>
      <c r="M18" s="230">
        <f t="shared" si="2"/>
        <v>742.86899999999991</v>
      </c>
      <c r="N18" s="277">
        <f t="shared" si="3"/>
        <v>158.6440677966101</v>
      </c>
      <c r="O18" s="239">
        <f t="shared" si="4"/>
        <v>4.5075653389830501</v>
      </c>
      <c r="P18" s="311">
        <f t="shared" si="5"/>
        <v>906.02063313559302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2098.5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167.88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73.447500000000005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1857.1724999999999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2253.7826694915252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3" t="s">
        <v>88</v>
      </c>
      <c r="O35" s="374"/>
      <c r="P35" s="297">
        <f>+P33+P34</f>
        <v>2265.051582838983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D7" sqref="D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D7" sqref="D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8" workbookViewId="0">
      <selection activeCell="D7" sqref="D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524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1452.8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116.224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50.848000000000006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1285.7280000000001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1560.3042711864407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3" t="s">
        <v>88</v>
      </c>
      <c r="O35" s="374"/>
      <c r="P35" s="297">
        <f>+P33+P34</f>
        <v>1568.1057925423729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D7" sqref="D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524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D7" sqref="D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524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113">
        <f>SUM(P16:P24)</f>
        <v>679.51547485169488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629.54999999999995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50.363999999999997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22.03425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557.15174999999988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676.13480084745743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3" t="s">
        <v>88</v>
      </c>
      <c r="O35" s="374"/>
      <c r="P35" s="297">
        <f>+P33+P34</f>
        <v>679.51547485169476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activeCell="D7" sqref="D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524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D7" sqref="D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530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311">
        <f t="shared" si="5"/>
        <v>6272.4231701694916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311">
        <f t="shared" si="5"/>
        <v>6272.4231701694916</v>
      </c>
      <c r="Q20" s="156"/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240</v>
      </c>
      <c r="I25" s="114">
        <f t="shared" si="7"/>
        <v>16626.5</v>
      </c>
      <c r="J25" s="274">
        <f>SUM(J16:J24)</f>
        <v>1330.1200000000001</v>
      </c>
      <c r="K25" s="275">
        <f t="shared" si="7"/>
        <v>581.92750000000012</v>
      </c>
      <c r="L25" s="276">
        <f t="shared" si="7"/>
        <v>0</v>
      </c>
      <c r="M25" s="232">
        <f t="shared" si="7"/>
        <v>14714.452500000001</v>
      </c>
      <c r="N25" s="233">
        <f>SUM(N16:N24)</f>
        <v>3142.3728813559323</v>
      </c>
      <c r="O25" s="101">
        <f>SUM(O16:O24)</f>
        <v>89.284126906779662</v>
      </c>
      <c r="P25" s="113">
        <f>SUM(P16:P24)</f>
        <v>17946.109508262714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16626.5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1330.1200000000001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581.92750000000012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14714.452499999999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3142.3728813559323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17856.825381355931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89.284126906779662</v>
      </c>
    </row>
    <row r="35" spans="2:16" ht="15.75" customHeight="1" thickBot="1" x14ac:dyDescent="0.4">
      <c r="N35" s="373" t="s">
        <v>88</v>
      </c>
      <c r="O35" s="374"/>
      <c r="P35" s="297">
        <f>+P33+P34</f>
        <v>17946.109508262711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500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501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8.75" customHeight="1" x14ac:dyDescent="0.4">
      <c r="A6" s="399" t="s">
        <v>502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503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516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509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509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46259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46258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2026-08-24T04:26:42Z</dcterms:modified>
</cp:coreProperties>
</file>