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C764ADA-011A-4950-BBAD-4BFF371A57B2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51" l="1"/>
  <c r="K12" i="62"/>
  <c r="M16" i="43"/>
  <c r="M20" i="43"/>
  <c r="O20" i="43" s="1"/>
  <c r="P20" i="43" s="1"/>
  <c r="R20" i="43" s="1"/>
  <c r="M21" i="44"/>
  <c r="O21" i="44" s="1"/>
  <c r="P21" i="44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<sst xmlns="http://schemas.openxmlformats.org/spreadsheetml/2006/main" count="3978" uniqueCount="535">
  <si>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</si>
  <si>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</si>
  <si>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</si>
  <si>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</si>
  <si>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</si>
  <si>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</si>
  <si>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</si>
  <si>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</si>
  <si>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</si>
  <si>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</si>
  <si>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</si>
  <si>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</si>
  <si>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</si>
  <si>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</si>
  <si>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</si>
  <si>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</si>
  <si>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</si>
  <si>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</si>
  <si>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</si>
  <si>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</si>
  <si>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</si>
  <si>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</si>
  <si>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</si>
  <si>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</si>
  <si>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</si>
  <si>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</si>
  <si>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</si>
  <si>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</si>
  <si>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</si>
  <si>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</si>
  <si>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</si>
  <si>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</si>
  <si>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</si>
  <si>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</si>
  <si>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</si>
  <si>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</si>
  <si>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</si>
  <si>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</si>
  <si>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</si>
  <si>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</si>
  <si>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</si>
  <si>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</si>
  <si>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</si>
  <si>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</si>
  <si>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</si>
  <si>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</si>
  <si>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</si>
  <si>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</si>
  <si>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</si>
  <si>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</si>
  <si>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</si>
  <si>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</si>
  <si>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</si>
  <si>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</si>
  <si>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</si>
  <si>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</si>
  <si>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</si>
  <si>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</si>
  <si>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</si>
  <si>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</si>
  <si>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</si>
  <si>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</si>
  <si>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</si>
  <si>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</si>
  <si>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</si>
  <si>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</si>
  <si>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</si>
  <si>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</si>
  <si>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</si>
  <si>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</si>
  <si>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</si>
  <si>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</si>
  <si>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</si>
  <si>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</si>
  <si>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</si>
  <si>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</si>
  <si>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</si>
  <si>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</si>
  <si>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</si>
  <si>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</si>
  <si>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</si>
  <si>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</si>
  <si>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</si>
  <si>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</si>
  <si>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</si>
  <si>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</si>
  <si>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</si>
  <si>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</si>
  <si>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</si>
  <si>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</si>
  <si>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</si>
  <si>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</si>
  <si>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</si>
  <si>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</si>
  <si>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</si>
  <si>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</si>
  <si>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</si>
  <si>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</si>
  <si>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</si>
  <si>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</si>
  <si>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</si>
  <si>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</si>
  <si>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</si>
  <si>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</si>
  <si>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</si>
  <si>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</si>
  <si>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</si>
  <si>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</si>
  <si>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</si>
  <si>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</si>
  <si>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</si>
  <si>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</si>
  <si>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</si>
  <si>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</si>
  <si>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</si>
  <si>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</si>
  <si>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</si>
  <si>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</si>
  <si>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</si>
  <si>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</si>
  <si>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</si>
  <si>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</si>
  <si>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</si>
  <si>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</si>
  <si>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</si>
  <si>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</si>
  <si>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</si>
  <si>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</si>
  <si>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</si>
  <si>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</si>
  <si>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</si>
  <si>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</si>
  <si>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</si>
  <si>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</si>
  <si>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</si>
  <si>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</si>
  <si>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</si>
  <si>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</si>
  <si>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</si>
  <si>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</si>
  <si>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</si>
  <si>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</si>
  <si>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</si>
  <si>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</si>
  <si>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</si>
  <si>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</si>
  <si>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</si>
  <si>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</si>
  <si>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</si>
  <si>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</si>
  <si>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</si>
  <si>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</si>
  <si>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</si>
  <si>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</si>
  <si>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</si>
  <si>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</si>
  <si>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</si>
  <si>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</si>
  <si>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</si>
  <si>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</si>
  <si>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</si>
  <si>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</si>
  <si>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</si>
  <si>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</si>
  <si>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</si>
  <si>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</si>
  <si>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</si>
  <si>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</si>
  <si>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</si>
  <si>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</si>
  <si>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</si>
  <si>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</si>
  <si>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</si>
  <si>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</si>
  <si>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</si>
  <si>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</si>
  <si>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</si>
  <si>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</si>
  <si>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</si>
  <si>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</si>
  <si>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</si>
  <si>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</si>
  <si>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</si>
  <si>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</si>
  <si>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</si>
  <si>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</si>
  <si>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</si>
  <si>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</si>
  <si>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</si>
  <si>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</si>
  <si>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</si>
  <si>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</si>
  <si>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</si>
  <si>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</si>
  <si>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</si>
  <si>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</si>
  <si>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</si>
  <si>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</si>
  <si>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</si>
  <si>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</si>
  <si>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</si>
  <si>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</si>
  <si>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</si>
  <si>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</si>
  <si>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</si>
  <si>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</si>
  <si>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</si>
  <si>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</si>
  <si>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</si>
  <si>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</si>
  <si>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</si>
  <si>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</si>
  <si>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</si>
  <si>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</si>
  <si>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</si>
  <si>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</si>
  <si>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</si>
  <si>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</si>
  <si>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</si>
  <si>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</si>
  <si>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</si>
  <si>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</si>
  <si>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</si>
  <si>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</si>
  <si>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</si>
  <si>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</si>
  <si>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</si>
  <si>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</si>
  <si>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</si>
  <si>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</si>
  <si>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</si>
  <si>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</si>
  <si>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</si>
  <si>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</si>
  <si>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</si>
  <si>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</si>
  <si>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</si>
  <si>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</si>
  <si>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</si>
  <si>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</si>
  <si>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</si>
  <si>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</si>
  <si>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</si>
  <si>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</si>
  <si>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</si>
  <si>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</si>
  <si>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</si>
  <si>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</si>
  <si>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</si>
  <si>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</si>
  <si>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</si>
  <si>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</si>
  <si>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</si>
  <si>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</si>
  <si>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</si>
  <si>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</si>
  <si>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</si>
  <si>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</si>
  <si>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</si>
  <si>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</si>
  <si>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</si>
  <si>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</si>
  <si>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</si>
  <si>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</si>
  <si>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</si>
  <si>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</si>
  <si>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</si>
  <si>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</si>
  <si>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</si>
  <si>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</si>
  <si>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</si>
  <si>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</si>
  <si>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</si>
  <si>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</si>
  <si>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</si>
  <si>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</si>
  <si>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</si>
  <si>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</si>
  <si>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</si>
  <si>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</si>
  <si>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</si>
  <si>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</si>
  <si>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</si>
  <si>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</si>
  <si>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</si>
  <si>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</si>
  <si>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</si>
  <si>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</si>
  <si>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</si>
  <si>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</si>
  <si>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</si>
  <si>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</si>
  <si>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</si>
  <si>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</si>
  <si>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</si>
  <si>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</si>
  <si>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</si>
  <si>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</si>
  <si>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</si>
  <si>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</si>
  <si>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</si>
  <si>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</si>
  <si>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</si>
  <si>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</si>
  <si>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</si>
  <si>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</si>
  <si>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</si>
  <si>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</si>
  <si>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</si>
  <si>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</si>
  <si>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</si>
  <si>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</si>
  <si>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</si>
  <si>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</si>
  <si>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</si>
  <si>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</si>
  <si>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</si>
  <si>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</si>
  <si>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</si>
  <si>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</si>
  <si>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</si>
  <si>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</si>
  <si>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</si>
  <si>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</si>
  <si>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</si>
  <si>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</si>
  <si>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</si>
  <si>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</si>
  <si>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</si>
  <si>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</si>
  <si>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</si>
  <si>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</si>
  <si>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</si>
  <si>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</si>
  <si>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</si>
  <si>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</si>
  <si>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</si>
  <si>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</si>
  <si>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</si>
  <si>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</si>
  <si>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</si>
  <si>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</si>
  <si>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</si>
  <si>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</si>
  <si>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</si>
  <si>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</si>
  <si>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</si>
  <si>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</si>
  <si>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</si>
  <si>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</si>
  <si>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</si>
  <si>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</si>
  <si>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</si>
  <si>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</si>
  <si>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</si>
  <si>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</si>
  <si>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</si>
  <si>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</si>
  <si>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</si>
  <si>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</si>
  <si>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</si>
  <si>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</si>
  <si>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</si>
  <si>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</si>
  <si>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</si>
  <si>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</si>
  <si>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</si>
  <si>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</si>
  <si>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</si>
  <si>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</si>
  <si>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</si>
  <si>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</si>
  <si>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</si>
  <si>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</si>
  <si>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</si>
  <si>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</si>
  <si>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</si>
  <si>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</si>
  <si>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</si>
  <si>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</si>
  <si>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</si>
  <si>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</si>
  <si>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</si>
  <si>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</si>
  <si>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</si>
  <si>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</si>
  <si>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</si>
  <si>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</si>
  <si>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</si>
  <si>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</si>
  <si>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</si>
  <si>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</si>
  <si>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</si>
  <si>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</si>
  <si>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</si>
  <si>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</si>
  <si>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</si>
  <si>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</si>
  <si>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</si>
  <si>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</si>
  <si>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</si>
  <si>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</si>
  <si>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</si>
  <si>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</si>
  <si>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</si>
  <si>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</si>
  <si>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</si>
  <si>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</si>
  <si>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</si>
  <si>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</si>
  <si>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</si>
  <si>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</si>
  <si>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</si>
  <si>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</si>
  <si>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</si>
  <si>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</si>
  <si>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</si>
  <si>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</si>
  <si>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</si>
  <si>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</si>
  <si>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</si>
  <si>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</si>
  <si>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</si>
  <si>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</si>
  <si>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</si>
  <si>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</si>
  <si>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</si>
  <si>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</si>
  <si>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</si>
  <si>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</si>
  <si>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</si>
  <si>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</si>
  <si>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</si>
  <si>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</si>
  <si>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</si>
  <si>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</si>
  <si>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</si>
  <si>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</si>
  <si>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</si>
  <si>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</si>
  <si>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</si>
  <si>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</si>
  <si>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</si>
  <si>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</si>
  <si>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</si>
  <si>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</si>
  <si>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</si>
  <si>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</si>
  <si>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</si>
  <si>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</si>
  <si>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</si>
  <si>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</si>
  <si>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</si>
  <si>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</si>
  <si>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</si>
  <si>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</si>
  <si>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</si>
  <si>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</si>
  <si>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</si>
  <si>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</si>
  <si>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</si>
  <si>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</si>
  <si>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</si>
  <si>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</si>
  <si>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</si>
  <si>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</si>
  <si>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</si>
  <si>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</si>
  <si>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</si>
  <si>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</si>
  <si>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</si>
  <si>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</si>
  <si>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</si>
  <si>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</si>
  <si>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</si>
  <si>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</si>
  <si>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</si>
  <si>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</si>
  <si>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</si>
  <si>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</si>
  <si>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</si>
  <si>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</si>
  <si>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</si>
  <si>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</si>
  <si>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</si>
  <si>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</si>
  <si>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</si>
  <si>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</si>
  <si>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</si>
  <si>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</si>
  <si>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</si>
  <si>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</si>
  <si>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</si>
  <si>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</si>
  <si>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</si>
  <si>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</si>
  <si>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</si>
  <si>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</si>
  <si>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</si>
  <si>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</si>
  <si>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</si>
  <si>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</si>
  <si>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</si>
  <si>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</si>
  <si>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</si>
  <si>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</si>
  <si>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</si>
  <si>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</si>
  <si>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</si>
  <si>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</si>
  <si>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</si>
  <si>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</si>
  <si>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</si>
  <si>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</si>
  <si>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</si>
  <si>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</si>
  <si>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Furqan</t>
  </si>
  <si>
    <t>Address:Cavelary Gro</t>
  </si>
  <si>
    <t>Best Buy Store</t>
  </si>
  <si>
    <t>Shere Rubani Store</t>
  </si>
  <si>
    <t>Address: Sheraz Vilag Road</t>
  </si>
  <si>
    <t>Najab Khartak Store</t>
  </si>
  <si>
    <t xml:space="preserve">Address: Seven Street </t>
  </si>
  <si>
    <t>Aysheyana Store</t>
  </si>
  <si>
    <t>Address: Seven Street</t>
  </si>
  <si>
    <t>Hassan Mart</t>
  </si>
  <si>
    <t>Address: Islam Nagar / Abid Road</t>
  </si>
  <si>
    <t>Address: Makkah Colony</t>
  </si>
  <si>
    <t>Qadri Super Store</t>
  </si>
  <si>
    <t>Address: Makkah Colony Bloch Road</t>
  </si>
  <si>
    <t>Khan Store</t>
  </si>
  <si>
    <t>Mashallah Store</t>
  </si>
  <si>
    <t>Akeel Qadri Store</t>
  </si>
  <si>
    <t>Address: Makkah Colony G no 18</t>
  </si>
  <si>
    <t>Dogger 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</si>
</sst>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4" workbookViewId="0">
      <selection activeCell="Q13" sqref="Q1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499</v>
      </c>
      <c r="F2" s="356"/>
      <c r="G2" s="356"/>
      <c r="H2" s="353" t="s">
        <v>516</v>
      </c>
      <c r="I2" s="353"/>
      <c r="J2" s="354"/>
      <c r="R2" s="350" t="s">
        <v>498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512</v>
      </c>
      <c r="F3" s="360"/>
      <c r="G3" s="360"/>
      <c r="H3" s="357">
        <f ca="1">TODAY()</f>
        <v>46258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>Best Buy Store</v>
      </c>
      <c r="T3" s="301">
        <f>+'1'!P35</f>
        <v>1669.1779134915255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Dogger GS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511</v>
      </c>
      <c r="R5" s="314">
        <v>3</v>
      </c>
      <c r="S5" s="300" t="str">
        <f>+'3'!A6:A6</f>
        <v>Shere Rubani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510</v>
      </c>
      <c r="R6" s="314">
        <v>4</v>
      </c>
      <c r="S6" s="300" t="str">
        <f>+'4'!A6:A6</f>
        <v>Najab Khartak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10</v>
      </c>
      <c r="I7" s="235">
        <f>(G7*D7)*F7+H7*F7</f>
        <v>524.625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41.97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18.361875000000001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464.29312500000003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99.152542372881314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2.8172283368644067</v>
      </c>
      <c r="P7" s="310">
        <f>M7+N7+O7</f>
        <v>566.26289570974575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4</v>
      </c>
      <c r="R7" s="314">
        <v>5</v>
      </c>
      <c r="S7" s="300" t="str">
        <f>+'5'!A6:A6</f>
        <v>Aysheyana Store</v>
      </c>
      <c r="T7" s="301">
        <f>+'5'!P35</f>
        <v>3901.9789586059323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20</v>
      </c>
      <c r="I8" s="236">
        <f t="shared" ref="I8:I14" si="0">(G8*D8)*F8+H8*F8</f>
        <v>1049.25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83.94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36.723750000000003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928.58625000000006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198.30508474576263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5.6344566737288133</v>
      </c>
      <c r="P8" s="311">
        <f t="shared" ref="P8:P15" si="2">M8+N8+O8</f>
        <v>1132.5257914194915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12</v>
      </c>
      <c r="R8" s="314">
        <v>6</v>
      </c>
      <c r="S8" s="300" t="str">
        <f>+'6'!A6:A6</f>
        <v>Hassan Mart</v>
      </c>
      <c r="T8" s="301">
        <f>+'6'!P35</f>
        <v>2184.9047487266948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4</v>
      </c>
      <c r="R9" s="314">
        <v>7</v>
      </c>
      <c r="S9" s="300" t="str">
        <f>+'7'!A6:A6</f>
        <v>Qadri Super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20</v>
      </c>
      <c r="I10" s="236">
        <f t="shared" si="0"/>
        <v>1452.8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116.224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50.848000000000006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1285.7280000000001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274.57627118644069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7.8015213559322039</v>
      </c>
      <c r="P10" s="311">
        <f t="shared" si="2"/>
        <v>1568.1057925423729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24</v>
      </c>
      <c r="R10" s="314">
        <v>8</v>
      </c>
      <c r="S10" s="300" t="str">
        <f>+'8'!A6:A6</f>
        <v>Khan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</v>
      </c>
      <c r="I11" s="236">
        <f t="shared" si="0"/>
        <v>726.4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58.112000000000002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25.424000000000003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642.86400000000003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137.28813559322035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3.9007606779661019</v>
      </c>
      <c r="P11" s="311">
        <f t="shared" si="2"/>
        <v>784.05289627118646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24</v>
      </c>
      <c r="R11" s="314">
        <v>9</v>
      </c>
      <c r="S11" s="300" t="str">
        <f>+'9'!A6:A6</f>
        <v>Mashallah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10</v>
      </c>
      <c r="I12" s="236">
        <f t="shared" si="0"/>
        <v>726.4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58.112000000000002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25.424000000000003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642.86400000000003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137.28813559322035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3.9007606779661019</v>
      </c>
      <c r="P12" s="311">
        <f t="shared" si="2"/>
        <v>784.05289627118646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38</v>
      </c>
      <c r="R12" s="314">
        <v>10</v>
      </c>
      <c r="S12" s="300" t="str">
        <f>+'10'!A6:A6</f>
        <v>Akeel Qadri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70</v>
      </c>
      <c r="I13" s="236">
        <f t="shared" si="0"/>
        <v>2746.1000000000004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137.30500000000004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96.113500000000016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140.05110000000002</v>
      </c>
      <c r="M13" s="230">
        <f t="shared" si="1"/>
        <v>2372.6304000000005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533.89830508474552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14.53264352542373</v>
      </c>
      <c r="P13" s="311">
        <f t="shared" si="2"/>
        <v>2921.0613486101697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82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3.5</v>
      </c>
      <c r="H16" s="113">
        <f t="shared" ref="H16:M16" si="3">SUM(H7:H15)</f>
        <v>140</v>
      </c>
      <c r="I16" s="114">
        <f t="shared" si="3"/>
        <v>7225.5750000000007</v>
      </c>
      <c r="J16" s="274">
        <f>SUM(J7:J15)</f>
        <v>495.66300000000012</v>
      </c>
      <c r="K16" s="275">
        <f t="shared" si="3"/>
        <v>252.89512500000004</v>
      </c>
      <c r="L16" s="276">
        <f t="shared" si="3"/>
        <v>140.05110000000002</v>
      </c>
      <c r="M16" s="232">
        <f t="shared" si="3"/>
        <v>6336.9657750000006</v>
      </c>
      <c r="N16" s="233">
        <f>SUM(N7:N15)</f>
        <v>1380.5084745762708</v>
      </c>
      <c r="O16" s="101">
        <f>SUM(O7:O15)</f>
        <v>38.587371247881357</v>
      </c>
      <c r="P16" s="113">
        <f>SUM(P7:P15)</f>
        <v>7756.0616208241536</v>
      </c>
      <c r="Q16" s="128">
        <f>SUM(Q7:Q15)</f>
        <v>188</v>
      </c>
      <c r="R16" s="314">
        <v>14</v>
      </c>
      <c r="S16" s="318">
        <v>0.08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7225.5750000000007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495.66300000000012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392.94622500000003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6336.9657750000006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1380.5084745762708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7717.4742495762712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38.587371247881357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7756.0616208241527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7756.0616208241518</v>
      </c>
    </row>
    <row r="44" spans="2:20" x14ac:dyDescent="0.35">
      <c r="B44" t="s">
        <v>504</v>
      </c>
    </row>
    <row r="45" spans="2:20" x14ac:dyDescent="0.35">
      <c r="B45" t="s">
        <v>505</v>
      </c>
    </row>
    <row r="46" spans="2:20" x14ac:dyDescent="0.35">
      <c r="B46" t="s">
        <v>506</v>
      </c>
    </row>
    <row r="47" spans="2:20" x14ac:dyDescent="0.35">
      <c r="B47" t="s">
        <v>507</v>
      </c>
    </row>
    <row r="48" spans="2:20" x14ac:dyDescent="0.35">
      <c r="B48" t="s">
        <v>508</v>
      </c>
    </row>
    <row r="49" spans="2:2" x14ac:dyDescent="0.35">
      <c r="B49" t="s">
        <v>513</v>
      </c>
    </row>
    <row r="50" spans="2:2" x14ac:dyDescent="0.35">
      <c r="B50" t="s">
        <v>515</v>
      </c>
    </row>
    <row r="51" spans="2:2" x14ac:dyDescent="0.35">
      <c r="B51" t="s">
        <v>514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0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7.2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1569.2000000000003</v>
      </c>
      <c r="J25" s="274">
        <f>SUM(J16:J24)</f>
        <v>78.460000000000022</v>
      </c>
      <c r="K25" s="275">
        <f t="shared" si="10"/>
        <v>54.922000000000011</v>
      </c>
      <c r="L25" s="276">
        <f t="shared" si="10"/>
        <v>80.029200000000003</v>
      </c>
      <c r="M25" s="232">
        <f t="shared" si="10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1569.2000000000003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78.460000000000022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134.95120000000003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1355.7888000000003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1660.873545762712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44" t="s">
        <v>88</v>
      </c>
      <c r="O35" s="345"/>
      <c r="P35" s="297">
        <f>+P33+P34</f>
        <v>1669.1779134915255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0" workbookViewId="0">
      <selection activeCell="Q16" sqref="Q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534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112">
        <v>4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96">
        <v>4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>
        <v>4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96">
        <v>4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96">
        <v>4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96">
        <v>4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H21" sqref="H21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8.75" customHeight="1" x14ac:dyDescent="0.4">
      <c r="A6" s="398" t="s">
        <v>519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520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96">
        <v>20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96">
        <v>20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13" workbookViewId="0">
      <selection activeCell="J19" sqref="J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521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522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96">
        <v>12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96">
        <v>14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96">
        <v>14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96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523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524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310">
        <f>M16+N16+O16</f>
        <v>566.26289570974575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311">
        <f t="shared" ref="P17:P24" si="5">M17+N17+O17</f>
        <v>566.26289570974575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60</v>
      </c>
      <c r="I25" s="114">
        <f t="shared" si="7"/>
        <v>3620.7500000000005</v>
      </c>
      <c r="J25" s="274">
        <f>SUM(J16:J24)</f>
        <v>277.89100000000002</v>
      </c>
      <c r="K25" s="275">
        <f t="shared" si="7"/>
        <v>126.72625000000002</v>
      </c>
      <c r="L25" s="276">
        <f t="shared" si="7"/>
        <v>20.007300000000001</v>
      </c>
      <c r="M25" s="232">
        <f t="shared" si="7"/>
        <v>3196.1254500000005</v>
      </c>
      <c r="N25" s="233">
        <f>SUM(N16:N24)</f>
        <v>686.44067796610148</v>
      </c>
      <c r="O25" s="101">
        <f>SUM(O16:O24)</f>
        <v>19.412830639830506</v>
      </c>
      <c r="P25" s="113">
        <f>SUM(P16:P24)</f>
        <v>3901.9789586059323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3620.7500000000005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277.89100000000002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146.73355000000004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3196.1254500000005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686.44067796610148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3882.5661279661017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19.41283063983051</v>
      </c>
    </row>
    <row r="35" spans="2:16" ht="15.75" customHeight="1" thickBot="1" x14ac:dyDescent="0.4">
      <c r="N35" s="344" t="s">
        <v>88</v>
      </c>
      <c r="O35" s="345"/>
      <c r="P35" s="297">
        <f>+P33+P34</f>
        <v>3901.9789586059323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7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525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526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311">
        <f t="shared" ref="P17:P24" si="5">M17+N17+O17</f>
        <v>566.26289570974575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4.1521838644067799</v>
      </c>
      <c r="P22" s="311">
        <f t="shared" si="5"/>
        <v>834.58895674576274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40</v>
      </c>
      <c r="I25" s="114">
        <f t="shared" si="7"/>
        <v>2035.6250000000002</v>
      </c>
      <c r="J25" s="274">
        <f>SUM(J16:J24)</f>
        <v>139.31200000000001</v>
      </c>
      <c r="K25" s="275">
        <f t="shared" si="7"/>
        <v>71.246875000000017</v>
      </c>
      <c r="L25" s="276">
        <f t="shared" si="7"/>
        <v>40.014600000000002</v>
      </c>
      <c r="M25" s="232">
        <f t="shared" si="7"/>
        <v>1785.0515250000003</v>
      </c>
      <c r="N25" s="233">
        <f>SUM(N16:N24)</f>
        <v>388.98305084745749</v>
      </c>
      <c r="O25" s="101">
        <f>SUM(O16:O24)</f>
        <v>10.870172879237288</v>
      </c>
      <c r="P25" s="113">
        <f>SUM(P16:P24)</f>
        <v>2184.9047487266953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2035.6250000000002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139.31200000000001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111.26147500000002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1785.0515250000001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388.98305084745749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2174.0345758474577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10.870172879237289</v>
      </c>
    </row>
    <row r="35" spans="2:16" ht="15.75" customHeight="1" thickBot="1" x14ac:dyDescent="0.4">
      <c r="N35" s="344" t="s">
        <v>88</v>
      </c>
      <c r="O35" s="345"/>
      <c r="P35" s="297">
        <f>+P33+P34</f>
        <v>2184.9047487266948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10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528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529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96">
        <v>6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530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96">
        <v>6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13" workbookViewId="0">
      <selection activeCell="H17" sqref="H17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531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96">
        <v>5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96">
        <v>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9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9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96">
        <v>10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10" workbookViewId="0">
      <selection activeCell="I17" sqref="I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532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533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96">
        <v>3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96">
        <v>3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9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9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96">
        <v>6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10" workbookViewId="0">
      <selection activeCell="I19" sqref="I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10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500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501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8.75" customHeight="1" x14ac:dyDescent="0.4">
      <c r="A6" s="398" t="s">
        <v>502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503</v>
      </c>
      <c r="B4" s="369"/>
      <c r="C4" s="369"/>
      <c r="F4" s="85"/>
      <c r="G4" s="1"/>
      <c r="K4" s="370" t="s">
        <v>44</v>
      </c>
      <c r="L4" s="370"/>
      <c r="M4" s="370"/>
      <c r="N4" s="400">
        <v>46258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46257</v>
      </c>
      <c r="O5" s="369"/>
      <c r="P5" s="369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70" t="s">
        <v>69</v>
      </c>
      <c r="L6" s="370"/>
      <c r="M6" s="370"/>
      <c r="N6" s="399" t="s">
        <v>516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509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509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46259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46258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2026-08-24T14:06:30Z</dcterms:modified>
</cp:coreProperties>
</file>