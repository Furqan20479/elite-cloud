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69D14D-1B70-4CE4-9CBC-03E119A4A820}" xr6:coauthVersionLast="47" xr6:coauthVersionMax="47" xr10:uidLastSave="{00000000-0000-0000-0000-000000000000}"/>
  <bookViews>
    <workbookView xWindow="-110" yWindow="-110" windowWidth="19420" windowHeight="10420" tabRatio="594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16" i="43"/>
  <c r="M20" i="43"/>
  <c r="O20" i="43" s="1"/>
  <c r="P20" i="43" s="1"/>
  <c r="R20" i="43" s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<sst xmlns="http://schemas.openxmlformats.org/spreadsheetml/2006/main" count="3978" uniqueCount="535">
  <si>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</si>
  <si>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</si>
  <si>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</si>
  <si>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</si>
  <si>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</si>
  <si>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</si>
  <si>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</si>
  <si>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</si>
  <si>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</si>
  <si>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</si>
  <si>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</si>
  <si>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</si>
  <si>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</si>
  <si>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</si>
  <si>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</si>
  <si>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</si>
  <si>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</si>
  <si>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</si>
  <si>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</si>
  <si>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</si>
  <si>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</si>
  <si>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</si>
  <si>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</si>
  <si>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</si>
  <si>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</si>
  <si>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</si>
  <si>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</si>
  <si>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</si>
  <si>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</si>
  <si>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</si>
  <si>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</si>
  <si>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</si>
  <si>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</si>
  <si>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</si>
  <si>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</si>
  <si>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</si>
  <si>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</si>
  <si>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</si>
  <si>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</si>
  <si>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</si>
  <si>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</si>
  <si>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</si>
  <si>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</si>
  <si>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</si>
  <si>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</si>
  <si>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</si>
  <si>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</si>
  <si>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</si>
  <si>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</si>
  <si>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</si>
  <si>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</si>
  <si>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</si>
  <si>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</si>
  <si>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</si>
  <si>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</si>
  <si>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</si>
  <si>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</si>
  <si>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</si>
  <si>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</si>
  <si>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</si>
  <si>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</si>
  <si>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</si>
  <si>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</si>
  <si>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</si>
  <si>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</si>
  <si>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</si>
  <si>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</si>
  <si>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</si>
  <si>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</si>
  <si>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</si>
  <si>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</si>
  <si>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</si>
  <si>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</si>
  <si>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</si>
  <si>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</si>
  <si>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</si>
  <si>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</si>
  <si>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</si>
  <si>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</si>
  <si>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</si>
  <si>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</si>
  <si>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</si>
  <si>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</si>
  <si>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</si>
  <si>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</si>
  <si>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</si>
  <si>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</si>
  <si>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</si>
  <si>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</si>
  <si>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</si>
  <si>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</si>
  <si>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</si>
  <si>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</si>
  <si>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</si>
  <si>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</si>
  <si>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</si>
  <si>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</si>
  <si>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</si>
  <si>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</si>
  <si>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</si>
  <si>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</si>
  <si>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</si>
  <si>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</si>
  <si>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</si>
  <si>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</si>
  <si>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</si>
  <si>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</si>
  <si>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</si>
  <si>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</si>
  <si>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</si>
  <si>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</si>
  <si>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</si>
  <si>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</si>
  <si>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</si>
  <si>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</si>
  <si>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</si>
  <si>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</si>
  <si>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</si>
  <si>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</si>
  <si>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</si>
  <si>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</si>
  <si>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</si>
  <si>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</si>
  <si>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</si>
  <si>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</si>
  <si>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</si>
  <si>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</si>
  <si>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</si>
  <si>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</si>
  <si>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</si>
  <si>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</si>
  <si>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</si>
  <si>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</si>
  <si>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</si>
  <si>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</si>
  <si>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</si>
  <si>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</si>
  <si>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</si>
  <si>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</si>
  <si>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</si>
  <si>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</si>
  <si>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</si>
  <si>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</si>
  <si>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</si>
  <si>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</si>
  <si>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</si>
  <si>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</si>
  <si>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</si>
  <si>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</si>
  <si>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</si>
  <si>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</si>
  <si>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</si>
  <si>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</si>
  <si>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</si>
  <si>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</si>
  <si>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</si>
  <si>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</si>
  <si>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</si>
  <si>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</si>
  <si>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</si>
  <si>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</si>
  <si>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</si>
  <si>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</si>
  <si>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</si>
  <si>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</si>
  <si>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</si>
  <si>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</si>
  <si>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</si>
  <si>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</si>
  <si>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</si>
  <si>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</si>
  <si>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</si>
  <si>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</si>
  <si>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</si>
  <si>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</si>
  <si>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</si>
  <si>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</si>
  <si>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</si>
  <si>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</si>
  <si>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</si>
  <si>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</si>
  <si>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</si>
  <si>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</si>
  <si>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</si>
  <si>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</si>
  <si>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</si>
  <si>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</si>
  <si>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</si>
  <si>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</si>
  <si>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</si>
  <si>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</si>
  <si>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</si>
  <si>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</si>
  <si>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</si>
  <si>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</si>
  <si>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</si>
  <si>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</si>
  <si>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</si>
  <si>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</si>
  <si>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</si>
  <si>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</si>
  <si>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</si>
  <si>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</si>
  <si>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</si>
  <si>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</si>
  <si>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</si>
  <si>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</si>
  <si>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</si>
  <si>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</si>
  <si>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</si>
  <si>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</si>
  <si>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</si>
  <si>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</si>
  <si>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</si>
  <si>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</si>
  <si>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</si>
  <si>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</si>
  <si>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</si>
  <si>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</si>
  <si>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</si>
  <si>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</si>
  <si>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</si>
  <si>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</si>
  <si>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</si>
  <si>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</si>
  <si>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</si>
  <si>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</si>
  <si>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</si>
  <si>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</si>
  <si>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</si>
  <si>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</si>
  <si>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</si>
  <si>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</si>
  <si>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</si>
  <si>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</si>
  <si>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</si>
  <si>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</si>
  <si>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</si>
  <si>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</si>
  <si>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</si>
  <si>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</si>
  <si>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</si>
  <si>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</si>
  <si>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</si>
  <si>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</si>
  <si>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</si>
  <si>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</si>
  <si>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</si>
  <si>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</si>
  <si>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</si>
  <si>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</si>
  <si>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</si>
  <si>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</si>
  <si>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</si>
  <si>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</si>
  <si>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</si>
  <si>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</si>
  <si>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</si>
  <si>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</si>
  <si>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</si>
  <si>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</si>
  <si>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</si>
  <si>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</si>
  <si>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</si>
  <si>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</si>
  <si>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</si>
  <si>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</si>
  <si>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</si>
  <si>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</si>
  <si>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</si>
  <si>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</si>
  <si>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</si>
  <si>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</si>
  <si>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</si>
  <si>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</si>
  <si>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</si>
  <si>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</si>
  <si>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</si>
  <si>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</si>
  <si>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</si>
  <si>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</si>
  <si>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</si>
  <si>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</si>
  <si>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</si>
  <si>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</si>
  <si>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</si>
  <si>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</si>
  <si>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</si>
  <si>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</si>
  <si>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</si>
  <si>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</si>
  <si>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</si>
  <si>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</si>
  <si>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</si>
  <si>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</si>
  <si>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</si>
  <si>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</si>
  <si>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</si>
  <si>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</si>
  <si>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</si>
  <si>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</si>
  <si>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</si>
  <si>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</si>
  <si>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</si>
  <si>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</si>
  <si>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</si>
  <si>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</si>
  <si>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</si>
  <si>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</si>
  <si>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</si>
  <si>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</si>
  <si>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</si>
  <si>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</si>
  <si>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</si>
  <si>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</si>
  <si>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</si>
  <si>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</si>
  <si>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</si>
  <si>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</si>
  <si>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</si>
  <si>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</si>
  <si>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</si>
  <si>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</si>
  <si>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</si>
  <si>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</si>
  <si>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</si>
  <si>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</si>
  <si>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</si>
  <si>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</si>
  <si>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</si>
  <si>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</si>
  <si>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</si>
  <si>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</si>
  <si>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</si>
  <si>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</si>
  <si>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</si>
  <si>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</si>
  <si>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</si>
  <si>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</si>
  <si>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</si>
  <si>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</si>
  <si>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</si>
  <si>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</si>
  <si>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</si>
  <si>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</si>
  <si>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</si>
  <si>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</si>
  <si>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</si>
  <si>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</si>
  <si>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</si>
  <si>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</si>
  <si>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</si>
  <si>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</si>
  <si>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</si>
  <si>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</si>
  <si>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</si>
  <si>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</si>
  <si>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</si>
  <si>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</si>
  <si>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</si>
  <si>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</si>
  <si>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</si>
  <si>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</si>
  <si>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</si>
  <si>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</si>
  <si>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</si>
  <si>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</si>
  <si>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</si>
  <si>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</si>
  <si>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</si>
  <si>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</si>
  <si>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</si>
  <si>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</si>
  <si>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</si>
  <si>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</si>
  <si>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</si>
  <si>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</si>
  <si>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</si>
  <si>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</si>
  <si>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</si>
  <si>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</si>
  <si>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</si>
  <si>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</si>
  <si>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</si>
  <si>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</si>
  <si>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</si>
  <si>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</si>
  <si>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</si>
  <si>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</si>
  <si>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</si>
  <si>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</si>
  <si>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</si>
  <si>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</si>
  <si>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</si>
  <si>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</si>
  <si>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</si>
  <si>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</si>
  <si>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</si>
  <si>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</si>
  <si>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</si>
  <si>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</si>
  <si>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</si>
  <si>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</si>
  <si>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</si>
  <si>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</si>
  <si>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</si>
  <si>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</si>
  <si>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</si>
  <si>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</si>
  <si>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</si>
  <si>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</si>
  <si>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</si>
  <si>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</si>
  <si>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</si>
  <si>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</si>
  <si>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</si>
  <si>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</si>
  <si>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</si>
  <si>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</si>
  <si>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</si>
  <si>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</si>
  <si>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</si>
  <si>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</si>
  <si>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</si>
  <si>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</si>
  <si>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</si>
  <si>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</si>
  <si>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</si>
  <si>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</si>
  <si>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</si>
  <si>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</si>
  <si>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</si>
  <si>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</si>
  <si>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</si>
  <si>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</si>
  <si>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</si>
  <si>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</si>
  <si>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</si>
  <si>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</si>
  <si>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</si>
  <si>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</si>
  <si>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</si>
  <si>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</si>
  <si>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</si>
  <si>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</si>
  <si>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</si>
  <si>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</si>
  <si>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</si>
  <si>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</si>
  <si>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</si>
  <si>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</si>
  <si>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</si>
  <si>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</si>
  <si>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</si>
  <si>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</si>
  <si>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</si>
  <si>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</si>
  <si>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</si>
  <si>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</si>
  <si>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</si>
  <si>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</si>
  <si>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</si>
  <si>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</si>
  <si>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</si>
  <si>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</si>
  <si>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</si>
  <si>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</si>
  <si>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</si>
  <si>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</si>
  <si>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</si>
  <si>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</si>
  <si>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</si>
  <si>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</si>
  <si>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</si>
  <si>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</si>
  <si>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</si>
  <si>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</si>
  <si>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</si>
  <si>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</si>
  <si>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</si>
  <si>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</si>
  <si>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</si>
  <si>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</si>
  <si>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</si>
  <si>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</si>
  <si>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</si>
  <si>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</si>
  <si>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</si>
  <si>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</si>
  <si>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</si>
  <si>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</si>
  <si>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</si>
  <si>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</si>
  <si>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</si>
  <si>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</si>
  <si>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</si>
  <si>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</si>
  <si>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</si>
  <si>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</si>
  <si>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</si>
  <si>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</si>
  <si>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</si>
  <si>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</si>
  <si>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</si>
  <si>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</si>
  <si>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</si>
  <si>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</si>
  <si>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</si>
  <si>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</si>
  <si>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</si>
  <si>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</si>
  <si>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</si>
  <si>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</si>
  <si>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</si>
  <si>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</si>
  <si>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</si>
  <si>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</si>
  <si>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Address:Cavelary Gro</t>
  </si>
  <si>
    <t>Best Buy Store</t>
  </si>
  <si>
    <t>Shere Rubani Store</t>
  </si>
  <si>
    <t>Address: Sheraz Vilag Road</t>
  </si>
  <si>
    <t>Najab Khartak Store</t>
  </si>
  <si>
    <t xml:space="preserve">Address: Seven Street </t>
  </si>
  <si>
    <t>Aysheyana Store</t>
  </si>
  <si>
    <t>Address: Seven Street</t>
  </si>
  <si>
    <t>Hassan Mart</t>
  </si>
  <si>
    <t>Address: Islam Nagar / Abid Road</t>
  </si>
  <si>
    <t>Address: Makkah Colony</t>
  </si>
  <si>
    <t>Qadri Super Store</t>
  </si>
  <si>
    <t>Address: Makkah Colony Bloch Road</t>
  </si>
  <si>
    <t>Khan Store</t>
  </si>
  <si>
    <t>Mashallah Store</t>
  </si>
  <si>
    <t>Akeel Qadri Store</t>
  </si>
  <si>
    <t>Address: Makkah Colony G no 18</t>
  </si>
  <si>
    <t>Dogger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</si>
</sst>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2" workbookViewId="0">
      <selection activeCell="Q3" sqref="Q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516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46262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Best Buy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Dogger GS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Shere Rubani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Najab Khartak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</v>
      </c>
      <c r="R7" s="314">
        <v>5</v>
      </c>
      <c r="S7" s="300" t="str">
        <f>+'5'!A6:A6</f>
        <v>Aysheyana Store</v>
      </c>
      <c r="T7" s="301">
        <f>+'5'!P35</f>
        <v>3901.9789586059323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Hassan Mart</v>
      </c>
      <c r="T8" s="301">
        <f>+'6'!P35</f>
        <v>2184.9047487266948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</v>
      </c>
      <c r="R9" s="314">
        <v>7</v>
      </c>
      <c r="S9" s="300" t="str">
        <f>+'7'!A6:A6</f>
        <v>Qadri Super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311">
        <f t="shared" si="2"/>
        <v>1568.1057925423729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24</v>
      </c>
      <c r="R10" s="314">
        <v>8</v>
      </c>
      <c r="S10" s="300" t="str">
        <f>+'8'!A6:A6</f>
        <v>Khan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24</v>
      </c>
      <c r="R11" s="314">
        <v>9</v>
      </c>
      <c r="S11" s="300" t="str">
        <f>+'9'!A6:A6</f>
        <v>Mashallah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38</v>
      </c>
      <c r="R12" s="314">
        <v>10</v>
      </c>
      <c r="S12" s="300" t="str">
        <f>+'10'!A6:A6</f>
        <v>Akeel Qadri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70</v>
      </c>
      <c r="I13" s="236">
        <f t="shared" si="0"/>
        <v>2746.1000000000004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137.30500000000004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96.113500000000016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140.05110000000002</v>
      </c>
      <c r="M13" s="230">
        <f t="shared" si="1"/>
        <v>2372.6304000000005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533.89830508474552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14.53264352542373</v>
      </c>
      <c r="P13" s="311">
        <f t="shared" si="2"/>
        <v>2921.0613486101697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3.5</v>
      </c>
      <c r="H16" s="113">
        <f t="shared" ref="H16:M16" si="3">SUM(H7:H15)</f>
        <v>140</v>
      </c>
      <c r="I16" s="114">
        <f t="shared" si="3"/>
        <v>7225.5750000000007</v>
      </c>
      <c r="J16" s="274">
        <f>SUM(J7:J15)</f>
        <v>495.66300000000012</v>
      </c>
      <c r="K16" s="275">
        <f t="shared" si="3"/>
        <v>252.89512500000004</v>
      </c>
      <c r="L16" s="276">
        <f t="shared" si="3"/>
        <v>140.05110000000002</v>
      </c>
      <c r="M16" s="232">
        <f t="shared" si="3"/>
        <v>6336.9657750000006</v>
      </c>
      <c r="N16" s="233">
        <f>SUM(N7:N15)</f>
        <v>1380.5084745762708</v>
      </c>
      <c r="O16" s="101">
        <f>SUM(O7:O15)</f>
        <v>38.587371247881357</v>
      </c>
      <c r="P16" s="113">
        <f>SUM(P7:P15)</f>
        <v>7756.0616208241536</v>
      </c>
      <c r="Q16" s="128">
        <f>SUM(Q7:Q15)</f>
        <v>188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7225.5750000000007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495.66300000000012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392.94622500000003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6336.9657750000006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1380.5084745762708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7717.4742495762712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38.587371247881357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7756.0616208241527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7756.0616208241518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Q16" sqref="Q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21" sqref="H21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J19" sqref="J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I25" sqref="I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60</v>
      </c>
      <c r="I25" s="114">
        <f t="shared" si="7"/>
        <v>3620.7500000000005</v>
      </c>
      <c r="J25" s="274">
        <f>SUM(J16:J24)</f>
        <v>277.89100000000002</v>
      </c>
      <c r="K25" s="275">
        <f t="shared" si="7"/>
        <v>126.72625000000002</v>
      </c>
      <c r="L25" s="276">
        <f t="shared" si="7"/>
        <v>20.007300000000001</v>
      </c>
      <c r="M25" s="232">
        <f t="shared" si="7"/>
        <v>3196.1254500000005</v>
      </c>
      <c r="N25" s="233">
        <f>SUM(N16:N24)</f>
        <v>686.44067796610148</v>
      </c>
      <c r="O25" s="101">
        <f>SUM(O16:O24)</f>
        <v>19.412830639830506</v>
      </c>
      <c r="P25" s="113">
        <f>SUM(P16:P24)</f>
        <v>3901.9789586059323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3620.7500000000005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277.89100000000002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146.73355000000004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3196.1254500000005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686.44067796610148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3882.5661279661017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19.41283063983051</v>
      </c>
    </row>
    <row r="35" spans="2:16" ht="15.75" customHeight="1" thickBot="1" x14ac:dyDescent="0.4">
      <c r="N35" s="373" t="s">
        <v>88</v>
      </c>
      <c r="O35" s="374"/>
      <c r="P35" s="297">
        <f>+P33+P34</f>
        <v>3901.9789586059323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7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526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2035.6250000000002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139.31200000000001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111.26147500000002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1785.0515250000001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2174.0345758474577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3" t="s">
        <v>88</v>
      </c>
      <c r="O35" s="374"/>
      <c r="P35" s="297">
        <f>+P33+P34</f>
        <v>2184.9047487266948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529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3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I17" sqref="I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533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activeCell="I19" sqref="I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2026-08-28T07:53:31Z</dcterms:modified>
</cp:coreProperties>
</file>