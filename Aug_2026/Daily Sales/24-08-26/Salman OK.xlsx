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3B6751-6BFC-402A-A472-15CDD052F99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5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<sst xmlns="http://schemas.openxmlformats.org/spreadsheetml/2006/main" count="3979" uniqueCount="533">
  <si>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</si>
  <si>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</si>
  <si>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</si>
  <si>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</si>
  <si>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</si>
  <si>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</si>
  <si>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</si>
  <si>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</si>
  <si>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</si>
  <si>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</si>
  <si>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</si>
  <si>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</si>
  <si>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</si>
  <si>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</si>
  <si>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</si>
  <si>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</si>
  <si>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</si>
  <si>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</si>
  <si>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</si>
  <si>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</si>
  <si>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</si>
  <si>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</si>
  <si>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</si>
  <si>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</si>
  <si>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</si>
  <si>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</si>
  <si>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</si>
  <si>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</si>
  <si>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</si>
  <si>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</si>
  <si>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</si>
  <si>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</si>
  <si>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</si>
  <si>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</si>
  <si>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</si>
  <si>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</si>
  <si>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</si>
  <si>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</si>
  <si>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</si>
  <si>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</si>
  <si>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</si>
  <si>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</si>
  <si>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</si>
  <si>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</si>
  <si>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</si>
  <si>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</si>
  <si>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</si>
  <si>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</si>
  <si>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</si>
  <si>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</si>
  <si>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</si>
  <si>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</si>
  <si>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</si>
  <si>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</si>
  <si>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</si>
  <si>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</si>
  <si>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</si>
  <si>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</si>
  <si>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</si>
  <si>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</si>
  <si>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</si>
  <si>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</si>
  <si>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</si>
  <si>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</si>
  <si>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</si>
  <si>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</si>
  <si>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</si>
  <si>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</si>
  <si>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</si>
  <si>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</si>
  <si>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</si>
  <si>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</si>
  <si>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</si>
  <si>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</si>
  <si>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</si>
  <si>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</si>
  <si>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</si>
  <si>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</si>
  <si>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</si>
  <si>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</si>
  <si>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</si>
  <si>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</si>
  <si>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</si>
  <si>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</si>
  <si>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</si>
  <si>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</si>
  <si>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</si>
  <si>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</si>
  <si>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</si>
  <si>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</si>
  <si>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</si>
  <si>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</si>
  <si>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</si>
  <si>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</si>
  <si>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</si>
  <si>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</si>
  <si>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</si>
  <si>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</si>
  <si>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</si>
  <si>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</si>
  <si>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</si>
  <si>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</si>
  <si>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</si>
  <si>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</si>
  <si>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</si>
  <si>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</si>
  <si>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</si>
  <si>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</si>
  <si>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</si>
  <si>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</si>
  <si>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</si>
  <si>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</si>
  <si>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</si>
  <si>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</si>
  <si>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</si>
  <si>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</si>
  <si>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</si>
  <si>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</si>
  <si>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</si>
  <si>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</si>
  <si>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</si>
  <si>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</si>
  <si>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</si>
  <si>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</si>
  <si>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</si>
  <si>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</si>
  <si>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</si>
  <si>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</si>
  <si>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</si>
  <si>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</si>
  <si>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</si>
  <si>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</si>
  <si>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</si>
  <si>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</si>
  <si>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</si>
  <si>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</si>
  <si>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</si>
  <si>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</si>
  <si>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</si>
  <si>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</si>
  <si>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</si>
  <si>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</si>
  <si>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</si>
  <si>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</si>
  <si>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</si>
  <si>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</si>
  <si>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</si>
  <si>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</si>
  <si>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</si>
  <si>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</si>
  <si>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</si>
  <si>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</si>
  <si>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</si>
  <si>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</si>
  <si>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</si>
  <si>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</si>
  <si>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</si>
  <si>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</si>
  <si>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</si>
  <si>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</si>
  <si>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</si>
  <si>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</si>
  <si>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</si>
  <si>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</si>
  <si>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</si>
  <si>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</si>
  <si>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</si>
  <si>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</si>
  <si>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</si>
  <si>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</si>
  <si>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</si>
  <si>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</si>
  <si>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</si>
  <si>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</si>
  <si>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</si>
  <si>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</si>
  <si>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</si>
  <si>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</si>
  <si>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</si>
  <si>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</si>
  <si>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</si>
  <si>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</si>
  <si>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</si>
  <si>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</si>
  <si>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</si>
  <si>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</si>
  <si>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</si>
  <si>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</si>
  <si>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</si>
  <si>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</si>
  <si>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</si>
  <si>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</si>
  <si>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</si>
  <si>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</si>
  <si>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</si>
  <si>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</si>
  <si>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</si>
  <si>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</si>
  <si>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</si>
  <si>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</si>
  <si>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</si>
  <si>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</si>
  <si>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</si>
  <si>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</si>
  <si>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</si>
  <si>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</si>
  <si>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</si>
  <si>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</si>
  <si>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</si>
  <si>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</si>
  <si>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</si>
  <si>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</si>
  <si>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</si>
  <si>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</si>
  <si>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</si>
  <si>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</si>
  <si>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</si>
  <si>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</si>
  <si>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</si>
  <si>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</si>
  <si>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</si>
  <si>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</si>
  <si>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</si>
  <si>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</si>
  <si>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</si>
  <si>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</si>
  <si>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</si>
  <si>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</si>
  <si>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</si>
  <si>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</si>
  <si>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</si>
  <si>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</si>
  <si>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</si>
  <si>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</si>
  <si>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</si>
  <si>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</si>
  <si>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</si>
  <si>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</si>
  <si>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</si>
  <si>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</si>
  <si>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</si>
  <si>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</si>
  <si>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</si>
  <si>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</si>
  <si>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</si>
  <si>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</si>
  <si>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</si>
  <si>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</si>
  <si>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</si>
  <si>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</si>
  <si>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</si>
  <si>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</si>
  <si>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</si>
  <si>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</si>
  <si>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</si>
  <si>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</si>
  <si>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</si>
  <si>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</si>
  <si>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</si>
  <si>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</si>
  <si>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</si>
  <si>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</si>
  <si>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</si>
  <si>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</si>
  <si>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</si>
  <si>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</si>
  <si>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</si>
  <si>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</si>
  <si>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</si>
  <si>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</si>
  <si>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</si>
  <si>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</si>
  <si>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</si>
  <si>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</si>
  <si>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</si>
  <si>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</si>
  <si>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</si>
  <si>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</si>
  <si>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</si>
  <si>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</si>
  <si>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</si>
  <si>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</si>
  <si>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</si>
  <si>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</si>
  <si>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</si>
  <si>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</si>
  <si>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</si>
  <si>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</si>
  <si>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</si>
  <si>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</si>
  <si>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</si>
  <si>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</si>
  <si>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</si>
  <si>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</si>
  <si>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</si>
  <si>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</si>
  <si>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</si>
  <si>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</si>
  <si>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</si>
  <si>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</si>
  <si>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</si>
  <si>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</si>
  <si>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</si>
  <si>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</si>
  <si>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</si>
  <si>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</si>
  <si>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</si>
  <si>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</si>
  <si>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</si>
  <si>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</si>
  <si>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</si>
  <si>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</si>
  <si>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</si>
  <si>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</si>
  <si>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</si>
  <si>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</si>
  <si>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</si>
  <si>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</si>
  <si>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</si>
  <si>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</si>
  <si>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</si>
  <si>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</si>
  <si>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</si>
  <si>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</si>
  <si>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</si>
  <si>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</si>
  <si>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</si>
  <si>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</si>
  <si>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</si>
  <si>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</si>
  <si>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</si>
  <si>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</si>
  <si>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</si>
  <si>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</si>
  <si>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</si>
  <si>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</si>
  <si>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</si>
  <si>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</si>
  <si>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</si>
  <si>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</si>
  <si>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</si>
  <si>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</si>
  <si>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</si>
  <si>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</si>
  <si>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</si>
  <si>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</si>
  <si>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</si>
  <si>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</si>
  <si>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</si>
  <si>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</si>
  <si>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</si>
  <si>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</si>
  <si>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</si>
  <si>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</si>
  <si>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</si>
  <si>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</si>
  <si>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</si>
  <si>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</si>
  <si>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</si>
  <si>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</si>
  <si>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</si>
  <si>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</si>
  <si>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</si>
  <si>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</si>
  <si>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</si>
  <si>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</si>
  <si>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</si>
  <si>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</si>
  <si>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</si>
  <si>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</si>
  <si>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</si>
  <si>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</si>
  <si>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</si>
  <si>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</si>
  <si>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</si>
  <si>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</si>
  <si>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</si>
  <si>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</si>
  <si>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</si>
  <si>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</si>
  <si>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</si>
  <si>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</si>
  <si>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</si>
  <si>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</si>
  <si>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</si>
  <si>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</si>
  <si>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</si>
  <si>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</si>
  <si>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</si>
  <si>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</si>
  <si>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</si>
  <si>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</si>
  <si>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</si>
  <si>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</si>
  <si>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</si>
  <si>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</si>
  <si>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</si>
  <si>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</si>
  <si>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</si>
  <si>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</si>
  <si>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</si>
  <si>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</si>
  <si>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</si>
  <si>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</si>
  <si>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</si>
  <si>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</si>
  <si>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</si>
  <si>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</si>
  <si>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</si>
  <si>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</si>
  <si>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</si>
  <si>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</si>
  <si>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</si>
  <si>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</si>
  <si>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</si>
  <si>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</si>
  <si>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</si>
  <si>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</si>
  <si>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</si>
  <si>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</si>
  <si>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</si>
  <si>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</si>
  <si>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</si>
  <si>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</si>
  <si>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</si>
  <si>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</si>
  <si>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</si>
  <si>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</si>
  <si>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</si>
  <si>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</si>
  <si>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</si>
  <si>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</si>
  <si>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</si>
  <si>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</si>
  <si>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</si>
  <si>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</si>
  <si>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</si>
  <si>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</si>
  <si>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</si>
  <si>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</si>
  <si>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</si>
  <si>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</si>
  <si>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</si>
  <si>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</si>
  <si>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</si>
  <si>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</si>
  <si>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</si>
  <si>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</si>
  <si>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</si>
  <si>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</si>
  <si>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</si>
  <si>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</si>
  <si>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</si>
  <si>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</si>
  <si>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</si>
  <si>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</si>
  <si>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</si>
  <si>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</si>
  <si>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</si>
  <si>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</si>
  <si>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</si>
  <si>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</si>
  <si>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</si>
  <si>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</si>
  <si>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</si>
  <si>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</si>
  <si>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</si>
  <si>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</si>
  <si>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</si>
  <si>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</si>
  <si>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</si>
  <si>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</si>
  <si>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</si>
  <si>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</si>
  <si>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</si>
  <si>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</si>
  <si>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</si>
  <si>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</si>
  <si>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</si>
  <si>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</si>
  <si>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</si>
  <si>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</si>
  <si>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</si>
  <si>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</si>
  <si>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</si>
  <si>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</si>
  <si>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</si>
  <si>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</si>
  <si>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</si>
  <si>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</si>
  <si>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</si>
  <si>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</si>
  <si>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</si>
  <si>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</si>
  <si>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</si>
  <si>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</si>
  <si>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</si>
  <si>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</si>
  <si>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</si>
  <si>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</si>
  <si>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</si>
  <si>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</si>
  <si>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</si>
  <si>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</si>
  <si>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</si>
  <si>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</si>
  <si>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</si>
  <si>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</si>
  <si>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</si>
  <si>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</si>
  <si>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</si>
  <si>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</si>
  <si>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</si>
  <si>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</si>
  <si>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</si>
  <si>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</si>
  <si>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Address:Zafer Ali Road</t>
  </si>
  <si>
    <t xml:space="preserve">Salman </t>
  </si>
  <si>
    <t xml:space="preserve">Ghous Bakers </t>
  </si>
  <si>
    <t xml:space="preserve">Khan Nimko </t>
  </si>
  <si>
    <t>Bilal Store</t>
  </si>
  <si>
    <t>New Data Sweets</t>
  </si>
  <si>
    <t>Data Store</t>
  </si>
  <si>
    <t>Butt GS</t>
  </si>
  <si>
    <t>Rehan Store</t>
  </si>
  <si>
    <t>Tanveer GS</t>
  </si>
  <si>
    <t>Usman Store</t>
  </si>
  <si>
    <t>Ismail Store</t>
  </si>
  <si>
    <t>Pakistan Store</t>
  </si>
  <si>
    <t>Ashtaq Store</t>
  </si>
  <si>
    <t>Sohail Store</t>
  </si>
  <si>
    <t>Dawood Store</t>
  </si>
  <si>
    <t>Farhan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</si>
</sst>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499</v>
      </c>
      <c r="F2" s="356"/>
      <c r="G2" s="356"/>
      <c r="H2" s="353" t="s">
        <v>517</v>
      </c>
      <c r="I2" s="353"/>
      <c r="J2" s="354"/>
      <c r="R2" s="350" t="s">
        <v>498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511</v>
      </c>
      <c r="F3" s="360"/>
      <c r="G3" s="360"/>
      <c r="H3" s="357">
        <f ca="1">TODAY()</f>
        <v>46258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Ghous Bakers </v>
      </c>
      <c r="T3" s="301">
        <f>+'1'!P35</f>
        <v>16203.789503771184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Khan Nimko </v>
      </c>
      <c r="T4" s="301">
        <f>+'2'!P35</f>
        <v>1568.1057925423729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Bilal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New Data Sweets</v>
      </c>
      <c r="T6" s="301">
        <f>+'4'!P35</f>
        <v>4805.3894985762709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Data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Butt GS</v>
      </c>
      <c r="T8" s="301">
        <f>+'6'!P35</f>
        <v>3080.473126779661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Rehan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Tanveer GS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58</v>
      </c>
      <c r="I11" s="236">
        <f t="shared" si="0"/>
        <v>4213.12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337.04960000000005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147.45920000000001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3728.6111999999998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796.27118644067798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22.62441193220339</v>
      </c>
      <c r="P11" s="311">
        <f t="shared" si="2"/>
        <v>4547.5067983728813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Usman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110</v>
      </c>
      <c r="I12" s="236">
        <f t="shared" si="0"/>
        <v>7990.4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639.23199999999997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279.66399999999999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7071.5039999999999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1510.1694915254238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42.908367457627122</v>
      </c>
      <c r="P12" s="311">
        <f t="shared" si="2"/>
        <v>8624.5818589830506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Ismail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320.11679999999996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</v>
      </c>
      <c r="R13" s="314">
        <v>11</v>
      </c>
      <c r="S13" s="300" t="str">
        <f>+'11'!A6:A6</f>
        <v>Pakistan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Ashtaq Store</v>
      </c>
      <c r="T14" s="301">
        <f>+'12'!P35</f>
        <v>208.64723918644069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Sohail Store</v>
      </c>
      <c r="T15" s="301">
        <f>+'13'!P35</f>
        <v>208.64723918644069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12.95</v>
      </c>
      <c r="H16" s="113">
        <f t="shared" ref="H16:M16" si="3">SUM(H7:H15)</f>
        <v>518</v>
      </c>
      <c r="I16" s="114">
        <f t="shared" si="3"/>
        <v>29860.620000000003</v>
      </c>
      <c r="J16" s="274">
        <f>SUM(J7:J15)</f>
        <v>2200.5455999999999</v>
      </c>
      <c r="K16" s="275">
        <f t="shared" si="3"/>
        <v>1045.1217000000001</v>
      </c>
      <c r="L16" s="276">
        <f t="shared" si="3"/>
        <v>320.11679999999996</v>
      </c>
      <c r="M16" s="232">
        <f t="shared" si="3"/>
        <v>26294.835900000002</v>
      </c>
      <c r="N16" s="233">
        <f>SUM(N7:N15)</f>
        <v>5677.6271186440672</v>
      </c>
      <c r="O16" s="101">
        <f>SUM(O7:O15)</f>
        <v>159.86231509322033</v>
      </c>
      <c r="P16" s="113">
        <f>SUM(P7:P15)</f>
        <v>32132.325333737288</v>
      </c>
      <c r="Q16" s="128">
        <f>SUM(Q7:Q15)</f>
        <v>5</v>
      </c>
      <c r="R16" s="314">
        <v>14</v>
      </c>
      <c r="S16" s="318" t="s">
        <v>531</v>
      </c>
      <c r="T16" s="301">
        <f>+'14'!P35</f>
        <v>208.64723918644069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Farhan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Bilal Store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29860.620000000003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2200.5455999999999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1365.2385000000002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26294.835900000002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5677.6271186440672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31972.46301864407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159.86231509322033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32132.325333737292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32132.325333737284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1200.9839999999999</v>
      </c>
      <c r="K25" s="275">
        <f t="shared" si="10"/>
        <v>525.43050000000005</v>
      </c>
      <c r="L25" s="276">
        <f t="shared" si="10"/>
        <v>0</v>
      </c>
      <c r="M25" s="232">
        <f t="shared" si="10"/>
        <v>13285.8855</v>
      </c>
      <c r="N25" s="233">
        <f>SUM(N16:N24)</f>
        <v>2837.2881355932195</v>
      </c>
      <c r="O25" s="101">
        <f>SUM(O16:O24)</f>
        <v>80.615868177966092</v>
      </c>
      <c r="P25" s="113">
        <f>SUM(P16:P24)</f>
        <v>16203.789503771186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1200.9839999999999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525.43050000000005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13285.8855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16123.173635593219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4" t="s">
        <v>88</v>
      </c>
      <c r="O35" s="345"/>
      <c r="P35" s="297">
        <f>+P33+P34</f>
        <v>16203.789503771184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>
        <v>0</v>
      </c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183.06160000000003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2876.7200000000003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183.06160000000003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180.71440000000001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2512.9440000000004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3065.1473898305085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44" t="s">
        <v>88</v>
      </c>
      <c r="O35" s="345"/>
      <c r="P35" s="297">
        <f>+P33+P34</f>
        <v>3080.473126779661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P35" sqref="P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8.75" customHeight="1" x14ac:dyDescent="0.4">
      <c r="A6" s="398" t="s">
        <v>501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502</v>
      </c>
      <c r="B4" s="369"/>
      <c r="C4" s="369"/>
      <c r="F4" s="85"/>
      <c r="G4" s="1"/>
      <c r="K4" s="370" t="s">
        <v>44</v>
      </c>
      <c r="L4" s="370"/>
      <c r="M4" s="370"/>
      <c r="N4" s="400">
        <v>46258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46257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508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508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46259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2026-08-24T14:14:43Z</dcterms:modified>
</cp:coreProperties>
</file>