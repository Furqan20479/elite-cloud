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D0C5EC4-1A05-4B92-AE98-665C69A74BD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<sst xmlns="http://schemas.openxmlformats.org/spreadsheetml/2006/main" count="3978" uniqueCount="533">
  <si>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</si>
  <si>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</si>
  <si>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</si>
  <si>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</si>
  <si>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</si>
  <si>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</si>
  <si>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</si>
  <si>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</si>
  <si>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</si>
  <si>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</si>
  <si>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</si>
  <si>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</si>
  <si>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</si>
  <si>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</si>
  <si>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</si>
  <si>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</si>
  <si>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</si>
  <si>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</si>
  <si>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</si>
  <si>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</si>
  <si>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</si>
  <si>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</si>
  <si>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</si>
  <si>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</si>
  <si>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</si>
  <si>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</si>
  <si>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</si>
  <si>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</si>
  <si>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</si>
  <si>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</si>
  <si>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</si>
  <si>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</si>
  <si>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</si>
  <si>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</si>
  <si>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</si>
  <si>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</si>
  <si>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</si>
  <si>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</si>
  <si>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</si>
  <si>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</si>
  <si>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</si>
  <si>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</si>
  <si>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</si>
  <si>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</si>
  <si>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</si>
  <si>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</si>
  <si>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</si>
  <si>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</si>
  <si>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</si>
  <si>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</si>
  <si>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</si>
  <si>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</si>
  <si>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</si>
  <si>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</si>
  <si>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</si>
  <si>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</si>
  <si>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</si>
  <si>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</si>
  <si>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</si>
  <si>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</si>
  <si>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</si>
  <si>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</si>
  <si>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</si>
  <si>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</si>
  <si>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</si>
  <si>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</si>
  <si>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</si>
  <si>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</si>
  <si>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</si>
  <si>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</si>
  <si>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</si>
  <si>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</si>
  <si>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</si>
  <si>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</si>
  <si>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</si>
  <si>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</si>
  <si>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</si>
  <si>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</si>
  <si>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</si>
  <si>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</si>
  <si>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</si>
  <si>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</si>
  <si>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</si>
  <si>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</si>
  <si>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</si>
  <si>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</si>
  <si>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</si>
  <si>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</si>
  <si>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</si>
  <si>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</si>
  <si>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</si>
  <si>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</si>
  <si>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</si>
  <si>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</si>
  <si>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</si>
  <si>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</si>
  <si>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</si>
  <si>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</si>
  <si>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</si>
  <si>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</si>
  <si>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</si>
  <si>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</si>
  <si>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</si>
  <si>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</si>
  <si>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</si>
  <si>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</si>
  <si>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</si>
  <si>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</si>
  <si>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</si>
  <si>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</si>
  <si>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</si>
  <si>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</si>
  <si>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</si>
  <si>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</si>
  <si>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</si>
  <si>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</si>
  <si>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</si>
  <si>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</si>
  <si>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</si>
  <si>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</si>
  <si>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</si>
  <si>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</si>
  <si>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</si>
  <si>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</si>
  <si>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</si>
  <si>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</si>
  <si>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</si>
  <si>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</si>
  <si>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</si>
  <si>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</si>
  <si>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</si>
  <si>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</si>
  <si>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</si>
  <si>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</si>
  <si>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</si>
  <si>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</si>
  <si>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</si>
  <si>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</si>
  <si>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</si>
  <si>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</si>
  <si>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</si>
  <si>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</si>
  <si>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</si>
  <si>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</si>
  <si>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</si>
  <si>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</si>
  <si>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</si>
  <si>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</si>
  <si>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</si>
  <si>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</si>
  <si>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</si>
  <si>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</si>
  <si>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</si>
  <si>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</si>
  <si>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</si>
  <si>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</si>
  <si>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</si>
  <si>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</si>
  <si>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</si>
  <si>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</si>
  <si>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</si>
  <si>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</si>
  <si>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</si>
  <si>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</si>
  <si>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</si>
  <si>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</si>
  <si>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</si>
  <si>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</si>
  <si>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</si>
  <si>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</si>
  <si>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</si>
  <si>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</si>
  <si>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</si>
  <si>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</si>
  <si>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</si>
  <si>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</si>
  <si>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</si>
  <si>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</si>
  <si>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</si>
  <si>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</si>
  <si>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</si>
  <si>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</si>
  <si>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</si>
  <si>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</si>
  <si>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</si>
  <si>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</si>
  <si>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</si>
  <si>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</si>
  <si>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</si>
  <si>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</si>
  <si>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</si>
  <si>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</si>
  <si>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</si>
  <si>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</si>
  <si>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</si>
  <si>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</si>
  <si>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</si>
  <si>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</si>
  <si>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</si>
  <si>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</si>
  <si>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</si>
  <si>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</si>
  <si>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</si>
  <si>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</si>
  <si>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</si>
  <si>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</si>
  <si>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</si>
  <si>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</si>
  <si>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</si>
  <si>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</si>
  <si>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</si>
  <si>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</si>
  <si>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</si>
  <si>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</si>
  <si>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</si>
  <si>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</si>
  <si>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</si>
  <si>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</si>
  <si>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</si>
  <si>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</si>
  <si>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</si>
  <si>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</si>
  <si>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</si>
  <si>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</si>
  <si>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</si>
  <si>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</si>
  <si>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</si>
  <si>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</si>
  <si>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</si>
  <si>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</si>
  <si>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</si>
  <si>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</si>
  <si>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</si>
  <si>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</si>
  <si>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</si>
  <si>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</si>
  <si>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</si>
  <si>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</si>
  <si>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</si>
  <si>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</si>
  <si>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</si>
  <si>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</si>
  <si>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</si>
  <si>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</si>
  <si>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</si>
  <si>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</si>
  <si>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</si>
  <si>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</si>
  <si>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</si>
  <si>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</si>
  <si>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</si>
  <si>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</si>
  <si>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</si>
  <si>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</si>
  <si>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</si>
  <si>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</si>
  <si>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</si>
  <si>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</si>
  <si>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</si>
  <si>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</si>
  <si>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</si>
  <si>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</si>
  <si>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</si>
  <si>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</si>
  <si>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</si>
  <si>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</si>
  <si>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</si>
  <si>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</si>
  <si>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</si>
  <si>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</si>
  <si>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</si>
  <si>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</si>
  <si>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</si>
  <si>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</si>
  <si>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</si>
  <si>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</si>
  <si>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</si>
  <si>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</si>
  <si>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</si>
  <si>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</si>
  <si>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</si>
  <si>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</si>
  <si>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</si>
  <si>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</si>
  <si>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</si>
  <si>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</si>
  <si>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</si>
  <si>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</si>
  <si>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</si>
  <si>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</si>
  <si>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</si>
  <si>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</si>
  <si>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</si>
  <si>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</si>
  <si>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</si>
  <si>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</si>
  <si>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</si>
  <si>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</si>
  <si>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</si>
  <si>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</si>
  <si>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</si>
  <si>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</si>
  <si>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</si>
  <si>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</si>
  <si>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</si>
  <si>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</si>
  <si>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</si>
  <si>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</si>
  <si>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</si>
  <si>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</si>
  <si>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</si>
  <si>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</si>
  <si>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</si>
  <si>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</si>
  <si>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</si>
  <si>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</si>
  <si>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</si>
  <si>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</si>
  <si>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</si>
  <si>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</si>
  <si>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</si>
  <si>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</si>
  <si>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</si>
  <si>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</si>
  <si>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</si>
  <si>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</si>
  <si>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</si>
  <si>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</si>
  <si>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</si>
  <si>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</si>
  <si>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</si>
  <si>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</si>
  <si>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</si>
  <si>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</si>
  <si>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</si>
  <si>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</si>
  <si>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</si>
  <si>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</si>
  <si>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</si>
  <si>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</si>
  <si>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</si>
  <si>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</si>
  <si>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</si>
  <si>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</si>
  <si>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</si>
  <si>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</si>
  <si>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</si>
  <si>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</si>
  <si>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</si>
  <si>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</si>
  <si>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</si>
  <si>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</si>
  <si>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</si>
  <si>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</si>
  <si>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</si>
  <si>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</si>
  <si>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</si>
  <si>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</si>
  <si>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</si>
  <si>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</si>
  <si>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</si>
  <si>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</si>
  <si>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</si>
  <si>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</si>
  <si>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</si>
  <si>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</si>
  <si>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</si>
  <si>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</si>
  <si>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</si>
  <si>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</si>
  <si>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</si>
  <si>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</si>
  <si>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</si>
  <si>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</si>
  <si>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</si>
  <si>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</si>
  <si>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</si>
  <si>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</si>
  <si>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</si>
  <si>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</si>
  <si>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</si>
  <si>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</si>
  <si>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</si>
  <si>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</si>
  <si>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</si>
  <si>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</si>
  <si>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</si>
  <si>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</si>
  <si>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</si>
  <si>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</si>
  <si>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</si>
  <si>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</si>
  <si>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</si>
  <si>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</si>
  <si>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</si>
  <si>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</si>
  <si>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</si>
  <si>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</si>
  <si>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</si>
  <si>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</si>
  <si>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</si>
  <si>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</si>
  <si>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</si>
  <si>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</si>
  <si>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</si>
  <si>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</si>
  <si>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</si>
  <si>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</si>
  <si>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</si>
  <si>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</si>
  <si>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</si>
  <si>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</si>
  <si>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</si>
  <si>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</si>
  <si>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</si>
  <si>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</si>
  <si>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</si>
  <si>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</si>
  <si>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</si>
  <si>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</si>
  <si>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</si>
  <si>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</si>
  <si>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</si>
  <si>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</si>
  <si>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</si>
  <si>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</si>
  <si>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</si>
  <si>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</si>
  <si>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</si>
  <si>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</si>
  <si>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</si>
  <si>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</si>
  <si>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</si>
  <si>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</si>
  <si>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</si>
  <si>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</si>
  <si>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</si>
  <si>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</si>
  <si>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</si>
  <si>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</si>
  <si>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</si>
  <si>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</si>
  <si>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</si>
  <si>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</si>
  <si>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</si>
  <si>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</si>
  <si>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</si>
  <si>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</si>
  <si>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</si>
  <si>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</si>
  <si>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</si>
  <si>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</si>
  <si>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</si>
  <si>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</si>
  <si>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</si>
  <si>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</si>
  <si>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</si>
  <si>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</si>
  <si>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</si>
  <si>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</si>
  <si>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</si>
  <si>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</si>
  <si>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</si>
  <si>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</si>
  <si>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</si>
  <si>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</si>
  <si>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</si>
  <si>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</si>
  <si>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</si>
  <si>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</si>
  <si>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</si>
  <si>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</si>
  <si>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</si>
  <si>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</si>
  <si>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</si>
  <si>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</si>
  <si>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</si>
  <si>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</si>
  <si>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</si>
  <si>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</si>
  <si>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</si>
  <si>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</si>
  <si>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</si>
  <si>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</si>
  <si>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</si>
  <si>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</si>
  <si>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</si>
  <si>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</si>
  <si>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</si>
  <si>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</si>
  <si>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</si>
  <si>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</si>
  <si>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</si>
  <si>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</si>
  <si>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</si>
  <si>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</si>
  <si>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</si>
  <si>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</si>
  <si>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</si>
  <si>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</si>
  <si>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</si>
  <si>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</si>
  <si>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</si>
  <si>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</si>
  <si>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</si>
  <si>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</si>
  <si>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</si>
  <si>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</si>
  <si>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</si>
  <si>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</si>
  <si>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</si>
  <si>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</si>
  <si>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</si>
  <si>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</si>
  <si>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</si>
  <si>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</si>
  <si>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Address:Zafer Ali Road</t>
  </si>
  <si>
    <t xml:space="preserve">Salman </t>
  </si>
  <si>
    <t xml:space="preserve">Ghous Bakers </t>
  </si>
  <si>
    <t xml:space="preserve">Khan Nimko </t>
  </si>
  <si>
    <t>Bilal Store</t>
  </si>
  <si>
    <t>New Data Sweets</t>
  </si>
  <si>
    <t>Data Store</t>
  </si>
  <si>
    <t>Butt GS</t>
  </si>
  <si>
    <t>Rehan Store</t>
  </si>
  <si>
    <t>Tanveer GS</t>
  </si>
  <si>
    <t>Usman Store</t>
  </si>
  <si>
    <t>Ismail Store</t>
  </si>
  <si>
    <t>Pakistan Store</t>
  </si>
  <si>
    <t>Ashtaq Store</t>
  </si>
  <si>
    <t>Sohail Store</t>
  </si>
  <si>
    <t>Dawood Store</t>
  </si>
  <si>
    <t>Farhan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</si>
</sst>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H36" sqref="H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499</v>
      </c>
      <c r="F2" s="385"/>
      <c r="G2" s="385"/>
      <c r="H2" s="382" t="s">
        <v>517</v>
      </c>
      <c r="I2" s="382"/>
      <c r="J2" s="383"/>
      <c r="R2" s="379" t="s">
        <v>498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511</v>
      </c>
      <c r="F3" s="389"/>
      <c r="G3" s="389"/>
      <c r="H3" s="386">
        <f ca="1">TODAY()</f>
        <v>46258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Ghous Bakers </v>
      </c>
      <c r="T3" s="301">
        <f>+'1'!P35</f>
        <v>16203.789503771184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Khan Nimko </v>
      </c>
      <c r="T4" s="301">
        <f>+'2'!P35</f>
        <v>1568.1057925423729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Bilal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New Data Sweets</v>
      </c>
      <c r="T6" s="301">
        <f>+'4'!P35</f>
        <v>4805.3894985762709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Data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Butt GS</v>
      </c>
      <c r="T8" s="301">
        <f>+'6'!P35</f>
        <v>3080.473126779661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Rehan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78</v>
      </c>
      <c r="I10" s="236">
        <f t="shared" si="0"/>
        <v>5665.92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198.30720000000002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5014.3392000000003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1070.8474576271187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30.425933288135596</v>
      </c>
      <c r="P10" s="311">
        <f t="shared" si="2"/>
        <v>6115.6125909152543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Tanveer GS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311">
        <f t="shared" si="2"/>
        <v>5096.3438257627113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Usman Store</v>
      </c>
      <c r="T11" s="301">
        <f>+'9'!P35</f>
        <v>208.64723918644069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135</v>
      </c>
      <c r="I12" s="236">
        <f t="shared" si="0"/>
        <v>9806.4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784.51199999999994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343.22399999999999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8678.6640000000007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1853.3898305084747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52.660269152542377</v>
      </c>
      <c r="P12" s="311">
        <f t="shared" si="2"/>
        <v>10584.714099661018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Ismail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165</v>
      </c>
      <c r="I13" s="236">
        <f t="shared" si="0"/>
        <v>6472.9500000000007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323.64750000000009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226.55325000000005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330.12044999999995</v>
      </c>
      <c r="M13" s="230">
        <f t="shared" si="1"/>
        <v>5592.6288000000004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1258.4745762711855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34.255516881355931</v>
      </c>
      <c r="P13" s="311">
        <f t="shared" si="2"/>
        <v>6885.3588931525419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Pakistan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Ashtaq Store</v>
      </c>
      <c r="T14" s="301">
        <f>+'12'!P35</f>
        <v>208.64723918644069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Sohail Store</v>
      </c>
      <c r="T15" s="301">
        <f>+'13'!P35</f>
        <v>208.64723918644069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14.074999999999999</v>
      </c>
      <c r="H16" s="113">
        <f t="shared" ref="H16:M16" si="3">SUM(H7:H15)</f>
        <v>563</v>
      </c>
      <c r="I16" s="114">
        <f t="shared" si="3"/>
        <v>32962.369999999995</v>
      </c>
      <c r="J16" s="274">
        <f>SUM(J7:J15)</f>
        <v>2442.8010999999997</v>
      </c>
      <c r="K16" s="275">
        <f t="shared" si="3"/>
        <v>1153.6829499999999</v>
      </c>
      <c r="L16" s="276">
        <f t="shared" si="3"/>
        <v>330.12044999999995</v>
      </c>
      <c r="M16" s="232">
        <f t="shared" si="3"/>
        <v>29035.765500000001</v>
      </c>
      <c r="N16" s="233">
        <f>SUM(N7:N15)</f>
        <v>6264.9152542372867</v>
      </c>
      <c r="O16" s="101">
        <f>SUM(O7:O15)</f>
        <v>176.50340377118644</v>
      </c>
      <c r="P16" s="113">
        <f>SUM(P7:P15)</f>
        <v>35477.184158008473</v>
      </c>
      <c r="Q16" s="128">
        <f>SUM(Q7:Q15)</f>
        <v>0</v>
      </c>
      <c r="R16" s="314">
        <v>14</v>
      </c>
      <c r="S16" s="318">
        <v>0.08</v>
      </c>
      <c r="T16" s="301">
        <f>+'14'!P35</f>
        <v>208.64723918644069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Farhan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Bilal Store</v>
      </c>
      <c r="T18" s="301">
        <f>+'16'!P35</f>
        <v>3136.2115850847458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32962.369999999995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2442.8010999999997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1483.8033999999998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29035.765499999994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6264.9152542372867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35300.680754237284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176.50340377118644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35477.184158008473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35477.184158008473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1200.9839999999999</v>
      </c>
      <c r="K25" s="275">
        <f t="shared" si="10"/>
        <v>525.43050000000005</v>
      </c>
      <c r="L25" s="276">
        <f t="shared" si="10"/>
        <v>0</v>
      </c>
      <c r="M25" s="232">
        <f t="shared" si="10"/>
        <v>13285.8855</v>
      </c>
      <c r="N25" s="233">
        <f>SUM(N16:N24)</f>
        <v>2837.2881355932195</v>
      </c>
      <c r="O25" s="101">
        <f>SUM(O16:O24)</f>
        <v>80.615868177966092</v>
      </c>
      <c r="P25" s="113">
        <f>SUM(P16:P24)</f>
        <v>16203.789503771186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1200.9839999999999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525.43050000000005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13285.8855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16123.173635593219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3" t="s">
        <v>88</v>
      </c>
      <c r="O35" s="374"/>
      <c r="P35" s="297">
        <f>+P33+P34</f>
        <v>16203.789503771184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1452.8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116.224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50.848000000000006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1285.7280000000001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1560.3042711864407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3" t="s">
        <v>88</v>
      </c>
      <c r="O35" s="374"/>
      <c r="P35" s="297">
        <f>+P33+P34</f>
        <v>1568.1057925423729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232.44799999999998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>
        <v>0</v>
      </c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4474.8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310.90800000000002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236.64720000000003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3927.2447999999999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4781.4820881355927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3" t="s">
        <v>88</v>
      </c>
      <c r="O35" s="374"/>
      <c r="P35" s="297">
        <f>+P33+P34</f>
        <v>4805.3894985762709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183.06160000000003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2876.7200000000003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183.06160000000003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180.71440000000001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2512.9440000000004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3065.1473898305085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73" t="s">
        <v>88</v>
      </c>
      <c r="O35" s="374"/>
      <c r="P35" s="297">
        <f>+P33+P34</f>
        <v>3080.473126779661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</v>
      </c>
      <c r="I20" s="236">
        <f t="shared" si="0"/>
        <v>508.48</v>
      </c>
      <c r="J20" s="272">
        <f t="shared" si="1"/>
        <v>40.678400000000003</v>
      </c>
      <c r="K20" s="128">
        <f t="shared" si="1"/>
        <v>17.796800000000001</v>
      </c>
      <c r="L20" s="119">
        <f t="shared" si="1"/>
        <v>0</v>
      </c>
      <c r="M20" s="230">
        <f t="shared" si="2"/>
        <v>450.00480000000005</v>
      </c>
      <c r="N20" s="277">
        <f t="shared" si="3"/>
        <v>96.101694915254242</v>
      </c>
      <c r="O20" s="239">
        <f t="shared" si="4"/>
        <v>2.7305324745762714</v>
      </c>
      <c r="P20" s="311">
        <f t="shared" si="5"/>
        <v>548.83702738983061</v>
      </c>
      <c r="Q20" s="156"/>
      <c r="R20">
        <f>P20/21</f>
        <v>26.135096542372885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0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311">
        <f t="shared" si="5"/>
        <v>1960.1322406779661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500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8.75" customHeight="1" x14ac:dyDescent="0.4">
      <c r="A6" s="399" t="s">
        <v>501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502</v>
      </c>
      <c r="B4" s="393"/>
      <c r="C4" s="393"/>
      <c r="F4" s="85"/>
      <c r="G4" s="1"/>
      <c r="K4" s="394" t="s">
        <v>44</v>
      </c>
      <c r="L4" s="394"/>
      <c r="M4" s="394"/>
      <c r="N4" s="397">
        <v>46258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46257</v>
      </c>
      <c r="O5" s="393"/>
      <c r="P5" s="393"/>
      <c r="R5" s="85"/>
      <c r="S5" s="266"/>
    </row>
    <row r="6" spans="1:22 16383:16384" ht="15" customHeight="1" x14ac:dyDescent="0.4">
      <c r="A6" s="399" t="s">
        <v>496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508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508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46259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46258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2026-08-24T06:05:50Z</dcterms:modified>
</cp:coreProperties>
</file>