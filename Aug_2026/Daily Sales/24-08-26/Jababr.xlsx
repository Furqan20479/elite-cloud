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0DC1D2-12E5-4550-8BBC-E4D8F1C1A5C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<sst xmlns="http://schemas.openxmlformats.org/spreadsheetml/2006/main" count="3978" uniqueCount="531">
  <si>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</si>
  <si>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</si>
  <si>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</si>
  <si>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</si>
  <si>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</si>
  <si>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</si>
  <si>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</si>
  <si>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</si>
  <si>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</si>
  <si>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</si>
  <si>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</si>
  <si>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</si>
  <si>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</si>
  <si>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</si>
  <si>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</si>
  <si>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</si>
  <si>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</si>
  <si>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</si>
  <si>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</si>
  <si>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</si>
  <si>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</si>
  <si>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</si>
  <si>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</si>
  <si>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</si>
  <si>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</si>
  <si>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</si>
  <si>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</si>
  <si>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</si>
  <si>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</si>
  <si>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</si>
  <si>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</si>
  <si>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</si>
  <si>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</si>
  <si>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</si>
  <si>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</si>
  <si>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</si>
  <si>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</si>
  <si>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</si>
  <si>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</si>
  <si>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</si>
  <si>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</si>
  <si>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</si>
  <si>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</si>
  <si>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</si>
  <si>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</si>
  <si>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</si>
  <si>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</si>
  <si>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</si>
  <si>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</si>
  <si>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</si>
  <si>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</si>
  <si>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</si>
  <si>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</si>
  <si>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</si>
  <si>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</si>
  <si>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</si>
  <si>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</si>
  <si>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</si>
  <si>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</si>
  <si>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</si>
  <si>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</si>
  <si>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</si>
  <si>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</si>
  <si>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</si>
  <si>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</si>
  <si>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</si>
  <si>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</si>
  <si>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</si>
  <si>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</si>
  <si>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</si>
  <si>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</si>
  <si>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</si>
  <si>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</si>
  <si>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</si>
  <si>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</si>
  <si>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</si>
  <si>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</si>
  <si>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</si>
  <si>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</si>
  <si>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</si>
  <si>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</si>
  <si>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</si>
  <si>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</si>
  <si>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</si>
  <si>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</si>
  <si>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</si>
  <si>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</si>
  <si>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</si>
  <si>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</si>
  <si>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</si>
  <si>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</si>
  <si>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</si>
  <si>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</si>
  <si>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</si>
  <si>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</si>
  <si>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</si>
  <si>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</si>
  <si>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</si>
  <si>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</si>
  <si>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</si>
  <si>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</si>
  <si>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</si>
  <si>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</si>
  <si>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</si>
  <si>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</si>
  <si>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</si>
  <si>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</si>
  <si>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</si>
  <si>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</si>
  <si>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</si>
  <si>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</si>
  <si>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</si>
  <si>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</si>
  <si>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</si>
  <si>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</si>
  <si>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</si>
  <si>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</si>
  <si>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</si>
  <si>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</si>
  <si>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</si>
  <si>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</si>
  <si>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</si>
  <si>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</si>
  <si>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</si>
  <si>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</si>
  <si>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</si>
  <si>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</si>
  <si>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</si>
  <si>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</si>
  <si>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</si>
  <si>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</si>
  <si>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</si>
  <si>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</si>
  <si>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</si>
  <si>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</si>
  <si>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</si>
  <si>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</si>
  <si>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</si>
  <si>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</si>
  <si>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</si>
  <si>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</si>
  <si>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</si>
  <si>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</si>
  <si>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</si>
  <si>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</si>
  <si>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</si>
  <si>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</si>
  <si>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</si>
  <si>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</si>
  <si>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</si>
  <si>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</si>
  <si>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</si>
  <si>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</si>
  <si>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</si>
  <si>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</si>
  <si>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</si>
  <si>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</si>
  <si>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</si>
  <si>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</si>
  <si>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</si>
  <si>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</si>
  <si>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</si>
  <si>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</si>
  <si>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</si>
  <si>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</si>
  <si>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</si>
  <si>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</si>
  <si>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</si>
  <si>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</si>
  <si>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</si>
  <si>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</si>
  <si>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</si>
  <si>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</si>
  <si>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</si>
  <si>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</si>
  <si>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</si>
  <si>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</si>
  <si>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</si>
  <si>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</si>
  <si>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</si>
  <si>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</si>
  <si>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</si>
  <si>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</si>
  <si>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</si>
  <si>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</si>
  <si>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</si>
  <si>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</si>
  <si>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</si>
  <si>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</si>
  <si>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</si>
  <si>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</si>
  <si>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</si>
  <si>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</si>
  <si>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</si>
  <si>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</si>
  <si>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</si>
  <si>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</si>
  <si>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</si>
  <si>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</si>
  <si>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</si>
  <si>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</si>
  <si>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</si>
  <si>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</si>
  <si>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</si>
  <si>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</si>
  <si>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</si>
  <si>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</si>
  <si>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</si>
  <si>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</si>
  <si>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</si>
  <si>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</si>
  <si>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</si>
  <si>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</si>
  <si>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</si>
  <si>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</si>
  <si>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</si>
  <si>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</si>
  <si>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</si>
  <si>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</si>
  <si>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</si>
  <si>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</si>
  <si>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</si>
  <si>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</si>
  <si>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</si>
  <si>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</si>
  <si>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</si>
  <si>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</si>
  <si>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</si>
  <si>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</si>
  <si>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</si>
  <si>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</si>
  <si>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</si>
  <si>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</si>
  <si>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</si>
  <si>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</si>
  <si>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</si>
  <si>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</si>
  <si>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</si>
  <si>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</si>
  <si>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</si>
  <si>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</si>
  <si>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</si>
  <si>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</si>
  <si>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</si>
  <si>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</si>
  <si>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</si>
  <si>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</si>
  <si>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</si>
  <si>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</si>
  <si>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</si>
  <si>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</si>
  <si>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</si>
  <si>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</si>
  <si>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</si>
  <si>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</si>
  <si>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</si>
  <si>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</si>
  <si>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</si>
  <si>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</si>
  <si>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</si>
  <si>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</si>
  <si>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</si>
  <si>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</si>
  <si>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</si>
  <si>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</si>
  <si>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</si>
  <si>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</si>
  <si>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</si>
  <si>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</si>
  <si>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</si>
  <si>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</si>
  <si>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</si>
  <si>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</si>
  <si>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</si>
  <si>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</si>
  <si>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</si>
  <si>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</si>
  <si>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</si>
  <si>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</si>
  <si>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</si>
  <si>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</si>
  <si>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</si>
  <si>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</si>
  <si>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</si>
  <si>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</si>
  <si>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</si>
  <si>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</si>
  <si>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</si>
  <si>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</si>
  <si>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</si>
  <si>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</si>
  <si>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</si>
  <si>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</si>
  <si>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</si>
  <si>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</si>
  <si>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</si>
  <si>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</si>
  <si>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</si>
  <si>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</si>
  <si>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</si>
  <si>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</si>
  <si>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</si>
  <si>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</si>
  <si>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</si>
  <si>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</si>
  <si>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</si>
  <si>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</si>
  <si>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</si>
  <si>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</si>
  <si>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</si>
  <si>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</si>
  <si>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</si>
  <si>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</si>
  <si>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</si>
  <si>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</si>
  <si>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</si>
  <si>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</si>
  <si>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</si>
  <si>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</si>
  <si>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</si>
  <si>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</si>
  <si>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</si>
  <si>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</si>
  <si>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</si>
  <si>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</si>
  <si>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</si>
  <si>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</si>
  <si>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</si>
  <si>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</si>
  <si>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</si>
  <si>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</si>
  <si>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</si>
  <si>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</si>
  <si>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</si>
  <si>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</si>
  <si>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</si>
  <si>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</si>
  <si>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</si>
  <si>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</si>
  <si>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</si>
  <si>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</si>
  <si>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</si>
  <si>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</si>
  <si>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</si>
  <si>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</si>
  <si>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</si>
  <si>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</si>
  <si>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</si>
  <si>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</si>
  <si>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</si>
  <si>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</si>
  <si>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</si>
  <si>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</si>
  <si>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</si>
  <si>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</si>
  <si>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</si>
  <si>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</si>
  <si>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</si>
  <si>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</si>
  <si>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</si>
  <si>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</si>
  <si>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</si>
  <si>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</si>
  <si>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</si>
  <si>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</si>
  <si>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</si>
  <si>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</si>
  <si>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</si>
  <si>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</si>
  <si>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</si>
  <si>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</si>
  <si>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</si>
  <si>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</si>
  <si>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</si>
  <si>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</si>
  <si>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</si>
  <si>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</si>
  <si>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</si>
  <si>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</si>
  <si>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</si>
  <si>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</si>
  <si>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</si>
  <si>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</si>
  <si>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</si>
  <si>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</si>
  <si>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</si>
  <si>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</si>
  <si>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</si>
  <si>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</si>
  <si>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</si>
  <si>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</si>
  <si>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</si>
  <si>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</si>
  <si>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</si>
  <si>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</si>
  <si>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</si>
  <si>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</si>
  <si>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</si>
  <si>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</si>
  <si>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</si>
  <si>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</si>
  <si>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</si>
  <si>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</si>
  <si>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</si>
  <si>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</si>
  <si>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</si>
  <si>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</si>
  <si>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</si>
  <si>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</si>
  <si>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</si>
  <si>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</si>
  <si>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</si>
  <si>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</si>
  <si>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</si>
  <si>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</si>
  <si>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</si>
  <si>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</si>
  <si>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</si>
  <si>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</si>
  <si>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</si>
  <si>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</si>
  <si>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</si>
  <si>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</si>
  <si>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</si>
  <si>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</si>
  <si>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</si>
  <si>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</si>
  <si>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</si>
  <si>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</si>
  <si>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</si>
  <si>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</si>
  <si>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</si>
  <si>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</si>
  <si>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</si>
  <si>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</si>
  <si>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</si>
  <si>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</si>
  <si>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</si>
  <si>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</si>
  <si>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</si>
  <si>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</si>
  <si>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</si>
  <si>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</si>
  <si>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</si>
  <si>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</si>
  <si>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</si>
  <si>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</si>
  <si>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</si>
  <si>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</si>
  <si>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</si>
  <si>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</si>
  <si>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</si>
  <si>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</si>
  <si>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</si>
  <si>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</si>
  <si>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</si>
  <si>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</si>
  <si>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</si>
  <si>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</si>
  <si>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</si>
  <si>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</si>
  <si>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</si>
  <si>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</si>
  <si>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</si>
  <si>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</si>
  <si>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</si>
  <si>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</si>
  <si>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</si>
  <si>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</si>
  <si>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</si>
  <si>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</si>
  <si>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</si>
  <si>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</si>
  <si>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</si>
  <si>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</si>
  <si>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</si>
  <si>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</si>
  <si>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</si>
  <si>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</si>
  <si>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</si>
  <si>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</si>
  <si>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</si>
  <si>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</si>
  <si>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</si>
  <si>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</si>
  <si>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</si>
  <si>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</si>
  <si>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</si>
  <si>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</si>
  <si>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</si>
  <si>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</si>
  <si>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</si>
  <si>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</si>
  <si>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</si>
  <si>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</si>
  <si>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</si>
  <si>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</si>
  <si>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</si>
  <si>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</si>
  <si>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</si>
  <si>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</si>
  <si>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</si>
  <si>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</si>
  <si>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</si>
  <si>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</si>
  <si>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</si>
  <si>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</si>
  <si>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</si>
  <si>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</si>
  <si>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</si>
  <si>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</si>
  <si>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</si>
  <si>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</si>
  <si>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</si>
  <si>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</si>
  <si>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</si>
  <si>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</si>
  <si>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Address: Chungi Dogach </t>
  </si>
  <si>
    <t>Hasseb Store</t>
  </si>
  <si>
    <t>Ashiq Rehmat Store</t>
  </si>
  <si>
    <t>Hafiz Kareyana</t>
  </si>
  <si>
    <t>Abdul Latif Store</t>
  </si>
  <si>
    <t>Rehman Store</t>
  </si>
  <si>
    <t>Shakeel Store</t>
  </si>
  <si>
    <t>Ali Store</t>
  </si>
  <si>
    <t xml:space="preserve">Address: Sami Town </t>
  </si>
  <si>
    <t>Usman Store</t>
  </si>
  <si>
    <t xml:space="preserve">Zeshan </t>
  </si>
  <si>
    <t>Aqib Store</t>
  </si>
  <si>
    <t>Address: Sami town</t>
  </si>
  <si>
    <t>Jababr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</si>
</sst>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530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46258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Hasseb Store</v>
      </c>
      <c r="T3" s="301">
        <f>+'1'!P35</f>
        <v>6176.2647577347452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Ashiq Rehmat Store</v>
      </c>
      <c r="T4" s="301">
        <f>+'2'!P35</f>
        <v>7070.4410814152552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Hafiz Kareyana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Abdul Latif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37</v>
      </c>
      <c r="I7" s="235">
        <f>(G7*D7)*F7+H7*F7</f>
        <v>1941.1125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155.28899999999999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67.938937500000009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1717.8845624999999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366.8644067796609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10.423744846398304</v>
      </c>
      <c r="P7" s="310">
        <f>M7+N7+O7</f>
        <v>2095.172714126059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Rehman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58.757999999999996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Shakeel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47</v>
      </c>
      <c r="I9" s="236">
        <f t="shared" si="0"/>
        <v>2465.7374999999997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197.25899999999999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86.300812500000006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2182.1776874999996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466.01694915254222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13.24097318326271</v>
      </c>
      <c r="P9" s="311">
        <f t="shared" si="2"/>
        <v>2661.4356098358044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727.62711864406776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20.674031593220338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Usman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284.74880000000002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3150.0336000000002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19.113727322033899</v>
      </c>
      <c r="P11" s="311">
        <f t="shared" si="2"/>
        <v>3841.8591917288136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Zeshan 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82</v>
      </c>
      <c r="I12" s="236">
        <f t="shared" si="0"/>
        <v>5956.4800000000005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476.51840000000004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208.4768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5271.4848000000002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1125.7627118644068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31.986237559322035</v>
      </c>
      <c r="P12" s="311">
        <f t="shared" si="2"/>
        <v>6429.233749423729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Aqib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144</v>
      </c>
      <c r="I13" s="236">
        <f t="shared" si="0"/>
        <v>5649.1200000000008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282.45600000000007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197.71920000000006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288.10511999999994</v>
      </c>
      <c r="M13" s="230">
        <f t="shared" si="1"/>
        <v>4880.839680000001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1098.3050847457619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29.895723823728815</v>
      </c>
      <c r="P13" s="311">
        <f t="shared" si="2"/>
        <v>6009.0404885694916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Ali Store</v>
      </c>
      <c r="T13" s="301">
        <f>+'11'!P35</f>
        <v>3934.229496330508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11.1</v>
      </c>
      <c r="H16" s="113">
        <f t="shared" ref="H16:M16" si="3">SUM(H7:H15)</f>
        <v>444</v>
      </c>
      <c r="I16" s="114">
        <f t="shared" si="3"/>
        <v>25100.53</v>
      </c>
      <c r="J16" s="274">
        <f>SUM(J7:J15)</f>
        <v>1838.5688</v>
      </c>
      <c r="K16" s="275">
        <f t="shared" si="3"/>
        <v>878.51855</v>
      </c>
      <c r="L16" s="276">
        <f t="shared" si="3"/>
        <v>288.10511999999994</v>
      </c>
      <c r="M16" s="232">
        <f t="shared" si="3"/>
        <v>22095.337530000001</v>
      </c>
      <c r="N16" s="233">
        <f>SUM(N7:N15)</f>
        <v>4774.576271186439</v>
      </c>
      <c r="O16" s="101">
        <f>SUM(O7:O15)</f>
        <v>134.34956900593221</v>
      </c>
      <c r="P16" s="113">
        <f>SUM(P7:P15)</f>
        <v>27004.263370192373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25100.53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1838.5688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1166.6236699999999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22095.337529999997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4774.576271186439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26869.913801186434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134.34956900593221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27004.263370192366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27004.263370192373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7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311">
        <f t="shared" si="5"/>
        <v>1254.4846340338984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5735.77</v>
      </c>
      <c r="J25" s="274">
        <f>SUM(J16:J24)</f>
        <v>430.61599999999999</v>
      </c>
      <c r="K25" s="275">
        <f t="shared" si="10"/>
        <v>200.75195000000002</v>
      </c>
      <c r="L25" s="276">
        <f t="shared" si="10"/>
        <v>48.017520000000005</v>
      </c>
      <c r="M25" s="232">
        <f t="shared" si="10"/>
        <v>5056.3845300000003</v>
      </c>
      <c r="N25" s="233">
        <f>SUM(N16:N24)</f>
        <v>1089.1525423728813</v>
      </c>
      <c r="O25" s="101">
        <f>SUM(O16:O24)</f>
        <v>30.72768536186441</v>
      </c>
      <c r="P25" s="113">
        <f>SUM(P16:P24)</f>
        <v>6176.2647577347452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5735.77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430.61599999999999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248.76947000000001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5056.3845300000003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1089.1525423728813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6145.5370723728811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30.727685361864406</v>
      </c>
    </row>
    <row r="35" spans="2:16" ht="15.75" customHeight="1" thickBot="1" x14ac:dyDescent="0.4">
      <c r="N35" s="373" t="s">
        <v>88</v>
      </c>
      <c r="O35" s="374"/>
      <c r="P35" s="297">
        <f>+P33+P34</f>
        <v>6176.2647577347452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311">
        <f t="shared" si="5"/>
        <v>1411.2952132881355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</v>
      </c>
      <c r="K25" s="275">
        <f t="shared" si="7"/>
        <v>45.763200000000005</v>
      </c>
      <c r="L25" s="276">
        <f t="shared" si="7"/>
        <v>0</v>
      </c>
      <c r="M25" s="232">
        <f t="shared" si="7"/>
        <v>1157.1551999999999</v>
      </c>
      <c r="N25" s="233">
        <f>SUM(N16:N24)</f>
        <v>247.11864406779662</v>
      </c>
      <c r="O25" s="101">
        <f>SUM(O16:O24)</f>
        <v>7.0213692203389826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1307.52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104.6016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45.763200000000005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1157.1551999999999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1404.2738440677965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3" t="s">
        <v>88</v>
      </c>
      <c r="O35" s="374"/>
      <c r="P35" s="297">
        <f>+P33+P34</f>
        <v>1411.2952132881355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529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3667.7000000000003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246.34000000000003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208.39870000000002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3212.9612999999999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3914.6562152542369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3" t="s">
        <v>88</v>
      </c>
      <c r="O35" s="374"/>
      <c r="P35" s="297">
        <f>+P33+P34</f>
        <v>3934.229496330508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46259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2026-08-24T05:04:27Z</dcterms:modified>
</cp:coreProperties>
</file>