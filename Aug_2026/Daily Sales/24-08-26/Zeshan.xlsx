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E23CBDF-D298-4F51-9E6F-AA4D9B84D9FA}" xr6:coauthVersionLast="47" xr6:coauthVersionMax="47" xr10:uidLastSave="{00000000-0000-0000-0000-000000000000}"/>
  <bookViews>
    <workbookView xWindow="-110" yWindow="-110" windowWidth="19420" windowHeight="10420" tabRatio="80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69" l="1"/>
  <c r="O21" i="69" s="1"/>
  <c r="P21" i="69" s="1"/>
  <c r="M17" i="61"/>
  <c r="O17" i="61" s="1"/>
  <c r="P17" i="61" s="1"/>
  <c r="M16" i="60"/>
  <c r="M16" i="58"/>
  <c r="M16" i="59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<sst xmlns="http://schemas.openxmlformats.org/spreadsheetml/2006/main" count="3978" uniqueCount="542">
  <si>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</si>
  <si>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</si>
  <si>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</si>
  <si>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</si>
  <si>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</si>
  <si>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</si>
  <si>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</si>
  <si>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</si>
  <si>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</si>
  <si>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</si>
  <si>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</si>
  <si>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</si>
  <si>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</si>
  <si>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</si>
  <si>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</si>
  <si>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</si>
  <si>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</si>
  <si>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</si>
  <si>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</si>
  <si>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</si>
  <si>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</si>
  <si>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</si>
  <si>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</si>
  <si>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</si>
  <si>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</si>
  <si>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</si>
  <si>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</si>
  <si>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</si>
  <si>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</si>
  <si>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</si>
  <si>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</si>
  <si>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</si>
  <si>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</si>
  <si>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</si>
  <si>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</si>
  <si>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</si>
  <si>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</si>
  <si>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</si>
  <si>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</si>
  <si>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</si>
  <si>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</si>
  <si>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</si>
  <si>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</si>
  <si>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</si>
  <si>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</si>
  <si>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</si>
  <si>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</si>
  <si>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</si>
  <si>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</si>
  <si>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</si>
  <si>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</si>
  <si>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</si>
  <si>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</si>
  <si>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</si>
  <si>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</si>
  <si>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</si>
  <si>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</si>
  <si>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</si>
  <si>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</si>
  <si>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</si>
  <si>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</si>
  <si>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</si>
  <si>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</si>
  <si>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</si>
  <si>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</si>
  <si>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</si>
  <si>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</si>
  <si>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</si>
  <si>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</si>
  <si>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</si>
  <si>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</si>
  <si>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</si>
  <si>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</si>
  <si>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</si>
  <si>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</si>
  <si>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</si>
  <si>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</si>
  <si>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</si>
  <si>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</si>
  <si>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</si>
  <si>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</si>
  <si>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</si>
  <si>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</si>
  <si>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</si>
  <si>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</si>
  <si>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</si>
  <si>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</si>
  <si>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</si>
  <si>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</si>
  <si>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</si>
  <si>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</si>
  <si>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</si>
  <si>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</si>
  <si>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</si>
  <si>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</si>
  <si>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</si>
  <si>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</si>
  <si>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</si>
  <si>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</si>
  <si>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</si>
  <si>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</si>
  <si>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</si>
  <si>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</si>
  <si>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</si>
  <si>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</si>
  <si>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</si>
  <si>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</si>
  <si>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</si>
  <si>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</si>
  <si>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</si>
  <si>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</si>
  <si>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</si>
  <si>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</si>
  <si>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</si>
  <si>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</si>
  <si>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</si>
  <si>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</si>
  <si>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</si>
  <si>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</si>
  <si>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</si>
  <si>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</si>
  <si>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</si>
  <si>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</si>
  <si>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</si>
  <si>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</si>
  <si>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</si>
  <si>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</si>
  <si>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</si>
  <si>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</si>
  <si>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</si>
  <si>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</si>
  <si>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</si>
  <si>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</si>
  <si>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</si>
  <si>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</si>
  <si>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</si>
  <si>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</si>
  <si>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</si>
  <si>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</si>
  <si>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</si>
  <si>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</si>
  <si>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</si>
  <si>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</si>
  <si>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</si>
  <si>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</si>
  <si>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</si>
  <si>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</si>
  <si>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</si>
  <si>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</si>
  <si>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</si>
  <si>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</si>
  <si>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</si>
  <si>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</si>
  <si>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</si>
  <si>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</si>
  <si>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</si>
  <si>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</si>
  <si>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</si>
  <si>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</si>
  <si>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</si>
  <si>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</si>
  <si>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</si>
  <si>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</si>
  <si>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</si>
  <si>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</si>
  <si>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</si>
  <si>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</si>
  <si>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</si>
  <si>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</si>
  <si>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</si>
  <si>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</si>
  <si>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</si>
  <si>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</si>
  <si>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</si>
  <si>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</si>
  <si>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</si>
  <si>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</si>
  <si>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</si>
  <si>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</si>
  <si>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</si>
  <si>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</si>
  <si>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</si>
  <si>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</si>
  <si>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</si>
  <si>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</si>
  <si>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</si>
  <si>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</si>
  <si>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</si>
  <si>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</si>
  <si>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</si>
  <si>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</si>
  <si>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</si>
  <si>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</si>
  <si>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</si>
  <si>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</si>
  <si>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</si>
  <si>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</si>
  <si>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</si>
  <si>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</si>
  <si>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</si>
  <si>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</si>
  <si>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</si>
  <si>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</si>
  <si>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</si>
  <si>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</si>
  <si>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</si>
  <si>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</si>
  <si>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</si>
  <si>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</si>
  <si>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</si>
  <si>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</si>
  <si>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</si>
  <si>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</si>
  <si>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</si>
  <si>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</si>
  <si>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</si>
  <si>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</si>
  <si>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</si>
  <si>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</si>
  <si>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</si>
  <si>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</si>
  <si>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</si>
  <si>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</si>
  <si>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</si>
  <si>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</si>
  <si>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</si>
  <si>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</si>
  <si>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</si>
  <si>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</si>
  <si>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</si>
  <si>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</si>
  <si>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</si>
  <si>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</si>
  <si>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</si>
  <si>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</si>
  <si>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</si>
  <si>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</si>
  <si>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</si>
  <si>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</si>
  <si>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</si>
  <si>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</si>
  <si>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</si>
  <si>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</si>
  <si>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</si>
  <si>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</si>
  <si>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</si>
  <si>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</si>
  <si>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</si>
  <si>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</si>
  <si>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</si>
  <si>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</si>
  <si>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</si>
  <si>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</si>
  <si>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</si>
  <si>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</si>
  <si>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</si>
  <si>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</si>
  <si>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</si>
  <si>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</si>
  <si>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</si>
  <si>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</si>
  <si>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</si>
  <si>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</si>
  <si>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</si>
  <si>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</si>
  <si>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</si>
  <si>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</si>
  <si>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</si>
  <si>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</si>
  <si>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</si>
  <si>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</si>
  <si>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</si>
  <si>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</si>
  <si>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</si>
  <si>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</si>
  <si>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</si>
  <si>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</si>
  <si>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</si>
  <si>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</si>
  <si>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</si>
  <si>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</si>
  <si>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</si>
  <si>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</si>
  <si>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</si>
  <si>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</si>
  <si>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</si>
  <si>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</si>
  <si>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</si>
  <si>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</si>
  <si>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</si>
  <si>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</si>
  <si>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</si>
  <si>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</si>
  <si>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</si>
  <si>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</si>
  <si>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</si>
  <si>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</si>
  <si>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</si>
  <si>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</si>
  <si>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</si>
  <si>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</si>
  <si>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</si>
  <si>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</si>
  <si>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</si>
  <si>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</si>
  <si>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</si>
  <si>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</si>
  <si>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</si>
  <si>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</si>
  <si>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</si>
  <si>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</si>
  <si>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</si>
  <si>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</si>
  <si>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</si>
  <si>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</si>
  <si>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</si>
  <si>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</si>
  <si>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</si>
  <si>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</si>
  <si>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</si>
  <si>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</si>
  <si>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</si>
  <si>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</si>
  <si>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</si>
  <si>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</si>
  <si>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</si>
  <si>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</si>
  <si>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</si>
  <si>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</si>
  <si>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</si>
  <si>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</si>
  <si>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</si>
  <si>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</si>
  <si>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</si>
  <si>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</si>
  <si>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</si>
  <si>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</si>
  <si>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</si>
  <si>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</si>
  <si>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</si>
  <si>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</si>
  <si>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</si>
  <si>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</si>
  <si>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</si>
  <si>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</si>
  <si>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</si>
  <si>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</si>
  <si>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</si>
  <si>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</si>
  <si>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</si>
  <si>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</si>
  <si>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</si>
  <si>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</si>
  <si>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</si>
  <si>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</si>
  <si>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</si>
  <si>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</si>
  <si>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</si>
  <si>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</si>
  <si>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</si>
  <si>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</si>
  <si>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</si>
  <si>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</si>
  <si>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</si>
  <si>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</si>
  <si>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</si>
  <si>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</si>
  <si>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</si>
  <si>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</si>
  <si>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</si>
  <si>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</si>
  <si>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</si>
  <si>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</si>
  <si>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</si>
  <si>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</si>
  <si>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</si>
  <si>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</si>
  <si>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</si>
  <si>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</si>
  <si>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</si>
  <si>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</si>
  <si>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</si>
  <si>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</si>
  <si>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</si>
  <si>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</si>
  <si>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</si>
  <si>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</si>
  <si>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</si>
  <si>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</si>
  <si>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</si>
  <si>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</si>
  <si>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</si>
  <si>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</si>
  <si>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</si>
  <si>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</si>
  <si>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</si>
  <si>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</si>
  <si>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</si>
  <si>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</si>
  <si>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</si>
  <si>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</si>
  <si>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</si>
  <si>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</si>
  <si>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</si>
  <si>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</si>
  <si>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</si>
  <si>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</si>
  <si>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</si>
  <si>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</si>
  <si>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</si>
  <si>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</si>
  <si>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</si>
  <si>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</si>
  <si>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</si>
  <si>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</si>
  <si>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</si>
  <si>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</si>
  <si>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</si>
  <si>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</si>
  <si>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</si>
  <si>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</si>
  <si>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</si>
  <si>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</si>
  <si>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</si>
  <si>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</si>
  <si>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</si>
  <si>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</si>
  <si>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</si>
  <si>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</si>
  <si>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</si>
  <si>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</si>
  <si>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</si>
  <si>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</si>
  <si>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</si>
  <si>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</si>
  <si>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</si>
  <si>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</si>
  <si>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</si>
  <si>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</si>
  <si>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</si>
  <si>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</si>
  <si>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</si>
  <si>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</si>
  <si>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</si>
  <si>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</si>
  <si>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</si>
  <si>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</si>
  <si>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</si>
  <si>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</si>
  <si>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</si>
  <si>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</si>
  <si>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</si>
  <si>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</si>
  <si>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</si>
  <si>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</si>
  <si>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</si>
  <si>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</si>
  <si>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</si>
  <si>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</si>
  <si>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</si>
  <si>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</si>
  <si>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</si>
  <si>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</si>
  <si>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</si>
  <si>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</si>
  <si>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</si>
  <si>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</si>
  <si>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</si>
  <si>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</si>
  <si>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</si>
  <si>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</si>
  <si>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</si>
  <si>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</si>
  <si>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</si>
  <si>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</si>
  <si>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</si>
  <si>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</si>
  <si>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</si>
  <si>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</si>
  <si>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</si>
  <si>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</si>
  <si>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</si>
  <si>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</si>
  <si>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</si>
  <si>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</si>
  <si>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</si>
  <si>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</si>
  <si>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</si>
  <si>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</si>
  <si>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</si>
  <si>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</si>
  <si>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</si>
  <si>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</si>
  <si>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</si>
  <si>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</si>
  <si>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</si>
  <si>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</si>
  <si>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</si>
  <si>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</si>
  <si>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</si>
  <si>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</si>
  <si>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</si>
  <si>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</si>
  <si>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</si>
  <si>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</si>
  <si>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</si>
  <si>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</si>
  <si>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</si>
  <si>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</si>
  <si>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</si>
  <si>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</si>
  <si>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</si>
  <si>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</si>
  <si>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</si>
  <si>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Badian Road</t>
  </si>
  <si>
    <t>Toheed Store</t>
  </si>
  <si>
    <t>G.M Store</t>
  </si>
  <si>
    <t>Fakhir Store</t>
  </si>
  <si>
    <t>Mian Store</t>
  </si>
  <si>
    <t>Saleem Store</t>
  </si>
  <si>
    <t>Ch Store</t>
  </si>
  <si>
    <t>Malik Store</t>
  </si>
  <si>
    <t xml:space="preserve">Khalil Bakers </t>
  </si>
  <si>
    <t>Ms Store</t>
  </si>
  <si>
    <t>Yaseen Store</t>
  </si>
  <si>
    <t>786 Store</t>
  </si>
  <si>
    <t>Nadeem Store</t>
  </si>
  <si>
    <t>Irfan Store</t>
  </si>
  <si>
    <t>SM Store</t>
  </si>
  <si>
    <t>Faizan Store</t>
  </si>
  <si>
    <t xml:space="preserve">Adeel Pharmacy </t>
  </si>
  <si>
    <t>Imran Store</t>
  </si>
  <si>
    <t>Saeed Store</t>
  </si>
  <si>
    <t>Usman Store</t>
  </si>
  <si>
    <t>Ghose Store</t>
  </si>
  <si>
    <t>Ahmad Store</t>
  </si>
  <si>
    <t>Madina Store</t>
  </si>
  <si>
    <t>Al Barkat Store</t>
  </si>
  <si>
    <t>Daim Store</t>
  </si>
  <si>
    <t>Khan Store</t>
  </si>
  <si>
    <t xml:space="preserve">Hikers </t>
  </si>
  <si>
    <t xml:space="preserve">Hadi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</si>
</sst>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3" sqref="Q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513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509</v>
      </c>
      <c r="F3" s="389"/>
      <c r="G3" s="389"/>
      <c r="H3" s="386">
        <f ca="1">TODAY()</f>
        <v>46258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Toheed Store</v>
      </c>
      <c r="T3" s="301">
        <f>+'1'!P35</f>
        <v>10206.652666500002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G.M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>Fakhir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>Mian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Saleem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Ch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130</v>
      </c>
      <c r="I10" s="236">
        <f t="shared" si="0"/>
        <v>9443.2000000000007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755.45600000000002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330.51200000000006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8357.232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1784.7457627118652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50.709888813559324</v>
      </c>
      <c r="P10" s="311">
        <f t="shared" si="2"/>
        <v>10192.687651525424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Khalil Bakers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5142.9119999999994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31.206085423728812</v>
      </c>
      <c r="P11" s="311">
        <f t="shared" si="2"/>
        <v>6272.4231701694907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190</v>
      </c>
      <c r="I12" s="236">
        <f t="shared" si="0"/>
        <v>13801.6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1104.1279999999999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483.05599999999998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12214.416000000001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2608.4745762711873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74.114452881355945</v>
      </c>
      <c r="P12" s="311">
        <f t="shared" si="2"/>
        <v>14897.005029152544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Yaseen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200.07300000000001</v>
      </c>
      <c r="M13" s="230">
        <f t="shared" si="1"/>
        <v>3389.4720000000002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311">
        <f t="shared" si="2"/>
        <v>4172.9447837288135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786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Nadeem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Irfan Store</v>
      </c>
      <c r="T15" s="301">
        <f>+'13'!P35</f>
        <v>784.05289627118646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14.5</v>
      </c>
      <c r="H16" s="113">
        <f t="shared" ref="H16:M16" si="3">SUM(H7:H15)</f>
        <v>580</v>
      </c>
      <c r="I16" s="114">
        <f t="shared" si="3"/>
        <v>37176</v>
      </c>
      <c r="J16" s="274">
        <f>SUM(J7:J15)</f>
        <v>2856.39</v>
      </c>
      <c r="K16" s="275">
        <f t="shared" si="3"/>
        <v>1301.1600000000001</v>
      </c>
      <c r="L16" s="276">
        <f t="shared" si="3"/>
        <v>200.07300000000001</v>
      </c>
      <c r="M16" s="232">
        <f t="shared" si="3"/>
        <v>32818.377</v>
      </c>
      <c r="N16" s="233">
        <f>SUM(N7:N15)</f>
        <v>7047.4576271186452</v>
      </c>
      <c r="O16" s="101">
        <f>SUM(O7:O15)</f>
        <v>199.32917313559324</v>
      </c>
      <c r="P16" s="113">
        <f>SUM(P7:P15)</f>
        <v>40065.163800254246</v>
      </c>
      <c r="Q16" s="128">
        <f>SUM(Q7:Q15)</f>
        <v>0</v>
      </c>
      <c r="R16" s="314">
        <v>14</v>
      </c>
      <c r="S16" s="318">
        <v>0.08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Faizan Store</v>
      </c>
      <c r="T17" s="301">
        <f>+'15'!P35</f>
        <v>417.29447837288137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Adeel Pharmacy </v>
      </c>
      <c r="T18" s="301">
        <f>+'16'!P35</f>
        <v>417.29447837288137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37176</v>
      </c>
      <c r="R19" s="299">
        <v>17</v>
      </c>
      <c r="S19" s="300" t="str">
        <f>+'17'!A6:A6</f>
        <v>Imran Store</v>
      </c>
      <c r="T19" s="301">
        <f>+'17'!P35</f>
        <v>566.26289570974575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2856.39</v>
      </c>
      <c r="R20" s="299">
        <v>18</v>
      </c>
      <c r="S20" s="300" t="str">
        <f>+'18'!A6:A6</f>
        <v>Saeed Store</v>
      </c>
      <c r="T20" s="301">
        <f>+'18'!P35</f>
        <v>566.26289570974575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1501.2330000000002</v>
      </c>
      <c r="R21" s="299">
        <v>19</v>
      </c>
      <c r="S21" s="300" t="str">
        <f>+'19'!A6:A6</f>
        <v>Usman Store</v>
      </c>
      <c r="T21" s="301">
        <f>+'19'!P35</f>
        <v>566.26289570974575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32818.377</v>
      </c>
      <c r="R22" s="299">
        <v>20</v>
      </c>
      <c r="S22" s="300" t="str">
        <f>+'20'!A6:A6</f>
        <v>Ghose Store</v>
      </c>
      <c r="T22" s="301">
        <f>+'20'!P35</f>
        <v>566.26289570974575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7047.4576271186452</v>
      </c>
      <c r="R23" s="299">
        <v>21</v>
      </c>
      <c r="S23" s="300" t="str">
        <f>+'21'!A6:A6</f>
        <v>Ahmad Store</v>
      </c>
      <c r="T23" s="301">
        <f>+'21'!P35</f>
        <v>3136.2115850847458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39865.834627118646</v>
      </c>
      <c r="R24" s="299">
        <v>22</v>
      </c>
      <c r="S24" s="300" t="str">
        <f>+'22'!A6:A6</f>
        <v>Madina Store</v>
      </c>
      <c r="T24" s="301">
        <f>+'22'!P35</f>
        <v>1669.1779134915255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199.32917313559324</v>
      </c>
      <c r="R25" s="299">
        <v>23</v>
      </c>
      <c r="S25" s="300" t="str">
        <f>+'23'!A6:A6</f>
        <v>Al Barkat Store</v>
      </c>
      <c r="T25" s="301">
        <f>+'23'!P35</f>
        <v>3136.2115850847458</v>
      </c>
    </row>
    <row r="26" spans="1:20" ht="21.75" customHeight="1" thickBot="1" x14ac:dyDescent="0.4">
      <c r="N26" s="373" t="s">
        <v>88</v>
      </c>
      <c r="O26" s="374"/>
      <c r="P26" s="297">
        <f>+P24+P25</f>
        <v>40065.163800254239</v>
      </c>
      <c r="R26" s="299">
        <v>24</v>
      </c>
      <c r="S26" s="300" t="str">
        <f>+'24'!A6:A6</f>
        <v>Daim Store</v>
      </c>
      <c r="T26" s="301">
        <f>+'24'!P35</f>
        <v>784.05289627118646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Khan Store</v>
      </c>
      <c r="T27" s="301">
        <f>+'25'!P35</f>
        <v>784.05289627118646</v>
      </c>
    </row>
    <row r="28" spans="1:20" ht="21.75" customHeight="1" x14ac:dyDescent="0.35">
      <c r="R28" s="299">
        <v>26</v>
      </c>
      <c r="S28" s="300" t="str">
        <f>+'26'!A6:A6</f>
        <v xml:space="preserve">Hikers </v>
      </c>
      <c r="T28" s="301">
        <f>+'26'!P35</f>
        <v>784.05289627118646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Hadi </v>
      </c>
      <c r="T29" s="301">
        <f>+'27'!P35</f>
        <v>784.05289627118646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40065.163800254231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  <row r="49" spans="2:2" x14ac:dyDescent="0.35">
      <c r="B49" t="s">
        <v>510</v>
      </c>
    </row>
    <row r="50" spans="2:2" x14ac:dyDescent="0.35">
      <c r="B50" t="s">
        <v>512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9478.9000000000015</v>
      </c>
      <c r="J25" s="274">
        <f>SUM(J16:J24)</f>
        <v>711.23599999999999</v>
      </c>
      <c r="K25" s="275">
        <f t="shared" si="10"/>
        <v>331.76150000000007</v>
      </c>
      <c r="L25" s="276">
        <f t="shared" si="10"/>
        <v>80.029200000000003</v>
      </c>
      <c r="M25" s="232">
        <f t="shared" si="10"/>
        <v>8355.8733000000011</v>
      </c>
      <c r="N25" s="233">
        <f>SUM(N16:N24)</f>
        <v>1799.9999999999998</v>
      </c>
      <c r="O25" s="101">
        <f>SUM(O16:O24)</f>
        <v>50.779366500000002</v>
      </c>
      <c r="P25" s="113">
        <f>SUM(P16:P24)</f>
        <v>10206.6526665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9478.9000000000015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711.23599999999999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411.79070000000007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8355.8733000000011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10155.873300000001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73" t="s">
        <v>88</v>
      </c>
      <c r="O35" s="374"/>
      <c r="P35" s="297">
        <f>+P33+P34</f>
        <v>10206.652666500002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464.89600000000002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203.39200000000002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5142.9120000000003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6241.2170847457628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3" t="s">
        <v>88</v>
      </c>
      <c r="O35" s="374"/>
      <c r="P35" s="297">
        <f>+P33+P34</f>
        <v>6272.4231701694916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500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506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506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46259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2026-08-24T05:56:22Z</dcterms:modified>
</cp:coreProperties>
</file>