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CCA76A5-536D-456B-9009-1DF164C067F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<sst xmlns="http://schemas.openxmlformats.org/spreadsheetml/2006/main" count="3978" uniqueCount="531">
  <si>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</si>
  <si>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</si>
  <si>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</si>
  <si>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</si>
  <si>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</si>
  <si>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</si>
  <si>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</si>
  <si>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</si>
  <si>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</si>
  <si>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</si>
  <si>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</si>
  <si>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</si>
  <si>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</si>
  <si>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</si>
  <si>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</si>
  <si>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</si>
  <si>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</si>
  <si>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</si>
  <si>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</si>
  <si>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</si>
  <si>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</si>
  <si>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</si>
  <si>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</si>
  <si>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</si>
  <si>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</si>
  <si>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</si>
  <si>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</si>
  <si>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</si>
  <si>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</si>
  <si>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</si>
  <si>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</si>
  <si>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</si>
  <si>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</si>
  <si>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</si>
  <si>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</si>
  <si>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</si>
  <si>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</si>
  <si>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</si>
  <si>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</si>
  <si>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</si>
  <si>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</si>
  <si>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</si>
  <si>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</si>
  <si>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</si>
  <si>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</si>
  <si>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</si>
  <si>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</si>
  <si>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</si>
  <si>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</si>
  <si>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</si>
  <si>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</si>
  <si>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</si>
  <si>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</si>
  <si>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</si>
  <si>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</si>
  <si>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</si>
  <si>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</si>
  <si>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</si>
  <si>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</si>
  <si>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</si>
  <si>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</si>
  <si>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</si>
  <si>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</si>
  <si>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</si>
  <si>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</si>
  <si>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</si>
  <si>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</si>
  <si>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</si>
  <si>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</si>
  <si>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</si>
  <si>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</si>
  <si>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</si>
  <si>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</si>
  <si>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</si>
  <si>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</si>
  <si>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</si>
  <si>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</si>
  <si>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</si>
  <si>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</si>
  <si>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</si>
  <si>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</si>
  <si>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</si>
  <si>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</si>
  <si>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</si>
  <si>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</si>
  <si>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</si>
  <si>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</si>
  <si>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</si>
  <si>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</si>
  <si>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</si>
  <si>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</si>
  <si>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</si>
  <si>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</si>
  <si>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</si>
  <si>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</si>
  <si>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</si>
  <si>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</si>
  <si>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</si>
  <si>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</si>
  <si>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</si>
  <si>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</si>
  <si>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</si>
  <si>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</si>
  <si>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</si>
  <si>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</si>
  <si>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</si>
  <si>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</si>
  <si>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</si>
  <si>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</si>
  <si>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</si>
  <si>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</si>
  <si>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</si>
  <si>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</si>
  <si>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</si>
  <si>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</si>
  <si>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</si>
  <si>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</si>
  <si>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</si>
  <si>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</si>
  <si>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</si>
  <si>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</si>
  <si>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</si>
  <si>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</si>
  <si>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</si>
  <si>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</si>
  <si>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</si>
  <si>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</si>
  <si>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</si>
  <si>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</si>
  <si>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</si>
  <si>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</si>
  <si>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</si>
  <si>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</si>
  <si>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</si>
  <si>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</si>
  <si>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</si>
  <si>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</si>
  <si>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</si>
  <si>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</si>
  <si>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</si>
  <si>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</si>
  <si>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</si>
  <si>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</si>
  <si>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</si>
  <si>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</si>
  <si>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</si>
  <si>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</si>
  <si>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</si>
  <si>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</si>
  <si>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</si>
  <si>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</si>
  <si>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</si>
  <si>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</si>
  <si>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</si>
  <si>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</si>
  <si>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</si>
  <si>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</si>
  <si>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</si>
  <si>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</si>
  <si>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</si>
  <si>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</si>
  <si>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</si>
  <si>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</si>
  <si>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</si>
  <si>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</si>
  <si>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</si>
  <si>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</si>
  <si>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</si>
  <si>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</si>
  <si>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</si>
  <si>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</si>
  <si>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</si>
  <si>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</si>
  <si>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</si>
  <si>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</si>
  <si>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</si>
  <si>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</si>
  <si>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</si>
  <si>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</si>
  <si>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</si>
  <si>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</si>
  <si>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</si>
  <si>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</si>
  <si>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</si>
  <si>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</si>
  <si>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</si>
  <si>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</si>
  <si>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</si>
  <si>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</si>
  <si>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</si>
  <si>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</si>
  <si>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</si>
  <si>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</si>
  <si>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</si>
  <si>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</si>
  <si>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</si>
  <si>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</si>
  <si>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</si>
  <si>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</si>
  <si>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</si>
  <si>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</si>
  <si>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</si>
  <si>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</si>
  <si>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</si>
  <si>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</si>
  <si>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</si>
  <si>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</si>
  <si>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</si>
  <si>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</si>
  <si>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</si>
  <si>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</si>
  <si>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</si>
  <si>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</si>
  <si>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</si>
  <si>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</si>
  <si>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</si>
  <si>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</si>
  <si>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</si>
  <si>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</si>
  <si>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</si>
  <si>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</si>
  <si>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</si>
  <si>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</si>
  <si>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</si>
  <si>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</si>
  <si>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</si>
  <si>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</si>
  <si>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</si>
  <si>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</si>
  <si>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</si>
  <si>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</si>
  <si>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</si>
  <si>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</si>
  <si>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</si>
  <si>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</si>
  <si>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</si>
  <si>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</si>
  <si>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</si>
  <si>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</si>
  <si>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</si>
  <si>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</si>
  <si>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</si>
  <si>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</si>
  <si>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</si>
  <si>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</si>
  <si>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</si>
  <si>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</si>
  <si>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</si>
  <si>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</si>
  <si>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</si>
  <si>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</si>
  <si>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</si>
  <si>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</si>
  <si>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</si>
  <si>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</si>
  <si>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</si>
  <si>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</si>
  <si>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</si>
  <si>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</si>
  <si>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</si>
  <si>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</si>
  <si>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</si>
  <si>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</si>
  <si>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</si>
  <si>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</si>
  <si>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</si>
  <si>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</si>
  <si>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</si>
  <si>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</si>
  <si>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</si>
  <si>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</si>
  <si>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</si>
  <si>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</si>
  <si>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</si>
  <si>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</si>
  <si>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</si>
  <si>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</si>
  <si>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</si>
  <si>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</si>
  <si>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</si>
  <si>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</si>
  <si>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</si>
  <si>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</si>
  <si>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</si>
  <si>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</si>
  <si>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</si>
  <si>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</si>
  <si>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</si>
  <si>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</si>
  <si>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</si>
  <si>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</si>
  <si>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</si>
  <si>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</si>
  <si>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</si>
  <si>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</si>
  <si>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</si>
  <si>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</si>
  <si>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</si>
  <si>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</si>
  <si>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</si>
  <si>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</si>
  <si>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</si>
  <si>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</si>
  <si>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</si>
  <si>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</si>
  <si>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</si>
  <si>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</si>
  <si>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</si>
  <si>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</si>
  <si>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</si>
  <si>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</si>
  <si>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</si>
  <si>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</si>
  <si>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</si>
  <si>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</si>
  <si>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</si>
  <si>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</si>
  <si>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</si>
  <si>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</si>
  <si>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</si>
  <si>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</si>
  <si>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</si>
  <si>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</si>
  <si>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</si>
  <si>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</si>
  <si>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</si>
  <si>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</si>
  <si>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</si>
  <si>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</si>
  <si>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</si>
  <si>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</si>
  <si>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</si>
  <si>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</si>
  <si>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</si>
  <si>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</si>
  <si>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</si>
  <si>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</si>
  <si>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</si>
  <si>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</si>
  <si>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</si>
  <si>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</si>
  <si>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</si>
  <si>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</si>
  <si>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</si>
  <si>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</si>
  <si>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</si>
  <si>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</si>
  <si>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</si>
  <si>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</si>
  <si>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</si>
  <si>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</si>
  <si>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</si>
  <si>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</si>
  <si>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</si>
  <si>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</si>
  <si>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</si>
  <si>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</si>
  <si>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</si>
  <si>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</si>
  <si>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</si>
  <si>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</si>
  <si>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</si>
  <si>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</si>
  <si>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</si>
  <si>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</si>
  <si>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</si>
  <si>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</si>
  <si>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</si>
  <si>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</si>
  <si>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</si>
  <si>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</si>
  <si>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</si>
  <si>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</si>
  <si>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</si>
  <si>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</si>
  <si>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</si>
  <si>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</si>
  <si>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</si>
  <si>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</si>
  <si>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</si>
  <si>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</si>
  <si>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</si>
  <si>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</si>
  <si>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</si>
  <si>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</si>
  <si>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</si>
  <si>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</si>
  <si>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</si>
  <si>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</si>
  <si>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</si>
  <si>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</si>
  <si>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</si>
  <si>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</si>
  <si>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</si>
  <si>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</si>
  <si>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</si>
  <si>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</si>
  <si>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</si>
  <si>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</si>
  <si>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</si>
  <si>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</si>
  <si>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</si>
  <si>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</si>
  <si>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</si>
  <si>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</si>
  <si>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</si>
  <si>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</si>
  <si>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</si>
  <si>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</si>
  <si>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</si>
  <si>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</si>
  <si>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</si>
  <si>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</si>
  <si>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</si>
  <si>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</si>
  <si>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</si>
  <si>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</si>
  <si>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</si>
  <si>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</si>
  <si>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</si>
  <si>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</si>
  <si>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</si>
  <si>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</si>
  <si>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</si>
  <si>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</si>
  <si>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</si>
  <si>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</si>
  <si>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</si>
  <si>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</si>
  <si>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</si>
  <si>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</si>
  <si>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</si>
  <si>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</si>
  <si>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</si>
  <si>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</si>
  <si>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</si>
  <si>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</si>
  <si>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</si>
  <si>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</si>
  <si>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</si>
  <si>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</si>
  <si>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</si>
  <si>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</si>
  <si>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</si>
  <si>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</si>
  <si>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</si>
  <si>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</si>
  <si>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</si>
  <si>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</si>
  <si>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</si>
  <si>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</si>
  <si>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</si>
  <si>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</si>
  <si>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</si>
  <si>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</si>
  <si>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</si>
  <si>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</si>
  <si>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</si>
  <si>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</si>
  <si>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</si>
  <si>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</si>
  <si>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</si>
  <si>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</si>
  <si>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</si>
  <si>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</si>
  <si>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</si>
  <si>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</si>
  <si>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</si>
  <si>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</si>
  <si>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</si>
  <si>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</si>
  <si>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</si>
  <si>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</si>
  <si>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</si>
  <si>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</si>
  <si>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</si>
  <si>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</si>
  <si>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</si>
  <si>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</si>
  <si>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</si>
  <si>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</si>
  <si>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</si>
  <si>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</si>
  <si>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</si>
  <si>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</si>
  <si>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</si>
  <si>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</si>
  <si>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</si>
  <si>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</si>
  <si>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</si>
  <si>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</si>
  <si>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</si>
  <si>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</si>
  <si>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</si>
  <si>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</si>
  <si>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</si>
  <si>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</si>
  <si>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</si>
  <si>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</si>
  <si>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</si>
  <si>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</si>
  <si>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</si>
  <si>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</si>
  <si>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</si>
  <si>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</si>
  <si>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</si>
  <si>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</si>
  <si>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</si>
  <si>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</si>
  <si>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</si>
  <si>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</si>
  <si>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</si>
  <si>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</si>
  <si>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</si>
  <si>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</si>
  <si>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</si>
  <si>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</si>
  <si>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Address: Chungi Dogach </t>
  </si>
  <si>
    <t>Hasseb Store</t>
  </si>
  <si>
    <t>Ashiq Rehmat Store</t>
  </si>
  <si>
    <t>Hafiz Kareyana</t>
  </si>
  <si>
    <t>Abdul Latif Store</t>
  </si>
  <si>
    <t>Rehman Store</t>
  </si>
  <si>
    <t>Shakeel Store</t>
  </si>
  <si>
    <t>Ali Store</t>
  </si>
  <si>
    <t xml:space="preserve">Address: Sami Town </t>
  </si>
  <si>
    <t>Usman Store</t>
  </si>
  <si>
    <t xml:space="preserve">Zeshan </t>
  </si>
  <si>
    <t>Aqib Store</t>
  </si>
  <si>
    <t>Address: Sami town</t>
  </si>
  <si>
    <t>Jababr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</si>
</sst>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6" sqref="H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530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512</v>
      </c>
      <c r="F3" s="389"/>
      <c r="G3" s="389"/>
      <c r="H3" s="386">
        <f ca="1">TODAY()</f>
        <v>46259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Hasseb Store</v>
      </c>
      <c r="T3" s="301">
        <f>+'1'!P35</f>
        <v>6176.2647577347452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Ashiq Rehmat Store</v>
      </c>
      <c r="T4" s="301">
        <f>+'2'!P35</f>
        <v>7070.4410814152552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Hafiz Kareyana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Abdul Latif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37</v>
      </c>
      <c r="I7" s="235">
        <f>(G7*D7)*F7+H7*F7</f>
        <v>1941.1125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155.28899999999999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67.938937500000009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1717.8845624999999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366.8644067796609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10.423744846398304</v>
      </c>
      <c r="P7" s="310">
        <f>M7+N7+O7</f>
        <v>2095.172714126059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Rehman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58.757999999999996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Shakeel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47</v>
      </c>
      <c r="I9" s="236">
        <f t="shared" si="0"/>
        <v>2465.7374999999997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197.25899999999999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86.300812500000006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2182.1776874999996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466.01694915254222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13.24097318326271</v>
      </c>
      <c r="P9" s="311">
        <f t="shared" si="2"/>
        <v>2661.4356098358044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Ali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</v>
      </c>
      <c r="I10" s="236">
        <f t="shared" si="0"/>
        <v>2615.04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209.20320000000001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91.52640000000001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2314.3103999999998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494.23728813559319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14.042738440677965</v>
      </c>
      <c r="P10" s="311">
        <f t="shared" si="2"/>
        <v>2822.5904265762711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17</v>
      </c>
      <c r="R10" s="314">
        <v>8</v>
      </c>
      <c r="S10" s="300" t="str">
        <f>+'8'!A6:A6</f>
        <v>Usman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37</v>
      </c>
      <c r="I11" s="236">
        <f t="shared" si="0"/>
        <v>2687.68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215.01440000000002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94.06880000000001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2378.5967999999998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507.96610169491532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14.432814508474578</v>
      </c>
      <c r="P11" s="311">
        <f t="shared" si="2"/>
        <v>2900.9957162033897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4">
        <v>9</v>
      </c>
      <c r="S11" s="300" t="str">
        <f>+'9'!A6:A6</f>
        <v xml:space="preserve">Zeshan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65</v>
      </c>
      <c r="I12" s="236">
        <f t="shared" si="0"/>
        <v>4721.6000000000004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377.72800000000001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165.256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4178.616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892.37288135593224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25.354944406779662</v>
      </c>
      <c r="P12" s="311">
        <f t="shared" si="2"/>
        <v>5096.3438257627113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17</v>
      </c>
      <c r="R12" s="314">
        <v>10</v>
      </c>
      <c r="S12" s="300" t="str">
        <f>+'10'!A6:A6</f>
        <v>Aqib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64</v>
      </c>
      <c r="I13" s="236">
        <f t="shared" si="0"/>
        <v>2510.7200000000003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125.53600000000003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87.875200000000021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128.04671999999999</v>
      </c>
      <c r="M13" s="230">
        <f t="shared" si="1"/>
        <v>2169.2620800000004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488.13559322033871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13.286988366101696</v>
      </c>
      <c r="P13" s="311">
        <f t="shared" si="2"/>
        <v>2670.6846615864406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Ali Store</v>
      </c>
      <c r="T13" s="301">
        <f>+'11'!P35</f>
        <v>2265.051582838983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7.95</v>
      </c>
      <c r="H16" s="113">
        <f t="shared" ref="H16:M16" si="3">SUM(H7:H15)</f>
        <v>318</v>
      </c>
      <c r="I16" s="114">
        <f t="shared" si="3"/>
        <v>18620.689999999999</v>
      </c>
      <c r="J16" s="274">
        <f>SUM(J7:J15)</f>
        <v>1414.3336000000002</v>
      </c>
      <c r="K16" s="275">
        <f t="shared" si="3"/>
        <v>651.72415000000012</v>
      </c>
      <c r="L16" s="276">
        <f t="shared" si="3"/>
        <v>128.04671999999999</v>
      </c>
      <c r="M16" s="232">
        <f t="shared" si="3"/>
        <v>16426.585529999997</v>
      </c>
      <c r="N16" s="233">
        <f>SUM(N7:N15)</f>
        <v>3532.881355932203</v>
      </c>
      <c r="O16" s="101">
        <f>SUM(O7:O15)</f>
        <v>99.797334429661021</v>
      </c>
      <c r="P16" s="113">
        <f>SUM(P7:P15)</f>
        <v>20059.264220361863</v>
      </c>
      <c r="Q16" s="128">
        <f>SUM(Q7:Q15)</f>
        <v>126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18620.689999999999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1414.3336000000002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779.77087000000006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16426.585529999997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3532.881355932203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19959.466885932201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99.797334429661021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20059.264220361863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20059.264220361867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</v>
      </c>
      <c r="I19" s="236">
        <f t="shared" si="7"/>
        <v>1162.24</v>
      </c>
      <c r="J19" s="272">
        <f t="shared" si="1"/>
        <v>92.979200000000006</v>
      </c>
      <c r="K19" s="128">
        <f t="shared" si="1"/>
        <v>40.678400000000003</v>
      </c>
      <c r="L19" s="119">
        <f t="shared" si="1"/>
        <v>0</v>
      </c>
      <c r="M19" s="230">
        <f t="shared" si="2"/>
        <v>1028.5824</v>
      </c>
      <c r="N19" s="277">
        <f t="shared" si="3"/>
        <v>219.66101694915255</v>
      </c>
      <c r="O19" s="239">
        <f t="shared" si="4"/>
        <v>6.2412170847457631</v>
      </c>
      <c r="P19" s="311">
        <f t="shared" si="5"/>
        <v>1254.4846340338984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5735.77</v>
      </c>
      <c r="J25" s="274">
        <f>SUM(J16:J24)</f>
        <v>430.61599999999999</v>
      </c>
      <c r="K25" s="275">
        <f t="shared" si="10"/>
        <v>200.75195000000002</v>
      </c>
      <c r="L25" s="276">
        <f t="shared" si="10"/>
        <v>48.017520000000005</v>
      </c>
      <c r="M25" s="232">
        <f t="shared" si="10"/>
        <v>5056.3845300000003</v>
      </c>
      <c r="N25" s="233">
        <f>SUM(N16:N24)</f>
        <v>1089.1525423728813</v>
      </c>
      <c r="O25" s="101">
        <f>SUM(O16:O24)</f>
        <v>30.72768536186441</v>
      </c>
      <c r="P25" s="113">
        <f>SUM(P16:P24)</f>
        <v>6176.2647577347452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5735.77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430.61599999999999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248.76947000000001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5056.3845300000003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1089.1525423728813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6145.5370723728811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30.727685361864406</v>
      </c>
    </row>
    <row r="35" spans="2:16" ht="15.75" customHeight="1" thickBot="1" x14ac:dyDescent="0.4">
      <c r="N35" s="373" t="s">
        <v>88</v>
      </c>
      <c r="O35" s="374"/>
      <c r="P35" s="297">
        <f>+P33+P34</f>
        <v>6176.2647577347452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6573.3000000000011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478.78800000000001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310.09470000000005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5784.417300000001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7035.2647576271193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3" t="s">
        <v>88</v>
      </c>
      <c r="O35" s="374"/>
      <c r="P35" s="297">
        <f>+P33+P34</f>
        <v>7070.4410814152552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311">
        <f t="shared" si="5"/>
        <v>1411.2952132881355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</v>
      </c>
      <c r="K25" s="275">
        <f t="shared" si="7"/>
        <v>45.763200000000005</v>
      </c>
      <c r="L25" s="276">
        <f t="shared" si="7"/>
        <v>0</v>
      </c>
      <c r="M25" s="232">
        <f t="shared" si="7"/>
        <v>1157.1551999999999</v>
      </c>
      <c r="N25" s="233">
        <f>SUM(N16:N24)</f>
        <v>247.11864406779662</v>
      </c>
      <c r="O25" s="101">
        <f>SUM(O16:O24)</f>
        <v>7.0213692203389826</v>
      </c>
      <c r="P25" s="113">
        <f>SUM(P16:P24)</f>
        <v>1411.2952132881355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1307.52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104.6016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45.763200000000005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1157.1551999999999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1404.2738440677965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3" t="s">
        <v>88</v>
      </c>
      <c r="O35" s="374"/>
      <c r="P35" s="297">
        <f>+P33+P34</f>
        <v>1411.2952132881355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529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2026-08-25T04:13:19Z</dcterms:modified>
</cp:coreProperties>
</file>