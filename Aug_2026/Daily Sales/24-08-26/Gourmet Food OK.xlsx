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8D83C49-6562-4FE9-AB5D-68362B717DDD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M23" i="56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M16" i="58"/>
  <c r="M16" i="59"/>
  <c r="M23" i="72"/>
  <c r="O23" i="72" s="1"/>
  <c r="P23" i="72" s="1"/>
  <c r="M23" i="64"/>
  <c r="M23" i="59"/>
  <c r="M23" i="44"/>
  <c r="O23" i="44" s="1"/>
  <c r="P23" i="44" s="1"/>
  <c r="M16" i="66"/>
  <c r="M16" i="44"/>
  <c r="M20" i="70"/>
  <c r="O20" i="70" s="1"/>
  <c r="P20" i="70" s="1"/>
  <c r="R20" i="70" s="1"/>
  <c r="M23" i="65"/>
  <c r="M21" i="5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6" i="55" s="1"/>
  <c r="O24" i="58"/>
  <c r="P24" i="58" s="1"/>
  <c r="O23" i="64"/>
  <c r="P23" i="64" s="1"/>
  <c r="O24" i="71"/>
  <c r="P24" i="71"/>
  <c r="O23" i="59"/>
  <c r="P23" i="59" s="1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3" i="55" l="1"/>
  <c r="P12" i="62"/>
  <c r="O25" i="48"/>
  <c r="O25" i="52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<sst xmlns="http://schemas.openxmlformats.org/spreadsheetml/2006/main" count="3948" uniqueCount="550">
  <si>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</si>
  <si>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</si>
  <si>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</si>
  <si>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</si>
  <si>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</si>
  <si>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</si>
  <si>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</si>
  <si>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</si>
  <si>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</si>
  <si>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</si>
  <si>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</si>
  <si>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</si>
  <si>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</si>
  <si>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</si>
  <si>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</si>
  <si>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</si>
  <si>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</si>
  <si>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</si>
  <si>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</si>
  <si>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</si>
  <si>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</si>
  <si>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</si>
  <si>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</si>
  <si>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</si>
  <si>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</si>
  <si>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</si>
  <si>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</si>
  <si>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</si>
  <si>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</si>
  <si>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</si>
  <si>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</si>
  <si>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</si>
  <si>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</si>
  <si>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</si>
  <si>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</si>
  <si>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</si>
  <si>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</si>
  <si>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</si>
  <si>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</si>
  <si>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</si>
  <si>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</si>
  <si>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</si>
  <si>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</si>
  <si>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</si>
  <si>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</si>
  <si>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</si>
  <si>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</si>
  <si>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</si>
  <si>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</si>
  <si>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</si>
  <si>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</si>
  <si>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</si>
  <si>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</si>
  <si>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</si>
  <si>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</si>
  <si>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</si>
  <si>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</si>
  <si>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</si>
  <si>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</si>
  <si>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</si>
  <si>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</si>
  <si>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</si>
  <si>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</si>
  <si>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</si>
  <si>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</si>
  <si>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</si>
  <si>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</si>
  <si>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</si>
  <si>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</si>
  <si>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</si>
  <si>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</si>
  <si>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</si>
  <si>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</si>
  <si>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</si>
  <si>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</si>
  <si>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</si>
  <si>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</si>
  <si>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</si>
  <si>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</si>
  <si>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</si>
  <si>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</si>
  <si>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</si>
  <si>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</si>
  <si>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</si>
  <si>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</si>
  <si>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</si>
  <si>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</si>
  <si>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</si>
  <si>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</si>
  <si>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</si>
  <si>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</si>
  <si>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</si>
  <si>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</si>
  <si>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</si>
  <si>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</si>
  <si>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</si>
  <si>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</si>
  <si>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</si>
  <si>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</si>
  <si>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</si>
  <si>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</si>
  <si>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</si>
  <si>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</si>
  <si>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</si>
  <si>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</si>
  <si>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</si>
  <si>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</si>
  <si>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</si>
  <si>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</si>
  <si>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</si>
  <si>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</si>
  <si>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</si>
  <si>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</si>
  <si>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</si>
  <si>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</si>
  <si>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</si>
  <si>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</si>
  <si>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</si>
  <si>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</si>
  <si>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</si>
  <si>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</si>
  <si>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</si>
  <si>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</si>
  <si>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</si>
  <si>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</si>
  <si>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</si>
  <si>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</si>
  <si>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</si>
  <si>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</si>
  <si>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</si>
  <si>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</si>
  <si>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</si>
  <si>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</si>
  <si>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</si>
  <si>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</si>
  <si>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</si>
  <si>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</si>
  <si>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</si>
  <si>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</si>
  <si>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</si>
  <si>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</si>
  <si>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</si>
  <si>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</si>
  <si>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</si>
  <si>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</si>
  <si>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</si>
  <si>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</si>
  <si>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</si>
  <si>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</si>
  <si>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</si>
  <si>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</si>
  <si>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</si>
  <si>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</si>
  <si>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</si>
  <si>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</si>
  <si>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</si>
  <si>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</si>
  <si>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</si>
  <si>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</si>
  <si>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</si>
  <si>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</si>
  <si>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</si>
  <si>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</si>
  <si>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</si>
  <si>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</si>
  <si>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</si>
  <si>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</si>
  <si>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</si>
  <si>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</si>
  <si>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</si>
  <si>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</si>
  <si>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</si>
  <si>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</si>
  <si>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</si>
  <si>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</si>
  <si>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</si>
  <si>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</si>
  <si>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</si>
  <si>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</si>
  <si>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</si>
  <si>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</si>
  <si>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</si>
  <si>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</si>
  <si>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</si>
  <si>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</si>
  <si>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</si>
  <si>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</si>
  <si>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</si>
  <si>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</si>
  <si>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</si>
  <si>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</si>
  <si>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</si>
  <si>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</si>
  <si>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</si>
  <si>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</si>
  <si>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</si>
  <si>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</si>
  <si>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</si>
  <si>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</si>
  <si>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</si>
  <si>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</si>
  <si>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</si>
  <si>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</si>
  <si>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</si>
  <si>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</si>
  <si>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</si>
  <si>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</si>
  <si>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</si>
  <si>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</si>
  <si>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</si>
  <si>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</si>
  <si>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</si>
  <si>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</si>
  <si>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</si>
  <si>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</si>
  <si>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</si>
  <si>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</si>
  <si>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</si>
  <si>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</si>
  <si>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</si>
  <si>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</si>
  <si>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</si>
  <si>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</si>
  <si>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</si>
  <si>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</si>
  <si>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</si>
  <si>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</si>
  <si>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</si>
  <si>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</si>
  <si>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</si>
  <si>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</si>
  <si>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</si>
  <si>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</si>
  <si>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</si>
  <si>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</si>
  <si>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</si>
  <si>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</si>
  <si>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</si>
  <si>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</si>
  <si>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</si>
  <si>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</si>
  <si>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</si>
  <si>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</si>
  <si>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</si>
  <si>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</si>
  <si>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</si>
  <si>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</si>
  <si>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</si>
  <si>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</si>
  <si>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</si>
  <si>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</si>
  <si>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</si>
  <si>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</si>
  <si>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</si>
  <si>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</si>
  <si>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</si>
  <si>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</si>
  <si>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</si>
  <si>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</si>
  <si>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</si>
  <si>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</si>
  <si>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</si>
  <si>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</si>
  <si>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</si>
  <si>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</si>
  <si>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</si>
  <si>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</si>
  <si>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</si>
  <si>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</si>
  <si>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</si>
  <si>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</si>
  <si>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</si>
  <si>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</si>
  <si>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</si>
  <si>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</si>
  <si>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</si>
  <si>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</si>
  <si>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</si>
  <si>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</si>
  <si>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</si>
  <si>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</si>
  <si>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</si>
  <si>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</si>
  <si>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</si>
  <si>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</si>
  <si>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</si>
  <si>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</si>
  <si>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</si>
  <si>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</si>
  <si>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</si>
  <si>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</si>
  <si>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</si>
  <si>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</si>
  <si>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</si>
  <si>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</si>
  <si>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</si>
  <si>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</si>
  <si>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</si>
  <si>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</si>
  <si>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</si>
  <si>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</si>
  <si>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</si>
  <si>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</si>
  <si>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</si>
  <si>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</si>
  <si>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</si>
  <si>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</si>
  <si>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</si>
  <si>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</si>
  <si>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</si>
  <si>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</si>
  <si>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</si>
  <si>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</si>
  <si>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</si>
  <si>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</si>
  <si>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</si>
  <si>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</si>
  <si>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</si>
  <si>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</si>
  <si>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</si>
  <si>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</si>
  <si>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</si>
  <si>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</si>
  <si>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</si>
  <si>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</si>
  <si>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</si>
  <si>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</si>
  <si>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</si>
  <si>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</si>
  <si>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</si>
  <si>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</si>
  <si>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</si>
  <si>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</si>
  <si>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</si>
  <si>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</si>
  <si>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</si>
  <si>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</si>
  <si>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</si>
  <si>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</si>
  <si>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</si>
  <si>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</si>
  <si>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</si>
  <si>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</si>
  <si>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</si>
  <si>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</si>
  <si>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</si>
  <si>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</si>
  <si>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</si>
  <si>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</si>
  <si>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</si>
  <si>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</si>
  <si>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</si>
  <si>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</si>
  <si>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</si>
  <si>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</si>
  <si>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</si>
  <si>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</si>
  <si>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</si>
  <si>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</si>
  <si>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</si>
  <si>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</si>
  <si>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</si>
  <si>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</si>
  <si>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</si>
  <si>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</si>
  <si>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</si>
  <si>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</si>
  <si>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</si>
  <si>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</si>
  <si>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</si>
  <si>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</si>
  <si>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</si>
  <si>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</si>
  <si>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</si>
  <si>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</si>
  <si>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</si>
  <si>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</si>
  <si>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</si>
  <si>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</si>
  <si>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</si>
  <si>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</si>
  <si>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</si>
  <si>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</si>
  <si>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</si>
  <si>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</si>
  <si>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</si>
  <si>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</si>
  <si>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</si>
  <si>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</si>
  <si>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</si>
  <si>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</si>
  <si>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</si>
  <si>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</si>
  <si>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</si>
  <si>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</si>
  <si>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</si>
  <si>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</si>
  <si>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</si>
  <si>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</si>
  <si>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</si>
  <si>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</si>
  <si>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</si>
  <si>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</si>
  <si>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</si>
  <si>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</si>
  <si>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</si>
  <si>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</si>
  <si>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</si>
  <si>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</si>
  <si>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</si>
  <si>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</si>
  <si>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</si>
  <si>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</si>
  <si>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</si>
  <si>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</si>
  <si>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</si>
  <si>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</si>
  <si>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</si>
  <si>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</si>
  <si>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</si>
  <si>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</si>
  <si>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</si>
  <si>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</si>
  <si>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</si>
  <si>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</si>
  <si>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</si>
  <si>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</si>
  <si>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</si>
  <si>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</si>
  <si>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</si>
  <si>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</si>
  <si>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</si>
  <si>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</si>
  <si>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</si>
  <si>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</si>
  <si>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</si>
  <si>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</si>
  <si>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</si>
  <si>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</si>
  <si>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</si>
  <si>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</si>
  <si>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</si>
  <si>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</si>
  <si>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</si>
  <si>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</si>
  <si>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</si>
  <si>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</si>
  <si>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</si>
  <si>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</si>
  <si>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</si>
  <si>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</si>
  <si>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</si>
  <si>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</si>
  <si>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</si>
  <si>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</si>
  <si>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</si>
  <si>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</si>
  <si>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</si>
  <si>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</si>
  <si>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</si>
  <si>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</si>
  <si>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</si>
  <si>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</si>
  <si>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</si>
  <si>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</si>
  <si>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</si>
  <si>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</si>
  <si>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</si>
  <si>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</si>
  <si>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</si>
  <si>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</si>
  <si>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</si>
  <si>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</si>
  <si>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</si>
  <si>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</si>
  <si>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</si>
  <si>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</si>
  <si>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</si>
  <si>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</si>
  <si>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</si>
  <si>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</si>
  <si>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</si>
  <si>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</si>
  <si>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</si>
  <si>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</si>
  <si>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</si>
  <si>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</si>
  <si>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</si>
  <si>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</si>
  <si>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</si>
  <si>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</si>
  <si>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</si>
  <si>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</si>
  <si>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</si>
  <si>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</si>
  <si>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</si>
  <si>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</si>
  <si>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</si>
  <si>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</si>
  <si>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</si>
  <si>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</si>
  <si>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</si>
  <si>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</si>
  <si>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</si>
  <si>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</si>
  <si>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</si>
  <si>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</si>
  <si>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</si>
  <si>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</si>
  <si>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</si>
  <si>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</si>
  <si>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</si>
  <si>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</si>
  <si>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</si>
  <si>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</si>
  <si>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</si>
  <si>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 xml:space="preserve">Gourmet Food Umer Chowk </t>
  </si>
  <si>
    <t xml:space="preserve">Address: Umer Chowk </t>
  </si>
  <si>
    <t>Gourmet Food Choung</t>
  </si>
  <si>
    <t>Address: Choung</t>
  </si>
  <si>
    <t xml:space="preserve">Address:  Johar Town </t>
  </si>
  <si>
    <t>Gourmet Food Riwind Road</t>
  </si>
  <si>
    <t>Address: Riwind Road</t>
  </si>
  <si>
    <t>Gourmet Food Moterway</t>
  </si>
  <si>
    <t>Address: Moterway</t>
  </si>
  <si>
    <t>Address: Militry Account</t>
  </si>
  <si>
    <t>Gourmet Food Militry Account</t>
  </si>
  <si>
    <t>Gourmet Food Iqbal Town</t>
  </si>
  <si>
    <t xml:space="preserve">Address: Iqbal Town Cream Block </t>
  </si>
  <si>
    <t>Gourmet Food Wahdat Road</t>
  </si>
  <si>
    <t>Address: Wahdat Road</t>
  </si>
  <si>
    <t>Gourmet Food Nadeem Shaheed</t>
  </si>
  <si>
    <t>Address: Nadeem Shaheed</t>
  </si>
  <si>
    <t>Invoice No # :10012</t>
  </si>
  <si>
    <t>Address: 12-G</t>
  </si>
  <si>
    <t xml:space="preserve">Address: Jinah </t>
  </si>
  <si>
    <t xml:space="preserve">Address:Firdos Market </t>
  </si>
  <si>
    <t xml:space="preserve">Address: Moterway </t>
  </si>
  <si>
    <t>Address: DHA Rahbar</t>
  </si>
  <si>
    <t xml:space="preserve">Address: Militry Account </t>
  </si>
  <si>
    <t xml:space="preserve">Address: Behria Town </t>
  </si>
  <si>
    <t>Address:  EME</t>
  </si>
  <si>
    <t>Gourmet Food 12-G</t>
  </si>
  <si>
    <t xml:space="preserve">Gourmet Food Jinah </t>
  </si>
  <si>
    <t>Gourmet Food Firdos Market</t>
  </si>
  <si>
    <t xml:space="preserve">Gourmet Food Moter Way </t>
  </si>
  <si>
    <t>Gourmet Food Dha Rahbar</t>
  </si>
  <si>
    <t xml:space="preserve">Gourmet Food Militry </t>
  </si>
  <si>
    <t xml:space="preserve">Gourmet Food Behria Town </t>
  </si>
  <si>
    <t>Gourmet Food 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</si>
</sst>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T12" sqref="T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499</v>
      </c>
      <c r="F2" s="384"/>
      <c r="G2" s="384"/>
      <c r="H2" s="381" t="s">
        <v>515</v>
      </c>
      <c r="I2" s="381"/>
      <c r="J2" s="382"/>
      <c r="R2" s="378" t="s">
        <v>498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510</v>
      </c>
      <c r="F3" s="388"/>
      <c r="G3" s="388"/>
      <c r="H3" s="385">
        <f ca="1">TODAY()</f>
        <v>46258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Gourmet Food</v>
      </c>
      <c r="T3" s="301">
        <f>+'1'!P35</f>
        <v>4898.3511179237294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Gourmet Food 12-G</v>
      </c>
      <c r="T4" s="301">
        <f>+'2'!P35</f>
        <v>2054.1523328389831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509</v>
      </c>
      <c r="R5" s="314">
        <v>3</v>
      </c>
      <c r="S5" s="300" t="str">
        <f>+'3'!A6:A6</f>
        <v xml:space="preserve">Gourmet Food Jinah </v>
      </c>
      <c r="T5" s="301">
        <f>+'3'!P35</f>
        <v>2054.1523328389831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508</v>
      </c>
      <c r="R6" s="314">
        <v>4</v>
      </c>
      <c r="S6" s="300" t="str">
        <f>+'4'!A6:A6</f>
        <v>Gourmet Food Firdos Market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755.45999999999992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3294.645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20.439326694915252</v>
      </c>
      <c r="P7" s="310">
        <f>M7+N7+O7</f>
        <v>4108.3046656779661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80</v>
      </c>
      <c r="R7" s="314">
        <v>5</v>
      </c>
      <c r="S7" s="300" t="str">
        <f>+'5'!A6:A6</f>
        <v xml:space="preserve">Gourmet Food Umer Chowk </v>
      </c>
      <c r="T7" s="301">
        <f>+'5'!P35</f>
        <v>10428.755176144066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755.45999999999992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3294.645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20.439326694915252</v>
      </c>
      <c r="P8" s="311">
        <f t="shared" ref="P8:P15" si="2">M8+N8+O8</f>
        <v>4108.3046656779661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Moter Way </v>
      </c>
      <c r="T8" s="301">
        <f>+'6'!P35</f>
        <v>10428.755176144066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2266.3799999999997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440.685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9883.9350000000013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61.317980084745756</v>
      </c>
      <c r="P9" s="311">
        <f t="shared" si="2"/>
        <v>12324.913997033898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Gourmet Food Dha Rahbar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1046.0159999999998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4561.7919999999995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28.300485423728812</v>
      </c>
      <c r="P10" s="311">
        <f t="shared" si="2"/>
        <v>5688.3975701694908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Gourmet Food Militry </v>
      </c>
      <c r="T10" s="301">
        <f>+'8'!P35</f>
        <v>6320.450510466103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1046.0159999999998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4561.7919999999995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28.300485423728812</v>
      </c>
      <c r="P11" s="311">
        <f t="shared" si="2"/>
        <v>5688.3975701694908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Gourmet Food Behria Town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100</v>
      </c>
      <c r="I12" s="236">
        <f t="shared" si="0"/>
        <v>7264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1307.5199999999998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254.24000000000004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5702.24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1372.8813559322034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35.375606779661013</v>
      </c>
      <c r="P12" s="311">
        <f t="shared" si="2"/>
        <v>7110.4969627118644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4">
        <v>10</v>
      </c>
      <c r="S12" s="300" t="str">
        <f>+'10'!A6:A6</f>
        <v>Gourmet Food EME</v>
      </c>
      <c r="T12" s="301">
        <f>+'10'!P35</f>
        <v>2844.1987850847459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Gourmet Food Riwind Road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Gourmet Food Choung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Moterway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16.5</v>
      </c>
      <c r="H16" s="113">
        <f t="shared" ref="H16:M16" si="3">SUM(H7:H15)</f>
        <v>660</v>
      </c>
      <c r="I16" s="114">
        <f t="shared" si="3"/>
        <v>39871.4</v>
      </c>
      <c r="J16" s="274">
        <f>SUM(J7:J15)</f>
        <v>7176.851999999998</v>
      </c>
      <c r="K16" s="275">
        <f t="shared" si="3"/>
        <v>1395.499</v>
      </c>
      <c r="L16" s="276">
        <f t="shared" si="3"/>
        <v>0</v>
      </c>
      <c r="M16" s="232">
        <f t="shared" si="3"/>
        <v>31299.048999999999</v>
      </c>
      <c r="N16" s="233">
        <f>SUM(N7:N15)</f>
        <v>7535.5932203389812</v>
      </c>
      <c r="O16" s="101">
        <f>SUM(O7:O15)</f>
        <v>194.1732111016949</v>
      </c>
      <c r="P16" s="113">
        <f>SUM(P7:P15)</f>
        <v>39028.815431440678</v>
      </c>
      <c r="Q16" s="128">
        <f>SUM(Q7:Q15)</f>
        <v>160</v>
      </c>
      <c r="R16" s="314">
        <v>14</v>
      </c>
      <c r="S16" s="300" t="str">
        <f>+'14'!A6:A6</f>
        <v>Gourmet Food Militry Account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Gourmet Food Iqbal Town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Gourmet Food Wahdat Road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39871.4</v>
      </c>
      <c r="R19" s="299">
        <v>17</v>
      </c>
      <c r="S19" s="300" t="str">
        <f>+'17'!A6:A6</f>
        <v>Gourmet Food Nadeem Shaheed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7176.851999999998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1395.499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31299.049000000003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7535.5932203389812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38834.642220338981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194.1732111016949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39028.815431440678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39028.815431440671</v>
      </c>
    </row>
    <row r="44" spans="2:20" x14ac:dyDescent="0.35">
      <c r="B44" t="s">
        <v>502</v>
      </c>
    </row>
    <row r="45" spans="2:20" x14ac:dyDescent="0.35">
      <c r="B45" t="s">
        <v>503</v>
      </c>
    </row>
    <row r="46" spans="2:20" x14ac:dyDescent="0.35">
      <c r="B46" t="s">
        <v>504</v>
      </c>
    </row>
    <row r="47" spans="2:20" x14ac:dyDescent="0.35">
      <c r="B47" t="s">
        <v>505</v>
      </c>
    </row>
    <row r="48" spans="2:20" x14ac:dyDescent="0.35">
      <c r="B48" t="s">
        <v>506</v>
      </c>
    </row>
    <row r="49" spans="2:2" x14ac:dyDescent="0.35">
      <c r="B49" t="s">
        <v>511</v>
      </c>
    </row>
    <row r="50" spans="2:2" x14ac:dyDescent="0.35">
      <c r="B50" t="s">
        <v>512</v>
      </c>
    </row>
    <row r="51" spans="2:2" x14ac:dyDescent="0.35">
      <c r="B51" t="s">
        <v>513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520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5004.1000000000004</v>
      </c>
      <c r="J25" s="274">
        <f>SUM(J16:J24)</f>
        <v>900.73799999999983</v>
      </c>
      <c r="K25" s="275">
        <f t="shared" si="10"/>
        <v>175.14350000000002</v>
      </c>
      <c r="L25" s="276">
        <f t="shared" si="10"/>
        <v>0</v>
      </c>
      <c r="M25" s="232">
        <f t="shared" si="10"/>
        <v>3928.2184999999995</v>
      </c>
      <c r="N25" s="233">
        <f>SUM(N16:N24)</f>
        <v>945.76271186440658</v>
      </c>
      <c r="O25" s="101">
        <f>SUM(O16:O24)</f>
        <v>24.369906059322034</v>
      </c>
      <c r="P25" s="113">
        <f>SUM(P16:P24)</f>
        <v>4898.3511179237285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5004.1000000000004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900.73799999999983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175.14350000000002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3928.2185000000009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4873.9812118644077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24.369906059322037</v>
      </c>
    </row>
    <row r="35" spans="2:16" ht="15.75" customHeight="1" thickBot="1" x14ac:dyDescent="0.4">
      <c r="N35" s="372" t="s">
        <v>88</v>
      </c>
      <c r="O35" s="373"/>
      <c r="P35" s="297">
        <f>+P33+P34</f>
        <v>4898.3511179237294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542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534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2098.5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377.72999999999996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73.447500000000005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1647.3225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2043.9326694915253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2" t="s">
        <v>88</v>
      </c>
      <c r="O35" s="373"/>
      <c r="P35" s="297">
        <f>+P33+P34</f>
        <v>2054.1523328389831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8.75" customHeight="1" x14ac:dyDescent="0.4">
      <c r="A6" s="398" t="s">
        <v>543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2098.5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377.72999999999996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73.447500000000005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1647.3225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2043.9326694915253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2" t="s">
        <v>88</v>
      </c>
      <c r="O35" s="373"/>
      <c r="P35" s="297">
        <f>+P33+P34</f>
        <v>2054.1523328389831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544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536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A21" sqref="A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517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372.88650000000007</v>
      </c>
      <c r="L25" s="276">
        <f t="shared" si="7"/>
        <v>0</v>
      </c>
      <c r="M25" s="232">
        <f t="shared" si="7"/>
        <v>8363.3114999999998</v>
      </c>
      <c r="N25" s="233">
        <f>SUM(N16:N24)</f>
        <v>2013.5593220338976</v>
      </c>
      <c r="O25" s="101">
        <f>SUM(O16:O24)</f>
        <v>51.88435411016949</v>
      </c>
      <c r="P25" s="113">
        <f>SUM(P16:P24)</f>
        <v>10428.755176144066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10653.9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1917.7019999999995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372.88650000000007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8363.3114999999998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10376.870822033898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51.88435411016949</v>
      </c>
    </row>
    <row r="35" spans="2:16" ht="15.75" customHeight="1" thickBot="1" x14ac:dyDescent="0.4">
      <c r="N35" s="372" t="s">
        <v>88</v>
      </c>
      <c r="O35" s="373"/>
      <c r="P35" s="297">
        <f>+P33+P34</f>
        <v>10428.755176144066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545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537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372.88650000000007</v>
      </c>
      <c r="L25" s="276">
        <f t="shared" si="7"/>
        <v>0</v>
      </c>
      <c r="M25" s="232">
        <f t="shared" si="7"/>
        <v>8363.3114999999998</v>
      </c>
      <c r="N25" s="233">
        <f>SUM(N16:N24)</f>
        <v>2013.5593220338976</v>
      </c>
      <c r="O25" s="101">
        <f>SUM(O16:O24)</f>
        <v>51.88435411016949</v>
      </c>
      <c r="P25" s="113">
        <f>SUM(P16:P24)</f>
        <v>10428.755176144066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10653.9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1917.7019999999995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372.88650000000007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8363.3114999999998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10376.870822033898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51.88435411016949</v>
      </c>
    </row>
    <row r="35" spans="2:16" ht="15.75" customHeight="1" thickBot="1" x14ac:dyDescent="0.4">
      <c r="N35" s="372" t="s">
        <v>88</v>
      </c>
      <c r="O35" s="373"/>
      <c r="P35" s="297">
        <f>+P33+P34</f>
        <v>10428.755176144066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546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538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activeCell="F20" sqref="F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547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539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73.447500000000005</v>
      </c>
      <c r="L18" s="119">
        <f t="shared" si="1"/>
        <v>0</v>
      </c>
      <c r="M18" s="230">
        <f t="shared" si="2"/>
        <v>1647.3225</v>
      </c>
      <c r="N18" s="277">
        <f t="shared" si="3"/>
        <v>396.61016949152526</v>
      </c>
      <c r="O18" s="239">
        <f t="shared" si="4"/>
        <v>10.219663347457626</v>
      </c>
      <c r="P18" s="311">
        <f t="shared" si="5"/>
        <v>2054.1523328389831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225.99150000000003</v>
      </c>
      <c r="L25" s="276">
        <f t="shared" si="7"/>
        <v>0</v>
      </c>
      <c r="M25" s="232">
        <f t="shared" si="7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6456.9000000000005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1162.2419999999997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225.99150000000003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5068.6665000000012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6289.0054830508489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72" t="s">
        <v>88</v>
      </c>
      <c r="O35" s="373"/>
      <c r="P35" s="297">
        <f>+P33+P34</f>
        <v>6320.450510466103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548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540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549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541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2905.6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523.00799999999992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101.69600000000001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2280.8960000000002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2830.0485423728815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72" t="s">
        <v>88</v>
      </c>
      <c r="O35" s="373"/>
      <c r="P35" s="297">
        <f>+P33+P34</f>
        <v>2844.1987850847459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521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522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519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524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3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528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530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532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8.75" customHeight="1" x14ac:dyDescent="0.4">
      <c r="A6" s="398" t="s">
        <v>500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533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501</v>
      </c>
      <c r="B4" s="392"/>
      <c r="C4" s="392"/>
      <c r="F4" s="85"/>
      <c r="G4" s="1"/>
      <c r="K4" s="393" t="s">
        <v>44</v>
      </c>
      <c r="L4" s="393"/>
      <c r="M4" s="393"/>
      <c r="N4" s="396">
        <v>46258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46257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514</v>
      </c>
      <c r="B7" s="393"/>
      <c r="C7" s="393"/>
      <c r="F7" s="85"/>
      <c r="G7" s="86"/>
      <c r="K7" s="393" t="s">
        <v>66</v>
      </c>
      <c r="L7" s="393"/>
      <c r="M7" s="393"/>
      <c r="N7" s="395" t="s">
        <v>507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507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509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46259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46258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2026-08-24T13:20:08Z</dcterms:modified>
</cp:coreProperties>
</file>