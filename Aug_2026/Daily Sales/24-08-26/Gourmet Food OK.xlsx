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D8FEB8-41AD-4322-9FFB-A7E17F9D835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P12" i="62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<sst xmlns="http://schemas.openxmlformats.org/spreadsheetml/2006/main" count="3948" uniqueCount="550">
  <si>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</si>
  <si>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</si>
  <si>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</si>
  <si>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</si>
  <si>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</si>
  <si>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</si>
  <si>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</si>
  <si>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</si>
  <si>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</si>
  <si>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</si>
  <si>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</si>
  <si>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</si>
  <si>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</si>
  <si>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</si>
  <si>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</si>
  <si>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</si>
  <si>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</si>
  <si>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</si>
  <si>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</si>
  <si>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</si>
  <si>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</si>
  <si>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</si>
  <si>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</si>
  <si>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</si>
  <si>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</si>
  <si>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</si>
  <si>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</si>
  <si>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</si>
  <si>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</si>
  <si>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</si>
  <si>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</si>
  <si>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</si>
  <si>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</si>
  <si>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</si>
  <si>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</si>
  <si>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</si>
  <si>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</si>
  <si>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</si>
  <si>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</si>
  <si>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</si>
  <si>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</si>
  <si>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</si>
  <si>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</si>
  <si>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</si>
  <si>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</si>
  <si>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</si>
  <si>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</si>
  <si>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</si>
  <si>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</si>
  <si>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</si>
  <si>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</si>
  <si>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</si>
  <si>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</si>
  <si>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</si>
  <si>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</si>
  <si>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</si>
  <si>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</si>
  <si>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</si>
  <si>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</si>
  <si>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</si>
  <si>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</si>
  <si>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</si>
  <si>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</si>
  <si>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</si>
  <si>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</si>
  <si>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</si>
  <si>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</si>
  <si>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</si>
  <si>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</si>
  <si>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</si>
  <si>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</si>
  <si>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</si>
  <si>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</si>
  <si>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</si>
  <si>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</si>
  <si>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</si>
  <si>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</si>
  <si>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</si>
  <si>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</si>
  <si>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</si>
  <si>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</si>
  <si>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</si>
  <si>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</si>
  <si>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</si>
  <si>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</si>
  <si>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</si>
  <si>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</si>
  <si>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</si>
  <si>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</si>
  <si>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</si>
  <si>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</si>
  <si>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</si>
  <si>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</si>
  <si>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</si>
  <si>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</si>
  <si>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</si>
  <si>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</si>
  <si>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</si>
  <si>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</si>
  <si>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</si>
  <si>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</si>
  <si>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</si>
  <si>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</si>
  <si>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</si>
  <si>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</si>
  <si>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</si>
  <si>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</si>
  <si>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</si>
  <si>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</si>
  <si>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</si>
  <si>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</si>
  <si>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</si>
  <si>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</si>
  <si>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</si>
  <si>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</si>
  <si>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</si>
  <si>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</si>
  <si>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</si>
  <si>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</si>
  <si>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</si>
  <si>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</si>
  <si>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</si>
  <si>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</si>
  <si>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</si>
  <si>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</si>
  <si>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</si>
  <si>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</si>
  <si>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</si>
  <si>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</si>
  <si>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</si>
  <si>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</si>
  <si>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</si>
  <si>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</si>
  <si>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</si>
  <si>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</si>
  <si>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</si>
  <si>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</si>
  <si>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</si>
  <si>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</si>
  <si>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</si>
  <si>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</si>
  <si>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</si>
  <si>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</si>
  <si>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</si>
  <si>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</si>
  <si>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</si>
  <si>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</si>
  <si>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</si>
  <si>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</si>
  <si>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</si>
  <si>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</si>
  <si>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</si>
  <si>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</si>
  <si>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</si>
  <si>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</si>
  <si>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</si>
  <si>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</si>
  <si>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</si>
  <si>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</si>
  <si>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</si>
  <si>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</si>
  <si>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</si>
  <si>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</si>
  <si>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</si>
  <si>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</si>
  <si>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</si>
  <si>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</si>
  <si>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</si>
  <si>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</si>
  <si>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</si>
  <si>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</si>
  <si>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</si>
  <si>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</si>
  <si>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</si>
  <si>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</si>
  <si>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</si>
  <si>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</si>
  <si>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</si>
  <si>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</si>
  <si>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</si>
  <si>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</si>
  <si>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</si>
  <si>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</si>
  <si>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</si>
  <si>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</si>
  <si>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</si>
  <si>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</si>
  <si>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</si>
  <si>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</si>
  <si>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</si>
  <si>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</si>
  <si>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</si>
  <si>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</si>
  <si>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</si>
  <si>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</si>
  <si>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</si>
  <si>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</si>
  <si>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</si>
  <si>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</si>
  <si>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</si>
  <si>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</si>
  <si>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</si>
  <si>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</si>
  <si>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</si>
  <si>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</si>
  <si>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</si>
  <si>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</si>
  <si>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</si>
  <si>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</si>
  <si>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</si>
  <si>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</si>
  <si>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</si>
  <si>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</si>
  <si>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</si>
  <si>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</si>
  <si>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</si>
  <si>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</si>
  <si>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</si>
  <si>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</si>
  <si>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</si>
  <si>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</si>
  <si>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</si>
  <si>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</si>
  <si>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</si>
  <si>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</si>
  <si>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</si>
  <si>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</si>
  <si>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</si>
  <si>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</si>
  <si>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</si>
  <si>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</si>
  <si>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</si>
  <si>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</si>
  <si>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</si>
  <si>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</si>
  <si>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</si>
  <si>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</si>
  <si>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</si>
  <si>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</si>
  <si>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</si>
  <si>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</si>
  <si>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</si>
  <si>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</si>
  <si>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</si>
  <si>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</si>
  <si>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</si>
  <si>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</si>
  <si>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</si>
  <si>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</si>
  <si>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</si>
  <si>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</si>
  <si>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</si>
  <si>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</si>
  <si>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</si>
  <si>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</si>
  <si>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</si>
  <si>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</si>
  <si>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</si>
  <si>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</si>
  <si>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</si>
  <si>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</si>
  <si>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</si>
  <si>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</si>
  <si>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</si>
  <si>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</si>
  <si>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</si>
  <si>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</si>
  <si>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</si>
  <si>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</si>
  <si>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</si>
  <si>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</si>
  <si>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</si>
  <si>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</si>
  <si>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</si>
  <si>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</si>
  <si>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</si>
  <si>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</si>
  <si>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</si>
  <si>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</si>
  <si>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</si>
  <si>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</si>
  <si>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</si>
  <si>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</si>
  <si>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</si>
  <si>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</si>
  <si>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</si>
  <si>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</si>
  <si>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</si>
  <si>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</si>
  <si>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</si>
  <si>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</si>
  <si>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</si>
  <si>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</si>
  <si>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</si>
  <si>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</si>
  <si>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</si>
  <si>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</si>
  <si>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</si>
  <si>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</si>
  <si>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</si>
  <si>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</si>
  <si>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</si>
  <si>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</si>
  <si>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</si>
  <si>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</si>
  <si>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</si>
  <si>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</si>
  <si>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</si>
  <si>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</si>
  <si>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</si>
  <si>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</si>
  <si>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</si>
  <si>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</si>
  <si>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</si>
  <si>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</si>
  <si>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</si>
  <si>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</si>
  <si>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</si>
  <si>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</si>
  <si>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</si>
  <si>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</si>
  <si>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</si>
  <si>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</si>
  <si>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</si>
  <si>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</si>
  <si>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</si>
  <si>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</si>
  <si>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</si>
  <si>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</si>
  <si>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</si>
  <si>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</si>
  <si>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</si>
  <si>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</si>
  <si>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</si>
  <si>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</si>
  <si>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</si>
  <si>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</si>
  <si>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</si>
  <si>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</si>
  <si>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</si>
  <si>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</si>
  <si>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</si>
  <si>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</si>
  <si>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</si>
  <si>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</si>
  <si>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</si>
  <si>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</si>
  <si>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</si>
  <si>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</si>
  <si>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</si>
  <si>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</si>
  <si>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</si>
  <si>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</si>
  <si>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</si>
  <si>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</si>
  <si>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</si>
  <si>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</si>
  <si>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</si>
  <si>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</si>
  <si>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</si>
  <si>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</si>
  <si>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</si>
  <si>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</si>
  <si>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</si>
  <si>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</si>
  <si>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</si>
  <si>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</si>
  <si>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</si>
  <si>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</si>
  <si>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</si>
  <si>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</si>
  <si>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</si>
  <si>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</si>
  <si>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</si>
  <si>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</si>
  <si>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</si>
  <si>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</si>
  <si>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</si>
  <si>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</si>
  <si>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</si>
  <si>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</si>
  <si>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</si>
  <si>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</si>
  <si>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</si>
  <si>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</si>
  <si>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</si>
  <si>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</si>
  <si>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</si>
  <si>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</si>
  <si>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</si>
  <si>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</si>
  <si>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</si>
  <si>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</si>
  <si>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</si>
  <si>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</si>
  <si>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</si>
  <si>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</si>
  <si>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</si>
  <si>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</si>
  <si>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</si>
  <si>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</si>
  <si>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</si>
  <si>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</si>
  <si>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</si>
  <si>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</si>
  <si>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</si>
  <si>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</si>
  <si>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</si>
  <si>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</si>
  <si>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</si>
  <si>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</si>
  <si>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</si>
  <si>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</si>
  <si>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</si>
  <si>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</si>
  <si>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</si>
  <si>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</si>
  <si>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</si>
  <si>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</si>
  <si>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</si>
  <si>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</si>
  <si>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</si>
  <si>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</si>
  <si>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</si>
  <si>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</si>
  <si>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</si>
  <si>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</si>
  <si>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</si>
  <si>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</si>
  <si>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</si>
  <si>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</si>
  <si>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</si>
  <si>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</si>
  <si>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</si>
  <si>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</si>
  <si>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</si>
  <si>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</si>
  <si>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</si>
  <si>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</si>
  <si>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</si>
  <si>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</si>
  <si>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</si>
  <si>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</si>
  <si>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</si>
  <si>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</si>
  <si>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</si>
  <si>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</si>
  <si>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</si>
  <si>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</si>
  <si>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</si>
  <si>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</si>
  <si>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</si>
  <si>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</si>
  <si>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</si>
  <si>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</si>
  <si>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</si>
  <si>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</si>
  <si>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</si>
  <si>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</si>
  <si>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</si>
  <si>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</si>
  <si>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</si>
  <si>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</si>
  <si>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</si>
  <si>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</si>
  <si>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</si>
  <si>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</si>
  <si>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</si>
  <si>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</si>
  <si>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</si>
  <si>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</si>
  <si>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</si>
  <si>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</si>
  <si>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</si>
  <si>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</si>
  <si>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</si>
  <si>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</si>
  <si>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</si>
  <si>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</si>
  <si>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</si>
  <si>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</si>
  <si>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</si>
  <si>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</si>
  <si>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</si>
  <si>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</si>
  <si>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</si>
  <si>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</si>
  <si>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</si>
  <si>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</si>
  <si>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</si>
  <si>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</si>
  <si>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</si>
  <si>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</si>
  <si>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</si>
  <si>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</si>
  <si>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</si>
  <si>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</si>
  <si>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</si>
  <si>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</si>
  <si>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</si>
  <si>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</si>
  <si>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</si>
  <si>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</si>
  <si>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</si>
  <si>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</si>
  <si>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</si>
  <si>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</si>
  <si>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</si>
  <si>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</si>
  <si>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</si>
  <si>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</si>
  <si>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</si>
  <si>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</si>
  <si>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</si>
  <si>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</si>
  <si>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</si>
  <si>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 xml:space="preserve">Gourmet Food Umer Chowk </t>
  </si>
  <si>
    <t xml:space="preserve">Address: Umer Chowk </t>
  </si>
  <si>
    <t>Gourmet Food Choung</t>
  </si>
  <si>
    <t>Address: Choung</t>
  </si>
  <si>
    <t xml:space="preserve">Address:  Johar Town </t>
  </si>
  <si>
    <t>Gourmet Food Riwind Road</t>
  </si>
  <si>
    <t>Address: Riwind Road</t>
  </si>
  <si>
    <t>Gourmet Food Moterway</t>
  </si>
  <si>
    <t>Address: Moterway</t>
  </si>
  <si>
    <t>Address: Militry Account</t>
  </si>
  <si>
    <t>Gourmet Food Militry Account</t>
  </si>
  <si>
    <t>Gourmet Food Iqbal Town</t>
  </si>
  <si>
    <t xml:space="preserve">Address: Iqbal Town Cream Block </t>
  </si>
  <si>
    <t>Gourmet Food Wahdat Road</t>
  </si>
  <si>
    <t>Address: Wahdat Road</t>
  </si>
  <si>
    <t>Gourmet Food Nadeem Shaheed</t>
  </si>
  <si>
    <t>Address: Nadeem Shaheed</t>
  </si>
  <si>
    <t>Invoice No # :10012</t>
  </si>
  <si>
    <t>Address: 12-G</t>
  </si>
  <si>
    <t xml:space="preserve">Address: Jinah </t>
  </si>
  <si>
    <t xml:space="preserve">Address:Firdos Market </t>
  </si>
  <si>
    <t xml:space="preserve">Address: Moterway </t>
  </si>
  <si>
    <t>Address: DHA Rahbar</t>
  </si>
  <si>
    <t xml:space="preserve">Address: Militry Account </t>
  </si>
  <si>
    <t xml:space="preserve">Address: Behria Town </t>
  </si>
  <si>
    <t>Address:  EME</t>
  </si>
  <si>
    <t>Gourmet Food 12-G</t>
  </si>
  <si>
    <t xml:space="preserve">Gourmet Food Jinah </t>
  </si>
  <si>
    <t>Gourmet Food Firdos Market</t>
  </si>
  <si>
    <t xml:space="preserve">Gourmet Food Moter Way </t>
  </si>
  <si>
    <t>Gourmet Food Dha Rahbar</t>
  </si>
  <si>
    <t xml:space="preserve">Gourmet Food Militry </t>
  </si>
  <si>
    <t xml:space="preserve">Gourmet Food Behria Town </t>
  </si>
  <si>
    <t>Gourmet Food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</si>
</sst>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0" workbookViewId="0">
      <selection activeCell="S20" sqref="S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510</v>
      </c>
      <c r="F3" s="359"/>
      <c r="G3" s="359"/>
      <c r="H3" s="356">
        <f ca="1">TODAY()</f>
        <v>46262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413" t="str">
        <f>+'1'!A6:A6</f>
        <v>Gourmet Food</v>
      </c>
      <c r="T3" s="301">
        <f>+'1'!P35</f>
        <v>4898.3511179237294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13" t="str">
        <f>+'2'!A6:A6</f>
        <v>Gourmet Food 12-G</v>
      </c>
      <c r="T4" s="301">
        <f>+'2'!P35</f>
        <v>2054.1523328389831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413" t="str">
        <f>+'3'!A6:A6</f>
        <v xml:space="preserve">Gourmet Food Jinah 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>Gourmet Food Firdos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3294.645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20.439326694915252</v>
      </c>
      <c r="P7" s="310">
        <f>M7+N7+O7</f>
        <v>4108.3046656779661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413" t="str">
        <f>+'5'!A6:A6</f>
        <v xml:space="preserve">Gourmet Food Umer Chowk </v>
      </c>
      <c r="T7" s="301">
        <f>+'5'!P35</f>
        <v>10428.755176144066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413" t="str">
        <f>+'6'!A6:A6</f>
        <v xml:space="preserve">Gourmet Food Moter Way </v>
      </c>
      <c r="T8" s="301">
        <f>+'6'!P35</f>
        <v>10428.755176144066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2266.3799999999997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9883.9350000000013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61.317980084745756</v>
      </c>
      <c r="P9" s="311">
        <f t="shared" si="2"/>
        <v>12324.913997033898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Dha Rahbar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4561.7919999999995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28.300485423728812</v>
      </c>
      <c r="P10" s="311">
        <f t="shared" si="2"/>
        <v>5688.3975701694908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413" t="str">
        <f>+'8'!A6:A6</f>
        <v xml:space="preserve">Gourmet Food Militry </v>
      </c>
      <c r="T10" s="301">
        <f>+'8'!P35</f>
        <v>6320.450510466103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4561.7919999999995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28.300485423728812</v>
      </c>
      <c r="P11" s="311">
        <f t="shared" si="2"/>
        <v>5688.3975701694908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Behria Town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</v>
      </c>
      <c r="I12" s="236">
        <f t="shared" si="0"/>
        <v>7264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1307.5199999999998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254.24000000000004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5702.24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35.375606779661013</v>
      </c>
      <c r="P12" s="311">
        <f t="shared" si="2"/>
        <v>7110.4969627118644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413" t="str">
        <f>+'10'!A6:A6</f>
        <v>Gourmet Food EME</v>
      </c>
      <c r="T12" s="301">
        <f>+'10'!P35</f>
        <v>2844.1987850847459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Riwind Road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Choung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Moterway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16.5</v>
      </c>
      <c r="H16" s="113">
        <f t="shared" ref="H16:M16" si="3">SUM(H7:H15)</f>
        <v>660</v>
      </c>
      <c r="I16" s="114">
        <f t="shared" si="3"/>
        <v>39871.4</v>
      </c>
      <c r="J16" s="274">
        <f>SUM(J7:J15)</f>
        <v>7176.851999999998</v>
      </c>
      <c r="K16" s="275">
        <f t="shared" si="3"/>
        <v>1395.499</v>
      </c>
      <c r="L16" s="276">
        <f t="shared" si="3"/>
        <v>0</v>
      </c>
      <c r="M16" s="232">
        <f t="shared" si="3"/>
        <v>31299.048999999999</v>
      </c>
      <c r="N16" s="233">
        <f>SUM(N7:N15)</f>
        <v>7535.5932203389812</v>
      </c>
      <c r="O16" s="101">
        <f>SUM(O7:O15)</f>
        <v>194.1732111016949</v>
      </c>
      <c r="P16" s="113">
        <f>SUM(P7:P15)</f>
        <v>39028.815431440678</v>
      </c>
      <c r="Q16" s="128">
        <f>SUM(Q7:Q15)</f>
        <v>160</v>
      </c>
      <c r="R16" s="314">
        <v>14</v>
      </c>
      <c r="S16" s="300" t="str">
        <f>+'14'!A6:A6</f>
        <v>Gourmet Food Militry Account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Iqbal Town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Gourmet Food Wahdat Road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39871.4</v>
      </c>
      <c r="R19" s="299">
        <v>17</v>
      </c>
      <c r="S19" s="300" t="str">
        <f>+'17'!A6:A6</f>
        <v>Gourmet Food Nadeem Shaheed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7176.851999999998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1395.499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31299.049000000003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7535.5932203389812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38834.642220338981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194.1732111016949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39028.815431440678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39028.815431440671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900.73799999999983</v>
      </c>
      <c r="K25" s="275">
        <f t="shared" si="10"/>
        <v>175.14350000000002</v>
      </c>
      <c r="L25" s="276">
        <f t="shared" si="10"/>
        <v>0</v>
      </c>
      <c r="M25" s="232">
        <f t="shared" si="10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8.7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10653.9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1917.7019999999995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372.88650000000007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8363.3114999999998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10376.870822033898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43" t="s">
        <v>88</v>
      </c>
      <c r="O35" s="344"/>
      <c r="P35" s="297">
        <f>+P33+P34</f>
        <v>10428.755176144066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10653.9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1917.7019999999995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372.88650000000007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8363.3114999999998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10376.870822033898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43" t="s">
        <v>88</v>
      </c>
      <c r="O35" s="344"/>
      <c r="P35" s="297">
        <f>+P33+P34</f>
        <v>10428.755176144066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activeCell="F20" sqref="F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2026-08-28T04:27:31Z</dcterms:modified>
</cp:coreProperties>
</file>