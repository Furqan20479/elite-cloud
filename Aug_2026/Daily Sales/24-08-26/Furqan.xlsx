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52ACD4F-E782-49B1-918F-B8081E504A08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<sst xmlns="http://schemas.openxmlformats.org/spreadsheetml/2006/main" count="3978" uniqueCount="535">
  <si>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</si>
  <si>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</si>
  <si>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</si>
  <si>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</si>
  <si>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</si>
  <si>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</si>
  <si>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</si>
  <si>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</si>
  <si>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</si>
  <si>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</si>
  <si>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</si>
  <si>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</si>
  <si>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</si>
  <si>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</si>
  <si>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</si>
  <si>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</si>
  <si>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</si>
  <si>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</si>
  <si>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</si>
  <si>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</si>
  <si>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</si>
  <si>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</si>
  <si>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</si>
  <si>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</si>
  <si>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</si>
  <si>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</si>
  <si>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</si>
  <si>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</si>
  <si>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</si>
  <si>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</si>
  <si>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</si>
  <si>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</si>
  <si>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</si>
  <si>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</si>
  <si>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</si>
  <si>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</si>
  <si>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</si>
  <si>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</si>
  <si>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</si>
  <si>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</si>
  <si>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</si>
  <si>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</si>
  <si>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</si>
  <si>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</si>
  <si>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</si>
  <si>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</si>
  <si>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</si>
  <si>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</si>
  <si>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</si>
  <si>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</si>
  <si>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</si>
  <si>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</si>
  <si>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</si>
  <si>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</si>
  <si>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</si>
  <si>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</si>
  <si>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</si>
  <si>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</si>
  <si>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</si>
  <si>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</si>
  <si>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</si>
  <si>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</si>
  <si>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</si>
  <si>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</si>
  <si>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</si>
  <si>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</si>
  <si>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</si>
  <si>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</si>
  <si>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</si>
  <si>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</si>
  <si>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</si>
  <si>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</si>
  <si>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</si>
  <si>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</si>
  <si>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</si>
  <si>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</si>
  <si>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</si>
  <si>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</si>
  <si>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</si>
  <si>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</si>
  <si>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</si>
  <si>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</si>
  <si>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</si>
  <si>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</si>
  <si>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</si>
  <si>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</si>
  <si>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</si>
  <si>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</si>
  <si>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</si>
  <si>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</si>
  <si>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</si>
  <si>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</si>
  <si>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</si>
  <si>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</si>
  <si>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</si>
  <si>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</si>
  <si>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</si>
  <si>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</si>
  <si>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</si>
  <si>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</si>
  <si>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</si>
  <si>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</si>
  <si>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</si>
  <si>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</si>
  <si>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</si>
  <si>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</si>
  <si>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</si>
  <si>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</si>
  <si>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</si>
  <si>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</si>
  <si>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</si>
  <si>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</si>
  <si>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</si>
  <si>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</si>
  <si>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</si>
  <si>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</si>
  <si>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</si>
  <si>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</si>
  <si>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</si>
  <si>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</si>
  <si>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</si>
  <si>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</si>
  <si>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</si>
  <si>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</si>
  <si>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</si>
  <si>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</si>
  <si>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</si>
  <si>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</si>
  <si>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</si>
  <si>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</si>
  <si>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</si>
  <si>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</si>
  <si>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</si>
  <si>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</si>
  <si>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</si>
  <si>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</si>
  <si>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</si>
  <si>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</si>
  <si>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</si>
  <si>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</si>
  <si>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</si>
  <si>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</si>
  <si>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</si>
  <si>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</si>
  <si>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</si>
  <si>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</si>
  <si>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</si>
  <si>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</si>
  <si>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</si>
  <si>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</si>
  <si>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</si>
  <si>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</si>
  <si>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</si>
  <si>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</si>
  <si>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</si>
  <si>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</si>
  <si>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</si>
  <si>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</si>
  <si>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</si>
  <si>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</si>
  <si>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</si>
  <si>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</si>
  <si>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</si>
  <si>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</si>
  <si>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</si>
  <si>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</si>
  <si>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</si>
  <si>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</si>
  <si>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</si>
  <si>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</si>
  <si>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</si>
  <si>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</si>
  <si>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</si>
  <si>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</si>
  <si>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</si>
  <si>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</si>
  <si>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</si>
  <si>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</si>
  <si>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</si>
  <si>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</si>
  <si>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</si>
  <si>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</si>
  <si>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</si>
  <si>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</si>
  <si>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</si>
  <si>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</si>
  <si>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</si>
  <si>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</si>
  <si>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</si>
  <si>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</si>
  <si>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</si>
  <si>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</si>
  <si>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</si>
  <si>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</si>
  <si>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</si>
  <si>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</si>
  <si>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</si>
  <si>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</si>
  <si>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</si>
  <si>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</si>
  <si>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</si>
  <si>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</si>
  <si>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</si>
  <si>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</si>
  <si>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</si>
  <si>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</si>
  <si>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</si>
  <si>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</si>
  <si>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</si>
  <si>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</si>
  <si>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</si>
  <si>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</si>
  <si>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</si>
  <si>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</si>
  <si>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</si>
  <si>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</si>
  <si>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</si>
  <si>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</si>
  <si>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</si>
  <si>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</si>
  <si>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</si>
  <si>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</si>
  <si>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</si>
  <si>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</si>
  <si>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</si>
  <si>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</si>
  <si>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</si>
  <si>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</si>
  <si>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</si>
  <si>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</si>
  <si>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</si>
  <si>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</si>
  <si>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</si>
  <si>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</si>
  <si>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</si>
  <si>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</si>
  <si>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</si>
  <si>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</si>
  <si>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</si>
  <si>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</si>
  <si>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</si>
  <si>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</si>
  <si>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</si>
  <si>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</si>
  <si>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</si>
  <si>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</si>
  <si>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</si>
  <si>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</si>
  <si>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</si>
  <si>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</si>
  <si>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</si>
  <si>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</si>
  <si>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</si>
  <si>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</si>
  <si>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</si>
  <si>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</si>
  <si>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</si>
  <si>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</si>
  <si>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</si>
  <si>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</si>
  <si>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</si>
  <si>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</si>
  <si>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</si>
  <si>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</si>
  <si>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</si>
  <si>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</si>
  <si>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</si>
  <si>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</si>
  <si>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</si>
  <si>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</si>
  <si>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</si>
  <si>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</si>
  <si>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</si>
  <si>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</si>
  <si>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</si>
  <si>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</si>
  <si>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</si>
  <si>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</si>
  <si>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</si>
  <si>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</si>
  <si>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</si>
  <si>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</si>
  <si>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</si>
  <si>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</si>
  <si>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</si>
  <si>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</si>
  <si>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</si>
  <si>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</si>
  <si>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</si>
  <si>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</si>
  <si>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</si>
  <si>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</si>
  <si>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</si>
  <si>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</si>
  <si>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</si>
  <si>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</si>
  <si>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</si>
  <si>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</si>
  <si>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</si>
  <si>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</si>
  <si>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</si>
  <si>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</si>
  <si>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</si>
  <si>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</si>
  <si>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</si>
  <si>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</si>
  <si>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</si>
  <si>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</si>
  <si>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</si>
  <si>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</si>
  <si>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</si>
  <si>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</si>
  <si>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</si>
  <si>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</si>
  <si>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</si>
  <si>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</si>
  <si>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</si>
  <si>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</si>
  <si>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</si>
  <si>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</si>
  <si>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</si>
  <si>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</si>
  <si>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</si>
  <si>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</si>
  <si>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</si>
  <si>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</si>
  <si>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</si>
  <si>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</si>
  <si>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</si>
  <si>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</si>
  <si>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</si>
  <si>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</si>
  <si>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</si>
  <si>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</si>
  <si>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</si>
  <si>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</si>
  <si>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</si>
  <si>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</si>
  <si>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</si>
  <si>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</si>
  <si>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</si>
  <si>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</si>
  <si>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</si>
  <si>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</si>
  <si>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</si>
  <si>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</si>
  <si>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</si>
  <si>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</si>
  <si>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</si>
  <si>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</si>
  <si>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</si>
  <si>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</si>
  <si>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</si>
  <si>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</si>
  <si>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</si>
  <si>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</si>
  <si>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</si>
  <si>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</si>
  <si>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</si>
  <si>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</si>
  <si>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</si>
  <si>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</si>
  <si>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</si>
  <si>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</si>
  <si>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</si>
  <si>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</si>
  <si>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</si>
  <si>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</si>
  <si>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</si>
  <si>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</si>
  <si>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</si>
  <si>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</si>
  <si>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</si>
  <si>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</si>
  <si>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</si>
  <si>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</si>
  <si>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</si>
  <si>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</si>
  <si>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</si>
  <si>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</si>
  <si>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</si>
  <si>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</si>
  <si>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</si>
  <si>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</si>
  <si>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</si>
  <si>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</si>
  <si>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</si>
  <si>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</si>
  <si>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</si>
  <si>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</si>
  <si>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</si>
  <si>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</si>
  <si>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</si>
  <si>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</si>
  <si>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</si>
  <si>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</si>
  <si>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</si>
  <si>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</si>
  <si>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</si>
  <si>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</si>
  <si>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</si>
  <si>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</si>
  <si>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</si>
  <si>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</si>
  <si>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</si>
  <si>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</si>
  <si>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</si>
  <si>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</si>
  <si>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</si>
  <si>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</si>
  <si>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</si>
  <si>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</si>
  <si>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</si>
  <si>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</si>
  <si>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</si>
  <si>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</si>
  <si>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</si>
  <si>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</si>
  <si>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</si>
  <si>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</si>
  <si>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</si>
  <si>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</si>
  <si>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</si>
  <si>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</si>
  <si>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</si>
  <si>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</si>
  <si>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</si>
  <si>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</si>
  <si>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</si>
  <si>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</si>
  <si>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</si>
  <si>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</si>
  <si>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</si>
  <si>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</si>
  <si>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</si>
  <si>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</si>
  <si>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</si>
  <si>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</si>
  <si>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</si>
  <si>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</si>
  <si>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</si>
  <si>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</si>
  <si>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</si>
  <si>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</si>
  <si>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</si>
  <si>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</si>
  <si>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</si>
  <si>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</si>
  <si>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</si>
  <si>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</si>
  <si>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</si>
  <si>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</si>
  <si>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</si>
  <si>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</si>
  <si>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</si>
  <si>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</si>
  <si>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</si>
  <si>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</si>
  <si>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</si>
  <si>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</si>
  <si>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</si>
  <si>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</si>
  <si>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</si>
  <si>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</si>
  <si>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</si>
  <si>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</si>
  <si>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</si>
  <si>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</si>
  <si>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</si>
  <si>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</si>
  <si>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</si>
  <si>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</si>
  <si>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</si>
  <si>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</si>
  <si>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</si>
  <si>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</si>
  <si>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</si>
  <si>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</si>
  <si>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</si>
  <si>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</si>
  <si>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</si>
  <si>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</si>
  <si>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</si>
  <si>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</si>
  <si>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</si>
  <si>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</si>
  <si>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</si>
  <si>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</si>
  <si>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</si>
  <si>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</si>
  <si>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</si>
  <si>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</si>
  <si>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</si>
  <si>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</si>
  <si>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</si>
  <si>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</si>
  <si>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</si>
  <si>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</si>
  <si>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</si>
  <si>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</si>
  <si>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</si>
  <si>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</si>
  <si>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</si>
  <si>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</si>
  <si>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</si>
  <si>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</si>
  <si>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</si>
  <si>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</si>
  <si>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</si>
  <si>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</si>
  <si>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</si>
  <si>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</si>
  <si>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</si>
  <si>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</si>
  <si>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</si>
  <si>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</si>
  <si>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Furqan</t>
  </si>
  <si>
    <t>Address:Cavelary Gro</t>
  </si>
  <si>
    <t>Best Buy Store</t>
  </si>
  <si>
    <t>Gogger GS</t>
  </si>
  <si>
    <t>Shere Rubani Store</t>
  </si>
  <si>
    <t>Address: Sheraz Vilag Road</t>
  </si>
  <si>
    <t>Najab Khartak Store</t>
  </si>
  <si>
    <t xml:space="preserve">Address: Seven Street </t>
  </si>
  <si>
    <t>Aysheyana Store</t>
  </si>
  <si>
    <t>Address: Seven Street</t>
  </si>
  <si>
    <t>Hassan Mart</t>
  </si>
  <si>
    <t>Address: Islam Nagar / Abid Road</t>
  </si>
  <si>
    <t>Address: Makkah Colony</t>
  </si>
  <si>
    <t>Qadri Super Store</t>
  </si>
  <si>
    <t>Address: Makkah Colony Bloch Road</t>
  </si>
  <si>
    <t>Khan Store</t>
  </si>
  <si>
    <t>Mashallah Store</t>
  </si>
  <si>
    <t>Akeel Qadri Store</t>
  </si>
  <si>
    <t>Address: Makkah Colony G no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</si>
</sst>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3" workbookViewId="0">
      <selection activeCell="I30" sqref="I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499</v>
      </c>
      <c r="F2" s="385"/>
      <c r="G2" s="385"/>
      <c r="H2" s="382" t="s">
        <v>516</v>
      </c>
      <c r="I2" s="382"/>
      <c r="J2" s="383"/>
      <c r="R2" s="379" t="s">
        <v>498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512</v>
      </c>
      <c r="F3" s="389"/>
      <c r="G3" s="389"/>
      <c r="H3" s="386">
        <f ca="1">TODAY()</f>
        <v>46258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Best Buy Store</v>
      </c>
      <c r="T3" s="301">
        <f>+'1'!P35</f>
        <v>1669.1779134915255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Gogger GS</v>
      </c>
      <c r="T4" s="301">
        <f>+'2'!P35</f>
        <v>1620.3789503771181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Shere Rubani Store</v>
      </c>
      <c r="T5" s="301">
        <f>+'3'!P35</f>
        <v>2402.6947492881354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Najab Khartak Store</v>
      </c>
      <c r="T6" s="301">
        <f>+'4'!P35</f>
        <v>4805.3894985762718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14</v>
      </c>
      <c r="I7" s="235">
        <f>(G7*D7)*F7+H7*F7</f>
        <v>734.47500000000002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58.757999999999996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25.706625000000003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650.01037500000007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138.81355932203383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3.944119671610169</v>
      </c>
      <c r="P7" s="310">
        <f>M7+N7+O7</f>
        <v>792.76805399364412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Aysheyana Store</v>
      </c>
      <c r="T7" s="301">
        <f>+'5'!P35</f>
        <v>3901.9789586059323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32</v>
      </c>
      <c r="I8" s="236">
        <f t="shared" ref="I8:I14" si="0">(G8*D8)*F8+H8*F8</f>
        <v>1678.8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134.304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58.757999999999996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1485.7379999999998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317.2881355932202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9.0151306779661002</v>
      </c>
      <c r="P8" s="311">
        <f t="shared" ref="P8:P15" si="2">M8+N8+O8</f>
        <v>1812.041266271186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Hassan Mart</v>
      </c>
      <c r="T8" s="301">
        <f>+'6'!P35</f>
        <v>2184.9047487266948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</v>
      </c>
      <c r="I9" s="236">
        <f t="shared" si="0"/>
        <v>209.85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16.788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7.3447500000000003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185.71724999999998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39.661016949152526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1.1268913347457625</v>
      </c>
      <c r="P9" s="311">
        <f t="shared" si="2"/>
        <v>226.50515828389825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Qadri Super Store</v>
      </c>
      <c r="T9" s="301">
        <f>+'7'!P35</f>
        <v>250.37668702372881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44</v>
      </c>
      <c r="I10" s="236">
        <f t="shared" si="0"/>
        <v>3196.16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255.69280000000003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111.86560000000001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2828.6016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604.06779661016947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17.163346983050847</v>
      </c>
      <c r="P10" s="311">
        <f t="shared" si="2"/>
        <v>3449.8327435932201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Khan Store</v>
      </c>
      <c r="T10" s="301">
        <f>+'8'!P35</f>
        <v>470.43173776271186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34</v>
      </c>
      <c r="I11" s="236">
        <f t="shared" si="0"/>
        <v>2469.7600000000002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197.58080000000001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86.441600000000008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2185.7376000000004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466.77966101694915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13.262586305084746</v>
      </c>
      <c r="P11" s="311">
        <f t="shared" si="2"/>
        <v>2665.7798473220341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Mashallah Store</v>
      </c>
      <c r="T11" s="301">
        <f>+'9'!P35</f>
        <v>1092.4523743633474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48</v>
      </c>
      <c r="I12" s="236">
        <f t="shared" si="0"/>
        <v>3486.7200000000003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278.93760000000003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122.03520000000002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3085.7472000000002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658.98305084745766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18.723651254237289</v>
      </c>
      <c r="P12" s="311">
        <f t="shared" si="2"/>
        <v>3763.4539021016949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Akeel Qadri Store</v>
      </c>
      <c r="T12" s="301">
        <f>+'10'!P35</f>
        <v>655.47142461800843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152</v>
      </c>
      <c r="I13" s="236">
        <f t="shared" si="0"/>
        <v>5962.9600000000009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298.14800000000008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208.70360000000005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304.11096000000009</v>
      </c>
      <c r="M13" s="230">
        <f t="shared" si="1"/>
        <v>5151.997440000001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1159.3220338983044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31.556597369491527</v>
      </c>
      <c r="P13" s="311">
        <f t="shared" si="2"/>
        <v>6342.8760712677968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8.1999999999999993</v>
      </c>
      <c r="H16" s="113">
        <f t="shared" ref="H16:M16" si="3">SUM(H7:H15)</f>
        <v>328</v>
      </c>
      <c r="I16" s="114">
        <f t="shared" si="3"/>
        <v>17738.724999999999</v>
      </c>
      <c r="J16" s="274">
        <f>SUM(J7:J15)</f>
        <v>1240.2092000000002</v>
      </c>
      <c r="K16" s="275">
        <f t="shared" si="3"/>
        <v>620.85537500000009</v>
      </c>
      <c r="L16" s="276">
        <f t="shared" si="3"/>
        <v>304.11096000000009</v>
      </c>
      <c r="M16" s="232">
        <f t="shared" si="3"/>
        <v>15573.549465000002</v>
      </c>
      <c r="N16" s="233">
        <f>SUM(N7:N15)</f>
        <v>3384.9152542372876</v>
      </c>
      <c r="O16" s="101">
        <f>SUM(O7:O15)</f>
        <v>94.792323596186435</v>
      </c>
      <c r="P16" s="113">
        <f>SUM(P7:P15)</f>
        <v>19053.257042833473</v>
      </c>
      <c r="Q16" s="128">
        <f>SUM(Q7:Q15)</f>
        <v>0</v>
      </c>
      <c r="R16" s="314">
        <v>14</v>
      </c>
      <c r="S16" s="318">
        <v>0.08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17738.724999999999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1240.2092000000002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924.96633500000019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15573.549464999996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3384.9152542372876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18958.464719237283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94.792323596186435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19053.257042833469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19053.257042833477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7.2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1569.2000000000003</v>
      </c>
      <c r="J25" s="274">
        <f>SUM(J16:J24)</f>
        <v>78.460000000000022</v>
      </c>
      <c r="K25" s="275">
        <f t="shared" si="10"/>
        <v>54.922000000000011</v>
      </c>
      <c r="L25" s="276">
        <f t="shared" si="10"/>
        <v>80.029200000000003</v>
      </c>
      <c r="M25" s="232">
        <f t="shared" si="10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310">
        <f>M16+N16+O16</f>
        <v>226.50515828389825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311">
        <f t="shared" si="5"/>
        <v>226.50515828389825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311">
        <f t="shared" si="5"/>
        <v>313.62115850847459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311">
        <f t="shared" si="5"/>
        <v>313.62115850847459</v>
      </c>
      <c r="Q20" s="156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311">
        <f t="shared" si="5"/>
        <v>313.62115850847459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</v>
      </c>
      <c r="I25" s="114">
        <f t="shared" si="7"/>
        <v>1501.2299999999998</v>
      </c>
      <c r="J25" s="274">
        <f>SUM(J16:J24)</f>
        <v>120.0984</v>
      </c>
      <c r="K25" s="275">
        <f t="shared" si="7"/>
        <v>52.543050000000008</v>
      </c>
      <c r="L25" s="276">
        <f t="shared" si="7"/>
        <v>0</v>
      </c>
      <c r="M25" s="232">
        <f t="shared" si="7"/>
        <v>1328.5885500000002</v>
      </c>
      <c r="N25" s="233">
        <f>SUM(N16:N24)</f>
        <v>283.72881355932202</v>
      </c>
      <c r="O25" s="101">
        <f>SUM(O16:O24)</f>
        <v>8.0615868177966092</v>
      </c>
      <c r="P25" s="113">
        <f>SUM(P16:P24)</f>
        <v>1620.3789503771184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1501.2299999999998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120.0984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52.543050000000008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1328.5885499999997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1612.3173635593216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8.0615868177966075</v>
      </c>
    </row>
    <row r="35" spans="2:16" ht="15.75" customHeight="1" thickBot="1" x14ac:dyDescent="0.4">
      <c r="N35" s="373" t="s">
        <v>88</v>
      </c>
      <c r="O35" s="374"/>
      <c r="P35" s="297">
        <f>+P33+P34</f>
        <v>1620.3789503771181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8.7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521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2237.4</v>
      </c>
      <c r="J25" s="274">
        <f>SUM(J16:J24)</f>
        <v>155.45400000000001</v>
      </c>
      <c r="K25" s="275">
        <f t="shared" si="7"/>
        <v>78.309000000000012</v>
      </c>
      <c r="L25" s="276">
        <f t="shared" si="7"/>
        <v>40.014600000000002</v>
      </c>
      <c r="M25" s="232">
        <f t="shared" si="7"/>
        <v>1963.6224000000002</v>
      </c>
      <c r="N25" s="233">
        <f>SUM(N16:N24)</f>
        <v>427.11864406779654</v>
      </c>
      <c r="O25" s="101">
        <f>SUM(O16:O24)</f>
        <v>11.953705220338984</v>
      </c>
      <c r="P25" s="113">
        <f>SUM(P16:P24)</f>
        <v>2402.6947492881354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2237.4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155.45400000000001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118.32360000000001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1963.6224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427.11864406779654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2390.7410440677963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11.953705220338982</v>
      </c>
    </row>
    <row r="35" spans="2:16" ht="15.75" customHeight="1" thickBot="1" x14ac:dyDescent="0.4">
      <c r="N35" s="373" t="s">
        <v>88</v>
      </c>
      <c r="O35" s="374"/>
      <c r="P35" s="297">
        <f>+P33+P34</f>
        <v>2402.6947492881354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523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14</v>
      </c>
      <c r="I20" s="236">
        <f t="shared" si="0"/>
        <v>1016.96</v>
      </c>
      <c r="J20" s="272">
        <f t="shared" si="1"/>
        <v>81.356800000000007</v>
      </c>
      <c r="K20" s="128">
        <f t="shared" si="1"/>
        <v>35.593600000000002</v>
      </c>
      <c r="L20" s="119">
        <f t="shared" si="1"/>
        <v>0</v>
      </c>
      <c r="M20" s="230">
        <f t="shared" si="2"/>
        <v>900.00960000000009</v>
      </c>
      <c r="N20" s="277">
        <f t="shared" si="3"/>
        <v>192.20338983050848</v>
      </c>
      <c r="O20" s="239">
        <f t="shared" si="4"/>
        <v>5.4610649491525427</v>
      </c>
      <c r="P20" s="311">
        <f t="shared" si="5"/>
        <v>1097.6740547796612</v>
      </c>
      <c r="Q20" s="156"/>
      <c r="R20">
        <f>P20/21</f>
        <v>52.27019308474577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311">
        <f t="shared" si="5"/>
        <v>1097.6740547796612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4474.8000000000011</v>
      </c>
      <c r="J25" s="274">
        <f>SUM(J16:J24)</f>
        <v>310.90800000000007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4805.3894985762718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4474.8000000000011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310.90800000000007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236.6472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3927.2448000000009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4781.4820881355936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23.907410440677968</v>
      </c>
    </row>
    <row r="35" spans="2:16" ht="15.75" customHeight="1" thickBot="1" x14ac:dyDescent="0.4">
      <c r="N35" s="373" t="s">
        <v>88</v>
      </c>
      <c r="O35" s="374"/>
      <c r="P35" s="297">
        <f>+P33+P34</f>
        <v>4805.3894985762718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525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60</v>
      </c>
      <c r="I25" s="114">
        <f t="shared" si="7"/>
        <v>3620.7500000000005</v>
      </c>
      <c r="J25" s="274">
        <f>SUM(J16:J24)</f>
        <v>277.89100000000002</v>
      </c>
      <c r="K25" s="275">
        <f t="shared" si="7"/>
        <v>126.72625000000002</v>
      </c>
      <c r="L25" s="276">
        <f t="shared" si="7"/>
        <v>20.007300000000001</v>
      </c>
      <c r="M25" s="232">
        <f t="shared" si="7"/>
        <v>3196.1254500000005</v>
      </c>
      <c r="N25" s="233">
        <f>SUM(N16:N24)</f>
        <v>686.44067796610148</v>
      </c>
      <c r="O25" s="101">
        <f>SUM(O16:O24)</f>
        <v>19.412830639830506</v>
      </c>
      <c r="P25" s="113">
        <f>SUM(P16:P24)</f>
        <v>3901.9789586059323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3620.7500000000005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277.89100000000002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146.73355000000004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3196.1254500000005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686.44067796610148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3882.5661279661017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19.41283063983051</v>
      </c>
    </row>
    <row r="35" spans="2:16" ht="15.75" customHeight="1" thickBot="1" x14ac:dyDescent="0.4">
      <c r="N35" s="373" t="s">
        <v>88</v>
      </c>
      <c r="O35" s="374"/>
      <c r="P35" s="297">
        <f>+P33+P34</f>
        <v>3901.9789586059323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2035.6250000000002</v>
      </c>
      <c r="J25" s="274">
        <f>SUM(J16:J24)</f>
        <v>139.31200000000001</v>
      </c>
      <c r="K25" s="275">
        <f t="shared" si="7"/>
        <v>71.246875000000017</v>
      </c>
      <c r="L25" s="276">
        <f t="shared" si="7"/>
        <v>40.014600000000002</v>
      </c>
      <c r="M25" s="232">
        <f t="shared" si="7"/>
        <v>1785.0515250000003</v>
      </c>
      <c r="N25" s="233">
        <f>SUM(N16:N24)</f>
        <v>388.98305084745749</v>
      </c>
      <c r="O25" s="101">
        <f>SUM(O16:O24)</f>
        <v>10.870172879237288</v>
      </c>
      <c r="P25" s="113">
        <f>SUM(P16:P24)</f>
        <v>2184.9047487266953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2035.6250000000002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139.31200000000001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111.26147500000002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1785.0515250000001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388.98305084745749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2174.0345758474577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10.870172879237289</v>
      </c>
    </row>
    <row r="35" spans="2:16" ht="15.75" customHeight="1" thickBot="1" x14ac:dyDescent="0.4">
      <c r="N35" s="373" t="s">
        <v>88</v>
      </c>
      <c r="O35" s="374"/>
      <c r="P35" s="297">
        <f>+P33+P34</f>
        <v>2184.9047487266948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530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235.38000000000002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11.769000000000002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20.242680000000004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203.36832000000001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249.13103186440676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3" t="s">
        <v>88</v>
      </c>
      <c r="O35" s="374"/>
      <c r="P35" s="297">
        <f>+P33+P34</f>
        <v>250.37668702372881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528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528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311">
        <f t="shared" ref="P17:P24" si="5">M17+N17+O17</f>
        <v>283.13144785487287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</v>
      </c>
      <c r="I25" s="114">
        <f t="shared" si="7"/>
        <v>1017.8125000000001</v>
      </c>
      <c r="J25" s="274">
        <f>SUM(J16:J24)</f>
        <v>69.656000000000006</v>
      </c>
      <c r="K25" s="275">
        <f t="shared" si="7"/>
        <v>35.623437500000009</v>
      </c>
      <c r="L25" s="276">
        <f t="shared" si="7"/>
        <v>20.007300000000001</v>
      </c>
      <c r="M25" s="232">
        <f t="shared" si="7"/>
        <v>892.52576250000016</v>
      </c>
      <c r="N25" s="233">
        <f>SUM(N16:N24)</f>
        <v>194.49152542372875</v>
      </c>
      <c r="O25" s="101">
        <f>SUM(O16:O24)</f>
        <v>5.4350864396186438</v>
      </c>
      <c r="P25" s="113">
        <f>SUM(P16:P24)</f>
        <v>1092.4523743633476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1017.8125000000001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69.656000000000006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55.630737500000009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892.52576250000004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194.49152542372875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1087.0172879237289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5.4350864396186447</v>
      </c>
    </row>
    <row r="35" spans="2:16" ht="15.75" customHeight="1" thickBot="1" x14ac:dyDescent="0.4">
      <c r="N35" s="373" t="s">
        <v>88</v>
      </c>
      <c r="O35" s="374"/>
      <c r="P35" s="297">
        <f>+P33+P34</f>
        <v>1092.4523743633474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534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610.6875</v>
      </c>
      <c r="J25" s="274">
        <f>SUM(J16:J24)</f>
        <v>41.793599999999998</v>
      </c>
      <c r="K25" s="275">
        <f t="shared" si="7"/>
        <v>21.374062500000004</v>
      </c>
      <c r="L25" s="276">
        <f t="shared" si="7"/>
        <v>12.004380000000001</v>
      </c>
      <c r="M25" s="232">
        <f t="shared" si="7"/>
        <v>535.51545750000002</v>
      </c>
      <c r="N25" s="233">
        <f>SUM(N16:N24)</f>
        <v>116.69491525423726</v>
      </c>
      <c r="O25" s="101">
        <f>SUM(O16:O24)</f>
        <v>3.2610518637711863</v>
      </c>
      <c r="P25" s="113">
        <f>SUM(P16:P24)</f>
        <v>655.47142461800843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610.6875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41.793599999999998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33.378442500000006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535.51545750000002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116.69491525423726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652.21037275423726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3.2610518637711863</v>
      </c>
    </row>
    <row r="35" spans="2:16" ht="15.75" customHeight="1" thickBot="1" x14ac:dyDescent="0.4">
      <c r="N35" s="373" t="s">
        <v>88</v>
      </c>
      <c r="O35" s="374"/>
      <c r="P35" s="297">
        <f>+P33+P34</f>
        <v>655.47142461800843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500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501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8.75" customHeight="1" x14ac:dyDescent="0.4">
      <c r="A6" s="399" t="s">
        <v>502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46259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46258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2026-08-24T05:16:58Z</dcterms:modified>
</cp:coreProperties>
</file>