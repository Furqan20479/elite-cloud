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DEA94A-5DF3-4046-8B41-1A4CB45FA09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43"/>
  <c r="O21" i="43" s="1"/>
  <c r="P21" i="43" s="1"/>
  <c r="M21" i="51"/>
  <c r="M23" i="72"/>
  <c r="O23" i="72" s="1"/>
  <c r="P23" i="72" s="1"/>
  <c r="M23" i="64"/>
  <c r="M23" i="59"/>
  <c r="O23" i="59" s="1"/>
  <c r="M23" i="44"/>
  <c r="O23" i="44" s="1"/>
  <c r="P23" i="44" s="1"/>
  <c r="M16" i="66"/>
  <c r="M16" i="44"/>
  <c r="M20" i="70"/>
  <c r="O20" i="70" s="1"/>
  <c r="P20" i="70" s="1"/>
  <c r="R20" i="70" s="1"/>
  <c r="M23" i="65"/>
  <c r="M23" i="56"/>
  <c r="M16" i="65"/>
  <c r="O16" i="65" s="1"/>
  <c r="J7" i="62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3" i="58"/>
  <c r="O23" i="58" s="1"/>
  <c r="P23" i="58" s="1"/>
  <c r="M16" i="60"/>
  <c r="M16" i="58"/>
  <c r="O16" i="58" s="1"/>
  <c r="P16" i="58" s="1"/>
  <c r="M20" i="46"/>
  <c r="O20" i="46" s="1"/>
  <c r="P20" i="46" s="1"/>
  <c r="R20" i="46" s="1"/>
  <c r="M18" i="67"/>
  <c r="O18" i="67" s="1"/>
  <c r="P18" i="67" s="1"/>
  <c r="M23" i="69"/>
  <c r="M23" i="53"/>
  <c r="O23" i="53" s="1"/>
  <c r="P23" i="53" s="1"/>
  <c r="M21" i="68"/>
  <c r="O21" i="68" s="1"/>
  <c r="P21" i="68" s="1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23" i="59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<sst xmlns="http://schemas.openxmlformats.org/spreadsheetml/2006/main" count="3948" uniqueCount="522">
  <si>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</si>
  <si>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</si>
  <si>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</si>
  <si>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</si>
  <si>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</si>
  <si>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</si>
  <si>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</si>
  <si>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</si>
  <si>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</si>
  <si>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</si>
  <si>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</si>
  <si>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</si>
  <si>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</si>
  <si>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</si>
  <si>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</si>
  <si>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</si>
  <si>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</si>
  <si>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</si>
  <si>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</si>
  <si>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</si>
  <si>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</si>
  <si>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</si>
  <si>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</si>
  <si>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</si>
  <si>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</si>
  <si>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</si>
  <si>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</si>
  <si>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</si>
  <si>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</si>
  <si>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</si>
  <si>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</si>
  <si>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</si>
  <si>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</si>
  <si>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</si>
  <si>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</si>
  <si>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</si>
  <si>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</si>
  <si>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</si>
  <si>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</si>
  <si>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</si>
  <si>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</si>
  <si>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</si>
  <si>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</si>
  <si>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</si>
  <si>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</si>
  <si>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</si>
  <si>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</si>
  <si>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</si>
  <si>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</si>
  <si>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</si>
  <si>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</si>
  <si>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</si>
  <si>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</si>
  <si>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</si>
  <si>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</si>
  <si>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</si>
  <si>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</si>
  <si>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</si>
  <si>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</si>
  <si>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</si>
  <si>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</si>
  <si>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</si>
  <si>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</si>
  <si>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</si>
  <si>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</si>
  <si>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</si>
  <si>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</si>
  <si>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</si>
  <si>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</si>
  <si>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</si>
  <si>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</si>
  <si>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</si>
  <si>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</si>
  <si>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</si>
  <si>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</si>
  <si>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</si>
  <si>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</si>
  <si>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</si>
  <si>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</si>
  <si>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</si>
  <si>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</si>
  <si>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</si>
  <si>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</si>
  <si>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</si>
  <si>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</si>
  <si>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</si>
  <si>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</si>
  <si>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</si>
  <si>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</si>
  <si>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</si>
  <si>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</si>
  <si>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</si>
  <si>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</si>
  <si>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</si>
  <si>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</si>
  <si>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</si>
  <si>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</si>
  <si>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</si>
  <si>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</si>
  <si>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</si>
  <si>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</si>
  <si>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</si>
  <si>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</si>
  <si>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</si>
  <si>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</si>
  <si>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</si>
  <si>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</si>
  <si>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</si>
  <si>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</si>
  <si>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</si>
  <si>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</si>
  <si>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</si>
  <si>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</si>
  <si>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</si>
  <si>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</si>
  <si>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</si>
  <si>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</si>
  <si>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</si>
  <si>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</si>
  <si>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</si>
  <si>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</si>
  <si>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</si>
  <si>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</si>
  <si>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</si>
  <si>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</si>
  <si>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</si>
  <si>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</si>
  <si>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</si>
  <si>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</si>
  <si>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</si>
  <si>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</si>
  <si>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</si>
  <si>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</si>
  <si>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</si>
  <si>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</si>
  <si>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</si>
  <si>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</si>
  <si>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</si>
  <si>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</si>
  <si>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</si>
  <si>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</si>
  <si>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</si>
  <si>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</si>
  <si>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</si>
  <si>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</si>
  <si>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</si>
  <si>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</si>
  <si>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</si>
  <si>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</si>
  <si>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</si>
  <si>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</si>
  <si>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</si>
  <si>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</si>
  <si>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</si>
  <si>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</si>
  <si>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</si>
  <si>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</si>
  <si>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</si>
  <si>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</si>
  <si>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</si>
  <si>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</si>
  <si>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</si>
  <si>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</si>
  <si>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</si>
  <si>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</si>
  <si>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</si>
  <si>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</si>
  <si>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</si>
  <si>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</si>
  <si>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</si>
  <si>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</si>
  <si>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</si>
  <si>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</si>
  <si>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</si>
  <si>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</si>
  <si>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</si>
  <si>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</si>
  <si>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</si>
  <si>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</si>
  <si>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</si>
  <si>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</si>
  <si>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</si>
  <si>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</si>
  <si>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</si>
  <si>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</si>
  <si>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</si>
  <si>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</si>
  <si>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</si>
  <si>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</si>
  <si>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</si>
  <si>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</si>
  <si>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</si>
  <si>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</si>
  <si>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</si>
  <si>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</si>
  <si>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</si>
  <si>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</si>
  <si>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</si>
  <si>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</si>
  <si>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</si>
  <si>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</si>
  <si>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</si>
  <si>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</si>
  <si>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</si>
  <si>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</si>
  <si>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</si>
  <si>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</si>
  <si>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</si>
  <si>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</si>
  <si>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</si>
  <si>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</si>
  <si>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</si>
  <si>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</si>
  <si>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</si>
  <si>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</si>
  <si>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</si>
  <si>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</si>
  <si>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</si>
  <si>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</si>
  <si>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</si>
  <si>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</si>
  <si>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</si>
  <si>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</si>
  <si>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</si>
  <si>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</si>
  <si>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</si>
  <si>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</si>
  <si>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</si>
  <si>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</si>
  <si>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</si>
  <si>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</si>
  <si>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</si>
  <si>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</si>
  <si>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</si>
  <si>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</si>
  <si>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</si>
  <si>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</si>
  <si>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</si>
  <si>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</si>
  <si>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</si>
  <si>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</si>
  <si>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</si>
  <si>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</si>
  <si>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</si>
  <si>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</si>
  <si>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</si>
  <si>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</si>
  <si>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</si>
  <si>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</si>
  <si>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</si>
  <si>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</si>
  <si>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</si>
  <si>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</si>
  <si>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</si>
  <si>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</si>
  <si>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</si>
  <si>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</si>
  <si>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</si>
  <si>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</si>
  <si>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</si>
  <si>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</si>
  <si>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</si>
  <si>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</si>
  <si>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</si>
  <si>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</si>
  <si>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</si>
  <si>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</si>
  <si>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</si>
  <si>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</si>
  <si>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</si>
  <si>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</si>
  <si>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</si>
  <si>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</si>
  <si>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</si>
  <si>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</si>
  <si>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</si>
  <si>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</si>
  <si>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</si>
  <si>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</si>
  <si>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</si>
  <si>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</si>
  <si>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</si>
  <si>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</si>
  <si>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</si>
  <si>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</si>
  <si>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</si>
  <si>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</si>
  <si>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</si>
  <si>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</si>
  <si>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</si>
  <si>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</si>
  <si>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</si>
  <si>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</si>
  <si>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</si>
  <si>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</si>
  <si>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</si>
  <si>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</si>
  <si>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</si>
  <si>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</si>
  <si>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</si>
  <si>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</si>
  <si>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</si>
  <si>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</si>
  <si>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</si>
  <si>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</si>
  <si>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</si>
  <si>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</si>
  <si>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</si>
  <si>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</si>
  <si>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</si>
  <si>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</si>
  <si>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</si>
  <si>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</si>
  <si>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</si>
  <si>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</si>
  <si>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</si>
  <si>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</si>
  <si>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</si>
  <si>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</si>
  <si>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</si>
  <si>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</si>
  <si>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</si>
  <si>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</si>
  <si>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</si>
  <si>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</si>
  <si>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</si>
  <si>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</si>
  <si>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</si>
  <si>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</si>
  <si>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</si>
  <si>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</si>
  <si>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</si>
  <si>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</si>
  <si>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</si>
  <si>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</si>
  <si>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</si>
  <si>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</si>
  <si>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</si>
  <si>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</si>
  <si>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</si>
  <si>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</si>
  <si>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</si>
  <si>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</si>
  <si>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</si>
  <si>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</si>
  <si>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</si>
  <si>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</si>
  <si>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</si>
  <si>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</si>
  <si>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</si>
  <si>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</si>
  <si>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</si>
  <si>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</si>
  <si>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</si>
  <si>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</si>
  <si>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</si>
  <si>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</si>
  <si>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</si>
  <si>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</si>
  <si>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</si>
  <si>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</si>
  <si>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</si>
  <si>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</si>
  <si>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</si>
  <si>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</si>
  <si>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</si>
  <si>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</si>
  <si>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</si>
  <si>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</si>
  <si>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</si>
  <si>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</si>
  <si>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</si>
  <si>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</si>
  <si>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</si>
  <si>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</si>
  <si>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</si>
  <si>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</si>
  <si>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</si>
  <si>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</si>
  <si>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</si>
  <si>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</si>
  <si>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</si>
  <si>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</si>
  <si>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</si>
  <si>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</si>
  <si>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</si>
  <si>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</si>
  <si>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</si>
  <si>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</si>
  <si>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</si>
  <si>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</si>
  <si>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</si>
  <si>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</si>
  <si>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</si>
  <si>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</si>
  <si>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</si>
  <si>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</si>
  <si>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</si>
  <si>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</si>
  <si>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</si>
  <si>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</si>
  <si>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</si>
  <si>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</si>
  <si>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</si>
  <si>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</si>
  <si>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</si>
  <si>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</si>
  <si>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</si>
  <si>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</si>
  <si>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</si>
  <si>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</si>
  <si>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</si>
  <si>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</si>
  <si>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</si>
  <si>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</si>
  <si>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</si>
  <si>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</si>
  <si>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</si>
  <si>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</si>
  <si>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</si>
  <si>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</si>
  <si>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</si>
  <si>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</si>
  <si>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</si>
  <si>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</si>
  <si>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</si>
  <si>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</si>
  <si>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</si>
  <si>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</si>
  <si>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</si>
  <si>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</si>
  <si>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</si>
  <si>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</si>
  <si>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</si>
  <si>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</si>
  <si>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</si>
  <si>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</si>
  <si>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</si>
  <si>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</si>
  <si>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</si>
  <si>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</si>
  <si>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</si>
  <si>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</si>
  <si>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</si>
  <si>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</si>
  <si>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</si>
  <si>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</si>
  <si>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</si>
  <si>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</si>
  <si>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</si>
  <si>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</si>
  <si>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</si>
  <si>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</si>
  <si>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</si>
  <si>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</si>
  <si>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</si>
  <si>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</si>
  <si>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</si>
  <si>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</si>
  <si>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</si>
  <si>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</si>
  <si>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</si>
  <si>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</si>
  <si>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</si>
  <si>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</si>
  <si>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</si>
  <si>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</si>
  <si>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</si>
  <si>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</si>
  <si>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</si>
  <si>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</si>
  <si>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</si>
  <si>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</si>
  <si>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</si>
  <si>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</si>
  <si>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</si>
  <si>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</si>
  <si>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</si>
  <si>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</si>
  <si>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</si>
  <si>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</si>
  <si>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</si>
  <si>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</si>
  <si>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</si>
  <si>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</si>
  <si>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</si>
  <si>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</si>
  <si>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</si>
  <si>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</si>
  <si>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</si>
  <si>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</si>
  <si>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</si>
  <si>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</si>
  <si>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</si>
  <si>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</si>
  <si>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</si>
  <si>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</si>
  <si>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</si>
  <si>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</si>
  <si>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</si>
  <si>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</si>
  <si>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</si>
  <si>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</si>
  <si>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</si>
  <si>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</si>
  <si>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</si>
  <si>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</si>
  <si>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</si>
  <si>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</si>
  <si>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</si>
  <si>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</si>
  <si>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</si>
  <si>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</si>
  <si>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Invoice No # :0001</t>
  </si>
  <si>
    <t xml:space="preserve">RI Cash n Carry </t>
  </si>
  <si>
    <t xml:space="preserve">Address: Johar Town </t>
  </si>
  <si>
    <t>RI Cash n Carry G2</t>
  </si>
  <si>
    <t>Invoice No # :0002</t>
  </si>
  <si>
    <t xml:space="preserve">RI Mart </t>
  </si>
  <si>
    <t>Address: Jorry Pull</t>
  </si>
  <si>
    <t>RI Cash n Carry  3</t>
  </si>
  <si>
    <t>Invoice No # :0003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</si>
</sst>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518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46258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RI Cash n Carry  3</v>
      </c>
      <c r="T3" s="301">
        <f>+'1'!P35</f>
        <v>33473.262461033897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RI Cash n Carry G2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RI Cash n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RI Cash n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RI Cash n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RI Cash n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RI Cash n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RI Cash n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RI Cash n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RI Cash n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RI Cash n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RI Cash n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RI Cash n Carry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13</v>
      </c>
      <c r="H16" s="113">
        <f t="shared" ref="H16:M16" si="3">SUM(H7:H15)</f>
        <v>520</v>
      </c>
      <c r="I16" s="114">
        <f t="shared" si="3"/>
        <v>31593.800000000003</v>
      </c>
      <c r="J16" s="274">
        <f>SUM(J7:J15)</f>
        <v>3080.92</v>
      </c>
      <c r="K16" s="275">
        <f t="shared" si="3"/>
        <v>1105.7830000000001</v>
      </c>
      <c r="L16" s="276">
        <f t="shared" si="3"/>
        <v>80.029200000000003</v>
      </c>
      <c r="M16" s="232">
        <f t="shared" si="3"/>
        <v>27327.067800000004</v>
      </c>
      <c r="N16" s="233">
        <f>SUM(N7:N15)</f>
        <v>5979.6610169491505</v>
      </c>
      <c r="O16" s="101">
        <f>SUM(O7:O15)</f>
        <v>166.53364408474576</v>
      </c>
      <c r="P16" s="113">
        <f>SUM(P7:P15)</f>
        <v>33473.26246103389</v>
      </c>
      <c r="Q16" s="128">
        <f>SUM(Q7:Q15)</f>
        <v>0</v>
      </c>
      <c r="R16" s="314">
        <v>14</v>
      </c>
      <c r="S16" s="300" t="str">
        <f>+'14'!A6:A6</f>
        <v xml:space="preserve">RI Cash n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RI Cash n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RI Cash n Carry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31593.800000000003</v>
      </c>
      <c r="R19" s="299">
        <v>17</v>
      </c>
      <c r="S19" s="300" t="str">
        <f>+'17'!A6:A6</f>
        <v xml:space="preserve">RI Cash n Carry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3080.92</v>
      </c>
      <c r="R20" s="299">
        <v>18</v>
      </c>
      <c r="S20" s="300" t="str">
        <f>+'18'!A6:A6</f>
        <v xml:space="preserve">RI Cash n Carry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1185.8122000000001</v>
      </c>
      <c r="R21" s="299">
        <v>19</v>
      </c>
      <c r="S21" s="300" t="str">
        <f>+'19'!A6:A6</f>
        <v xml:space="preserve">RI Cash n Carry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27327.067800000004</v>
      </c>
      <c r="R22" s="299">
        <v>20</v>
      </c>
      <c r="S22" s="300" t="str">
        <f>+'20'!A6:A6</f>
        <v xml:space="preserve">RI Cash n Carry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5979.6610169491505</v>
      </c>
      <c r="R23" s="299">
        <v>21</v>
      </c>
      <c r="S23" s="300" t="str">
        <f>+'21'!A6:A6</f>
        <v xml:space="preserve">RI Cash n Carry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33306.728816949151</v>
      </c>
      <c r="R24" s="299">
        <v>22</v>
      </c>
      <c r="S24" s="300" t="str">
        <f>+'22'!A6:A6</f>
        <v xml:space="preserve">RI Cash n Carry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166.53364408474576</v>
      </c>
      <c r="R25" s="299">
        <v>23</v>
      </c>
      <c r="S25" s="300" t="str">
        <f>+'23'!A6:A6</f>
        <v xml:space="preserve">RI Cash n Carry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33473.262461033897</v>
      </c>
      <c r="R26" s="299">
        <v>24</v>
      </c>
      <c r="S26" s="300" t="str">
        <f>+'24'!A6:A6</f>
        <v xml:space="preserve">RI Cash n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RI Cash n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RI Cash n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RI Cash n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RI Cash n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RI Cash n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RI Cash n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33473.262461033897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7.2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519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31593.800000000003</v>
      </c>
      <c r="J25" s="274">
        <f>SUM(J16:J24)</f>
        <v>3080.92</v>
      </c>
      <c r="K25" s="275">
        <f t="shared" si="10"/>
        <v>1105.7830000000001</v>
      </c>
      <c r="L25" s="276">
        <f t="shared" si="10"/>
        <v>80.029200000000003</v>
      </c>
      <c r="M25" s="232">
        <f t="shared" si="10"/>
        <v>27327.067800000004</v>
      </c>
      <c r="N25" s="233">
        <f>SUM(N16:N24)</f>
        <v>5979.6610169491505</v>
      </c>
      <c r="O25" s="101">
        <f>SUM(O16:O24)</f>
        <v>166.53364408474576</v>
      </c>
      <c r="P25" s="113">
        <f>SUM(P16:P24)</f>
        <v>33473.26246103389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31593.800000000003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3080.92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1185.8122000000001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27327.067800000004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5979.6610169491505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33306.728816949151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166.53364408474576</v>
      </c>
    </row>
    <row r="35" spans="2:16" ht="15.75" customHeight="1" thickBot="1" x14ac:dyDescent="0.4">
      <c r="N35" s="372" t="s">
        <v>88</v>
      </c>
      <c r="O35" s="373"/>
      <c r="P35" s="297">
        <f>+P33+P34</f>
        <v>33473.262461033897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517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46257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512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46259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46258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2026-08-24T04:38:14Z</dcterms:modified>
</cp:coreProperties>
</file>