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3B0C75B2-10F2-4DDE-A761-58F06A3DC733}" xr6:coauthVersionLast="47" xr6:coauthVersionMax="47" xr10:uidLastSave="{00000000-0000-0000-0000-000000000000}"/>
  <bookViews>
    <workbookView xWindow="-110" yWindow="-110" windowWidth="19420" windowHeight="10420" tabRatio="594" firstSheet="3" activeTab="1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M20" i="48" s="1"/>
  <c r="O20" i="48" s="1"/>
  <c r="P20" i="48" s="1"/>
  <c r="R20" i="48" s="1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4" l="1"/>
  <c r="O17" i="44" s="1"/>
  <c r="P17" i="44" s="1"/>
  <c r="M21" i="51"/>
  <c r="J7" i="62"/>
  <c r="M20" i="47"/>
  <c r="O20" i="47" s="1"/>
  <c r="P20" i="47" s="1"/>
  <c r="R20" i="47" s="1"/>
  <c r="M16" i="44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<sst xmlns="http://schemas.openxmlformats.org/spreadsheetml/2006/main" count="3978" uniqueCount="531">
  <si>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</si>
  <si>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</si>
  <si>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</si>
  <si>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</si>
  <si>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</si>
  <si>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</si>
  <si>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</si>
  <si>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</si>
  <si>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</si>
  <si>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</si>
  <si>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</si>
  <si>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</si>
  <si>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</si>
  <si>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</si>
  <si>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</si>
  <si>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</si>
  <si>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</si>
  <si>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</si>
  <si>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</si>
  <si>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</si>
  <si>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</si>
  <si>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</si>
  <si>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</si>
  <si>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</si>
  <si>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</si>
  <si>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</si>
  <si>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</si>
  <si>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</si>
  <si>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</si>
  <si>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</si>
  <si>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</si>
  <si>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</si>
  <si>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</si>
  <si>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</si>
  <si>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</si>
  <si>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</si>
  <si>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</si>
  <si>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</si>
  <si>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</si>
  <si>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</si>
  <si>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</si>
  <si>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</si>
  <si>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</si>
  <si>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</si>
  <si>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</si>
  <si>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</si>
  <si>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</si>
  <si>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</si>
  <si>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</si>
  <si>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</si>
  <si>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</si>
  <si>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</si>
  <si>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</si>
  <si>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</si>
  <si>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</si>
  <si>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</si>
  <si>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</si>
  <si>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</si>
  <si>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</si>
  <si>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</si>
  <si>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</si>
  <si>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</si>
  <si>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</si>
  <si>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</si>
  <si>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</si>
  <si>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</si>
  <si>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</si>
  <si>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</si>
  <si>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</si>
  <si>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</si>
  <si>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</si>
  <si>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</si>
  <si>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</si>
  <si>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</si>
  <si>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</si>
  <si>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</si>
  <si>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</si>
  <si>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</si>
  <si>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</si>
  <si>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</si>
  <si>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</si>
  <si>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</si>
  <si>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</si>
  <si>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</si>
  <si>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</si>
  <si>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</si>
  <si>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</si>
  <si>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</si>
  <si>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</si>
  <si>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</si>
  <si>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</si>
  <si>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</si>
  <si>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</si>
  <si>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</si>
  <si>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</si>
  <si>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</si>
  <si>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</si>
  <si>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</si>
  <si>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</si>
  <si>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</si>
  <si>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</si>
  <si>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</si>
  <si>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</si>
  <si>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</si>
  <si>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</si>
  <si>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</si>
  <si>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</si>
  <si>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</si>
  <si>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</si>
  <si>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</si>
  <si>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</si>
  <si>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</si>
  <si>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</si>
  <si>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</si>
  <si>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</si>
  <si>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</si>
  <si>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</si>
  <si>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</si>
  <si>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</si>
  <si>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</si>
  <si>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</si>
  <si>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</si>
  <si>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</si>
  <si>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</si>
  <si>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</si>
  <si>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</si>
  <si>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</si>
  <si>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</si>
  <si>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</si>
  <si>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</si>
  <si>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</si>
  <si>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</si>
  <si>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</si>
  <si>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</si>
  <si>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</si>
  <si>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</si>
  <si>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</si>
  <si>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</si>
  <si>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</si>
  <si>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</si>
  <si>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</si>
  <si>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</si>
  <si>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</si>
  <si>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</si>
  <si>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</si>
  <si>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</si>
  <si>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</si>
  <si>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</si>
  <si>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</si>
  <si>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</si>
  <si>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</si>
  <si>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</si>
  <si>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</si>
  <si>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</si>
  <si>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</si>
  <si>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</si>
  <si>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</si>
  <si>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</si>
  <si>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</si>
  <si>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</si>
  <si>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</si>
  <si>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</si>
  <si>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</si>
  <si>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</si>
  <si>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</si>
  <si>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</si>
  <si>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</si>
  <si>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</si>
  <si>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</si>
  <si>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</si>
  <si>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</si>
  <si>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</si>
  <si>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</si>
  <si>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</si>
  <si>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</si>
  <si>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</si>
  <si>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</si>
  <si>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</si>
  <si>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</si>
  <si>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</si>
  <si>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</si>
  <si>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</si>
  <si>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</si>
  <si>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</si>
  <si>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</si>
  <si>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</si>
  <si>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</si>
  <si>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</si>
  <si>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</si>
  <si>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</si>
  <si>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</si>
  <si>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</si>
  <si>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</si>
  <si>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</si>
  <si>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</si>
  <si>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</si>
  <si>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</si>
  <si>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</si>
  <si>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</si>
  <si>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</si>
  <si>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</si>
  <si>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</si>
  <si>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</si>
  <si>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</si>
  <si>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</si>
  <si>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</si>
  <si>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</si>
  <si>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</si>
  <si>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</si>
  <si>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</si>
  <si>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</si>
  <si>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</si>
  <si>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</si>
  <si>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</si>
  <si>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</si>
  <si>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</si>
  <si>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</si>
  <si>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</si>
  <si>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</si>
  <si>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</si>
  <si>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</si>
  <si>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</si>
  <si>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</si>
  <si>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</si>
  <si>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</si>
  <si>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</si>
  <si>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</si>
  <si>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</si>
  <si>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</si>
  <si>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</si>
  <si>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</si>
  <si>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</si>
  <si>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</si>
  <si>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</si>
  <si>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</si>
  <si>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</si>
  <si>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</si>
  <si>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</si>
  <si>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</si>
  <si>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</si>
  <si>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</si>
  <si>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</si>
  <si>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</si>
  <si>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</si>
  <si>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</si>
  <si>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</si>
  <si>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</si>
  <si>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</si>
  <si>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</si>
  <si>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</si>
  <si>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</si>
  <si>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</si>
  <si>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</si>
  <si>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</si>
  <si>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</si>
  <si>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</si>
  <si>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</si>
  <si>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</si>
  <si>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</si>
  <si>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</si>
  <si>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</si>
  <si>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</si>
  <si>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</si>
  <si>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</si>
  <si>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</si>
  <si>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</si>
  <si>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</si>
  <si>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</si>
  <si>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</si>
  <si>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</si>
  <si>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</si>
  <si>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</si>
  <si>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</si>
  <si>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</si>
  <si>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</si>
  <si>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</si>
  <si>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</si>
  <si>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</si>
  <si>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</si>
  <si>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</si>
  <si>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</si>
  <si>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</si>
  <si>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</si>
  <si>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</si>
  <si>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</si>
  <si>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</si>
  <si>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</si>
  <si>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</si>
  <si>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</si>
  <si>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</si>
  <si>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</si>
  <si>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</si>
  <si>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</si>
  <si>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</si>
  <si>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</si>
  <si>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</si>
  <si>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</si>
  <si>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</si>
  <si>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</si>
  <si>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</si>
  <si>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</si>
  <si>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</si>
  <si>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</si>
  <si>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</si>
  <si>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</si>
  <si>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</si>
  <si>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</si>
  <si>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</si>
  <si>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</si>
  <si>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</si>
  <si>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</si>
  <si>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</si>
  <si>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</si>
  <si>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</si>
  <si>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</si>
  <si>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</si>
  <si>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</si>
  <si>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</si>
  <si>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</si>
  <si>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</si>
  <si>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</si>
  <si>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</si>
  <si>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</si>
  <si>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</si>
  <si>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</si>
  <si>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</si>
  <si>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</si>
  <si>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</si>
  <si>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</si>
  <si>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</si>
  <si>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</si>
  <si>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</si>
  <si>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</si>
  <si>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</si>
  <si>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</si>
  <si>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</si>
  <si>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</si>
  <si>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</si>
  <si>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</si>
  <si>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</si>
  <si>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</si>
  <si>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</si>
  <si>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</si>
  <si>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</si>
  <si>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</si>
  <si>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</si>
  <si>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</si>
  <si>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</si>
  <si>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</si>
  <si>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</si>
  <si>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</si>
  <si>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</si>
  <si>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</si>
  <si>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</si>
  <si>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</si>
  <si>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</si>
  <si>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</si>
  <si>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</si>
  <si>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</si>
  <si>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</si>
  <si>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</si>
  <si>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</si>
  <si>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</si>
  <si>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</si>
  <si>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</si>
  <si>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</si>
  <si>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</si>
  <si>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</si>
  <si>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</si>
  <si>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</si>
  <si>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</si>
  <si>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</si>
  <si>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</si>
  <si>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</si>
  <si>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</si>
  <si>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</si>
  <si>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</si>
  <si>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</si>
  <si>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</si>
  <si>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</si>
  <si>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</si>
  <si>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</si>
  <si>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</si>
  <si>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</si>
  <si>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</si>
  <si>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</si>
  <si>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</si>
  <si>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</si>
  <si>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</si>
  <si>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</si>
  <si>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</si>
  <si>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</si>
  <si>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</si>
  <si>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</si>
  <si>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</si>
  <si>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</si>
  <si>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</si>
  <si>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</si>
  <si>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</si>
  <si>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</si>
  <si>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</si>
  <si>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</si>
  <si>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</si>
  <si>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</si>
  <si>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</si>
  <si>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</si>
  <si>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</si>
  <si>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</si>
  <si>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</si>
  <si>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</si>
  <si>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</si>
  <si>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</si>
  <si>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</si>
  <si>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</si>
  <si>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</si>
  <si>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</si>
  <si>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</si>
  <si>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</si>
  <si>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</si>
  <si>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</si>
  <si>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</si>
  <si>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</si>
  <si>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</si>
  <si>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</si>
  <si>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</si>
  <si>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</si>
  <si>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</si>
  <si>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</si>
  <si>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</si>
  <si>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</si>
  <si>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</si>
  <si>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</si>
  <si>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</si>
  <si>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</si>
  <si>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</si>
  <si>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</si>
  <si>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</si>
  <si>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</si>
  <si>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</si>
  <si>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</si>
  <si>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</si>
  <si>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</si>
  <si>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</si>
  <si>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</si>
  <si>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</si>
  <si>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</si>
  <si>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</si>
  <si>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</si>
  <si>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</si>
  <si>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</si>
  <si>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</si>
  <si>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</si>
  <si>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</si>
  <si>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</si>
  <si>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</si>
  <si>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</si>
  <si>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</si>
  <si>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</si>
  <si>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</si>
  <si>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</si>
  <si>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</si>
  <si>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</si>
  <si>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</si>
  <si>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</si>
  <si>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</si>
  <si>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</si>
  <si>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</si>
  <si>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</si>
  <si>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</si>
  <si>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</si>
  <si>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</si>
  <si>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</si>
  <si>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</si>
  <si>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</si>
  <si>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</si>
  <si>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</si>
  <si>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</si>
  <si>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</si>
  <si>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</si>
  <si>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</si>
  <si>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</si>
  <si>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</si>
  <si>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</si>
  <si>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</si>
  <si>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</si>
  <si>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</si>
  <si>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</si>
  <si>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</si>
  <si>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</si>
  <si>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</si>
  <si>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</si>
  <si>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</si>
  <si>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</si>
  <si>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</si>
  <si>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</si>
  <si>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</si>
  <si>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</si>
  <si>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</si>
  <si>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</si>
  <si>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</si>
  <si>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</si>
  <si>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</si>
  <si>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</si>
  <si>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</si>
  <si>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</si>
  <si>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</si>
  <si>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</si>
  <si>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</si>
  <si>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</si>
  <si>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</si>
  <si>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</si>
  <si>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</si>
  <si>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</si>
  <si>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</si>
  <si>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</si>
  <si>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</si>
  <si>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 xml:space="preserve">Umair Rehman </t>
  </si>
  <si>
    <t>Address: Shadab Colony</t>
  </si>
  <si>
    <t>Umair</t>
  </si>
  <si>
    <t xml:space="preserve">MS Mart </t>
  </si>
  <si>
    <t xml:space="preserve">Multani  Bakery </t>
  </si>
  <si>
    <t>Husnain Store</t>
  </si>
  <si>
    <t xml:space="preserve">KK Super Mart </t>
  </si>
  <si>
    <t>Khatak Store</t>
  </si>
  <si>
    <t xml:space="preserve">Address: Pak Arab </t>
  </si>
  <si>
    <t>Waleed Store</t>
  </si>
  <si>
    <t>Bismillah Store</t>
  </si>
  <si>
    <t xml:space="preserve">Al Yousaf Bakery </t>
  </si>
  <si>
    <t>Chohan Store</t>
  </si>
  <si>
    <t xml:space="preserve">Urban Super Mart </t>
  </si>
  <si>
    <t xml:space="preserve">Address: Ferozpur Road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</si>
</sst>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S14" sqref="S1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2" t="s">
        <v>91</v>
      </c>
      <c r="B2" s="392"/>
      <c r="C2" s="392"/>
      <c r="E2" s="384" t="s">
        <v>499</v>
      </c>
      <c r="F2" s="385"/>
      <c r="G2" s="385"/>
      <c r="H2" s="382" t="s">
        <v>518</v>
      </c>
      <c r="I2" s="382"/>
      <c r="J2" s="383"/>
      <c r="R2" s="379" t="s">
        <v>498</v>
      </c>
      <c r="S2" s="380"/>
      <c r="T2" s="381"/>
    </row>
    <row r="3" spans="1:20 16377:16378" ht="21.75" customHeight="1" thickBot="1" x14ac:dyDescent="0.4">
      <c r="A3" s="393" t="s">
        <v>92</v>
      </c>
      <c r="B3" s="393"/>
      <c r="C3" s="393"/>
      <c r="E3" s="388" t="s">
        <v>512</v>
      </c>
      <c r="F3" s="389"/>
      <c r="G3" s="389"/>
      <c r="H3" s="386">
        <f ca="1">TODAY()</f>
        <v>46266</v>
      </c>
      <c r="I3" s="386"/>
      <c r="J3" s="387"/>
      <c r="K3" s="394" t="s">
        <v>43</v>
      </c>
      <c r="L3" s="394"/>
      <c r="M3" s="394"/>
      <c r="N3" s="393"/>
      <c r="O3" s="393"/>
      <c r="P3" s="393"/>
      <c r="R3" s="299">
        <v>1</v>
      </c>
      <c r="S3" s="300" t="str">
        <f>+'1'!A6:A6</f>
        <v xml:space="preserve">MS Mart 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 xml:space="preserve">Multani  Bakery 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4" t="s">
        <v>51</v>
      </c>
      <c r="B5" s="345"/>
      <c r="C5" s="348" t="s">
        <v>90</v>
      </c>
      <c r="D5" s="115" t="s">
        <v>52</v>
      </c>
      <c r="E5" s="350" t="s">
        <v>58</v>
      </c>
      <c r="F5" s="351"/>
      <c r="G5" s="352" t="s">
        <v>54</v>
      </c>
      <c r="H5" s="353"/>
      <c r="I5" s="354" t="s">
        <v>77</v>
      </c>
      <c r="J5" s="391" t="s">
        <v>55</v>
      </c>
      <c r="K5" s="352"/>
      <c r="L5" s="353"/>
      <c r="M5" s="345" t="s">
        <v>84</v>
      </c>
      <c r="N5" s="390" t="s">
        <v>495</v>
      </c>
      <c r="O5" s="103" t="s">
        <v>89</v>
      </c>
      <c r="P5" s="115" t="s">
        <v>56</v>
      </c>
      <c r="Q5" s="315" t="s">
        <v>511</v>
      </c>
      <c r="R5" s="314">
        <v>3</v>
      </c>
      <c r="S5" s="300" t="str">
        <f>+'3'!A6:A6</f>
        <v>Husnain Store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6"/>
      <c r="B6" s="347"/>
      <c r="C6" s="34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5"/>
      <c r="J6" s="143" t="s">
        <v>59</v>
      </c>
      <c r="K6" s="144" t="s">
        <v>39</v>
      </c>
      <c r="L6" s="145" t="s">
        <v>493</v>
      </c>
      <c r="M6" s="347"/>
      <c r="N6" s="355"/>
      <c r="O6" s="228" t="e">
        <f>IF(#REF!="Filer",0.5%,2.5%)</f>
        <v>#REF!</v>
      </c>
      <c r="P6" s="111" t="s">
        <v>38</v>
      </c>
      <c r="Q6" s="315" t="s">
        <v>510</v>
      </c>
      <c r="R6" s="314">
        <v>4</v>
      </c>
      <c r="S6" s="300" t="str">
        <f>+'4'!A6:A6</f>
        <v xml:space="preserve">KK Super Mart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12</v>
      </c>
      <c r="I7" s="235">
        <f>(G7*D7)*F7+H7*F7</f>
        <v>629.54999999999995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50.363999999999997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22.03425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557.15174999999999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118.98305084745758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3.3806740042372878</v>
      </c>
      <c r="P7" s="310">
        <f>M7+N7+O7</f>
        <v>679.51547485169488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52</v>
      </c>
      <c r="R7" s="314">
        <v>5</v>
      </c>
      <c r="S7" s="300" t="str">
        <f>+'5'!A6:A6</f>
        <v>Khatak Store</v>
      </c>
      <c r="T7" s="301">
        <f>+'5'!P35</f>
        <v>1669.1779134915255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52</v>
      </c>
      <c r="R8" s="314">
        <v>6</v>
      </c>
      <c r="S8" s="300" t="str">
        <f>+'6'!A6:A6</f>
        <v>Waleed Store</v>
      </c>
      <c r="T8" s="301">
        <f>+'6'!P35</f>
        <v>1568.1057925423729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40</v>
      </c>
      <c r="I9" s="236">
        <f t="shared" si="0"/>
        <v>2098.5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167.88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73.447500000000005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1857.1725000000001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396.61016949152526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11.268913347457627</v>
      </c>
      <c r="P9" s="311">
        <f t="shared" si="2"/>
        <v>2265.051582838983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56</v>
      </c>
      <c r="R9" s="314">
        <v>7</v>
      </c>
      <c r="S9" s="300" t="str">
        <f>+'7'!A6:A6</f>
        <v>Bismillah Store</v>
      </c>
      <c r="T9" s="301">
        <f>+'7'!P35</f>
        <v>3136.2115850847458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100</v>
      </c>
      <c r="I10" s="236">
        <f t="shared" si="0"/>
        <v>7264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581.12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254.24000000000004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6428.64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1372.8813559322034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39.007606779661018</v>
      </c>
      <c r="P10" s="311">
        <f t="shared" si="2"/>
        <v>7840.5289627118646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55</v>
      </c>
      <c r="R10" s="314">
        <v>8</v>
      </c>
      <c r="S10" s="300" t="str">
        <f>+'8'!A6:A6</f>
        <v xml:space="preserve">Al Yousaf Bakery </v>
      </c>
      <c r="T10" s="301">
        <f>+'8'!P35</f>
        <v>679.51547485169476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100</v>
      </c>
      <c r="I11" s="236">
        <f t="shared" si="0"/>
        <v>7264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581.12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254.24000000000004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6428.64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1372.8813559322034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39.007606779661018</v>
      </c>
      <c r="P11" s="311">
        <f t="shared" si="2"/>
        <v>7840.5289627118646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10</v>
      </c>
      <c r="R11" s="314">
        <v>9</v>
      </c>
      <c r="S11" s="300" t="str">
        <f>+'9'!A6:A6</f>
        <v>Chohan Store</v>
      </c>
      <c r="T11" s="301">
        <f>+'9'!P35</f>
        <v>1669.1779134915255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60</v>
      </c>
      <c r="I12" s="236">
        <f t="shared" si="0"/>
        <v>4358.3999999999996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348.67200000000003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152.54400000000001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3857.1839999999997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823.72881355932213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23.404564067796613</v>
      </c>
      <c r="P12" s="311">
        <f t="shared" si="2"/>
        <v>4704.3173776271187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55</v>
      </c>
      <c r="R12" s="314">
        <v>10</v>
      </c>
      <c r="S12" s="300" t="str">
        <f>+'10'!A6:A6</f>
        <v xml:space="preserve">Urban Super Mart </v>
      </c>
      <c r="T12" s="301">
        <f>+'10'!P35</f>
        <v>17946.109508262711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80</v>
      </c>
      <c r="I13" s="236">
        <f t="shared" si="0"/>
        <v>3138.4000000000005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156.92000000000004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109.84400000000002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160.05840000000001</v>
      </c>
      <c r="M13" s="230">
        <f t="shared" si="1"/>
        <v>2711.5776000000005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610.16949152542338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16.60873545762712</v>
      </c>
      <c r="P13" s="311">
        <f t="shared" si="2"/>
        <v>3338.355826983051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40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95">
        <f>COUNT(A7:A15)</f>
        <v>0</v>
      </c>
      <c r="B16" s="356"/>
      <c r="C16" s="356" t="s">
        <v>40</v>
      </c>
      <c r="D16" s="356"/>
      <c r="E16" s="356"/>
      <c r="F16" s="357"/>
      <c r="G16" s="117">
        <f>H16/40</f>
        <v>9.8000000000000007</v>
      </c>
      <c r="H16" s="113">
        <f t="shared" ref="H16:M16" si="3">SUM(H7:H15)</f>
        <v>392</v>
      </c>
      <c r="I16" s="114">
        <f t="shared" si="3"/>
        <v>24752.85</v>
      </c>
      <c r="J16" s="274">
        <f>SUM(J7:J15)</f>
        <v>1886.076</v>
      </c>
      <c r="K16" s="275">
        <f t="shared" si="3"/>
        <v>866.34975000000009</v>
      </c>
      <c r="L16" s="276">
        <f t="shared" si="3"/>
        <v>160.05840000000001</v>
      </c>
      <c r="M16" s="232">
        <f t="shared" si="3"/>
        <v>21840.365850000002</v>
      </c>
      <c r="N16" s="233">
        <f>SUM(N7:N15)</f>
        <v>4695.2542372881353</v>
      </c>
      <c r="O16" s="101">
        <f>SUM(O7:O15)</f>
        <v>132.67810043644067</v>
      </c>
      <c r="P16" s="113">
        <f>SUM(P7:P15)</f>
        <v>26668.298187724577</v>
      </c>
      <c r="Q16" s="128">
        <f>SUM(Q7:Q15)</f>
        <v>320</v>
      </c>
      <c r="R16" s="314">
        <v>14</v>
      </c>
      <c r="S16" s="318">
        <v>0.08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58" t="s">
        <v>64</v>
      </c>
      <c r="C19" s="359"/>
      <c r="D19" s="359"/>
      <c r="E19" s="359"/>
      <c r="F19" s="359"/>
      <c r="G19" s="359"/>
      <c r="H19" s="359"/>
      <c r="I19" s="359"/>
      <c r="J19" s="359"/>
      <c r="K19" s="359"/>
      <c r="L19" s="360"/>
      <c r="N19" s="367" t="s">
        <v>60</v>
      </c>
      <c r="O19" s="368"/>
      <c r="P19" s="139">
        <f>I16</f>
        <v>24752.85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61"/>
      <c r="C20" s="362"/>
      <c r="D20" s="362"/>
      <c r="E20" s="362"/>
      <c r="F20" s="362"/>
      <c r="G20" s="362"/>
      <c r="H20" s="362"/>
      <c r="I20" s="362"/>
      <c r="J20" s="362"/>
      <c r="K20" s="362"/>
      <c r="L20" s="363"/>
      <c r="N20" s="369" t="s">
        <v>85</v>
      </c>
      <c r="O20" s="370"/>
      <c r="P20" s="140">
        <f>+J16</f>
        <v>1886.076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61"/>
      <c r="C21" s="362"/>
      <c r="D21" s="362"/>
      <c r="E21" s="362"/>
      <c r="F21" s="362"/>
      <c r="G21" s="362"/>
      <c r="H21" s="362"/>
      <c r="I21" s="362"/>
      <c r="J21" s="362"/>
      <c r="K21" s="362"/>
      <c r="L21" s="363"/>
      <c r="N21" s="369" t="s">
        <v>86</v>
      </c>
      <c r="O21" s="370"/>
      <c r="P21" s="140">
        <f>+K16+L16</f>
        <v>1026.4081500000002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61"/>
      <c r="C22" s="362"/>
      <c r="D22" s="362"/>
      <c r="E22" s="362"/>
      <c r="F22" s="362"/>
      <c r="G22" s="362"/>
      <c r="H22" s="362"/>
      <c r="I22" s="362"/>
      <c r="J22" s="362"/>
      <c r="K22" s="362"/>
      <c r="L22" s="363"/>
      <c r="M22" s="131"/>
      <c r="N22" s="369" t="s">
        <v>87</v>
      </c>
      <c r="O22" s="370"/>
      <c r="P22" s="140">
        <f>P19-P20-P21</f>
        <v>21840.365849999998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61"/>
      <c r="C23" s="362"/>
      <c r="D23" s="362"/>
      <c r="E23" s="362"/>
      <c r="F23" s="362"/>
      <c r="G23" s="362"/>
      <c r="H23" s="362"/>
      <c r="I23" s="362"/>
      <c r="J23" s="362"/>
      <c r="K23" s="362"/>
      <c r="L23" s="363"/>
      <c r="M23" s="131"/>
      <c r="N23" s="136" t="s">
        <v>61</v>
      </c>
      <c r="O23" s="133">
        <v>0.18</v>
      </c>
      <c r="P23" s="140">
        <f>+N16</f>
        <v>4695.2542372881353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61"/>
      <c r="C24" s="362"/>
      <c r="D24" s="362"/>
      <c r="E24" s="362"/>
      <c r="F24" s="362"/>
      <c r="G24" s="362"/>
      <c r="H24" s="362"/>
      <c r="I24" s="362"/>
      <c r="J24" s="362"/>
      <c r="K24" s="362"/>
      <c r="L24" s="363"/>
      <c r="M24" s="131"/>
      <c r="N24" s="371" t="s">
        <v>76</v>
      </c>
      <c r="O24" s="372"/>
      <c r="P24" s="140">
        <f>P22+P23</f>
        <v>26535.620087288135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64"/>
      <c r="C25" s="365"/>
      <c r="D25" s="365"/>
      <c r="E25" s="365"/>
      <c r="F25" s="365"/>
      <c r="G25" s="365"/>
      <c r="H25" s="365"/>
      <c r="I25" s="365"/>
      <c r="J25" s="365"/>
      <c r="K25" s="365"/>
      <c r="L25" s="366"/>
      <c r="M25" s="99"/>
      <c r="N25" s="138" t="s">
        <v>83</v>
      </c>
      <c r="O25" s="137" t="e">
        <f>IF(#REF!="Filer",0.5%,2.5%)</f>
        <v>#REF!</v>
      </c>
      <c r="P25" s="140">
        <f>+O16</f>
        <v>132.67810043644067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73" t="s">
        <v>88</v>
      </c>
      <c r="O26" s="374"/>
      <c r="P26" s="297">
        <f>+P24+P25</f>
        <v>26668.298187724577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5"/>
      <c r="D27" s="375"/>
      <c r="E27" s="375"/>
      <c r="F27" s="375"/>
      <c r="G27" s="375"/>
      <c r="H27" s="375"/>
      <c r="I27" s="376"/>
      <c r="J27" s="377"/>
      <c r="K27" s="378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26668.298187724577</v>
      </c>
    </row>
    <row r="44" spans="2:20" x14ac:dyDescent="0.35">
      <c r="B44" t="s">
        <v>504</v>
      </c>
    </row>
    <row r="45" spans="2:20" x14ac:dyDescent="0.35">
      <c r="B45" t="s">
        <v>505</v>
      </c>
    </row>
    <row r="46" spans="2:20" x14ac:dyDescent="0.35">
      <c r="B46" t="s">
        <v>506</v>
      </c>
    </row>
    <row r="47" spans="2:20" x14ac:dyDescent="0.35">
      <c r="B47" t="s">
        <v>507</v>
      </c>
    </row>
    <row r="48" spans="2:20" x14ac:dyDescent="0.35">
      <c r="B48" t="s">
        <v>508</v>
      </c>
    </row>
    <row r="49" spans="2:2" x14ac:dyDescent="0.35">
      <c r="B49" t="s">
        <v>513</v>
      </c>
    </row>
    <row r="50" spans="2:2" x14ac:dyDescent="0.35">
      <c r="B50" t="s">
        <v>515</v>
      </c>
    </row>
    <row r="51" spans="2:2" x14ac:dyDescent="0.35">
      <c r="B51" t="s">
        <v>514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7"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7.25" customHeight="1" x14ac:dyDescent="0.4">
      <c r="A6" s="399" t="s">
        <v>519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96">
        <v>15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96">
        <v>10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96">
        <v>15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96">
        <v>40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80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10" workbookViewId="0">
      <selection activeCell="H16" sqref="H16: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112">
        <v>40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96">
        <v>40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96">
        <v>40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96">
        <v>40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160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13" workbookViewId="0">
      <selection activeCell="H17" sqref="H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8.75" customHeight="1" x14ac:dyDescent="0.4">
      <c r="A6" s="399" t="s">
        <v>521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112">
        <v>12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96">
        <v>12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96">
        <v>16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13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96">
        <v>40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6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523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113">
        <f>SUM(P16:P24)</f>
        <v>1669.1779134915255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1569.2000000000003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78.460000000000022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134.95120000000003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1355.7888000000003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1660.873545762712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73" t="s">
        <v>88</v>
      </c>
      <c r="O35" s="374"/>
      <c r="P35" s="297">
        <f>+P33+P34</f>
        <v>1669.1779134915255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5" workbookViewId="0">
      <selection activeCell="G22" sqref="G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525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524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116.224</v>
      </c>
      <c r="K25" s="275">
        <f t="shared" si="7"/>
        <v>50.848000000000006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113">
        <f>SUM(P16:P24)</f>
        <v>1568.1057925423729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1452.8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116.224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50.848000000000006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1285.7280000000001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1560.3042711864407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73" t="s">
        <v>88</v>
      </c>
      <c r="O35" s="374"/>
      <c r="P35" s="297">
        <f>+P33+P34</f>
        <v>1568.1057925423729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6" workbookViewId="0">
      <selection activeCell="G23" sqref="G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526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524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311">
        <f t="shared" si="5"/>
        <v>1568.1057925423729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2905.6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232.44800000000001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101.69600000000001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2571.4560000000001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3120.6085423728814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3" t="s">
        <v>88</v>
      </c>
      <c r="O35" s="374"/>
      <c r="P35" s="297">
        <f>+P33+P34</f>
        <v>3136.2115850847458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6" workbookViewId="0">
      <selection activeCell="G23" sqref="G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527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524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50.363999999999997</v>
      </c>
      <c r="K16" s="127">
        <f>$I16*T16</f>
        <v>22.03425</v>
      </c>
      <c r="L16" s="118">
        <f>$I16*U16</f>
        <v>0</v>
      </c>
      <c r="M16" s="229">
        <f>I16-SUM(J16:L16)</f>
        <v>557.15174999999999</v>
      </c>
      <c r="N16" s="248">
        <f>+(G16*D16+H16)*V16</f>
        <v>118.98305084745758</v>
      </c>
      <c r="O16" s="238">
        <f>(N16+M16)*$O$15</f>
        <v>3.3806740042372878</v>
      </c>
      <c r="P16" s="310">
        <f>M16+N16+O16</f>
        <v>679.51547485169488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12</v>
      </c>
      <c r="I25" s="114">
        <f t="shared" si="7"/>
        <v>629.54999999999995</v>
      </c>
      <c r="J25" s="274">
        <f>SUM(J16:J24)</f>
        <v>50.363999999999997</v>
      </c>
      <c r="K25" s="275">
        <f t="shared" si="7"/>
        <v>22.03425</v>
      </c>
      <c r="L25" s="276">
        <f t="shared" si="7"/>
        <v>0</v>
      </c>
      <c r="M25" s="232">
        <f t="shared" si="7"/>
        <v>557.15174999999999</v>
      </c>
      <c r="N25" s="233">
        <f>SUM(N16:N24)</f>
        <v>118.98305084745758</v>
      </c>
      <c r="O25" s="101">
        <f>SUM(O16:O24)</f>
        <v>3.3806740042372878</v>
      </c>
      <c r="P25" s="113">
        <f>SUM(P16:P24)</f>
        <v>679.51547485169488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629.54999999999995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50.363999999999997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22.03425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557.15174999999988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118.98305084745758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676.13480084745743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3.3806740042372874</v>
      </c>
    </row>
    <row r="35" spans="2:16" ht="15.75" customHeight="1" thickBot="1" x14ac:dyDescent="0.4">
      <c r="N35" s="373" t="s">
        <v>88</v>
      </c>
      <c r="O35" s="374"/>
      <c r="P35" s="297">
        <f>+P33+P34</f>
        <v>679.51547485169476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9" workbookViewId="0">
      <selection activeCell="A26" sqref="A2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528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524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113">
        <f>SUM(P16:P24)</f>
        <v>1669.1779134915255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1569.2000000000003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78.460000000000022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134.95120000000003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1355.7888000000003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1660.873545762712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73" t="s">
        <v>88</v>
      </c>
      <c r="O35" s="374"/>
      <c r="P35" s="297">
        <f>+P33+P34</f>
        <v>1669.1779134915255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8" workbookViewId="0">
      <selection activeCell="H25" sqref="H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529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530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311">
        <f t="shared" si="5"/>
        <v>2265.051582838983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0"/>
        <v>5811.2</v>
      </c>
      <c r="J19" s="272">
        <f t="shared" si="1"/>
        <v>464.89600000000002</v>
      </c>
      <c r="K19" s="128">
        <f t="shared" si="1"/>
        <v>203.39200000000002</v>
      </c>
      <c r="L19" s="119">
        <f t="shared" si="1"/>
        <v>0</v>
      </c>
      <c r="M19" s="230">
        <f t="shared" si="2"/>
        <v>5142.9120000000003</v>
      </c>
      <c r="N19" s="277">
        <f t="shared" si="3"/>
        <v>1098.3050847457628</v>
      </c>
      <c r="O19" s="239">
        <f t="shared" si="4"/>
        <v>31.206085423728815</v>
      </c>
      <c r="P19" s="311">
        <f t="shared" si="5"/>
        <v>6272.4231701694916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0"/>
        <v>5811.2</v>
      </c>
      <c r="J20" s="272">
        <f t="shared" si="1"/>
        <v>464.89600000000002</v>
      </c>
      <c r="K20" s="128">
        <f t="shared" si="1"/>
        <v>203.39200000000002</v>
      </c>
      <c r="L20" s="119">
        <f t="shared" si="1"/>
        <v>0</v>
      </c>
      <c r="M20" s="230">
        <f t="shared" si="2"/>
        <v>5142.9120000000003</v>
      </c>
      <c r="N20" s="277">
        <f t="shared" si="3"/>
        <v>1098.3050847457628</v>
      </c>
      <c r="O20" s="239">
        <f t="shared" si="4"/>
        <v>31.206085423728815</v>
      </c>
      <c r="P20" s="311">
        <f t="shared" si="5"/>
        <v>6272.4231701694916</v>
      </c>
      <c r="Q20" s="156"/>
      <c r="R20">
        <f>P20/21</f>
        <v>298.68681762711867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240</v>
      </c>
      <c r="I25" s="114">
        <f t="shared" si="7"/>
        <v>16626.5</v>
      </c>
      <c r="J25" s="274">
        <f>SUM(J16:J24)</f>
        <v>1330.1200000000001</v>
      </c>
      <c r="K25" s="275">
        <f t="shared" si="7"/>
        <v>581.92750000000012</v>
      </c>
      <c r="L25" s="276">
        <f t="shared" si="7"/>
        <v>0</v>
      </c>
      <c r="M25" s="232">
        <f t="shared" si="7"/>
        <v>14714.452500000001</v>
      </c>
      <c r="N25" s="233">
        <f>SUM(N16:N24)</f>
        <v>3142.3728813559323</v>
      </c>
      <c r="O25" s="101">
        <f>SUM(O16:O24)</f>
        <v>89.284126906779662</v>
      </c>
      <c r="P25" s="113">
        <f>SUM(P16:P24)</f>
        <v>17946.109508262714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16626.5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1330.1200000000001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581.92750000000012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14714.452499999999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3142.3728813559323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17856.825381355931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89.284126906779662</v>
      </c>
    </row>
    <row r="35" spans="2:16" ht="15.75" customHeight="1" thickBot="1" x14ac:dyDescent="0.4">
      <c r="N35" s="373" t="s">
        <v>88</v>
      </c>
      <c r="O35" s="374"/>
      <c r="P35" s="297">
        <f>+P33+P34</f>
        <v>17946.109508262711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abSelected="1" topLeftCell="A7"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500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501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8.75" customHeight="1" x14ac:dyDescent="0.4">
      <c r="A6" s="399" t="s">
        <v>502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2" t="s">
        <v>91</v>
      </c>
      <c r="B2" s="392"/>
      <c r="C2" s="392"/>
    </row>
    <row r="3" spans="1:18 16382:16383" ht="15" customHeight="1" x14ac:dyDescent="0.35">
      <c r="A3" s="393" t="s">
        <v>92</v>
      </c>
      <c r="B3" s="393"/>
      <c r="C3" s="393"/>
      <c r="F3" s="85"/>
      <c r="G3" s="1"/>
      <c r="J3" s="394" t="s">
        <v>43</v>
      </c>
      <c r="K3" s="394"/>
      <c r="L3" s="394"/>
      <c r="M3" s="393"/>
      <c r="N3" s="393"/>
      <c r="O3" s="39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3" t="s">
        <v>65</v>
      </c>
      <c r="B4" s="393"/>
      <c r="C4" s="393"/>
      <c r="F4" s="85"/>
      <c r="G4" s="1"/>
      <c r="J4" s="394" t="s">
        <v>44</v>
      </c>
      <c r="K4" s="394"/>
      <c r="L4" s="394"/>
      <c r="M4" s="397">
        <f ca="1">TODAY()+1</f>
        <v>46267</v>
      </c>
      <c r="N4" s="397"/>
      <c r="O4" s="39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94" t="s">
        <v>45</v>
      </c>
      <c r="K5" s="394"/>
      <c r="L5" s="394"/>
      <c r="M5" s="397">
        <f ca="1">M4-1</f>
        <v>46266</v>
      </c>
      <c r="N5" s="393"/>
      <c r="O5" s="393"/>
      <c r="Q5" s="85"/>
      <c r="R5" s="1"/>
    </row>
    <row r="6" spans="1:18 16382:16383" ht="15" customHeight="1" x14ac:dyDescent="0.35">
      <c r="A6" s="394" t="s">
        <v>94</v>
      </c>
      <c r="B6" s="394"/>
      <c r="C6" s="394"/>
      <c r="F6" s="85"/>
      <c r="G6" s="86"/>
      <c r="J6" s="394" t="s">
        <v>69</v>
      </c>
      <c r="K6" s="394"/>
      <c r="L6" s="394"/>
      <c r="M6" s="396" t="s">
        <v>62</v>
      </c>
      <c r="N6" s="396"/>
      <c r="O6" s="39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4" t="s">
        <v>73</v>
      </c>
      <c r="B7" s="394"/>
      <c r="C7" s="394"/>
      <c r="F7" s="85"/>
      <c r="G7" s="86"/>
      <c r="J7" s="394" t="s">
        <v>66</v>
      </c>
      <c r="K7" s="394"/>
      <c r="L7" s="394"/>
      <c r="M7" s="396" t="s">
        <v>70</v>
      </c>
      <c r="N7" s="396"/>
      <c r="O7" s="39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0" t="s">
        <v>95</v>
      </c>
      <c r="B8" s="400"/>
      <c r="C8" s="400"/>
      <c r="F8" s="85"/>
      <c r="G8" s="86"/>
      <c r="J8" s="394" t="s">
        <v>67</v>
      </c>
      <c r="K8" s="394"/>
      <c r="L8" s="394"/>
      <c r="M8" s="396" t="s">
        <v>71</v>
      </c>
      <c r="N8" s="396"/>
      <c r="O8" s="396"/>
      <c r="Q8" s="85"/>
      <c r="R8" s="86"/>
    </row>
    <row r="9" spans="1:18 16382:16383" x14ac:dyDescent="0.35">
      <c r="A9" s="400" t="s">
        <v>96</v>
      </c>
      <c r="B9" s="400"/>
      <c r="C9" s="400"/>
      <c r="F9" s="85"/>
      <c r="G9" s="86"/>
      <c r="J9" s="394" t="s">
        <v>68</v>
      </c>
      <c r="K9" s="394"/>
      <c r="L9" s="394"/>
      <c r="M9" s="396" t="s">
        <v>104</v>
      </c>
      <c r="N9" s="396"/>
      <c r="O9" s="396"/>
      <c r="Q9" s="85"/>
      <c r="R9" s="86"/>
      <c r="XFC9" t="s">
        <v>49</v>
      </c>
    </row>
    <row r="10" spans="1:18 16382:16383" x14ac:dyDescent="0.35">
      <c r="A10" s="400" t="s">
        <v>97</v>
      </c>
      <c r="B10" s="400"/>
      <c r="C10" s="400"/>
      <c r="F10" s="85"/>
      <c r="G10" s="1"/>
      <c r="J10" s="394" t="s">
        <v>46</v>
      </c>
      <c r="K10" s="394"/>
      <c r="L10" s="394"/>
      <c r="M10" s="393" t="s">
        <v>47</v>
      </c>
      <c r="N10" s="393"/>
      <c r="O10" s="39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4" t="s">
        <v>48</v>
      </c>
      <c r="K11" s="394"/>
      <c r="L11" s="394"/>
      <c r="M11" s="393" t="s">
        <v>49</v>
      </c>
      <c r="N11" s="393"/>
      <c r="O11" s="39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4" t="s">
        <v>50</v>
      </c>
      <c r="K12" s="394"/>
      <c r="L12" s="394"/>
      <c r="M12" s="393"/>
      <c r="N12" s="393"/>
      <c r="O12" s="39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4" t="s">
        <v>51</v>
      </c>
      <c r="B14" s="345"/>
      <c r="C14" s="348" t="s">
        <v>90</v>
      </c>
      <c r="D14" s="88" t="s">
        <v>52</v>
      </c>
      <c r="E14" s="95" t="s">
        <v>74</v>
      </c>
      <c r="F14" s="115" t="s">
        <v>53</v>
      </c>
      <c r="G14" s="391" t="s">
        <v>54</v>
      </c>
      <c r="H14" s="353"/>
      <c r="I14" s="354" t="s">
        <v>77</v>
      </c>
      <c r="J14" s="352" t="s">
        <v>55</v>
      </c>
      <c r="K14" s="353"/>
      <c r="L14" s="35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6"/>
      <c r="B15" s="347"/>
      <c r="C15" s="34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5"/>
      <c r="J15" s="144" t="s">
        <v>39</v>
      </c>
      <c r="K15" s="145" t="s">
        <v>59</v>
      </c>
      <c r="L15" s="35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60"/>
      <c r="M28" s="367" t="s">
        <v>60</v>
      </c>
      <c r="N28" s="368"/>
      <c r="O28" s="139">
        <f>I25</f>
        <v>1452.8</v>
      </c>
    </row>
    <row r="29" spans="1:18 16383:16383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3"/>
      <c r="M29" s="369" t="s">
        <v>85</v>
      </c>
      <c r="N29" s="370"/>
      <c r="O29" s="140">
        <f>K25</f>
        <v>0</v>
      </c>
    </row>
    <row r="30" spans="1:18 16383:16383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3"/>
      <c r="M30" s="369" t="s">
        <v>86</v>
      </c>
      <c r="N30" s="370"/>
      <c r="O30" s="140">
        <f>J25</f>
        <v>50.848000000000006</v>
      </c>
    </row>
    <row r="31" spans="1:18 16383:16383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3"/>
      <c r="L31" s="131"/>
      <c r="M31" s="369" t="s">
        <v>87</v>
      </c>
      <c r="N31" s="370"/>
      <c r="O31" s="140">
        <f>O28-O29-O30</f>
        <v>1401.952</v>
      </c>
    </row>
    <row r="32" spans="1:18 16383:16383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3"/>
      <c r="L33" s="131"/>
      <c r="M33" s="371" t="s">
        <v>76</v>
      </c>
      <c r="N33" s="372"/>
      <c r="O33" s="140">
        <f>O31+O32</f>
        <v>1710.3814400000001</v>
      </c>
    </row>
    <row r="34" spans="2:15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3" t="s">
        <v>88</v>
      </c>
      <c r="N35" s="374"/>
      <c r="O35" s="141">
        <f>O28-O29+O31+O34</f>
        <v>2897.511536</v>
      </c>
    </row>
    <row r="36" spans="2:15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4" t="s">
        <v>439</v>
      </c>
      <c r="E1" s="336" t="s">
        <v>58</v>
      </c>
      <c r="F1" s="336"/>
      <c r="G1" s="337" t="s">
        <v>440</v>
      </c>
      <c r="H1" s="337"/>
      <c r="I1" s="405" t="s">
        <v>441</v>
      </c>
      <c r="J1" s="405"/>
      <c r="K1" s="405" t="s">
        <v>442</v>
      </c>
      <c r="L1" s="405"/>
      <c r="M1" s="401" t="s">
        <v>484</v>
      </c>
      <c r="N1" s="402"/>
      <c r="O1" s="403"/>
    </row>
    <row r="2" spans="3:24" ht="29" x14ac:dyDescent="0.35">
      <c r="C2" s="336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8" t="s">
        <v>58</v>
      </c>
      <c r="F7" s="408"/>
      <c r="G7" s="409" t="s">
        <v>440</v>
      </c>
      <c r="H7" s="337"/>
      <c r="I7" s="338" t="s">
        <v>441</v>
      </c>
      <c r="J7" s="339"/>
      <c r="K7" s="338" t="s">
        <v>442</v>
      </c>
      <c r="L7" s="339"/>
      <c r="M7" s="401" t="s">
        <v>484</v>
      </c>
      <c r="N7" s="402"/>
      <c r="O7" s="403"/>
      <c r="P7" s="256" t="s">
        <v>475</v>
      </c>
      <c r="Q7" s="242" t="s">
        <v>473</v>
      </c>
      <c r="R7" s="404" t="s">
        <v>475</v>
      </c>
      <c r="S7" s="404" t="s">
        <v>485</v>
      </c>
      <c r="T7" s="410" t="s">
        <v>486</v>
      </c>
      <c r="U7" s="410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9"/>
      <c r="U8" s="40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1" t="s">
        <v>484</v>
      </c>
      <c r="N13" s="402"/>
      <c r="O13" s="403"/>
      <c r="P13" s="256" t="s">
        <v>475</v>
      </c>
      <c r="Q13" s="242" t="s">
        <v>473</v>
      </c>
      <c r="R13" s="404" t="s">
        <v>475</v>
      </c>
      <c r="S13" s="404" t="s">
        <v>485</v>
      </c>
      <c r="T13" s="410" t="s">
        <v>486</v>
      </c>
      <c r="U13" s="410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9"/>
      <c r="U14" s="40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1" t="s">
        <v>484</v>
      </c>
      <c r="N20" s="402"/>
      <c r="O20" s="403"/>
      <c r="P20" s="256" t="s">
        <v>475</v>
      </c>
      <c r="Q20" s="242" t="s">
        <v>473</v>
      </c>
      <c r="R20" s="404" t="s">
        <v>475</v>
      </c>
      <c r="S20" s="404" t="s">
        <v>485</v>
      </c>
      <c r="T20" s="410" t="s">
        <v>486</v>
      </c>
      <c r="U20" s="410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9"/>
      <c r="U21" s="40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1" t="s">
        <v>484</v>
      </c>
      <c r="N27" s="402"/>
      <c r="O27" s="403"/>
      <c r="P27" s="256" t="s">
        <v>475</v>
      </c>
      <c r="Q27" s="242" t="s">
        <v>473</v>
      </c>
      <c r="R27" s="404" t="s">
        <v>475</v>
      </c>
      <c r="S27" s="404" t="s">
        <v>485</v>
      </c>
      <c r="T27" s="410" t="s">
        <v>486</v>
      </c>
      <c r="U27" s="410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9"/>
      <c r="U28" s="40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4" t="s">
        <v>439</v>
      </c>
      <c r="D1" s="336" t="s">
        <v>58</v>
      </c>
      <c r="E1" s="336"/>
      <c r="F1" s="337" t="s">
        <v>440</v>
      </c>
      <c r="G1" s="337"/>
      <c r="H1" s="405" t="s">
        <v>441</v>
      </c>
      <c r="I1" s="405"/>
      <c r="J1" s="405" t="s">
        <v>442</v>
      </c>
      <c r="K1" s="405"/>
      <c r="L1" s="401" t="s">
        <v>484</v>
      </c>
      <c r="M1" s="402"/>
      <c r="N1" s="403"/>
    </row>
    <row r="2" spans="2:17" ht="29" x14ac:dyDescent="0.35">
      <c r="B2" s="336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2026-09-01T06:47:10Z</dcterms:modified>
</cp:coreProperties>
</file>