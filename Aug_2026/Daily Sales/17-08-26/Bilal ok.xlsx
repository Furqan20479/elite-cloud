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38B2DF4-5E7B-43BA-AF41-9EB15A5C063C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<sst xmlns="http://schemas.openxmlformats.org/spreadsheetml/2006/main" count="3977" uniqueCount="519">
  <si>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</si>
  <si>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</si>
  <si>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</si>
  <si>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</si>
  <si>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</si>
  <si>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</si>
  <si>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</si>
  <si>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</si>
  <si>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</si>
  <si>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</si>
  <si>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</si>
  <si>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</si>
  <si>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</si>
  <si>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</si>
  <si>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</si>
  <si>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</si>
  <si>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</si>
  <si>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</si>
  <si>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</si>
  <si>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</si>
  <si>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</si>
  <si>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</si>
  <si>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</si>
  <si>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</si>
  <si>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</si>
  <si>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</si>
  <si>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</si>
  <si>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</si>
  <si>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</si>
  <si>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</si>
  <si>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</si>
  <si>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</si>
  <si>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</si>
  <si>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</si>
  <si>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</si>
  <si>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</si>
  <si>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</si>
  <si>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</si>
  <si>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</si>
  <si>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</si>
  <si>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</si>
  <si>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</si>
  <si>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</si>
  <si>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</si>
  <si>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</si>
  <si>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</si>
  <si>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</si>
  <si>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</si>
  <si>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</si>
  <si>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</si>
  <si>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</si>
  <si>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</si>
  <si>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</si>
  <si>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</si>
  <si>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</si>
  <si>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</si>
  <si>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</si>
  <si>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</si>
  <si>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</si>
  <si>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</si>
  <si>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</si>
  <si>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</si>
  <si>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</si>
  <si>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</si>
  <si>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</si>
  <si>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</si>
  <si>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</si>
  <si>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</si>
  <si>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</si>
  <si>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</si>
  <si>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</si>
  <si>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</si>
  <si>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</si>
  <si>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</si>
  <si>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</si>
  <si>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</si>
  <si>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</si>
  <si>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</si>
  <si>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</si>
  <si>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</si>
  <si>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</si>
  <si>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</si>
  <si>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</si>
  <si>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</si>
  <si>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</si>
  <si>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</si>
  <si>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</si>
  <si>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</si>
  <si>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</si>
  <si>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</si>
  <si>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</si>
  <si>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</si>
  <si>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</si>
  <si>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</si>
  <si>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</si>
  <si>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</si>
  <si>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</si>
  <si>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</si>
  <si>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</si>
  <si>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</si>
  <si>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</si>
  <si>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</si>
  <si>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</si>
  <si>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</si>
  <si>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</si>
  <si>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</si>
  <si>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</si>
  <si>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</si>
  <si>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</si>
  <si>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</si>
  <si>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</si>
  <si>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</si>
  <si>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</si>
  <si>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</si>
  <si>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</si>
  <si>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</si>
  <si>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</si>
  <si>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</si>
  <si>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</si>
  <si>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</si>
  <si>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</si>
  <si>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</si>
  <si>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</si>
  <si>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</si>
  <si>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</si>
  <si>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</si>
  <si>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</si>
  <si>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</si>
  <si>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</si>
  <si>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</si>
  <si>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</si>
  <si>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</si>
  <si>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</si>
  <si>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</si>
  <si>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</si>
  <si>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</si>
  <si>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</si>
  <si>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</si>
  <si>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</si>
  <si>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</si>
  <si>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</si>
  <si>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</si>
  <si>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</si>
  <si>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</si>
  <si>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</si>
  <si>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</si>
  <si>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</si>
  <si>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</si>
  <si>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</si>
  <si>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</si>
  <si>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</si>
  <si>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</si>
  <si>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</si>
  <si>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</si>
  <si>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</si>
  <si>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</si>
  <si>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</si>
  <si>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</si>
  <si>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</si>
  <si>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</si>
  <si>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</si>
  <si>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</si>
  <si>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</si>
  <si>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</si>
  <si>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</si>
  <si>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</si>
  <si>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</si>
  <si>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</si>
  <si>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</si>
  <si>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</si>
  <si>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</si>
  <si>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</si>
  <si>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</si>
  <si>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</si>
  <si>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</si>
  <si>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</si>
  <si>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</si>
  <si>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</si>
  <si>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</si>
  <si>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</si>
  <si>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</si>
  <si>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</si>
  <si>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</si>
  <si>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</si>
  <si>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</si>
  <si>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</si>
  <si>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</si>
  <si>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</si>
  <si>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</si>
  <si>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</si>
  <si>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</si>
  <si>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</si>
  <si>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</si>
  <si>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</si>
  <si>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</si>
  <si>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</si>
  <si>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</si>
  <si>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</si>
  <si>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</si>
  <si>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</si>
  <si>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</si>
  <si>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</si>
  <si>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</si>
  <si>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</si>
  <si>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</si>
  <si>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</si>
  <si>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</si>
  <si>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</si>
  <si>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</si>
  <si>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</si>
  <si>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</si>
  <si>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</si>
  <si>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</si>
  <si>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</si>
  <si>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</si>
  <si>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</si>
  <si>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</si>
  <si>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</si>
  <si>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</si>
  <si>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</si>
  <si>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</si>
  <si>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</si>
  <si>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</si>
  <si>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</si>
  <si>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</si>
  <si>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</si>
  <si>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</si>
  <si>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</si>
  <si>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</si>
  <si>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</si>
  <si>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</si>
  <si>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</si>
  <si>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</si>
  <si>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</si>
  <si>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</si>
  <si>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</si>
  <si>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</si>
  <si>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</si>
  <si>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</si>
  <si>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</si>
  <si>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</si>
  <si>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</si>
  <si>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</si>
  <si>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</si>
  <si>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</si>
  <si>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</si>
  <si>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</si>
  <si>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</si>
  <si>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</si>
  <si>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</si>
  <si>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</si>
  <si>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</si>
  <si>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</si>
  <si>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</si>
  <si>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</si>
  <si>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</si>
  <si>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</si>
  <si>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</si>
  <si>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</si>
  <si>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</si>
  <si>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</si>
  <si>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</si>
  <si>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</si>
  <si>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</si>
  <si>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</si>
  <si>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</si>
  <si>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</si>
  <si>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</si>
  <si>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</si>
  <si>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</si>
  <si>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</si>
  <si>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</si>
  <si>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</si>
  <si>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</si>
  <si>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</si>
  <si>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</si>
  <si>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</si>
  <si>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</si>
  <si>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</si>
  <si>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</si>
  <si>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</si>
  <si>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</si>
  <si>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</si>
  <si>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</si>
  <si>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</si>
  <si>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</si>
  <si>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</si>
  <si>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</si>
  <si>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</si>
  <si>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</si>
  <si>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</si>
  <si>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</si>
  <si>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</si>
  <si>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</si>
  <si>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</si>
  <si>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</si>
  <si>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</si>
  <si>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</si>
  <si>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</si>
  <si>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</si>
  <si>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</si>
  <si>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</si>
  <si>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</si>
  <si>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</si>
  <si>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</si>
  <si>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</si>
  <si>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</si>
  <si>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</si>
  <si>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</si>
  <si>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</si>
  <si>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</si>
  <si>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</si>
  <si>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</si>
  <si>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</si>
  <si>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</si>
  <si>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</si>
  <si>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</si>
  <si>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</si>
  <si>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</si>
  <si>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</si>
  <si>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</si>
  <si>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</si>
  <si>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</si>
  <si>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</si>
  <si>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</si>
  <si>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</si>
  <si>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</si>
  <si>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</si>
  <si>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</si>
  <si>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</si>
  <si>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</si>
  <si>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</si>
  <si>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</si>
  <si>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</si>
  <si>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</si>
  <si>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</si>
  <si>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</si>
  <si>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</si>
  <si>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</si>
  <si>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</si>
  <si>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</si>
  <si>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</si>
  <si>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</si>
  <si>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</si>
  <si>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</si>
  <si>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</si>
  <si>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</si>
  <si>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</si>
  <si>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</si>
  <si>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</si>
  <si>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</si>
  <si>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</si>
  <si>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</si>
  <si>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</si>
  <si>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</si>
  <si>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</si>
  <si>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</si>
  <si>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</si>
  <si>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</si>
  <si>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</si>
  <si>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</si>
  <si>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</si>
  <si>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</si>
  <si>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</si>
  <si>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</si>
  <si>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</si>
  <si>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</si>
  <si>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</si>
  <si>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</si>
  <si>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</si>
  <si>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</si>
  <si>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</si>
  <si>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</si>
  <si>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</si>
  <si>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</si>
  <si>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</si>
  <si>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</si>
  <si>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</si>
  <si>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</si>
  <si>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</si>
  <si>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</si>
  <si>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</si>
  <si>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</si>
  <si>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</si>
  <si>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</si>
  <si>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</si>
  <si>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</si>
  <si>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</si>
  <si>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</si>
  <si>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</si>
  <si>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</si>
  <si>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</si>
  <si>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</si>
  <si>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</si>
  <si>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</si>
  <si>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</si>
  <si>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</si>
  <si>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</si>
  <si>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</si>
  <si>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</si>
  <si>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</si>
  <si>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</si>
  <si>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</si>
  <si>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</si>
  <si>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</si>
  <si>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</si>
  <si>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</si>
  <si>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</si>
  <si>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</si>
  <si>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</si>
  <si>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</si>
  <si>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</si>
  <si>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</si>
  <si>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</si>
  <si>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</si>
  <si>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</si>
  <si>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</si>
  <si>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</si>
  <si>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</si>
  <si>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</si>
  <si>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</si>
  <si>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</si>
  <si>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</si>
  <si>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</si>
  <si>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</si>
  <si>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</si>
  <si>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</si>
  <si>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</si>
  <si>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</si>
  <si>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</si>
  <si>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</si>
  <si>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</si>
  <si>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</si>
  <si>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</si>
  <si>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</si>
  <si>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</si>
  <si>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</si>
  <si>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</si>
  <si>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</si>
  <si>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</si>
  <si>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</si>
  <si>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</si>
  <si>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</si>
  <si>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</si>
  <si>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</si>
  <si>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</si>
  <si>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</si>
  <si>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</si>
  <si>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</si>
  <si>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</si>
  <si>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</si>
  <si>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</si>
  <si>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</si>
  <si>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</si>
  <si>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</si>
  <si>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</si>
  <si>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</si>
  <si>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</si>
  <si>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</si>
  <si>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</si>
  <si>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</si>
  <si>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</si>
  <si>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</si>
  <si>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</si>
  <si>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</si>
  <si>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</si>
  <si>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</si>
  <si>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</si>
  <si>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</si>
  <si>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</si>
  <si>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</si>
  <si>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</si>
  <si>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</si>
  <si>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</si>
  <si>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</si>
  <si>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</si>
  <si>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</si>
  <si>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</si>
  <si>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</si>
  <si>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</si>
  <si>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</si>
  <si>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</si>
  <si>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</si>
  <si>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</si>
  <si>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</si>
  <si>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</si>
  <si>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</si>
  <si>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</si>
  <si>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</si>
  <si>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</si>
  <si>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</si>
  <si>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</si>
  <si>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</si>
  <si>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</si>
  <si>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</si>
  <si>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</si>
  <si>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</si>
  <si>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</si>
  <si>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</si>
  <si>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</si>
  <si>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</si>
  <si>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</si>
  <si>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</si>
  <si>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</si>
  <si>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</si>
  <si>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</si>
  <si>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</si>
  <si>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</si>
  <si>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</si>
  <si>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</si>
  <si>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</si>
  <si>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</si>
  <si>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</si>
  <si>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</si>
  <si>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</si>
  <si>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</si>
  <si>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</si>
  <si>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</si>
  <si>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Sampling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</si>
</sst>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/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514</v>
      </c>
      <c r="F3" s="358"/>
      <c r="G3" s="358"/>
      <c r="H3" s="355">
        <f ca="1">TODAY()</f>
        <v>46262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Sampling</v>
      </c>
      <c r="T3" s="301">
        <f>+'1'!P35</f>
        <v>2265.051582838983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513</v>
      </c>
      <c r="R5" s="314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512</v>
      </c>
      <c r="R6" s="314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311">
        <f t="shared" ref="P8:P15" si="2">M8+N8+O8</f>
        <v>566.26289570974575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15</v>
      </c>
      <c r="I9" s="236">
        <f t="shared" si="0"/>
        <v>786.9375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62.954999999999998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27.542812500000004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696.43968749999999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148.72881355932196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4.22584250529661</v>
      </c>
      <c r="P9" s="311">
        <f t="shared" si="2"/>
        <v>849.39434356461845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</v>
      </c>
      <c r="H16" s="113">
        <f t="shared" ref="H16:M16" si="3">SUM(H7:H15)</f>
        <v>40</v>
      </c>
      <c r="I16" s="114">
        <f t="shared" si="3"/>
        <v>2098.5</v>
      </c>
      <c r="J16" s="274">
        <f>SUM(J7:J15)</f>
        <v>167.88</v>
      </c>
      <c r="K16" s="275">
        <f t="shared" si="3"/>
        <v>73.447500000000019</v>
      </c>
      <c r="L16" s="276">
        <f t="shared" si="3"/>
        <v>0</v>
      </c>
      <c r="M16" s="232">
        <f t="shared" si="3"/>
        <v>1857.1724999999999</v>
      </c>
      <c r="N16" s="233">
        <f>SUM(N7:N15)</f>
        <v>396.61016949152526</v>
      </c>
      <c r="O16" s="101">
        <f>SUM(O7:O15)</f>
        <v>11.268913347457627</v>
      </c>
      <c r="P16" s="113">
        <f>SUM(P7:P15)</f>
        <v>2265.0515828389825</v>
      </c>
      <c r="Q16" s="128">
        <f>SUM(Q7:Q15)</f>
        <v>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2098.5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167.88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73.447500000000019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1857.1724999999999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396.61016949152526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2253.7826694915252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11.268913347457627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2265.051582838983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2265.051582838983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  <row r="49" spans="2:2" x14ac:dyDescent="0.35">
      <c r="B49" t="s">
        <v>515</v>
      </c>
    </row>
    <row r="50" spans="2:2" x14ac:dyDescent="0.35">
      <c r="B50" t="s">
        <v>517</v>
      </c>
    </row>
    <row r="51" spans="2:2" x14ac:dyDescent="0.35">
      <c r="B51" t="s">
        <v>516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20" workbookViewId="0">
      <selection activeCell="F27" sqref="F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7.25" customHeight="1" x14ac:dyDescent="0.4">
      <c r="A6" s="396" t="s">
        <v>518</v>
      </c>
      <c r="B6" s="396"/>
      <c r="C6" s="396"/>
      <c r="F6" s="85"/>
      <c r="G6" s="86"/>
      <c r="K6" s="368" t="s">
        <v>69</v>
      </c>
      <c r="L6" s="368"/>
      <c r="M6" s="368"/>
      <c r="N6" s="397" t="s">
        <v>510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310">
        <f>M16+N16+O16</f>
        <v>849.39434356461845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311">
        <f t="shared" si="5"/>
        <v>849.39434356461845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2098.5</v>
      </c>
      <c r="J25" s="274">
        <f>SUM(J16:J24)</f>
        <v>167.88</v>
      </c>
      <c r="K25" s="275">
        <f t="shared" si="10"/>
        <v>73.447500000000019</v>
      </c>
      <c r="L25" s="276">
        <f t="shared" si="10"/>
        <v>0</v>
      </c>
      <c r="M25" s="232">
        <f t="shared" si="10"/>
        <v>1857.1724999999999</v>
      </c>
      <c r="N25" s="233">
        <f>SUM(N16:N24)</f>
        <v>396.61016949152526</v>
      </c>
      <c r="O25" s="101">
        <f>SUM(O16:O24)</f>
        <v>11.268913347457627</v>
      </c>
      <c r="P25" s="113">
        <f>SUM(P16:P24)</f>
        <v>2265.0515828389825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2098.5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167.88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73.447500000000019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1857.1724999999999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2253.7826694915252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11.268913347457627</v>
      </c>
    </row>
    <row r="35" spans="2:16" ht="15.75" customHeight="1" thickBot="1" x14ac:dyDescent="0.4">
      <c r="N35" s="342" t="s">
        <v>88</v>
      </c>
      <c r="O35" s="343"/>
      <c r="P35" s="297">
        <f>+P33+P34</f>
        <v>2265.051582838983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508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503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8.75" customHeight="1" x14ac:dyDescent="0.4">
      <c r="A6" s="396" t="s">
        <v>504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505</v>
      </c>
      <c r="B4" s="367"/>
      <c r="C4" s="367"/>
      <c r="F4" s="85"/>
      <c r="G4" s="1"/>
      <c r="K4" s="368" t="s">
        <v>44</v>
      </c>
      <c r="L4" s="368"/>
      <c r="M4" s="368"/>
      <c r="N4" s="398">
        <v>46251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46250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511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511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513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512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46263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46262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2026-08-28T07:06:33Z</dcterms:modified>
</cp:coreProperties>
</file>