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3285962-4798-4DD9-937B-C1F20F103BED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1" i="51"/>
  <c r="M23" i="44"/>
  <c r="O23" i="44" s="1"/>
  <c r="P23" i="44" s="1"/>
  <c r="M16" i="44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<sst xmlns="http://schemas.openxmlformats.org/spreadsheetml/2006/main" count="3978" uniqueCount="529">
  <si>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</si>
  <si>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</si>
  <si>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</si>
  <si>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</si>
  <si>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</si>
  <si>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</si>
  <si>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</si>
  <si>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</si>
  <si>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</si>
  <si>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</si>
  <si>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</si>
  <si>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</si>
  <si>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</si>
  <si>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</si>
  <si>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</si>
  <si>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</si>
  <si>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</si>
  <si>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</si>
  <si>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</si>
  <si>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</si>
  <si>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</si>
  <si>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</si>
  <si>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</si>
  <si>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</si>
  <si>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</si>
  <si>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</si>
  <si>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</si>
  <si>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</si>
  <si>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</si>
  <si>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</si>
  <si>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</si>
  <si>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</si>
  <si>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</si>
  <si>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</si>
  <si>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</si>
  <si>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</si>
  <si>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</si>
  <si>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</si>
  <si>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</si>
  <si>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</si>
  <si>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</si>
  <si>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</si>
  <si>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</si>
  <si>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</si>
  <si>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</si>
  <si>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</si>
  <si>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</si>
  <si>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</si>
  <si>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</si>
  <si>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</si>
  <si>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</si>
  <si>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</si>
  <si>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</si>
  <si>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</si>
  <si>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</si>
  <si>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</si>
  <si>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</si>
  <si>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</si>
  <si>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</si>
  <si>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</si>
  <si>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</si>
  <si>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</si>
  <si>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</si>
  <si>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</si>
  <si>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</si>
  <si>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</si>
  <si>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</si>
  <si>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</si>
  <si>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</si>
  <si>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</si>
  <si>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</si>
  <si>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</si>
  <si>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</si>
  <si>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</si>
  <si>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</si>
  <si>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</si>
  <si>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</si>
  <si>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</si>
  <si>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</si>
  <si>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</si>
  <si>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</si>
  <si>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</si>
  <si>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</si>
  <si>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</si>
  <si>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</si>
  <si>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</si>
  <si>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</si>
  <si>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</si>
  <si>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</si>
  <si>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</si>
  <si>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</si>
  <si>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</si>
  <si>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</si>
  <si>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</si>
  <si>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</si>
  <si>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</si>
  <si>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</si>
  <si>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</si>
  <si>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</si>
  <si>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</si>
  <si>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</si>
  <si>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</si>
  <si>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</si>
  <si>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</si>
  <si>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</si>
  <si>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</si>
  <si>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</si>
  <si>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</si>
  <si>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</si>
  <si>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</si>
  <si>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</si>
  <si>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</si>
  <si>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</si>
  <si>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</si>
  <si>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</si>
  <si>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</si>
  <si>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</si>
  <si>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</si>
  <si>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</si>
  <si>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</si>
  <si>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</si>
  <si>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</si>
  <si>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</si>
  <si>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</si>
  <si>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</si>
  <si>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</si>
  <si>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</si>
  <si>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</si>
  <si>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</si>
  <si>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</si>
  <si>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</si>
  <si>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</si>
  <si>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</si>
  <si>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</si>
  <si>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</si>
  <si>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</si>
  <si>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</si>
  <si>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</si>
  <si>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</si>
  <si>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</si>
  <si>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</si>
  <si>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</si>
  <si>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</si>
  <si>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</si>
  <si>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</si>
  <si>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</si>
  <si>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</si>
  <si>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</si>
  <si>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</si>
  <si>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</si>
  <si>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</si>
  <si>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</si>
  <si>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</si>
  <si>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</si>
  <si>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</si>
  <si>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</si>
  <si>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</si>
  <si>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</si>
  <si>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</si>
  <si>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</si>
  <si>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</si>
  <si>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</si>
  <si>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</si>
  <si>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</si>
  <si>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</si>
  <si>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</si>
  <si>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</si>
  <si>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</si>
  <si>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</si>
  <si>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</si>
  <si>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</si>
  <si>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</si>
  <si>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</si>
  <si>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</si>
  <si>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</si>
  <si>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</si>
  <si>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</si>
  <si>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</si>
  <si>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</si>
  <si>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</si>
  <si>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</si>
  <si>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</si>
  <si>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</si>
  <si>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</si>
  <si>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</si>
  <si>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</si>
  <si>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</si>
  <si>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</si>
  <si>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</si>
  <si>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</si>
  <si>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</si>
  <si>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</si>
  <si>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</si>
  <si>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</si>
  <si>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</si>
  <si>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</si>
  <si>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</si>
  <si>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</si>
  <si>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</si>
  <si>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</si>
  <si>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</si>
  <si>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</si>
  <si>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</si>
  <si>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</si>
  <si>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</si>
  <si>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</si>
  <si>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</si>
  <si>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</si>
  <si>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</si>
  <si>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</si>
  <si>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</si>
  <si>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</si>
  <si>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</si>
  <si>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</si>
  <si>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</si>
  <si>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</si>
  <si>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</si>
  <si>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</si>
  <si>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</si>
  <si>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</si>
  <si>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</si>
  <si>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</si>
  <si>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</si>
  <si>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</si>
  <si>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</si>
  <si>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</si>
  <si>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</si>
  <si>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</si>
  <si>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</si>
  <si>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</si>
  <si>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</si>
  <si>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</si>
  <si>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</si>
  <si>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</si>
  <si>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</si>
  <si>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</si>
  <si>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</si>
  <si>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</si>
  <si>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</si>
  <si>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</si>
  <si>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</si>
  <si>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</si>
  <si>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</si>
  <si>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</si>
  <si>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</si>
  <si>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</si>
  <si>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</si>
  <si>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</si>
  <si>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</si>
  <si>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</si>
  <si>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</si>
  <si>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</si>
  <si>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</si>
  <si>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</si>
  <si>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</si>
  <si>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</si>
  <si>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</si>
  <si>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</si>
  <si>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</si>
  <si>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</si>
  <si>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</si>
  <si>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</si>
  <si>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</si>
  <si>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</si>
  <si>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</si>
  <si>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</si>
  <si>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</si>
  <si>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</si>
  <si>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</si>
  <si>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</si>
  <si>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</si>
  <si>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</si>
  <si>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</si>
  <si>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</si>
  <si>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</si>
  <si>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</si>
  <si>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</si>
  <si>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</si>
  <si>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</si>
  <si>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</si>
  <si>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</si>
  <si>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</si>
  <si>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</si>
  <si>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</si>
  <si>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</si>
  <si>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</si>
  <si>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</si>
  <si>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</si>
  <si>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</si>
  <si>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</si>
  <si>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</si>
  <si>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</si>
  <si>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</si>
  <si>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</si>
  <si>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</si>
  <si>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</si>
  <si>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</si>
  <si>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</si>
  <si>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</si>
  <si>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</si>
  <si>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</si>
  <si>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</si>
  <si>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</si>
  <si>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</si>
  <si>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</si>
  <si>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</si>
  <si>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</si>
  <si>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</si>
  <si>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</si>
  <si>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</si>
  <si>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</si>
  <si>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</si>
  <si>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</si>
  <si>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</si>
  <si>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</si>
  <si>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</si>
  <si>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</si>
  <si>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</si>
  <si>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</si>
  <si>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</si>
  <si>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</si>
  <si>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</si>
  <si>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</si>
  <si>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</si>
  <si>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</si>
  <si>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</si>
  <si>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</si>
  <si>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</si>
  <si>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</si>
  <si>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</si>
  <si>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</si>
  <si>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</si>
  <si>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</si>
  <si>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</si>
  <si>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</si>
  <si>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</si>
  <si>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</si>
  <si>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</si>
  <si>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</si>
  <si>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</si>
  <si>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</si>
  <si>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</si>
  <si>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</si>
  <si>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</si>
  <si>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</si>
  <si>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</si>
  <si>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</si>
  <si>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</si>
  <si>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</si>
  <si>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</si>
  <si>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</si>
  <si>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</si>
  <si>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</si>
  <si>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</si>
  <si>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</si>
  <si>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</si>
  <si>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</si>
  <si>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</si>
  <si>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</si>
  <si>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</si>
  <si>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</si>
  <si>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</si>
  <si>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</si>
  <si>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</si>
  <si>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</si>
  <si>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</si>
  <si>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</si>
  <si>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</si>
  <si>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</si>
  <si>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</si>
  <si>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</si>
  <si>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</si>
  <si>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</si>
  <si>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</si>
  <si>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</si>
  <si>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</si>
  <si>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</si>
  <si>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</si>
  <si>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</si>
  <si>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</si>
  <si>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</si>
  <si>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</si>
  <si>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</si>
  <si>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</si>
  <si>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</si>
  <si>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</si>
  <si>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</si>
  <si>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</si>
  <si>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</si>
  <si>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</si>
  <si>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</si>
  <si>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</si>
  <si>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</si>
  <si>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</si>
  <si>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</si>
  <si>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</si>
  <si>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</si>
  <si>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</si>
  <si>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</si>
  <si>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</si>
  <si>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</si>
  <si>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</si>
  <si>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</si>
  <si>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</si>
  <si>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</si>
  <si>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</si>
  <si>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</si>
  <si>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</si>
  <si>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</si>
  <si>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</si>
  <si>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</si>
  <si>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</si>
  <si>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</si>
  <si>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</si>
  <si>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</si>
  <si>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</si>
  <si>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</si>
  <si>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</si>
  <si>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</si>
  <si>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</si>
  <si>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</si>
  <si>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</si>
  <si>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</si>
  <si>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</si>
  <si>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</si>
  <si>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</si>
  <si>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</si>
  <si>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</si>
  <si>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</si>
  <si>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</si>
  <si>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</si>
  <si>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</si>
  <si>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</si>
  <si>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</si>
  <si>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</si>
  <si>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</si>
  <si>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</si>
  <si>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</si>
  <si>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</si>
  <si>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</si>
  <si>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</si>
  <si>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</si>
  <si>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</si>
  <si>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</si>
  <si>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</si>
  <si>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</si>
  <si>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</si>
  <si>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</si>
  <si>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</si>
  <si>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</si>
  <si>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</si>
  <si>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</si>
  <si>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</si>
  <si>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</si>
  <si>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</si>
  <si>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</si>
  <si>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</si>
  <si>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</si>
  <si>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</si>
  <si>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</si>
  <si>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</si>
  <si>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</si>
  <si>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</si>
  <si>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</si>
  <si>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</si>
  <si>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</si>
  <si>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</si>
  <si>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</si>
  <si>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</si>
  <si>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</si>
  <si>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</si>
  <si>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</si>
  <si>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</si>
  <si>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</si>
  <si>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</si>
  <si>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</si>
  <si>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</si>
  <si>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</si>
  <si>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</si>
  <si>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</si>
  <si>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</si>
  <si>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</si>
  <si>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</si>
  <si>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</si>
  <si>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</si>
  <si>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</si>
  <si>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</si>
  <si>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</si>
  <si>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</si>
  <si>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</si>
  <si>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</si>
  <si>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</si>
  <si>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</si>
  <si>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</si>
  <si>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</si>
  <si>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</si>
  <si>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</si>
  <si>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</si>
  <si>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</si>
  <si>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</si>
  <si>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</si>
  <si>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</si>
  <si>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</si>
  <si>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</si>
  <si>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</si>
  <si>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</si>
  <si>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</si>
  <si>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</si>
  <si>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</si>
  <si>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</si>
  <si>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</si>
  <si>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</si>
  <si>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</si>
  <si>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</si>
  <si>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</si>
  <si>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Zeshan </t>
  </si>
  <si>
    <t xml:space="preserve">Besta Mart </t>
  </si>
  <si>
    <t>Address: Bedian Road</t>
  </si>
  <si>
    <t>Fakhir Store</t>
  </si>
  <si>
    <t>Malik Store</t>
  </si>
  <si>
    <t>Saleem Store</t>
  </si>
  <si>
    <t>Hafiz Store</t>
  </si>
  <si>
    <t>MHT Store</t>
  </si>
  <si>
    <t xml:space="preserve">Al Mazz Cash N Carry </t>
  </si>
  <si>
    <t xml:space="preserve">Iqbal Mart </t>
  </si>
  <si>
    <t xml:space="preserve">Luqman Bakers </t>
  </si>
  <si>
    <t>Hikma Store</t>
  </si>
  <si>
    <t xml:space="preserve">Mian Bakers </t>
  </si>
  <si>
    <t>Yaseen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</si>
</sst>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7" workbookViewId="0">
      <selection activeCell="U9" sqref="U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515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511</v>
      </c>
      <c r="F3" s="358"/>
      <c r="G3" s="358"/>
      <c r="H3" s="355">
        <f ca="1">TODAY()</f>
        <v>46251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Besta Mart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Fakhir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Malik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Saleem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5571.5174999999999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33.80674004237288</v>
      </c>
      <c r="P7" s="310">
        <f>M7+N7+O7</f>
        <v>6795.1547485169476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Hafiz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5571.5174999999999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33.80674004237288</v>
      </c>
      <c r="P8" s="311">
        <f t="shared" ref="P8:P15" si="2">M8+N8+O8</f>
        <v>6795.1547485169476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MHT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Yaseen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170</v>
      </c>
      <c r="I10" s="236">
        <f t="shared" si="0"/>
        <v>12348.8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987.904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432.20800000000003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10928.687999999998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2333.898305084746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66.312931525423735</v>
      </c>
      <c r="P10" s="311">
        <f t="shared" si="2"/>
        <v>13328.899236610168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Saleem Store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7714.3679999999995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46.809128135593227</v>
      </c>
      <c r="P11" s="311">
        <f t="shared" si="2"/>
        <v>9408.6347552542375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Malik Store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929.79200000000003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10285.824000000001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62.412170847457631</v>
      </c>
      <c r="P12" s="311">
        <f t="shared" si="2"/>
        <v>12544.846340338983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Fakhir Store</v>
      </c>
      <c r="T12" s="301">
        <f>+'10'!P35</f>
        <v>417.29447837288137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313.84000000000009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320.11680000000001</v>
      </c>
      <c r="M13" s="230">
        <f t="shared" si="1"/>
        <v>5423.1552000000011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33.217470915254239</v>
      </c>
      <c r="P13" s="311">
        <f t="shared" si="2"/>
        <v>6676.7116539661019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40</v>
      </c>
      <c r="R13" s="314">
        <v>11</v>
      </c>
      <c r="S13" s="300" t="str">
        <f>+'11'!A6:A6</f>
        <v xml:space="preserve">Mian Bakers </v>
      </c>
      <c r="T13" s="301">
        <f>+'11'!P35</f>
        <v>417.29447837288137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Al Mazz Cash N Carry </v>
      </c>
      <c r="T14" s="301">
        <f>+'12'!P35</f>
        <v>31215.831668847459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Iqbal Mart </v>
      </c>
      <c r="T15" s="301">
        <f>+'13'!P35</f>
        <v>392.02644813559323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21.25</v>
      </c>
      <c r="H16" s="113">
        <f t="shared" ref="H16:M16" si="3">SUM(H7:H15)</f>
        <v>850</v>
      </c>
      <c r="I16" s="114">
        <f t="shared" si="3"/>
        <v>51555.8</v>
      </c>
      <c r="J16" s="274">
        <f>SUM(J7:J15)</f>
        <v>3936.1600000000003</v>
      </c>
      <c r="K16" s="275">
        <f t="shared" si="3"/>
        <v>1804.4530000000002</v>
      </c>
      <c r="L16" s="276">
        <f t="shared" si="3"/>
        <v>320.11680000000001</v>
      </c>
      <c r="M16" s="232">
        <f t="shared" si="3"/>
        <v>45495.070199999995</v>
      </c>
      <c r="N16" s="233">
        <f>SUM(N7:N15)</f>
        <v>9777.966101694914</v>
      </c>
      <c r="O16" s="101">
        <f>SUM(O7:O15)</f>
        <v>276.36518150847462</v>
      </c>
      <c r="P16" s="113">
        <f>SUM(P7:P15)</f>
        <v>55549.401483203386</v>
      </c>
      <c r="Q16" s="128">
        <f>SUM(Q7:Q15)</f>
        <v>40</v>
      </c>
      <c r="R16" s="314">
        <v>14</v>
      </c>
      <c r="S16" s="300" t="str">
        <f>+'14'!A6:A6</f>
        <v xml:space="preserve">Luqman Bakers </v>
      </c>
      <c r="T16" s="301">
        <f>+'14'!P35</f>
        <v>6272.4231701694916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Hikma Store</v>
      </c>
      <c r="T17" s="301">
        <f>+'15'!P35</f>
        <v>15607.915834423729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51555.8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3936.1600000000003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2124.5698000000002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45495.070200000002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9777.966101694914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55273.036301694912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276.36518150847462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55549.401483203386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55549.401483203394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8.7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363.2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29.056000000000001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12.712000000000002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321.43200000000002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390.07606779661018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2" t="s">
        <v>88</v>
      </c>
      <c r="O35" s="343"/>
      <c r="P35" s="297">
        <f>+P33+P34</f>
        <v>392.02644813559323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310">
        <f>M16+N16+O16</f>
        <v>4530.103165677966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311">
        <f t="shared" ref="P17:P24" si="5">M17+N17+O17</f>
        <v>4530.103165677966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311">
        <f t="shared" si="5"/>
        <v>6272.4231701694916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480</v>
      </c>
      <c r="I25" s="114">
        <f t="shared" si="7"/>
        <v>28966.000000000004</v>
      </c>
      <c r="J25" s="274">
        <f>SUM(J16:J24)</f>
        <v>2223.1280000000002</v>
      </c>
      <c r="K25" s="275">
        <f t="shared" si="7"/>
        <v>1013.8100000000002</v>
      </c>
      <c r="L25" s="276">
        <f t="shared" si="7"/>
        <v>160.05840000000001</v>
      </c>
      <c r="M25" s="232">
        <f t="shared" si="7"/>
        <v>25569.003600000004</v>
      </c>
      <c r="N25" s="233">
        <f>SUM(N16:N24)</f>
        <v>5491.5254237288118</v>
      </c>
      <c r="O25" s="101">
        <f>SUM(O16:O24)</f>
        <v>155.30264511864405</v>
      </c>
      <c r="P25" s="113">
        <f>SUM(P16:P24)</f>
        <v>31215.831668847459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28966.000000000004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2223.1280000000002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1173.8684000000003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25569.003600000004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5491.5254237288118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31060.529023728814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155.30264511864408</v>
      </c>
    </row>
    <row r="35" spans="2:16" ht="15.75" customHeight="1" thickBot="1" x14ac:dyDescent="0.4">
      <c r="N35" s="342" t="s">
        <v>88</v>
      </c>
      <c r="O35" s="343"/>
      <c r="P35" s="297">
        <f>+P33+P34</f>
        <v>31215.831668847459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363.2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29.056000000000001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12.712000000000002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321.43200000000002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390.07606779661018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2" t="s">
        <v>88</v>
      </c>
      <c r="O35" s="343"/>
      <c r="P35" s="297">
        <f>+P33+P34</f>
        <v>392.02644813559323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2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240</v>
      </c>
      <c r="I25" s="114">
        <f t="shared" si="7"/>
        <v>14483.000000000002</v>
      </c>
      <c r="J25" s="274">
        <f>SUM(J16:J24)</f>
        <v>1111.5640000000001</v>
      </c>
      <c r="K25" s="275">
        <f t="shared" si="7"/>
        <v>506.90500000000009</v>
      </c>
      <c r="L25" s="276">
        <f t="shared" si="7"/>
        <v>80.029200000000003</v>
      </c>
      <c r="M25" s="232">
        <f t="shared" si="7"/>
        <v>12784.501800000002</v>
      </c>
      <c r="N25" s="233">
        <f>SUM(N16:N24)</f>
        <v>2745.7627118644059</v>
      </c>
      <c r="O25" s="101">
        <f>SUM(O16:O24)</f>
        <v>77.651322559322026</v>
      </c>
      <c r="P25" s="113">
        <f>SUM(P16:P24)</f>
        <v>15607.915834423729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14483.000000000002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1111.5640000000001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586.93420000000015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12784.501800000002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2745.7627118644059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15530.264511864407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77.65132255932204</v>
      </c>
    </row>
    <row r="35" spans="2:16" ht="15.75" customHeight="1" thickBot="1" x14ac:dyDescent="0.4">
      <c r="N35" s="342" t="s">
        <v>88</v>
      </c>
      <c r="O35" s="343"/>
      <c r="P35" s="297">
        <f>+P33+P34</f>
        <v>15607.915834423729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2026-08-17T12:40:43Z</dcterms:modified>
</cp:coreProperties>
</file>