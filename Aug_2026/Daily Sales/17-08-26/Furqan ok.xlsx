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5DDF8B2-AE8B-4A4F-ACBD-87F34712885B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<sst xmlns="http://schemas.openxmlformats.org/spreadsheetml/2006/main" count="3978" uniqueCount="522">
  <si>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</si>
  <si>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</si>
  <si>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</si>
  <si>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</si>
  <si>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</si>
  <si>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</si>
  <si>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</si>
  <si>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</si>
  <si>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</si>
  <si>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</si>
  <si>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</si>
  <si>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</si>
  <si>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</si>
  <si>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</si>
  <si>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</si>
  <si>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</si>
  <si>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</si>
  <si>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</si>
  <si>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</si>
  <si>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</si>
  <si>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</si>
  <si>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</si>
  <si>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</si>
  <si>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</si>
  <si>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</si>
  <si>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</si>
  <si>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</si>
  <si>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</si>
  <si>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</si>
  <si>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</si>
  <si>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</si>
  <si>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</si>
  <si>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</si>
  <si>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</si>
  <si>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</si>
  <si>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</si>
  <si>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</si>
  <si>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</si>
  <si>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</si>
  <si>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</si>
  <si>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</si>
  <si>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</si>
  <si>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</si>
  <si>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</si>
  <si>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</si>
  <si>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</si>
  <si>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</si>
  <si>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</si>
  <si>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</si>
  <si>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</si>
  <si>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</si>
  <si>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</si>
  <si>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</si>
  <si>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</si>
  <si>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</si>
  <si>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</si>
  <si>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</si>
  <si>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</si>
  <si>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</si>
  <si>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</si>
  <si>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</si>
  <si>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</si>
  <si>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</si>
  <si>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</si>
  <si>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</si>
  <si>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</si>
  <si>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</si>
  <si>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</si>
  <si>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</si>
  <si>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</si>
  <si>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</si>
  <si>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</si>
  <si>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</si>
  <si>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</si>
  <si>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</si>
  <si>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</si>
  <si>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</si>
  <si>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</si>
  <si>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</si>
  <si>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</si>
  <si>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</si>
  <si>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</si>
  <si>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</si>
  <si>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</si>
  <si>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</si>
  <si>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</si>
  <si>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</si>
  <si>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</si>
  <si>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</si>
  <si>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</si>
  <si>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</si>
  <si>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</si>
  <si>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</si>
  <si>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</si>
  <si>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</si>
  <si>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</si>
  <si>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</si>
  <si>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</si>
  <si>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</si>
  <si>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</si>
  <si>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</si>
  <si>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</si>
  <si>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</si>
  <si>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</si>
  <si>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</si>
  <si>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</si>
  <si>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</si>
  <si>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</si>
  <si>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</si>
  <si>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</si>
  <si>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</si>
  <si>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</si>
  <si>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</si>
  <si>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</si>
  <si>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</si>
  <si>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</si>
  <si>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</si>
  <si>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</si>
  <si>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</si>
  <si>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</si>
  <si>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</si>
  <si>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</si>
  <si>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</si>
  <si>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</si>
  <si>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</si>
  <si>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</si>
  <si>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</si>
  <si>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</si>
  <si>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</si>
  <si>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</si>
  <si>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</si>
  <si>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</si>
  <si>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</si>
  <si>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</si>
  <si>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</si>
  <si>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</si>
  <si>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</si>
  <si>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</si>
  <si>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</si>
  <si>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</si>
  <si>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</si>
  <si>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</si>
  <si>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</si>
  <si>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</si>
  <si>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</si>
  <si>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</si>
  <si>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</si>
  <si>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</si>
  <si>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</si>
  <si>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</si>
  <si>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</si>
  <si>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</si>
  <si>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</si>
  <si>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</si>
  <si>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</si>
  <si>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</si>
  <si>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</si>
  <si>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</si>
  <si>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</si>
  <si>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</si>
  <si>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</si>
  <si>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</si>
  <si>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</si>
  <si>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</si>
  <si>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</si>
  <si>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</si>
  <si>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</si>
  <si>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</si>
  <si>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</si>
  <si>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</si>
  <si>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</si>
  <si>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</si>
  <si>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</si>
  <si>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</si>
  <si>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</si>
  <si>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</si>
  <si>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</si>
  <si>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</si>
  <si>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</si>
  <si>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</si>
  <si>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</si>
  <si>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</si>
  <si>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</si>
  <si>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</si>
  <si>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</si>
  <si>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</si>
  <si>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</si>
  <si>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</si>
  <si>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</si>
  <si>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</si>
  <si>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</si>
  <si>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</si>
  <si>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</si>
  <si>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</si>
  <si>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</si>
  <si>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</si>
  <si>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</si>
  <si>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</si>
  <si>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</si>
  <si>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</si>
  <si>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</si>
  <si>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</si>
  <si>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</si>
  <si>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</si>
  <si>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</si>
  <si>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</si>
  <si>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</si>
  <si>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</si>
  <si>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</si>
  <si>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</si>
  <si>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</si>
  <si>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</si>
  <si>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</si>
  <si>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</si>
  <si>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</si>
  <si>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</si>
  <si>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</si>
  <si>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</si>
  <si>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</si>
  <si>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</si>
  <si>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</si>
  <si>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</si>
  <si>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</si>
  <si>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</si>
  <si>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</si>
  <si>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</si>
  <si>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</si>
  <si>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</si>
  <si>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</si>
  <si>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</si>
  <si>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</si>
  <si>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</si>
  <si>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</si>
  <si>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</si>
  <si>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</si>
  <si>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</si>
  <si>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</si>
  <si>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</si>
  <si>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</si>
  <si>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</si>
  <si>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</si>
  <si>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</si>
  <si>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</si>
  <si>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</si>
  <si>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</si>
  <si>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</si>
  <si>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</si>
  <si>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</si>
  <si>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</si>
  <si>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</si>
  <si>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</si>
  <si>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</si>
  <si>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</si>
  <si>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</si>
  <si>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</si>
  <si>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</si>
  <si>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</si>
  <si>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</si>
  <si>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</si>
  <si>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</si>
  <si>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</si>
  <si>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</si>
  <si>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</si>
  <si>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</si>
  <si>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</si>
  <si>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</si>
  <si>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</si>
  <si>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</si>
  <si>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</si>
  <si>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</si>
  <si>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</si>
  <si>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</si>
  <si>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</si>
  <si>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</si>
  <si>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</si>
  <si>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</si>
  <si>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</si>
  <si>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</si>
  <si>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</si>
  <si>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</si>
  <si>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</si>
  <si>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</si>
  <si>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</si>
  <si>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</si>
  <si>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</si>
  <si>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</si>
  <si>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</si>
  <si>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</si>
  <si>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</si>
  <si>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</si>
  <si>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</si>
  <si>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</si>
  <si>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</si>
  <si>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</si>
  <si>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</si>
  <si>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</si>
  <si>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</si>
  <si>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</si>
  <si>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</si>
  <si>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</si>
  <si>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</si>
  <si>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</si>
  <si>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</si>
  <si>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</si>
  <si>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</si>
  <si>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</si>
  <si>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</si>
  <si>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</si>
  <si>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</si>
  <si>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</si>
  <si>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</si>
  <si>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</si>
  <si>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</si>
  <si>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</si>
  <si>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</si>
  <si>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</si>
  <si>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</si>
  <si>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</si>
  <si>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</si>
  <si>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</si>
  <si>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</si>
  <si>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</si>
  <si>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</si>
  <si>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</si>
  <si>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</si>
  <si>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</si>
  <si>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</si>
  <si>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</si>
  <si>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</si>
  <si>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</si>
  <si>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</si>
  <si>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</si>
  <si>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</si>
  <si>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</si>
  <si>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</si>
  <si>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</si>
  <si>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</si>
  <si>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</si>
  <si>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</si>
  <si>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</si>
  <si>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</si>
  <si>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</si>
  <si>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</si>
  <si>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</si>
  <si>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</si>
  <si>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</si>
  <si>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</si>
  <si>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</si>
  <si>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</si>
  <si>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</si>
  <si>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</si>
  <si>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</si>
  <si>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</si>
  <si>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</si>
  <si>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</si>
  <si>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</si>
  <si>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</si>
  <si>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</si>
  <si>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</si>
  <si>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</si>
  <si>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</si>
  <si>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</si>
  <si>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</si>
  <si>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</si>
  <si>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</si>
  <si>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</si>
  <si>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</si>
  <si>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</si>
  <si>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</si>
  <si>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</si>
  <si>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</si>
  <si>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</si>
  <si>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</si>
  <si>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</si>
  <si>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</si>
  <si>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</si>
  <si>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</si>
  <si>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</si>
  <si>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</si>
  <si>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</si>
  <si>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</si>
  <si>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</si>
  <si>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</si>
  <si>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</si>
  <si>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</si>
  <si>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</si>
  <si>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</si>
  <si>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</si>
  <si>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</si>
  <si>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</si>
  <si>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</si>
  <si>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</si>
  <si>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</si>
  <si>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</si>
  <si>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</si>
  <si>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</si>
  <si>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</si>
  <si>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</si>
  <si>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</si>
  <si>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</si>
  <si>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</si>
  <si>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</si>
  <si>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</si>
  <si>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</si>
  <si>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</si>
  <si>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</si>
  <si>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</si>
  <si>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</si>
  <si>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</si>
  <si>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</si>
  <si>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</si>
  <si>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</si>
  <si>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</si>
  <si>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</si>
  <si>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</si>
  <si>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</si>
  <si>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</si>
  <si>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</si>
  <si>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</si>
  <si>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</si>
  <si>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</si>
  <si>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</si>
  <si>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</si>
  <si>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</si>
  <si>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</si>
  <si>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</si>
  <si>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</si>
  <si>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</si>
  <si>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</si>
  <si>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</si>
  <si>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</si>
  <si>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</si>
  <si>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</si>
  <si>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</si>
  <si>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</si>
  <si>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</si>
  <si>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</si>
  <si>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</si>
  <si>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</si>
  <si>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</si>
  <si>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</si>
  <si>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</si>
  <si>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</si>
  <si>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</si>
  <si>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</si>
  <si>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</si>
  <si>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</si>
  <si>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</si>
  <si>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</si>
  <si>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</si>
  <si>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</si>
  <si>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</si>
  <si>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</si>
  <si>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</si>
  <si>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</si>
  <si>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</si>
  <si>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</si>
  <si>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</si>
  <si>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</si>
  <si>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</si>
  <si>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</si>
  <si>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</si>
  <si>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</si>
  <si>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</si>
  <si>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</si>
  <si>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</si>
  <si>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</si>
  <si>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</si>
  <si>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</si>
  <si>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</si>
  <si>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</si>
  <si>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</si>
  <si>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</si>
  <si>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</si>
  <si>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</si>
  <si>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</si>
  <si>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</si>
  <si>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</si>
  <si>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</si>
  <si>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</si>
  <si>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</si>
  <si>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</si>
  <si>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</si>
  <si>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</si>
  <si>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</si>
  <si>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</si>
  <si>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</si>
  <si>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</si>
  <si>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</si>
  <si>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</si>
  <si>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</si>
  <si>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</si>
  <si>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</si>
  <si>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</si>
  <si>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</si>
  <si>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</si>
  <si>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</si>
  <si>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</si>
  <si>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</si>
  <si>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</si>
  <si>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</si>
  <si>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</si>
  <si>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</si>
  <si>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</si>
  <si>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</si>
  <si>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</si>
  <si>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</si>
  <si>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</si>
  <si>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</si>
  <si>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</si>
  <si>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</si>
  <si>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</si>
  <si>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</si>
  <si>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</si>
  <si>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 xml:space="preserve">Jibran Iqbal </t>
  </si>
  <si>
    <t>Furqan</t>
  </si>
  <si>
    <t>786 Store</t>
  </si>
  <si>
    <t>Address: Ghazi Road</t>
  </si>
  <si>
    <t xml:space="preserve">Haji Umer </t>
  </si>
  <si>
    <t>Khan Store</t>
  </si>
  <si>
    <t>Makeen Store</t>
  </si>
  <si>
    <t>Data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</si>
</sst>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" workbookViewId="0">
      <selection activeCell="A14" sqref="A1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515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46251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786 Store</v>
      </c>
      <c r="T3" s="301">
        <f>+'1'!P35</f>
        <v>825.35029333093212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Haji Umer </v>
      </c>
      <c r="T4" s="301">
        <f>+'2'!P35</f>
        <v>590.13442444957616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Khan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Makeen Store</v>
      </c>
      <c r="T6" s="301">
        <f>+'4'!P35</f>
        <v>940.86347552542372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Data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87.168000000000006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5.8511410169491533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</v>
      </c>
      <c r="I13" s="236">
        <f t="shared" si="0"/>
        <v>470.76000000000005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23.538000000000004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16.476600000000005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24.008760000000002</v>
      </c>
      <c r="M13" s="230">
        <f t="shared" si="1"/>
        <v>406.73664000000002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91.525423728813507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2.4913103186440675</v>
      </c>
      <c r="P13" s="311">
        <f t="shared" si="2"/>
        <v>500.75337404745761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24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0.97499999999999998</v>
      </c>
      <c r="H16" s="113">
        <f t="shared" ref="H16:M16" si="3">SUM(H7:H15)</f>
        <v>39</v>
      </c>
      <c r="I16" s="114">
        <f t="shared" si="3"/>
        <v>2189.91</v>
      </c>
      <c r="J16" s="274">
        <f>SUM(J7:J15)</f>
        <v>161.07000000000002</v>
      </c>
      <c r="K16" s="275">
        <f t="shared" si="3"/>
        <v>76.646850000000001</v>
      </c>
      <c r="L16" s="276">
        <f t="shared" si="3"/>
        <v>24.008760000000002</v>
      </c>
      <c r="M16" s="232">
        <f t="shared" si="3"/>
        <v>1928.1843899999999</v>
      </c>
      <c r="N16" s="233">
        <f>SUM(N7:N15)</f>
        <v>416.44067796610159</v>
      </c>
      <c r="O16" s="101">
        <f>SUM(O7:O15)</f>
        <v>11.72312533983051</v>
      </c>
      <c r="P16" s="113">
        <f>SUM(P7:P15)</f>
        <v>2356.3481933059325</v>
      </c>
      <c r="Q16" s="128">
        <f>SUM(Q7:Q15)</f>
        <v>24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2189.91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161.07000000000002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100.65561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1928.1843899999999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416.44067796610159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2344.6250679661016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11.72312533983051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2356.348193305932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2356.348193305932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activeCell="R29" sqref="R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7.2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7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15</v>
      </c>
      <c r="I25" s="114">
        <f t="shared" ref="I25:M25" si="10">SUM(I16:I24)</f>
        <v>768.07499999999993</v>
      </c>
      <c r="J25" s="274">
        <f>SUM(J16:J24)</f>
        <v>54.384600000000006</v>
      </c>
      <c r="K25" s="275">
        <f t="shared" si="10"/>
        <v>26.882625000000004</v>
      </c>
      <c r="L25" s="276">
        <f t="shared" si="10"/>
        <v>12.004380000000001</v>
      </c>
      <c r="M25" s="232">
        <f t="shared" si="10"/>
        <v>674.80339500000002</v>
      </c>
      <c r="N25" s="233">
        <f>SUM(N16:N24)</f>
        <v>146.44067796610165</v>
      </c>
      <c r="O25" s="101">
        <f>SUM(O16:O24)</f>
        <v>4.1062203648305085</v>
      </c>
      <c r="P25" s="113">
        <f>SUM(P16:P24)</f>
        <v>825.35029333093212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768.07499999999993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54.384600000000006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38.887005000000002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674.80339499999991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146.44067796610165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821.24407296610161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4.1062203648305085</v>
      </c>
    </row>
    <row r="35" spans="2:16" ht="15.75" customHeight="1" thickBot="1" x14ac:dyDescent="0.4">
      <c r="N35" s="342" t="s">
        <v>88</v>
      </c>
      <c r="O35" s="343"/>
      <c r="P35" s="297">
        <f>+P33+P34</f>
        <v>825.35029333093212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R29" sqref="R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550.15499999999997</v>
      </c>
      <c r="J25" s="274">
        <f>SUM(J16:J24)</f>
        <v>36.951000000000001</v>
      </c>
      <c r="K25" s="275">
        <f t="shared" si="7"/>
        <v>19.255425000000002</v>
      </c>
      <c r="L25" s="276">
        <f t="shared" si="7"/>
        <v>12.004380000000001</v>
      </c>
      <c r="M25" s="232">
        <f t="shared" si="7"/>
        <v>481.94419500000004</v>
      </c>
      <c r="N25" s="233">
        <f>SUM(N16:N24)</f>
        <v>105.25423728813554</v>
      </c>
      <c r="O25" s="101">
        <f>SUM(O16:O24)</f>
        <v>2.9359921614406774</v>
      </c>
      <c r="P25" s="113">
        <f>SUM(P16:P24)</f>
        <v>590.13442444957627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550.15499999999997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36.951000000000001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31.259805000000004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481.94419499999992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105.25423728813554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587.19843228813545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2.9359921614406774</v>
      </c>
    </row>
    <row r="35" spans="2:16" ht="15.75" customHeight="1" thickBot="1" x14ac:dyDescent="0.4">
      <c r="N35" s="342" t="s">
        <v>88</v>
      </c>
      <c r="O35" s="343"/>
      <c r="P35" s="297">
        <f>+P33+P34</f>
        <v>590.13442444957616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8.7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Q19" sqref="Q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871.68000000000006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69.734400000000008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30.508800000000004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771.43680000000006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936.18256271186442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2" t="s">
        <v>88</v>
      </c>
      <c r="O35" s="343"/>
      <c r="P35" s="297">
        <f>+P33+P34</f>
        <v>940.86347552542372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D18" sqref="D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46251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2026-08-17T12:19:51Z</dcterms:modified>
</cp:coreProperties>
</file>