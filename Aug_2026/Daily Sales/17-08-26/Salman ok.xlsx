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03AFED2-EA30-40EA-AF5D-A468411C1208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<sst xmlns="http://schemas.openxmlformats.org/spreadsheetml/2006/main" count="3978" uniqueCount="527">
  <si>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</si>
  <si>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</si>
  <si>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</si>
  <si>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</si>
  <si>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</si>
  <si>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</si>
  <si>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</si>
  <si>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</si>
  <si>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</si>
  <si>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</si>
  <si>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</si>
  <si>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</si>
  <si>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</si>
  <si>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</si>
  <si>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</si>
  <si>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</si>
  <si>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</si>
  <si>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</si>
  <si>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</si>
  <si>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</si>
  <si>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</si>
  <si>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</si>
  <si>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</si>
  <si>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</si>
  <si>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</si>
  <si>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</si>
  <si>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</si>
  <si>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</si>
  <si>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</si>
  <si>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</si>
  <si>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</si>
  <si>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</si>
  <si>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</si>
  <si>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</si>
  <si>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</si>
  <si>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</si>
  <si>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</si>
  <si>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</si>
  <si>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</si>
  <si>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</si>
  <si>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</si>
  <si>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</si>
  <si>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</si>
  <si>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</si>
  <si>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</si>
  <si>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</si>
  <si>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</si>
  <si>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</si>
  <si>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</si>
  <si>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</si>
  <si>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</si>
  <si>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</si>
  <si>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</si>
  <si>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</si>
  <si>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</si>
  <si>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</si>
  <si>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</si>
  <si>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</si>
  <si>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</si>
  <si>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</si>
  <si>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</si>
  <si>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</si>
  <si>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</si>
  <si>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</si>
  <si>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</si>
  <si>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</si>
  <si>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</si>
  <si>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</si>
  <si>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</si>
  <si>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</si>
  <si>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</si>
  <si>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</si>
  <si>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</si>
  <si>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</si>
  <si>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</si>
  <si>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</si>
  <si>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</si>
  <si>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</si>
  <si>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</si>
  <si>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</si>
  <si>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</si>
  <si>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</si>
  <si>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</si>
  <si>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</si>
  <si>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</si>
  <si>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</si>
  <si>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</si>
  <si>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</si>
  <si>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</si>
  <si>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</si>
  <si>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</si>
  <si>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</si>
  <si>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</si>
  <si>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</si>
  <si>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</si>
  <si>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</si>
  <si>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</si>
  <si>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</si>
  <si>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</si>
  <si>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</si>
  <si>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</si>
  <si>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</si>
  <si>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</si>
  <si>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</si>
  <si>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</si>
  <si>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</si>
  <si>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</si>
  <si>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</si>
  <si>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</si>
  <si>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</si>
  <si>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</si>
  <si>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</si>
  <si>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</si>
  <si>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</si>
  <si>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</si>
  <si>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</si>
  <si>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</si>
  <si>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</si>
  <si>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</si>
  <si>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</si>
  <si>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</si>
  <si>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</si>
  <si>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</si>
  <si>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</si>
  <si>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</si>
  <si>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</si>
  <si>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</si>
  <si>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</si>
  <si>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</si>
  <si>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</si>
  <si>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</si>
  <si>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</si>
  <si>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</si>
  <si>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</si>
  <si>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</si>
  <si>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</si>
  <si>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</si>
  <si>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</si>
  <si>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</si>
  <si>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</si>
  <si>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</si>
  <si>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</si>
  <si>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</si>
  <si>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</si>
  <si>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</si>
  <si>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</si>
  <si>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</si>
  <si>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</si>
  <si>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</si>
  <si>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</si>
  <si>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</si>
  <si>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</si>
  <si>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</si>
  <si>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</si>
  <si>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</si>
  <si>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</si>
  <si>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</si>
  <si>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</si>
  <si>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</si>
  <si>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</si>
  <si>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</si>
  <si>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</si>
  <si>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</si>
  <si>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</si>
  <si>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</si>
  <si>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</si>
  <si>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</si>
  <si>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</si>
  <si>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</si>
  <si>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</si>
  <si>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</si>
  <si>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</si>
  <si>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</si>
  <si>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</si>
  <si>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</si>
  <si>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</si>
  <si>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</si>
  <si>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</si>
  <si>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</si>
  <si>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</si>
  <si>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</si>
  <si>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</si>
  <si>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</si>
  <si>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</si>
  <si>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</si>
  <si>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</si>
  <si>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</si>
  <si>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</si>
  <si>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</si>
  <si>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</si>
  <si>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</si>
  <si>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</si>
  <si>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</si>
  <si>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</si>
  <si>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</si>
  <si>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</si>
  <si>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</si>
  <si>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</si>
  <si>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</si>
  <si>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</si>
  <si>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</si>
  <si>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</si>
  <si>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</si>
  <si>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</si>
  <si>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</si>
  <si>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</si>
  <si>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</si>
  <si>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</si>
  <si>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</si>
  <si>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</si>
  <si>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</si>
  <si>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</si>
  <si>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</si>
  <si>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</si>
  <si>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</si>
  <si>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</si>
  <si>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</si>
  <si>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</si>
  <si>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</si>
  <si>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</si>
  <si>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</si>
  <si>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</si>
  <si>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</si>
  <si>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</si>
  <si>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</si>
  <si>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</si>
  <si>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</si>
  <si>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</si>
  <si>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</si>
  <si>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</si>
  <si>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</si>
  <si>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</si>
  <si>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</si>
  <si>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</si>
  <si>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</si>
  <si>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</si>
  <si>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</si>
  <si>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</si>
  <si>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</si>
  <si>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</si>
  <si>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</si>
  <si>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</si>
  <si>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</si>
  <si>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</si>
  <si>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</si>
  <si>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</si>
  <si>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</si>
  <si>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</si>
  <si>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</si>
  <si>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</si>
  <si>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</si>
  <si>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</si>
  <si>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</si>
  <si>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</si>
  <si>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</si>
  <si>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</si>
  <si>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</si>
  <si>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</si>
  <si>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</si>
  <si>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</si>
  <si>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</si>
  <si>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</si>
  <si>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</si>
  <si>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</si>
  <si>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</si>
  <si>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</si>
  <si>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</si>
  <si>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</si>
  <si>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</si>
  <si>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</si>
  <si>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</si>
  <si>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</si>
  <si>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</si>
  <si>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</si>
  <si>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</si>
  <si>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</si>
  <si>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</si>
  <si>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</si>
  <si>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</si>
  <si>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</si>
  <si>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</si>
  <si>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</si>
  <si>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</si>
  <si>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</si>
  <si>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</si>
  <si>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</si>
  <si>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</si>
  <si>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</si>
  <si>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</si>
  <si>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</si>
  <si>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</si>
  <si>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</si>
  <si>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</si>
  <si>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</si>
  <si>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</si>
  <si>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</si>
  <si>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</si>
  <si>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</si>
  <si>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</si>
  <si>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</si>
  <si>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</si>
  <si>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</si>
  <si>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</si>
  <si>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</si>
  <si>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</si>
  <si>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</si>
  <si>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</si>
  <si>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</si>
  <si>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</si>
  <si>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</si>
  <si>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</si>
  <si>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</si>
  <si>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</si>
  <si>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</si>
  <si>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</si>
  <si>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</si>
  <si>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</si>
  <si>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</si>
  <si>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</si>
  <si>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</si>
  <si>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</si>
  <si>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</si>
  <si>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</si>
  <si>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</si>
  <si>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</si>
  <si>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</si>
  <si>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</si>
  <si>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</si>
  <si>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</si>
  <si>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</si>
  <si>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</si>
  <si>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</si>
  <si>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</si>
  <si>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</si>
  <si>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</si>
  <si>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</si>
  <si>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</si>
  <si>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</si>
  <si>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</si>
  <si>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</si>
  <si>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</si>
  <si>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</si>
  <si>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</si>
  <si>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</si>
  <si>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</si>
  <si>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</si>
  <si>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</si>
  <si>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</si>
  <si>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</si>
  <si>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</si>
  <si>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</si>
  <si>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</si>
  <si>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</si>
  <si>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</si>
  <si>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</si>
  <si>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</si>
  <si>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</si>
  <si>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</si>
  <si>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</si>
  <si>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</si>
  <si>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</si>
  <si>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</si>
  <si>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</si>
  <si>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</si>
  <si>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</si>
  <si>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</si>
  <si>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</si>
  <si>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</si>
  <si>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</si>
  <si>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</si>
  <si>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</si>
  <si>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</si>
  <si>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</si>
  <si>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</si>
  <si>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</si>
  <si>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</si>
  <si>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</si>
  <si>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</si>
  <si>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</si>
  <si>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</si>
  <si>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</si>
  <si>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</si>
  <si>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</si>
  <si>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</si>
  <si>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</si>
  <si>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</si>
  <si>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</si>
  <si>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</si>
  <si>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</si>
  <si>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</si>
  <si>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</si>
  <si>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</si>
  <si>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</si>
  <si>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</si>
  <si>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</si>
  <si>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</si>
  <si>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</si>
  <si>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</si>
  <si>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</si>
  <si>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</si>
  <si>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</si>
  <si>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</si>
  <si>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</si>
  <si>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</si>
  <si>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</si>
  <si>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</si>
  <si>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</si>
  <si>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</si>
  <si>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</si>
  <si>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</si>
  <si>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</si>
  <si>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</si>
  <si>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</si>
  <si>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</si>
  <si>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</si>
  <si>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</si>
  <si>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</si>
  <si>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</si>
  <si>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</si>
  <si>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</si>
  <si>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</si>
  <si>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</si>
  <si>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</si>
  <si>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</si>
  <si>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</si>
  <si>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</si>
  <si>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</si>
  <si>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</si>
  <si>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</si>
  <si>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</si>
  <si>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</si>
  <si>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</si>
  <si>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</si>
  <si>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</si>
  <si>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</si>
  <si>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</si>
  <si>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</si>
  <si>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</si>
  <si>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</si>
  <si>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</si>
  <si>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</si>
  <si>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</si>
  <si>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</si>
  <si>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</si>
  <si>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</si>
  <si>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</si>
  <si>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</si>
  <si>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</si>
  <si>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</si>
  <si>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</si>
  <si>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</si>
  <si>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</si>
  <si>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</si>
  <si>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</si>
  <si>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</si>
  <si>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</si>
  <si>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</si>
  <si>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</si>
  <si>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</si>
  <si>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</si>
  <si>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</si>
  <si>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</si>
  <si>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</si>
  <si>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</si>
  <si>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</si>
  <si>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</si>
  <si>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</si>
  <si>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</si>
  <si>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</si>
  <si>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</si>
  <si>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</si>
  <si>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</si>
  <si>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</si>
  <si>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</si>
  <si>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</si>
  <si>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</si>
  <si>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</si>
  <si>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</si>
  <si>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</si>
  <si>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</si>
  <si>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</si>
  <si>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</si>
  <si>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</si>
  <si>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</si>
  <si>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</si>
  <si>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</si>
  <si>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</si>
  <si>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</si>
  <si>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</si>
  <si>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</si>
  <si>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</si>
  <si>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</si>
  <si>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</si>
  <si>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</si>
  <si>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</si>
  <si>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</si>
  <si>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</si>
  <si>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</si>
  <si>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</si>
  <si>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</si>
  <si>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</si>
  <si>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</si>
  <si>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</si>
  <si>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</si>
  <si>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</si>
  <si>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</si>
  <si>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</si>
  <si>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</si>
  <si>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</si>
  <si>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</si>
  <si>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</si>
  <si>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</si>
  <si>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</si>
  <si>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</si>
  <si>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</si>
  <si>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</si>
  <si>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Address: Tajpura</t>
  </si>
  <si>
    <t>Salman</t>
  </si>
  <si>
    <t xml:space="preserve">AA Mart </t>
  </si>
  <si>
    <t xml:space="preserve">Ayyan Kareyana </t>
  </si>
  <si>
    <t xml:space="preserve">Mg Mart </t>
  </si>
  <si>
    <t xml:space="preserve">Data Ali Hajweri </t>
  </si>
  <si>
    <t xml:space="preserve">AH Mart </t>
  </si>
  <si>
    <t xml:space="preserve">Swera Bakers </t>
  </si>
  <si>
    <t>Faisal GS</t>
  </si>
  <si>
    <t>Gulam Rasool  Store 2</t>
  </si>
  <si>
    <t>Adil Bakers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</si>
</sst>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G34" sqref="G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517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46251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AA Mart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Ayyan Kareyana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Mg Mart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Data Ali Hajweri </v>
      </c>
      <c r="T6" s="301">
        <f>+'4'!P35</f>
        <v>2265.051582838983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35</v>
      </c>
      <c r="I7" s="235">
        <f>(G7*D7)*F7+H7*F7</f>
        <v>1836.1875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146.89499999999998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64.266562500000006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1625.0259375000001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347.03389830508456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9.8602991790254233</v>
      </c>
      <c r="P7" s="310">
        <f>M7+N7+O7</f>
        <v>1981.9201349841101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20</v>
      </c>
      <c r="R7" s="314">
        <v>5</v>
      </c>
      <c r="S7" s="300" t="str">
        <f>+'5'!A6:A6</f>
        <v xml:space="preserve">AH Mart 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36</v>
      </c>
      <c r="I8" s="236">
        <f t="shared" ref="I8:I14" si="0">(G8*D8)*F8+H8*F8</f>
        <v>1888.6499999999999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151.09199999999998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66.10275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1671.45525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356.94915254237276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10.142022012711863</v>
      </c>
      <c r="P8" s="311">
        <f t="shared" ref="P8:P15" si="2">M8+N8+O8</f>
        <v>2038.5464245550845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Swera Bakers </v>
      </c>
      <c r="T8" s="301">
        <f>+'6'!P35</f>
        <v>679.51547485169476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21</v>
      </c>
      <c r="I9" s="236">
        <f t="shared" si="0"/>
        <v>1101.7124999999999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88.137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38.559937500000004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975.01556249999987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208.22033898305074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5.9161795074152543</v>
      </c>
      <c r="P9" s="311">
        <f t="shared" si="2"/>
        <v>1189.1520809904659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20</v>
      </c>
      <c r="R9" s="314">
        <v>7</v>
      </c>
      <c r="S9" s="300" t="str">
        <f>+'7'!A6:A6</f>
        <v>Faisal GS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30</v>
      </c>
      <c r="I10" s="236">
        <f t="shared" si="0"/>
        <v>2179.1999999999998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174.33599999999998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76.272000000000006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1928.5919999999999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411.86440677966107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11.702282033898305</v>
      </c>
      <c r="P10" s="311">
        <f t="shared" si="2"/>
        <v>2352.1586888135594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25</v>
      </c>
      <c r="R10" s="314">
        <v>8</v>
      </c>
      <c r="S10" s="300" t="str">
        <f>+'8'!A6:A6</f>
        <v>Gulam Rasool  Store 2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25</v>
      </c>
      <c r="I11" s="236">
        <f t="shared" si="0"/>
        <v>1816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145.28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63.56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1607.16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343.22033898305085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9.7519016949152544</v>
      </c>
      <c r="P11" s="311">
        <f t="shared" si="2"/>
        <v>1960.1322406779661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4">
        <v>9</v>
      </c>
      <c r="S11" s="300" t="str">
        <f>+'9'!A6:A6</f>
        <v>Adil Bakers</v>
      </c>
      <c r="T11" s="301">
        <f>+'9'!P35</f>
        <v>3099.640539584746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25</v>
      </c>
      <c r="I12" s="236">
        <f t="shared" si="0"/>
        <v>1816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145.28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63.56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1607.16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343.22033898305085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9.7519016949152544</v>
      </c>
      <c r="P12" s="311">
        <f t="shared" si="2"/>
        <v>1960.1322406779661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35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32</v>
      </c>
      <c r="I13" s="236">
        <f t="shared" si="0"/>
        <v>1255.3600000000001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62.768000000000015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43.93760000000001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64.023359999999997</v>
      </c>
      <c r="M13" s="230">
        <f t="shared" si="1"/>
        <v>1084.6310400000002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244.06779661016935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6.6434941830508478</v>
      </c>
      <c r="P13" s="311">
        <f t="shared" si="2"/>
        <v>1335.3423307932203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5.0999999999999996</v>
      </c>
      <c r="H16" s="113">
        <f t="shared" ref="H16:M16" si="3">SUM(H7:H15)</f>
        <v>204</v>
      </c>
      <c r="I16" s="114">
        <f t="shared" si="3"/>
        <v>11893.11</v>
      </c>
      <c r="J16" s="274">
        <f>SUM(J7:J15)</f>
        <v>913.7879999999999</v>
      </c>
      <c r="K16" s="275">
        <f t="shared" si="3"/>
        <v>416.25885000000005</v>
      </c>
      <c r="L16" s="276">
        <f t="shared" si="3"/>
        <v>64.023359999999997</v>
      </c>
      <c r="M16" s="232">
        <f t="shared" si="3"/>
        <v>10499.039790000001</v>
      </c>
      <c r="N16" s="233">
        <f>SUM(N7:N15)</f>
        <v>2254.57627118644</v>
      </c>
      <c r="O16" s="101">
        <f>SUM(O7:O15)</f>
        <v>63.768080305932202</v>
      </c>
      <c r="P16" s="113">
        <f>SUM(P7:P15)</f>
        <v>12817.384141492372</v>
      </c>
      <c r="Q16" s="128">
        <f>SUM(Q7:Q15)</f>
        <v>120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11893.11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913.7879999999999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480.28221000000008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10499.039790000001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2254.57627118644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12753.61606118644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63.768080305932202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12817.384141492372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12817.384141492374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16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20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20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H17" sqref="H17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8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311">
        <f t="shared" ref="P17:P24" si="5">M17+N17+O17</f>
        <v>736.14176442266944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2098.5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167.88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73.447500000000005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1857.1724999999999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2253.7826694915252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1" t="s">
        <v>88</v>
      </c>
      <c r="O35" s="372"/>
      <c r="P35" s="297">
        <f>+P33+P34</f>
        <v>2265.051582838983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113">
        <f>SUM(P16:P24)</f>
        <v>679.51547485169488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629.54999999999995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50.363999999999997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22.03425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557.15174999999988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676.13480084745743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1" t="s">
        <v>88</v>
      </c>
      <c r="O35" s="372"/>
      <c r="P35" s="297">
        <f>+P33+P34</f>
        <v>679.51547485169476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H19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60</v>
      </c>
      <c r="I25" s="114">
        <f t="shared" si="7"/>
        <v>2883.1000000000004</v>
      </c>
      <c r="J25" s="274">
        <f>SUM(J16:J24)</f>
        <v>207.11</v>
      </c>
      <c r="K25" s="275">
        <f t="shared" si="7"/>
        <v>100.9085</v>
      </c>
      <c r="L25" s="276">
        <f t="shared" si="7"/>
        <v>40.014600000000002</v>
      </c>
      <c r="M25" s="232">
        <f t="shared" si="7"/>
        <v>2535.0669000000003</v>
      </c>
      <c r="N25" s="233">
        <f>SUM(N16:N24)</f>
        <v>549.15254237288104</v>
      </c>
      <c r="O25" s="101">
        <f>SUM(O16:O24)</f>
        <v>15.421097211864407</v>
      </c>
      <c r="P25" s="113">
        <f>SUM(P16:P24)</f>
        <v>3099.640539584746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2883.1000000000004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207.11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140.92310000000001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2535.0669000000003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549.15254237288104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3084.2194423728815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15.421097211864408</v>
      </c>
    </row>
    <row r="35" spans="2:16" ht="15.75" customHeight="1" thickBot="1" x14ac:dyDescent="0.4">
      <c r="N35" s="371" t="s">
        <v>88</v>
      </c>
      <c r="O35" s="372"/>
      <c r="P35" s="297">
        <f>+P33+P34</f>
        <v>3099.640539584746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2026-08-17T12:36:20Z</dcterms:modified>
</cp:coreProperties>
</file>