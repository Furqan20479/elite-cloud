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B673735-6B47-4B4F-BBF6-E8FB3CB6CAEA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6" l="1"/>
  <c r="L18" i="16"/>
  <c r="L19" i="16"/>
  <c r="L20" i="16"/>
  <c r="L21" i="16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18" i="15"/>
  <c r="M16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<sst xmlns="http://schemas.openxmlformats.org/spreadsheetml/2006/main" count="1580" uniqueCount="124">
  <si>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</si>
  <si>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</si>
  <si>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</si>
  <si>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</si>
  <si>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</si>
  <si>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</si>
  <si>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</si>
  <si>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</si>
  <si>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</si>
  <si>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</si>
  <si>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</si>
  <si>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</si>
  <si>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</si>
  <si>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</si>
  <si>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</si>
  <si>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</si>
  <si>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</si>
  <si>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</si>
  <si>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</si>
  <si>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</si>
  <si>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</si>
  <si>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</si>
  <si>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</si>
  <si>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</si>
  <si>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</si>
  <si>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</si>
  <si>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</si>
  <si>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</si>
  <si>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</si>
  <si>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</si>
  <si>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</si>
  <si>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</si>
  <si>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</si>
  <si>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</si>
  <si>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</si>
  <si>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</si>
  <si>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</si>
  <si>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</si>
  <si>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</si>
  <si>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</si>
  <si>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</si>
  <si>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</si>
  <si>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</si>
  <si>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</si>
  <si>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</si>
  <si>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</si>
  <si>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</si>
  <si>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</si>
  <si>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</si>
  <si>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</si>
  <si>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</si>
  <si>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</si>
  <si>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</si>
  <si>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</si>
  <si>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</si>
  <si>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</si>
  <si>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</si>
  <si>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</si>
  <si>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</si>
  <si>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</si>
  <si>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</si>
  <si>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</si>
  <si>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</si>
  <si>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</si>
  <si>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</si>
  <si>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</si>
  <si>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</si>
  <si>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</si>
  <si>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</si>
  <si>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</si>
  <si>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</si>
  <si>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</si>
  <si>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</si>
  <si>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</si>
  <si>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</si>
  <si>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</si>
  <si>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</si>
  <si>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</si>
  <si>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</si>
  <si>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</si>
  <si>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</si>
  <si>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</si>
  <si>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</si>
  <si>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</si>
  <si>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</si>
  <si>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</si>
  <si>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</si>
  <si>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</si>
  <si>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</si>
  <si>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</si>
  <si>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</si>
  <si>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</si>
  <si>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</si>
  <si>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</si>
  <si>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</si>
  <si>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</si>
  <si>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</si>
  <si>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</si>
  <si>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</si>
  <si>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</si>
  <si>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</si>
  <si>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</si>
  <si>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</si>
  <si>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</si>
  <si>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Mubeen</t>
  </si>
  <si>
    <t>Shop Bill Summary (Mubeen)</t>
  </si>
  <si>
    <t>Customer Name : Marwa super store</t>
  </si>
  <si>
    <t>Address: Taj bagh main market</t>
  </si>
  <si>
    <t>Customer Name : Karam Store</t>
  </si>
  <si>
    <t>Address: Taj bagh Markit Phase 3</t>
  </si>
  <si>
    <t xml:space="preserve">Customer Name : Ideal Cash &amp; Carry </t>
  </si>
  <si>
    <t xml:space="preserve">Address: Tajh bagh main Road </t>
  </si>
  <si>
    <t>Customer Name : Mughal Store</t>
  </si>
  <si>
    <t>Address: Tajh bag Main Road</t>
  </si>
  <si>
    <t>3255339-7</t>
  </si>
  <si>
    <t>Customer Name : Bismillah Store</t>
  </si>
  <si>
    <t>Address: Amrat Sari Muhallah Nizamia Abad</t>
  </si>
  <si>
    <t>Customer Name : Madina Store</t>
  </si>
  <si>
    <t>Address: Tajh pura Ghazia Abad</t>
  </si>
  <si>
    <t xml:space="preserve">Customer Name : Baba g welfair </t>
  </si>
  <si>
    <t>Address: Ghazia Abad Road</t>
  </si>
  <si>
    <t>Customer Name : Irfan Store</t>
  </si>
  <si>
    <t>Customer Name : Tariq Store</t>
  </si>
  <si>
    <t>Address: Nizamia Abaad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</si>
</sst>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3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T17" sqref="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104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105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Marwa super store</v>
      </c>
      <c r="U14" s="164">
        <f>+'1'!P35</f>
        <v>6460.3982079999996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Karam Store</v>
      </c>
      <c r="U15" s="164">
        <f>+'2'!P35</f>
        <v>6392.7442176000004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159.27615</v>
      </c>
      <c r="O16" s="101">
        <f>+'1'!O16+'2'!O16+'4'!O16+'3'!O16+'5'!O16+'6'!O16+'7'!O16+'8'!O16+'9'!O16+'10'!O16</f>
        <v>4.4162932499999998</v>
      </c>
      <c r="P16" s="105">
        <f t="shared" ref="P16:P24" si="0">M16+N16+O16</f>
        <v>887.67494324999996</v>
      </c>
      <c r="Q16" s="108"/>
      <c r="T16" s="163" t="str">
        <f>+'4'!A5</f>
        <v>Customer Name : Mughal Store</v>
      </c>
      <c r="U16" s="164">
        <f>+'4'!P35</f>
        <v>3309.6730752000003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129.26760000000002</v>
      </c>
      <c r="O17" s="101">
        <f>+'1'!O17+'2'!O17+'4'!O17+'3'!O17+'5'!O17+'6'!O17+'7'!O17+'8'!O17+'9'!O17+'10'!O17</f>
        <v>3.0596130000000001</v>
      </c>
      <c r="P17" s="120">
        <f t="shared" si="0"/>
        <v>614.982213</v>
      </c>
      <c r="S17" s="64"/>
      <c r="T17" s="163" t="str">
        <f>+'3'!A5</f>
        <v xml:space="preserve">Customer Name : Ideal Cash &amp; Carry </v>
      </c>
      <c r="U17" s="164">
        <f>+'3'!P35</f>
        <v>5700.0051747000007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</v>
      </c>
      <c r="I18" s="1">
        <f t="shared" si="1"/>
        <v>786.9375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723.98249999999996</v>
      </c>
      <c r="N18" s="101">
        <f>+'1'!N18+'2'!N18+'4'!N18+'3'!N18+'5'!N18+'6'!N18+'7'!N18+'8'!N18+'9'!N18+'10'!N18</f>
        <v>159.27615</v>
      </c>
      <c r="O18" s="101">
        <f>+'1'!O18+'2'!O18+'4'!O18+'3'!O18+'5'!O18+'6'!O18+'7'!O18+'8'!O18+'9'!O18+'10'!O18</f>
        <v>4.4162932499999998</v>
      </c>
      <c r="P18" s="120">
        <f t="shared" si="0"/>
        <v>887.67494324999996</v>
      </c>
      <c r="T18" s="163" t="str">
        <f>+'5'!A5</f>
        <v>Customer Name : Bismillah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109</v>
      </c>
      <c r="I19" s="1">
        <f t="shared" si="1"/>
        <v>7917.76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749.64480000000003</v>
      </c>
      <c r="M19" s="118">
        <f t="shared" si="2"/>
        <v>7168.1152000000002</v>
      </c>
      <c r="N19" s="101">
        <f>+'1'!N19+'2'!N19+'4'!N19+'3'!N19+'5'!N19+'6'!N19+'7'!N19+'8'!N19+'9'!N19+'10'!N19</f>
        <v>1560.7720959999999</v>
      </c>
      <c r="O19" s="101">
        <f>+'1'!O19+'2'!O19+'4'!O19+'3'!O19+'5'!O19+'6'!O19+'7'!O19+'8'!O19+'9'!O19+'10'!O19</f>
        <v>131.45166848</v>
      </c>
      <c r="P19" s="120">
        <f t="shared" si="0"/>
        <v>8860.3389644800009</v>
      </c>
      <c r="T19" s="163" t="str">
        <f>+'6'!A5</f>
        <v>Customer Name : Madina Store</v>
      </c>
      <c r="U19" s="164">
        <f>+'6'!P35</f>
        <v>3375.5372160000002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51</v>
      </c>
      <c r="I20" s="1">
        <f t="shared" si="1"/>
        <v>3704.64</v>
      </c>
      <c r="J20" s="172">
        <f>+'1'!J20+'2'!J20+'4'!J20+'3'!J20+'5'!J20+'6'!J20+'7'!J20+'8'!J20+'9'!J20+'10'!J20+'11'!J20+'12'!J20+'13'!J20+'14'!J20+'15'!J20+'16'!J20+'17'!J20+'18'!J20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296.37119999999999</v>
      </c>
      <c r="M20" s="118">
        <f t="shared" si="2"/>
        <v>3408.2687999999998</v>
      </c>
      <c r="N20" s="101">
        <f>+'1'!N20+'2'!N20+'4'!N20+'3'!N20+'5'!N20+'6'!N20+'7'!N20+'8'!N20+'9'!N20+'10'!N20</f>
        <v>797.12230399999999</v>
      </c>
      <c r="O20" s="101">
        <f>+'1'!O20+'2'!O20+'4'!O20+'3'!O20+'5'!O20+'6'!O20+'7'!O20+'8'!O20+'9'!O20+'10'!O20</f>
        <v>37.65279872</v>
      </c>
      <c r="P20" s="120">
        <f t="shared" si="0"/>
        <v>4243.04390272</v>
      </c>
      <c r="T20" s="163" t="str">
        <f>+'7'!A5</f>
        <v xml:space="preserve">Customer Name : Baba g welfair 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160</v>
      </c>
      <c r="I21" s="1">
        <f t="shared" si="1"/>
        <v>11622.4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1046.0160000000001</v>
      </c>
      <c r="M21" s="118">
        <f t="shared" si="2"/>
        <v>10576.384</v>
      </c>
      <c r="N21" s="101">
        <f>+'1'!N21+'2'!N21+'4'!N21+'3'!N21+'5'!N21+'6'!N21+'7'!N21+'8'!N21+'9'!N21+'10'!N21</f>
        <v>2325.9328</v>
      </c>
      <c r="O21" s="101">
        <f>+'1'!O21+'2'!O21+'4'!O21+'3'!O21+'5'!O21+'6'!O21+'7'!O21+'8'!O21+'9'!O21+'10'!O21</f>
        <v>151.9992</v>
      </c>
      <c r="P21" s="120">
        <f t="shared" si="0"/>
        <v>13054.316000000001</v>
      </c>
      <c r="S21" s="183"/>
      <c r="T21" s="163" t="str">
        <f>+'8'!A5</f>
        <v>Customer Name : Irfan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Tariq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9</v>
      </c>
      <c r="D25" s="222"/>
      <c r="E25" s="222"/>
      <c r="F25" s="222"/>
      <c r="G25" s="176">
        <f t="shared" ref="G25:M25" si="3">SUM(G16:G24)</f>
        <v>0</v>
      </c>
      <c r="H25" s="177">
        <f t="shared" si="3"/>
        <v>360</v>
      </c>
      <c r="I25" s="178">
        <f t="shared" si="3"/>
        <v>25343.3</v>
      </c>
      <c r="J25" s="177">
        <f t="shared" si="3"/>
        <v>18</v>
      </c>
      <c r="K25" s="178">
        <f t="shared" si="3"/>
        <v>0</v>
      </c>
      <c r="L25" s="179">
        <f t="shared" si="3"/>
        <v>2259.9120000000003</v>
      </c>
      <c r="M25" s="141">
        <f t="shared" si="3"/>
        <v>23083.387999999999</v>
      </c>
      <c r="N25" s="142">
        <f>SUM(N16:N24)</f>
        <v>5131.6471000000001</v>
      </c>
      <c r="O25" s="143">
        <f>SUM(O16:O24)</f>
        <v>332.99586669999997</v>
      </c>
      <c r="P25" s="144">
        <f>SUM(P16:P24)</f>
        <v>28548.030966700004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28548.0309667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25343.3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2259.9120000000003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0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23083.387999999999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5131.6471000000001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28215.035100000001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705.37587750000012</v>
      </c>
    </row>
    <row r="39" spans="2:16" ht="15.75" customHeight="1" thickBot="1" x14ac:dyDescent="0.4">
      <c r="N39" s="220" t="s">
        <v>92</v>
      </c>
      <c r="O39" s="221"/>
      <c r="P39" s="160">
        <f>P37+P38</f>
        <v>28920.4109775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L25" sqref="L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348.67199999999997</v>
      </c>
      <c r="M19" s="118">
        <f t="shared" si="6"/>
        <v>2556.9279999999999</v>
      </c>
      <c r="N19" s="118">
        <f t="shared" si="0"/>
        <v>594.48575999999991</v>
      </c>
      <c r="O19" s="119">
        <f t="shared" si="1"/>
        <v>78.785344000000009</v>
      </c>
      <c r="P19" s="120">
        <f t="shared" si="2"/>
        <v>3230.1991039999998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348.67199999999997</v>
      </c>
      <c r="M21" s="118">
        <f t="shared" si="6"/>
        <v>2556.9279999999999</v>
      </c>
      <c r="N21" s="118">
        <f t="shared" si="0"/>
        <v>594.48575999999991</v>
      </c>
      <c r="O21" s="119">
        <f t="shared" si="1"/>
        <v>78.785344000000009</v>
      </c>
      <c r="P21" s="120">
        <f t="shared" si="2"/>
        <v>3230.1991039999998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697.34399999999994</v>
      </c>
      <c r="M25" s="141">
        <f t="shared" si="9"/>
        <v>5113.8559999999998</v>
      </c>
      <c r="N25" s="142">
        <f>SUM(N16:N24)</f>
        <v>1188.9715199999998</v>
      </c>
      <c r="O25" s="143">
        <f>SUM(O16:O24)</f>
        <v>157.57068800000002</v>
      </c>
      <c r="P25" s="144">
        <f>SUM(P16:P24)</f>
        <v>6460.3982079999996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5811.2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697.34399999999994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5113.8559999999998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1188.9715199999998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6302.8275199999998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157.57068800000002</v>
      </c>
    </row>
    <row r="35" spans="2:16" ht="15.75" customHeight="1" thickBot="1" x14ac:dyDescent="0.4">
      <c r="N35" s="220" t="s">
        <v>92</v>
      </c>
      <c r="O35" s="221"/>
      <c r="P35" s="160">
        <f>P33+P34</f>
        <v>6460.3982079999996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G11" sqref="G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/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288.70041600000002</v>
      </c>
      <c r="O19" s="119">
        <f t="shared" si="6"/>
        <v>9.4629580800000017</v>
      </c>
      <c r="P19" s="120">
        <f t="shared" si="1"/>
        <v>1902.0545740800001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16</v>
      </c>
      <c r="I20" s="116">
        <f t="shared" si="2"/>
        <v>1162.24</v>
      </c>
      <c r="J20" s="117">
        <v>2</v>
      </c>
      <c r="K20" s="1">
        <f t="shared" si="3"/>
        <v>0</v>
      </c>
      <c r="L20" s="105">
        <f t="shared" si="4"/>
        <v>92.979200000000006</v>
      </c>
      <c r="M20" s="118">
        <f t="shared" si="5"/>
        <v>1069.2608</v>
      </c>
      <c r="N20" s="118">
        <f t="shared" si="0"/>
        <v>218.61734399999997</v>
      </c>
      <c r="O20" s="119">
        <f t="shared" si="6"/>
        <v>6.4393907200000005</v>
      </c>
      <c r="P20" s="120">
        <f t="shared" si="1"/>
        <v>1294.3175347199999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5811.2000000000007</v>
      </c>
      <c r="J25" s="138"/>
      <c r="K25" s="139">
        <f t="shared" si="9"/>
        <v>0</v>
      </c>
      <c r="L25" s="140">
        <f t="shared" si="9"/>
        <v>464.89600000000007</v>
      </c>
      <c r="M25" s="141">
        <f t="shared" si="9"/>
        <v>5346.3040000000001</v>
      </c>
      <c r="N25" s="142">
        <f>SUM(N16:N24)</f>
        <v>1014.63552</v>
      </c>
      <c r="O25" s="143">
        <f>SUM(O16:O24)</f>
        <v>31.804697600000004</v>
      </c>
      <c r="P25" s="144">
        <f>SUM(P16:P24)</f>
        <v>6392.7442176000004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5811.2000000000007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464.89600000000007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5346.304000000001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1014.63552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6360.9395200000008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31.804697600000004</v>
      </c>
    </row>
    <row r="35" spans="2:16" ht="15.75" customHeight="1" thickBot="1" x14ac:dyDescent="0.4">
      <c r="N35" s="220" t="s">
        <v>92</v>
      </c>
      <c r="O35" s="221"/>
      <c r="P35" s="160">
        <f>P33+P34</f>
        <v>6392.7442176000004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110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111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3520222472755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5004.1000000000004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400.32800000000003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4603.7719999999999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5671.6469400000005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20" t="s">
        <v>92</v>
      </c>
      <c r="O35" s="221"/>
      <c r="P35" s="160">
        <f>P33+P34</f>
        <v>5700.0051747000007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113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232.44800000000001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2673.152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3293.2070400000002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20" t="s">
        <v>92</v>
      </c>
      <c r="O35" s="221"/>
      <c r="P35" s="160">
        <f>P33+P34</f>
        <v>3309.6730752000003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116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118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30.973695999999997</v>
      </c>
      <c r="P19" s="120">
        <f t="shared" si="1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232.44799999999998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2673.152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3293.2070400000002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20" t="s">
        <v>92</v>
      </c>
      <c r="O35" s="221"/>
      <c r="P35" s="160">
        <f>P33+P34</f>
        <v>3375.5372160000002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120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3520129259503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232.44799999999998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2673.152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3293.2070400000002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20" t="s">
        <v>92</v>
      </c>
      <c r="O35" s="221"/>
      <c r="P35" s="160">
        <f>P33+P34</f>
        <v>3309.6730752000003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120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123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46189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46188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2026-06-16T12:38:23Z</dcterms:modified>
</cp:coreProperties>
</file>