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8B8F388-9408-4FD8-B179-AB860C213251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24" i="33" l="1"/>
  <c r="L24" i="33" s="1"/>
  <c r="I16" i="35"/>
  <c r="I25" i="35" s="1"/>
  <c r="P28" i="35" s="1"/>
  <c r="I17" i="35"/>
  <c r="I18" i="35"/>
  <c r="I19" i="35"/>
  <c r="K19" i="35" s="1"/>
  <c r="I20" i="35"/>
  <c r="I21" i="35"/>
  <c r="I22" i="35"/>
  <c r="I23" i="35"/>
  <c r="K23" i="35" s="1"/>
  <c r="I24" i="35"/>
  <c r="L24" i="35" s="1"/>
  <c r="I18" i="30"/>
  <c r="I20" i="30"/>
  <c r="I22" i="30"/>
  <c r="K22" i="30" s="1"/>
  <c r="I24" i="30"/>
  <c r="L24" i="30" s="1"/>
  <c r="I16" i="32"/>
  <c r="I17" i="32"/>
  <c r="I18" i="32"/>
  <c r="I25" i="32" s="1"/>
  <c r="P28" i="32" s="1"/>
  <c r="I19" i="32"/>
  <c r="K19" i="32" s="1"/>
  <c r="I20" i="32"/>
  <c r="I21" i="32"/>
  <c r="I16" i="33"/>
  <c r="L16" i="33" s="1"/>
  <c r="I16" i="30"/>
  <c r="L16" i="30" s="1"/>
  <c r="I17" i="30"/>
  <c r="I19" i="30"/>
  <c r="I21" i="30"/>
  <c r="I23" i="30"/>
  <c r="K23" i="30" s="1"/>
  <c r="I23" i="28"/>
  <c r="I24" i="28"/>
  <c r="I16" i="31"/>
  <c r="L16" i="31" s="1"/>
  <c r="I17" i="31"/>
  <c r="I18" i="31"/>
  <c r="I19" i="31"/>
  <c r="K19" i="31" s="1"/>
  <c r="I20" i="31"/>
  <c r="L20" i="31" s="1"/>
  <c r="I21" i="31"/>
  <c r="K21" i="31" s="1"/>
  <c r="I22" i="31"/>
  <c r="I23" i="31"/>
  <c r="K23" i="31" s="1"/>
  <c r="I24" i="31"/>
  <c r="K24" i="31" s="1"/>
  <c r="I23" i="32"/>
  <c r="I22" i="33"/>
  <c r="I16" i="34"/>
  <c r="I17" i="34"/>
  <c r="L17" i="34" s="1"/>
  <c r="I18" i="34"/>
  <c r="K18" i="34" s="1"/>
  <c r="I19" i="34"/>
  <c r="I20" i="34"/>
  <c r="K20" i="34" s="1"/>
  <c r="I21" i="34"/>
  <c r="K21" i="34" s="1"/>
  <c r="I22" i="34"/>
  <c r="L22" i="34" s="1"/>
  <c r="I23" i="34"/>
  <c r="I24" i="34"/>
  <c r="L24" i="34" s="1"/>
  <c r="I16" i="29"/>
  <c r="K16" i="29" s="1"/>
  <c r="I17" i="29"/>
  <c r="K17" i="29" s="1"/>
  <c r="I18" i="29"/>
  <c r="I19" i="29"/>
  <c r="K19" i="29" s="1"/>
  <c r="I20" i="29"/>
  <c r="I21" i="29"/>
  <c r="L21" i="29" s="1"/>
  <c r="I22" i="29"/>
  <c r="I23" i="29"/>
  <c r="L23" i="29" s="1"/>
  <c r="I24" i="29"/>
  <c r="K24" i="29" s="1"/>
  <c r="M24" i="29" s="1"/>
  <c r="I24" i="32"/>
  <c r="L24" i="32" s="1"/>
  <c r="I19" i="33"/>
  <c r="I23" i="33"/>
  <c r="L23" i="33" s="1"/>
  <c r="L17" i="33"/>
  <c r="M17" i="33" s="1"/>
  <c r="L18" i="33"/>
  <c r="M18" i="33" s="1"/>
  <c r="L16" i="35"/>
  <c r="K17" i="35"/>
  <c r="M17" i="35" s="1"/>
  <c r="L17" i="35"/>
  <c r="K18" i="35"/>
  <c r="L18" i="35"/>
  <c r="K20" i="35"/>
  <c r="L20" i="35"/>
  <c r="K21" i="35"/>
  <c r="L21" i="35"/>
  <c r="K22" i="35"/>
  <c r="M22" i="35" s="1"/>
  <c r="L22" i="35"/>
  <c r="L23" i="35"/>
  <c r="K24" i="35"/>
  <c r="L16" i="34"/>
  <c r="K17" i="34"/>
  <c r="K19" i="34"/>
  <c r="L19" i="34"/>
  <c r="L20" i="34"/>
  <c r="L21" i="34"/>
  <c r="K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16" i="33"/>
  <c r="K24" i="32"/>
  <c r="K16" i="32"/>
  <c r="L16" i="32"/>
  <c r="K17" i="32"/>
  <c r="L17" i="32"/>
  <c r="K18" i="32"/>
  <c r="L18" i="32"/>
  <c r="K20" i="32"/>
  <c r="L20" i="32"/>
  <c r="K21" i="32"/>
  <c r="L21" i="32"/>
  <c r="K23" i="32"/>
  <c r="L23" i="32"/>
  <c r="K22" i="32"/>
  <c r="L22" i="32"/>
  <c r="K17" i="31"/>
  <c r="L17" i="31"/>
  <c r="L19" i="31"/>
  <c r="L21" i="31"/>
  <c r="K22" i="31"/>
  <c r="L22" i="31"/>
  <c r="L24" i="31"/>
  <c r="K16" i="31"/>
  <c r="K18" i="31"/>
  <c r="L18" i="31"/>
  <c r="K20" i="31"/>
  <c r="L23" i="31"/>
  <c r="K18" i="30"/>
  <c r="L18" i="30"/>
  <c r="K20" i="30"/>
  <c r="L20" i="30"/>
  <c r="K21" i="30"/>
  <c r="L21" i="30"/>
  <c r="I25" i="30"/>
  <c r="P28" i="30" s="1"/>
  <c r="K16" i="30"/>
  <c r="K17" i="30"/>
  <c r="L17" i="30"/>
  <c r="K19" i="30"/>
  <c r="L19" i="30"/>
  <c r="L22" i="30"/>
  <c r="K24" i="30"/>
  <c r="L16" i="29"/>
  <c r="K21" i="29"/>
  <c r="L24" i="29"/>
  <c r="K20" i="29"/>
  <c r="L20" i="29"/>
  <c r="K22" i="29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L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4" i="33" l="1"/>
  <c r="M24" i="33" s="1"/>
  <c r="M23" i="35"/>
  <c r="I16" i="27"/>
  <c r="I17" i="27"/>
  <c r="I18" i="27"/>
  <c r="I19" i="27"/>
  <c r="I20" i="27"/>
  <c r="I22" i="27"/>
  <c r="I23" i="27"/>
  <c r="I24" i="27"/>
  <c r="L17" i="29"/>
  <c r="L23" i="30"/>
  <c r="M23" i="30" s="1"/>
  <c r="N23" i="30" s="1"/>
  <c r="O23" i="30" s="1"/>
  <c r="L19" i="32"/>
  <c r="L18" i="34"/>
  <c r="L19" i="35"/>
  <c r="K16" i="35"/>
  <c r="M24" i="34"/>
  <c r="I25" i="34"/>
  <c r="P28" i="34" s="1"/>
  <c r="M24" i="31"/>
  <c r="M22" i="29"/>
  <c r="M22" i="31"/>
  <c r="M21" i="35"/>
  <c r="M24" i="30"/>
  <c r="M21" i="30"/>
  <c r="M17" i="31"/>
  <c r="M23" i="32"/>
  <c r="M24" i="32"/>
  <c r="M24" i="35"/>
  <c r="M18" i="35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P24" i="31" l="1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0" i="25"/>
  <c r="K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K20" i="19" s="1"/>
  <c r="I21" i="19"/>
  <c r="I22" i="19"/>
  <c r="K22" i="19" s="1"/>
  <c r="I23" i="19"/>
  <c r="L23" i="19" s="1"/>
  <c r="I24" i="19"/>
  <c r="K24" i="19" s="1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K23" i="23" s="1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16" i="25"/>
  <c r="L16" i="25"/>
  <c r="K24" i="25"/>
  <c r="L17" i="25"/>
  <c r="K17" i="25"/>
  <c r="L23" i="25"/>
  <c r="K23" i="25"/>
  <c r="K17" i="24"/>
  <c r="K21" i="24"/>
  <c r="K17" i="23"/>
  <c r="L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L20" i="19"/>
  <c r="K18" i="19"/>
  <c r="L21" i="19"/>
  <c r="K21" i="19"/>
  <c r="K22" i="18"/>
  <c r="M22" i="18" s="1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L24" i="19"/>
  <c r="K23" i="24"/>
  <c r="L22" i="25"/>
  <c r="L20" i="25"/>
  <c r="M20" i="25" s="1"/>
  <c r="N20" i="25" s="1"/>
  <c r="O20" i="25" s="1"/>
  <c r="I25" i="25"/>
  <c r="P28" i="25" s="1"/>
  <c r="L24" i="17"/>
  <c r="K23" i="20"/>
  <c r="L22" i="19"/>
  <c r="L25" i="19" s="1"/>
  <c r="P29" i="19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M19" i="25" s="1"/>
  <c r="N19" i="25" s="1"/>
  <c r="O19" i="25" s="1"/>
  <c r="K21" i="25"/>
  <c r="K16" i="24"/>
  <c r="M16" i="24" s="1"/>
  <c r="N16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2" i="25"/>
  <c r="N22" i="25" s="1"/>
  <c r="O22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3" i="24"/>
  <c r="O23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N24" i="18"/>
  <c r="O24" i="18" s="1"/>
  <c r="N18" i="18"/>
  <c r="O18" i="18" s="1"/>
  <c r="N22" i="18"/>
  <c r="O22" i="18" s="1"/>
  <c r="I23" i="15"/>
  <c r="M23" i="22" l="1"/>
  <c r="N23" i="22" s="1"/>
  <c r="O23" i="22" s="1"/>
  <c r="L25" i="25"/>
  <c r="P29" i="2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O16" i="18" l="1"/>
  <c r="O25" i="18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34" i="17"/>
  <c r="P35" i="17" s="1"/>
  <c r="U15" i="15" s="1"/>
  <c r="P16" i="16"/>
  <c r="P22" i="15"/>
  <c r="P16" i="18" l="1"/>
  <c r="P25" i="18" s="1"/>
  <c r="P33" i="16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<sst xmlns="http://schemas.openxmlformats.org/spreadsheetml/2006/main" count="1579" uniqueCount="113">
  <si>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</si>
  <si>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</si>
  <si>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</si>
  <si>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</si>
  <si>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</si>
  <si>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</si>
  <si>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</si>
  <si>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</si>
  <si>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</si>
  <si>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</si>
  <si>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</si>
  <si>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</si>
  <si>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</si>
  <si>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</si>
  <si>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</si>
  <si>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</si>
  <si>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</si>
  <si>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</si>
  <si>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</si>
  <si>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</si>
  <si>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</si>
  <si>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</si>
  <si>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</si>
  <si>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</si>
  <si>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</si>
  <si>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</si>
  <si>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</si>
  <si>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</si>
  <si>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</si>
  <si>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</si>
  <si>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</si>
  <si>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</si>
  <si>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</si>
  <si>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</si>
  <si>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</si>
  <si>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</si>
  <si>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</si>
  <si>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</si>
  <si>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</si>
  <si>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</si>
  <si>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</si>
  <si>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</si>
  <si>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</si>
  <si>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</si>
  <si>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</si>
  <si>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</si>
  <si>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</si>
  <si>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</si>
  <si>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</si>
  <si>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</si>
  <si>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</si>
  <si>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</si>
  <si>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</si>
  <si>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</si>
  <si>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</si>
  <si>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</si>
  <si>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</si>
  <si>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</si>
  <si>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</si>
  <si>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</si>
  <si>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</si>
  <si>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</si>
  <si>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</si>
  <si>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</si>
  <si>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</si>
  <si>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</si>
  <si>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</si>
  <si>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</si>
  <si>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</si>
  <si>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</si>
  <si>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</si>
  <si>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</si>
  <si>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</si>
  <si>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</si>
  <si>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</si>
  <si>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</si>
  <si>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</si>
  <si>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</si>
  <si>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</si>
  <si>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</si>
  <si>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</si>
  <si>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</si>
  <si>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</si>
  <si>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</si>
  <si>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</si>
  <si>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</si>
  <si>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</si>
  <si>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</si>
  <si>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</si>
  <si>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</si>
  <si>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</si>
  <si>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</si>
  <si>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</si>
  <si>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</si>
  <si>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</si>
  <si>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</si>
  <si>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</si>
  <si>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</si>
  <si>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</si>
  <si>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</si>
  <si>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</si>
  <si>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</si>
  <si>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</si>
  <si>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</si>
  <si>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(Furqan)</t>
  </si>
  <si>
    <t>Customer Name : Kamal Store</t>
  </si>
  <si>
    <t xml:space="preserve">Address: Canal Park </t>
  </si>
  <si>
    <t>Customer Name : Adnan Store</t>
  </si>
  <si>
    <t xml:space="preserve">Address: Shadman Market </t>
  </si>
  <si>
    <t>Customer Name : Shahzad G Store</t>
  </si>
  <si>
    <t>Customer Name : Bilal Store</t>
  </si>
  <si>
    <t>Customer Name : Mahmood Store</t>
  </si>
  <si>
    <t xml:space="preserve">Address: Gwal Mandi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</si>
</sst>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3" zoomScale="70" zoomScaleNormal="70" workbookViewId="0">
      <selection activeCell="S20" sqref="S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96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104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Kamal Store</v>
      </c>
      <c r="U14" s="164">
        <f>+'1'!P35</f>
        <v>1771.3380224000002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Adnan Store</v>
      </c>
      <c r="U15" s="164">
        <f>+'2'!P35</f>
        <v>538.64712270000007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12</v>
      </c>
      <c r="I16" s="1">
        <f>(G16*D16)*F16+H16*F16</f>
        <v>629.54999999999995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50.363999999999997</v>
      </c>
      <c r="M16" s="106">
        <f>I16-K16-L16</f>
        <v>579.18599999999992</v>
      </c>
      <c r="N16" s="101">
        <f>+'1'!N16+'2'!N16+'4'!N16+'3'!N16+'5'!N16+'6'!N16+'7'!N16+'8'!N16+'9'!N16+'10'!N16</f>
        <v>127.42091999999998</v>
      </c>
      <c r="O16" s="101">
        <f>+'1'!O16+'2'!O16+'4'!O16+'3'!O16+'5'!O16+'6'!O16+'7'!O16+'8'!O16+'9'!O16+'10'!O16</f>
        <v>17.665172999999999</v>
      </c>
      <c r="P16" s="105">
        <f t="shared" ref="P16:P24" si="0">M16+N16+O16</f>
        <v>724.27209299999993</v>
      </c>
      <c r="Q16" s="108"/>
      <c r="T16" s="163" t="str">
        <f>+'4'!A5</f>
        <v>Customer Name : Bilal Store</v>
      </c>
      <c r="U16" s="164">
        <f>+'4'!P35</f>
        <v>724.27209299999993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>Customer Name : Shahzad G Store</v>
      </c>
      <c r="U17" s="164">
        <f>+'3'!P35</f>
        <v>1056.2738698800001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Mahmood Store</v>
      </c>
      <c r="U18" s="164">
        <f>+'5'!P35</f>
        <v>5063.305824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27</v>
      </c>
      <c r="I19" s="1">
        <f t="shared" si="1"/>
        <v>1961.28</v>
      </c>
      <c r="J19" s="172">
        <f>+'1'!J19+'2'!J19+'4'!J19+'3'!J19+'5'!J19+'6'!J19+'7'!J19+'8'!J19+'9'!J19+'10'!J19+'11'!J19+'12'!J19+'13'!J19+'14'!J19+'15'!J19+'16'!J19+'17'!J19+'18'!J19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156.9024</v>
      </c>
      <c r="M19" s="118">
        <f t="shared" si="2"/>
        <v>1804.3776</v>
      </c>
      <c r="N19" s="101">
        <f>+'1'!N19+'2'!N19+'4'!N19+'3'!N19+'5'!N19+'6'!N19+'7'!N19+'8'!N19+'9'!N19+'10'!N19</f>
        <v>412.943872</v>
      </c>
      <c r="O19" s="101">
        <f>+'1'!O19+'2'!O19+'4'!O19+'3'!O19+'5'!O19+'6'!O19+'7'!O19+'8'!O19+'9'!O19+'10'!O19</f>
        <v>55.433036800000004</v>
      </c>
      <c r="P19" s="120">
        <f t="shared" si="0"/>
        <v>2272.7545088000002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27</v>
      </c>
      <c r="I20" s="1">
        <f t="shared" si="1"/>
        <v>1961.28</v>
      </c>
      <c r="J20" s="172">
        <f>+'1'!J20+'2'!J20+'4'!J20+'3'!J20+'5'!J20+'6'!J20+'7'!J20+'8'!J20+'9'!J20+'10'!J20+'11'!J20+'12'!J20+'13'!J20+'14'!J20+'15'!J20+'16'!J20+'17'!J20+'18'!J20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156.9024</v>
      </c>
      <c r="M20" s="118">
        <f t="shared" si="2"/>
        <v>1804.3776</v>
      </c>
      <c r="N20" s="101">
        <f>+'1'!N20+'2'!N20+'4'!N20+'3'!N20+'5'!N20+'6'!N20+'7'!N20+'8'!N20+'9'!N20+'10'!N20</f>
        <v>428.92467199999999</v>
      </c>
      <c r="O20" s="101">
        <f>+'1'!O20+'2'!O20+'4'!O20+'3'!O20+'5'!O20+'6'!O20+'7'!O20+'8'!O20+'9'!O20+'10'!O20</f>
        <v>55.832556800000006</v>
      </c>
      <c r="P20" s="120">
        <f t="shared" si="0"/>
        <v>2289.1348287999999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27</v>
      </c>
      <c r="I21" s="1">
        <f t="shared" si="1"/>
        <v>1961.28</v>
      </c>
      <c r="J21" s="172">
        <f>+'1'!J21+'2'!J21+'4'!J21+'3'!J21+'5'!J21+'6'!J21+'7'!J21+'8'!J21+'9'!J21+'10'!J21+'11'!J21+'12'!J21+'13'!J21+'14'!J21+'15'!J21+'16'!J21+'17'!J21+'18'!J21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156.9024</v>
      </c>
      <c r="M21" s="118">
        <f t="shared" si="2"/>
        <v>1804.3776</v>
      </c>
      <c r="N21" s="101">
        <f>+'1'!N21+'2'!N21+'4'!N21+'3'!N21+'5'!N21+'6'!N21+'7'!N21+'8'!N21+'9'!N21+'10'!N21</f>
        <v>412.943872</v>
      </c>
      <c r="O21" s="101">
        <f>+'1'!O21+'2'!O21+'4'!O21+'3'!O21+'5'!O21+'6'!O21+'7'!O21+'8'!O21+'9'!O21+'10'!O21</f>
        <v>55.433036800000004</v>
      </c>
      <c r="P21" s="120">
        <f t="shared" si="0"/>
        <v>2272.7545088000002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36</v>
      </c>
      <c r="I22" s="1">
        <f t="shared" si="1"/>
        <v>1412.2800000000002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49.429800000000014</v>
      </c>
      <c r="L22" s="175">
        <f>+'1'!L22+'2'!L22+'4'!L22+'3'!L22+'5'!L22+'6'!L22+'7'!L22+'8'!L22+'9'!L22+'10'!L22</f>
        <v>70.614000000000004</v>
      </c>
      <c r="M22" s="118">
        <f t="shared" si="2"/>
        <v>1292.2362000000001</v>
      </c>
      <c r="N22" s="101">
        <f>+'1'!N22+'2'!N22+'4'!N22+'3'!N22+'5'!N22+'6'!N22+'7'!N22+'8'!N22+'9'!N22+'10'!N22</f>
        <v>284.29196400000001</v>
      </c>
      <c r="O22" s="101">
        <f>+'1'!O22+'2'!O22+'4'!O22+'3'!O22+'5'!O22+'6'!O22+'7'!O22+'8'!O22+'9'!O22+'10'!O22</f>
        <v>18.392828580000003</v>
      </c>
      <c r="P22" s="120">
        <f t="shared" si="0"/>
        <v>1594.9209925800001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3.2250000000000001</v>
      </c>
      <c r="D25" s="205"/>
      <c r="E25" s="205"/>
      <c r="F25" s="205"/>
      <c r="G25" s="176">
        <f t="shared" ref="G25:M25" si="3">SUM(G16:G24)</f>
        <v>0</v>
      </c>
      <c r="H25" s="177">
        <f t="shared" si="3"/>
        <v>129</v>
      </c>
      <c r="I25" s="178">
        <f t="shared" si="3"/>
        <v>7925.67</v>
      </c>
      <c r="J25" s="177">
        <f t="shared" si="3"/>
        <v>4</v>
      </c>
      <c r="K25" s="178">
        <f t="shared" si="3"/>
        <v>49.429800000000014</v>
      </c>
      <c r="L25" s="179">
        <f t="shared" si="3"/>
        <v>591.68520000000012</v>
      </c>
      <c r="M25" s="141">
        <f t="shared" si="3"/>
        <v>7284.5550000000003</v>
      </c>
      <c r="N25" s="142">
        <f>SUM(N16:N24)</f>
        <v>1666.5253</v>
      </c>
      <c r="O25" s="143">
        <f>SUM(O16:O24)</f>
        <v>202.75663198000004</v>
      </c>
      <c r="P25" s="144">
        <f>SUM(P16:P24)</f>
        <v>9153.8369319800004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9153.8369319800004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7925.67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591.68520000000012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49.429800000000014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7284.5550000000003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1666.5253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8951.0802999999996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223.7770075</v>
      </c>
    </row>
    <row r="39" spans="2:16" ht="15.75" customHeight="1" thickBot="1" x14ac:dyDescent="0.4">
      <c r="N39" s="203" t="s">
        <v>92</v>
      </c>
      <c r="O39" s="204"/>
      <c r="P39" s="160">
        <f>P37+P38</f>
        <v>9174.8573075000004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E21" sqref="E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7</v>
      </c>
      <c r="I19" s="116">
        <f t="shared" si="3"/>
        <v>508.48</v>
      </c>
      <c r="J19" s="117"/>
      <c r="K19" s="1">
        <f t="shared" si="4"/>
        <v>0</v>
      </c>
      <c r="L19" s="105">
        <f t="shared" si="5"/>
        <v>40.678400000000003</v>
      </c>
      <c r="M19" s="118">
        <f t="shared" si="6"/>
        <v>467.80160000000001</v>
      </c>
      <c r="N19" s="118">
        <f t="shared" si="0"/>
        <v>102.916352</v>
      </c>
      <c r="O19" s="119">
        <f t="shared" si="1"/>
        <v>14.267948799999999</v>
      </c>
      <c r="P19" s="120">
        <f t="shared" si="2"/>
        <v>584.98590079999997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7</v>
      </c>
      <c r="I20" s="116">
        <f t="shared" si="3"/>
        <v>508.48</v>
      </c>
      <c r="J20" s="117">
        <v>1</v>
      </c>
      <c r="K20" s="1">
        <f t="shared" si="4"/>
        <v>0</v>
      </c>
      <c r="L20" s="105">
        <f t="shared" si="5"/>
        <v>40.678400000000003</v>
      </c>
      <c r="M20" s="118">
        <f t="shared" si="6"/>
        <v>467.80160000000001</v>
      </c>
      <c r="N20" s="118">
        <f t="shared" si="0"/>
        <v>118.89715200000001</v>
      </c>
      <c r="O20" s="119">
        <f t="shared" si="1"/>
        <v>14.667468800000002</v>
      </c>
      <c r="P20" s="120">
        <f t="shared" si="2"/>
        <v>601.36622080000006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7</v>
      </c>
      <c r="I21" s="116">
        <f t="shared" si="3"/>
        <v>508.48</v>
      </c>
      <c r="J21" s="117"/>
      <c r="K21" s="1">
        <f t="shared" si="4"/>
        <v>0</v>
      </c>
      <c r="L21" s="105">
        <f t="shared" si="5"/>
        <v>40.678400000000003</v>
      </c>
      <c r="M21" s="118">
        <f t="shared" si="6"/>
        <v>467.80160000000001</v>
      </c>
      <c r="N21" s="118">
        <f t="shared" si="0"/>
        <v>102.916352</v>
      </c>
      <c r="O21" s="119">
        <f t="shared" si="1"/>
        <v>14.267948799999999</v>
      </c>
      <c r="P21" s="120">
        <f t="shared" si="2"/>
        <v>584.98590079999997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21</v>
      </c>
      <c r="I25" s="137">
        <f t="shared" si="9"/>
        <v>1525.44</v>
      </c>
      <c r="J25" s="138"/>
      <c r="K25" s="139">
        <f t="shared" si="9"/>
        <v>0</v>
      </c>
      <c r="L25" s="140">
        <f t="shared" si="9"/>
        <v>122.0352</v>
      </c>
      <c r="M25" s="141">
        <f t="shared" si="9"/>
        <v>1403.4048</v>
      </c>
      <c r="N25" s="142">
        <f>SUM(N16:N24)</f>
        <v>324.72985600000004</v>
      </c>
      <c r="O25" s="143">
        <f>SUM(O16:O24)</f>
        <v>43.2033664</v>
      </c>
      <c r="P25" s="144">
        <f>SUM(P16:P24)</f>
        <v>1771.3380223999998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1525.44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122.0352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1403.4048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324.72985600000004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1728.1346560000002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43.203366400000007</v>
      </c>
    </row>
    <row r="35" spans="2:16" ht="15.75" customHeight="1" thickBot="1" x14ac:dyDescent="0.4">
      <c r="N35" s="203" t="s">
        <v>92</v>
      </c>
      <c r="O35" s="204"/>
      <c r="P35" s="160">
        <f>P33+P34</f>
        <v>1771.3380224000002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G22" sqref="G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108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470.76000000000005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23.538000000000004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430.74540000000002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525.50938800000006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03" t="s">
        <v>92</v>
      </c>
      <c r="O35" s="204"/>
      <c r="P35" s="160">
        <f>P33+P34</f>
        <v>538.64712270000007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0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108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3520281958233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189.527976</v>
      </c>
      <c r="O22" s="119">
        <f t="shared" si="6"/>
        <v>5.2550938800000004</v>
      </c>
      <c r="P22" s="120">
        <f t="shared" si="1"/>
        <v>1056.2738698800001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32.95320000000001</v>
      </c>
      <c r="L25" s="140">
        <f t="shared" si="9"/>
        <v>47.076000000000008</v>
      </c>
      <c r="M25" s="141">
        <f t="shared" si="9"/>
        <v>861.49080000000004</v>
      </c>
      <c r="N25" s="142">
        <f>SUM(N16:N24)</f>
        <v>189.527976</v>
      </c>
      <c r="O25" s="143">
        <f>SUM(O16:O24)</f>
        <v>5.2550938800000004</v>
      </c>
      <c r="P25" s="144">
        <f>SUM(P16:P24)</f>
        <v>1056.2738698800001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941.5200000000001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47.076000000000008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32.95320000000001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861.49080000000004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189.527976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1051.0187760000001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5.2550938800000004</v>
      </c>
    </row>
    <row r="35" spans="2:16" ht="15.75" customHeight="1" thickBot="1" x14ac:dyDescent="0.4">
      <c r="N35" s="203" t="s">
        <v>92</v>
      </c>
      <c r="O35" s="204"/>
      <c r="P35" s="160">
        <f>P33+P34</f>
        <v>1056.2738698800001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108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17.665172999999999</v>
      </c>
      <c r="P16" s="105">
        <f t="shared" ref="P16:P24" si="1">M16+N16+O16</f>
        <v>724.27209299999993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</v>
      </c>
      <c r="I25" s="137">
        <f t="shared" si="9"/>
        <v>629.54999999999995</v>
      </c>
      <c r="J25" s="138"/>
      <c r="K25" s="139">
        <f t="shared" si="9"/>
        <v>0</v>
      </c>
      <c r="L25" s="140">
        <f t="shared" si="9"/>
        <v>50.363999999999997</v>
      </c>
      <c r="M25" s="141">
        <f t="shared" si="9"/>
        <v>579.18599999999992</v>
      </c>
      <c r="N25" s="142">
        <f>SUM(N16:N24)</f>
        <v>127.42091999999998</v>
      </c>
      <c r="O25" s="143">
        <f>SUM(O16:O24)</f>
        <v>17.665172999999999</v>
      </c>
      <c r="P25" s="144">
        <f>SUM(P16:P24)</f>
        <v>724.27209299999993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629.54999999999995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50.363999999999997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579.18599999999992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127.42091999999998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706.60691999999995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17.665172999999999</v>
      </c>
    </row>
    <row r="35" spans="2:16" ht="15.75" customHeight="1" thickBot="1" x14ac:dyDescent="0.4">
      <c r="N35" s="203" t="s">
        <v>92</v>
      </c>
      <c r="O35" s="204"/>
      <c r="P35" s="160">
        <f>P33+P34</f>
        <v>724.27209299999993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F9" sqref="F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41.165088000000004</v>
      </c>
      <c r="P21" s="120">
        <f t="shared" si="1"/>
        <v>1687.7686080000001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60</v>
      </c>
      <c r="I25" s="137">
        <f t="shared" si="9"/>
        <v>4358.3999999999996</v>
      </c>
      <c r="J25" s="138"/>
      <c r="K25" s="139">
        <f t="shared" si="9"/>
        <v>0</v>
      </c>
      <c r="L25" s="140">
        <f t="shared" si="9"/>
        <v>348.67200000000003</v>
      </c>
      <c r="M25" s="141">
        <f t="shared" si="9"/>
        <v>4009.7280000000001</v>
      </c>
      <c r="N25" s="142">
        <f>SUM(N16:N24)</f>
        <v>930.08255999999994</v>
      </c>
      <c r="O25" s="143">
        <f>SUM(O16:O24)</f>
        <v>123.49526400000002</v>
      </c>
      <c r="P25" s="144">
        <f>SUM(P16:P24)</f>
        <v>5063.305824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4358.3999999999996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348.67200000000003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4009.7279999999996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930.08255999999994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4939.8105599999999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123.49526400000001</v>
      </c>
    </row>
    <row r="35" spans="2:16" ht="15.75" customHeight="1" thickBot="1" x14ac:dyDescent="0.4">
      <c r="N35" s="203" t="s">
        <v>92</v>
      </c>
      <c r="O35" s="204"/>
      <c r="P35" s="160">
        <f>P33+P34</f>
        <v>5063.305824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9" workbookViewId="0">
      <selection activeCell="S17" sqref="S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2026-06-16T12:33:50Z</dcterms:modified>
</cp:coreProperties>
</file>