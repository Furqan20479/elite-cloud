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AD4AEC67-D887-4ED7-8ECF-FB0E7D9B3C50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express" sheetId="16" r:id="rId4"/>
    <sheet name="askari cash and carry" sheetId="17" r:id="rId5"/>
    <sheet name="sanwal" sheetId="19" r:id="rId6"/>
    <sheet name="Al-Makkah " sheetId="18" r:id="rId7"/>
    <sheet name="quality store" sheetId="20" r:id="rId8"/>
    <sheet name="haider" sheetId="21" r:id="rId9"/>
    <sheet name="six brother" sheetId="22" r:id="rId10"/>
    <sheet name="ali genera" sheetId="23" r:id="rId11"/>
    <sheet name="noor husain" sheetId="24" r:id="rId12"/>
    <sheet name="M ali super" sheetId="25" r:id="rId13"/>
    <sheet name="new kashmeer" sheetId="26" r:id="rId14"/>
    <sheet name="5 start" sheetId="27" r:id="rId15"/>
  </sheets>
  <externalReferences>
    <externalReference r:id="rId16"/>
  </externalReferences>
  <definedNames>
    <definedName name="_xlnm._FilterDatabase" localSheetId="1" hidden="1">'Cust. Price List'!$A$7:$Q$7</definedName>
    <definedName name="_xlnm._FilterDatabase" localSheetId="3" hidden="1">express!$K$3:$P$6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" i="15" l="1"/>
  <c r="G18" i="15"/>
  <c r="G19" i="15"/>
  <c r="G20" i="15"/>
  <c r="G21" i="15"/>
  <c r="G22" i="15"/>
  <c r="G23" i="15"/>
  <c r="G24" i="15"/>
  <c r="G16" i="15"/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6" l="1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0" i="18" l="1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0" i="24"/>
  <c r="L20" i="24"/>
  <c r="L17" i="24"/>
  <c r="K17" i="24"/>
  <c r="L19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4" i="21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K17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0" l="1"/>
  <c r="L16" i="17"/>
  <c r="K20" i="18"/>
  <c r="M20" i="18" s="1"/>
  <c r="L17" i="17"/>
  <c r="L19" i="20"/>
  <c r="K16" i="23"/>
  <c r="M16" i="23" s="1"/>
  <c r="N16" i="23" s="1"/>
  <c r="L24" i="24"/>
  <c r="L18" i="24"/>
  <c r="M18" i="24" s="1"/>
  <c r="N18" i="24" s="1"/>
  <c r="O18" i="24" s="1"/>
  <c r="L22" i="21"/>
  <c r="L18" i="21"/>
  <c r="K16" i="20"/>
  <c r="M16" i="20" s="1"/>
  <c r="N16" i="20" s="1"/>
  <c r="K16" i="19"/>
  <c r="M16" i="19" s="1"/>
  <c r="N16" i="19" s="1"/>
  <c r="K22" i="17"/>
  <c r="M22" i="17" s="1"/>
  <c r="N22" i="17" s="1"/>
  <c r="O22" i="17" s="1"/>
  <c r="L19" i="2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K21" i="17"/>
  <c r="L22" i="24"/>
  <c r="M22" i="24" s="1"/>
  <c r="N22" i="24" s="1"/>
  <c r="O22" i="24" s="1"/>
  <c r="L21" i="23"/>
  <c r="L23" i="17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5" i="23" s="1"/>
  <c r="P29" i="23" s="1"/>
  <c r="L23" i="21"/>
  <c r="I25" i="19"/>
  <c r="P28" i="19" s="1"/>
  <c r="L19" i="18"/>
  <c r="L25" i="18" s="1"/>
  <c r="P29" i="18" s="1"/>
  <c r="K23" i="18"/>
  <c r="O25" i="27"/>
  <c r="M23" i="25"/>
  <c r="M16" i="24"/>
  <c r="N16" i="24" s="1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20" i="17"/>
  <c r="N20" i="17" s="1"/>
  <c r="O20" i="17" s="1"/>
  <c r="M18" i="25"/>
  <c r="N18" i="25" s="1"/>
  <c r="O18" i="25" s="1"/>
  <c r="M19" i="25"/>
  <c r="M22" i="25"/>
  <c r="N22" i="25" s="1"/>
  <c r="O22" i="25" s="1"/>
  <c r="M20" i="25"/>
  <c r="M24" i="24"/>
  <c r="M17" i="24"/>
  <c r="M23" i="24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23" i="21"/>
  <c r="N23" i="21" s="1"/>
  <c r="O23" i="21" s="1"/>
  <c r="P23" i="21" s="1"/>
  <c r="K16" i="21"/>
  <c r="M16" i="21" s="1"/>
  <c r="N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L17" i="15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L23" i="15" s="1"/>
  <c r="I24" i="16"/>
  <c r="L24" i="16" s="1"/>
  <c r="M23" i="17"/>
  <c r="N23" i="17" s="1"/>
  <c r="O23" i="17" s="1"/>
  <c r="P23" i="17" s="1"/>
  <c r="M21" i="18"/>
  <c r="N21" i="18" s="1"/>
  <c r="O21" i="18" s="1"/>
  <c r="M18" i="19"/>
  <c r="M24" i="20"/>
  <c r="N24" i="20" s="1"/>
  <c r="O24" i="20" s="1"/>
  <c r="M19" i="21"/>
  <c r="N19" i="21" s="1"/>
  <c r="O19" i="21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N20" i="25"/>
  <c r="O20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K25" i="24"/>
  <c r="P30" i="24" s="1"/>
  <c r="N21" i="24"/>
  <c r="O21" i="24" s="1"/>
  <c r="N24" i="22"/>
  <c r="O24" i="22" s="1"/>
  <c r="P24" i="22" s="1"/>
  <c r="N18" i="22"/>
  <c r="O18" i="22" s="1"/>
  <c r="L25" i="22"/>
  <c r="P29" i="22" s="1"/>
  <c r="M16" i="22"/>
  <c r="M21" i="21"/>
  <c r="N21" i="21" s="1"/>
  <c r="N18" i="21"/>
  <c r="O18" i="21" s="1"/>
  <c r="M19" i="20"/>
  <c r="N19" i="20" s="1"/>
  <c r="O19" i="20" s="1"/>
  <c r="N23" i="20"/>
  <c r="O23" i="20" s="1"/>
  <c r="M17" i="19"/>
  <c r="N17" i="19" s="1"/>
  <c r="O17" i="19" s="1"/>
  <c r="M21" i="19"/>
  <c r="N23" i="19"/>
  <c r="O23" i="19" s="1"/>
  <c r="N18" i="19"/>
  <c r="O18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6" i="16" l="1"/>
  <c r="L16" i="15" s="1"/>
  <c r="L25" i="24"/>
  <c r="P29" i="24" s="1"/>
  <c r="L25" i="20"/>
  <c r="P29" i="20" s="1"/>
  <c r="K25" i="19"/>
  <c r="P30" i="19" s="1"/>
  <c r="K25" i="17"/>
  <c r="P30" i="17" s="1"/>
  <c r="K25" i="20"/>
  <c r="P30" i="20" s="1"/>
  <c r="P31" i="20" s="1"/>
  <c r="K25" i="21"/>
  <c r="P30" i="21" s="1"/>
  <c r="L24" i="15"/>
  <c r="K25" i="18"/>
  <c r="P30" i="18" s="1"/>
  <c r="P31" i="18" s="1"/>
  <c r="M16" i="18"/>
  <c r="M25" i="18" s="1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P31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 l="1"/>
  <c r="P29" i="16" s="1"/>
  <c r="N16" i="18"/>
  <c r="M18" i="16"/>
  <c r="N18" i="16" s="1"/>
  <c r="O18" i="16" s="1"/>
  <c r="O18" i="15" s="1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N18" i="15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<sst xmlns="http://schemas.openxmlformats.org/spreadsheetml/2006/main" count="1004" uniqueCount="122">
  <si>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</si>
  <si>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</si>
  <si>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</si>
  <si>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</si>
  <si>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</si>
  <si>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</si>
  <si>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</si>
  <si>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</si>
  <si>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</si>
  <si>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</si>
  <si>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</si>
  <si>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</si>
  <si>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</si>
  <si>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</si>
  <si>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</si>
  <si>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</si>
  <si>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</si>
  <si>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</si>
  <si>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</si>
  <si>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</si>
  <si>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</si>
  <si>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</si>
  <si>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</si>
  <si>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</si>
  <si>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</si>
  <si>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</si>
  <si>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</si>
  <si>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</si>
  <si>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</si>
  <si>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</si>
  <si>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</si>
  <si>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</si>
  <si>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</si>
  <si>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</si>
  <si>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</si>
  <si>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</si>
  <si>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</si>
  <si>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</si>
  <si>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</si>
  <si>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</si>
  <si>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</si>
  <si>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</si>
  <si>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</si>
  <si>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</si>
  <si>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</si>
  <si>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</si>
  <si>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</si>
  <si>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</si>
  <si>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</si>
  <si>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</si>
  <si>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</si>
  <si>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</si>
  <si>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</si>
  <si>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</si>
  <si>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</si>
  <si>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</si>
  <si>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</si>
  <si>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</si>
  <si>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</si>
  <si>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</si>
  <si>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</si>
  <si>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</si>
  <si>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</si>
  <si>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</si>
  <si>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</si>
  <si>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</si>
  <si>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</si>
  <si>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</si>
  <si>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</si>
  <si>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</si>
  <si>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</si>
  <si>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</si>
  <si>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</si>
  <si>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</si>
  <si>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</si>
  <si>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</si>
  <si>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</si>
  <si>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</si>
  <si>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</si>
  <si>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</si>
  <si>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</si>
  <si>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</si>
  <si>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</si>
  <si>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</si>
  <si>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</si>
  <si>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</si>
  <si>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</si>
  <si>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</si>
  <si>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</si>
  <si>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</si>
  <si>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</si>
  <si>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</si>
  <si>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</si>
  <si>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</si>
  <si>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</si>
  <si>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</si>
  <si>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</si>
  <si>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8058676-4</t>
  </si>
  <si>
    <t>Salman Butt</t>
  </si>
  <si>
    <t>Shop Bill Summary (Mobeen Ahmad)</t>
  </si>
  <si>
    <t>Mobeen Ahmad</t>
  </si>
  <si>
    <t>Rana Bilal Tso</t>
  </si>
  <si>
    <t>Shakoor</t>
  </si>
  <si>
    <t>Customer Name : Express Store</t>
  </si>
  <si>
    <t>Address: Askari 5</t>
  </si>
  <si>
    <t>Customer Name : Askari Cash &amp; Carry</t>
  </si>
  <si>
    <t>Address:  Askari 5</t>
  </si>
  <si>
    <t>Customer Name : Sanwal</t>
  </si>
  <si>
    <t>Customer Name : Al-Makkah Cash &amp; Carry</t>
  </si>
  <si>
    <t>Customer Name : Quality Store</t>
  </si>
  <si>
    <t>Customer Name : Haider Store</t>
  </si>
  <si>
    <t>Customer Name : Six Brother Mart</t>
  </si>
  <si>
    <t>Address: Bharbhra Market</t>
  </si>
  <si>
    <t>Customer Name : Ali General Store</t>
  </si>
  <si>
    <t>Address: Bhawbhra Market</t>
  </si>
  <si>
    <t>Customer Name : Noor Husain GS</t>
  </si>
  <si>
    <t>Customer Name : MA Super Store</t>
  </si>
  <si>
    <t>Address:Gopal nager main bazaar</t>
  </si>
  <si>
    <t>Customer Name : New Kashmeer Bakery</t>
  </si>
  <si>
    <t>Address: Gopal nager</t>
  </si>
  <si>
    <t>Customer Name : Five Start GS</t>
  </si>
  <si>
    <t xml:space="preserve">Address: Gopal 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</si>
</sst>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  <numFmt numFmtId="169" formatCode="#,##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69" fontId="14" fillId="0" borderId="48" xfId="0" applyNumberFormat="1" applyFont="1" applyBorder="1" applyAlignment="1">
      <alignment horizontal="center" vertical="top" shrinkToFit="1"/>
    </xf>
    <xf numFmtId="165" fontId="1" fillId="0" borderId="7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6"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6.72656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3" t="s">
        <v>45</v>
      </c>
      <c r="B2" s="243"/>
      <c r="C2" s="243"/>
    </row>
    <row r="3" spans="1:21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2" t="s">
        <v>98</v>
      </c>
      <c r="B5" s="242"/>
      <c r="C5" s="242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21 16383:16384" ht="15" customHeight="1" x14ac:dyDescent="0.35">
      <c r="A6" s="242"/>
      <c r="B6" s="242"/>
      <c r="C6" s="242"/>
      <c r="F6" s="70"/>
      <c r="G6" s="74"/>
      <c r="K6" s="227" t="s">
        <v>52</v>
      </c>
      <c r="L6" s="227"/>
      <c r="M6" s="227"/>
      <c r="N6" s="240" t="s">
        <v>42</v>
      </c>
      <c r="O6" s="240"/>
      <c r="P6" s="24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21 16383:16384" hidden="1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21 16383:16384" x14ac:dyDescent="0.35">
      <c r="A10" s="225"/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21 16383:16384" ht="15" thickBot="1" x14ac:dyDescent="0.4">
      <c r="A11" s="225"/>
      <c r="B11" s="76"/>
      <c r="C11" s="77"/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21 16383:16384" ht="14.65" customHeight="1" x14ac:dyDescent="0.35">
      <c r="A12" s="225"/>
      <c r="B12" s="76"/>
      <c r="C12" s="77"/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T12" s="197" t="s">
        <v>99</v>
      </c>
      <c r="U12" s="198"/>
      <c r="XFD12" t="s">
        <v>62</v>
      </c>
    </row>
    <row r="13" spans="1:21 16383:16384" ht="15" thickBot="1" x14ac:dyDescent="0.4">
      <c r="A13" s="226"/>
      <c r="J13" s="78"/>
      <c r="K13" s="78"/>
      <c r="L13" s="79">
        <v>0.05</v>
      </c>
      <c r="T13" s="199"/>
      <c r="U13" s="200"/>
      <c r="XFD13" t="s">
        <v>63</v>
      </c>
    </row>
    <row r="14" spans="1:21 16383:16384" ht="29.25" customHeight="1" x14ac:dyDescent="0.6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35" t="s">
        <v>68</v>
      </c>
      <c r="H14" s="236"/>
      <c r="I14" s="236" t="s">
        <v>69</v>
      </c>
      <c r="J14" s="236" t="s">
        <v>70</v>
      </c>
      <c r="K14" s="236"/>
      <c r="L14" s="238"/>
      <c r="M14" s="230" t="s">
        <v>71</v>
      </c>
      <c r="N14" s="83" t="s">
        <v>72</v>
      </c>
      <c r="O14" s="84" t="s">
        <v>73</v>
      </c>
      <c r="P14" s="85" t="s">
        <v>74</v>
      </c>
      <c r="T14" s="163" t="str">
        <f>+express!A5</f>
        <v>Customer Name : Express Store</v>
      </c>
      <c r="U14" s="164">
        <f>+express!P35</f>
        <v>2390.3320994999999</v>
      </c>
      <c r="XFD14" t="s">
        <v>75</v>
      </c>
    </row>
    <row r="15" spans="1:21 16383:16384" ht="29.25" customHeight="1" thickBot="1" x14ac:dyDescent="0.65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7"/>
      <c r="J15" s="171" t="s">
        <v>78</v>
      </c>
      <c r="K15" s="171" t="s">
        <v>79</v>
      </c>
      <c r="L15" s="174" t="s">
        <v>80</v>
      </c>
      <c r="M15" s="23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+'askari cash and carry'!A5</f>
        <v>Customer Name : Askari Cash &amp; Carry</v>
      </c>
      <c r="U15" s="164">
        <f>+'askari cash and carry'!P35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79">
        <f>H16/40</f>
        <v>1.75</v>
      </c>
      <c r="H16" s="172">
        <f>+express!H16+'askari cash and carry'!H16+'Al-Makkah '!H16+sanwal!H16+'quality store'!H16+haider!H16+'six brother'!H16+'ali genera'!H16+'noor husain'!H16+'M ali super'!H16+'new kashmeer'!H16+'5 start'!H16</f>
        <v>70</v>
      </c>
      <c r="I16" s="1">
        <f>(G16*D16)*F16+H16*F16</f>
        <v>7344.75</v>
      </c>
      <c r="J16" s="172">
        <f>+express!J16+'askari cash and carry'!J16+'Al-Makkah '!J16+sanwal!J16+'quality store'!J16+haider!J16+'six brother'!J16+'ali genera'!J16+'noor husain'!J16+'M ali super'!J16+'new kashmeer'!J16+'5 start'!J16</f>
        <v>7</v>
      </c>
      <c r="K16" s="172">
        <f>+express!K16+'askari cash and carry'!K16+'Al-Makkah '!K16+sanwal!K16+'quality store'!K16+haider!K16+'six brother'!K16+'ali genera'!K16+'noor husain'!K16+'M ali super'!K16</f>
        <v>0</v>
      </c>
      <c r="L16" s="175">
        <f>+express!L16+'askari cash and carry'!L16+'Al-Makkah '!L16+sanwal!L16+'quality store'!L16+haider!L16+'six brother'!L16+'ali genera'!L16+'noor husain'!L16+'M ali super'!L16</f>
        <v>579.18599999999992</v>
      </c>
      <c r="M16" s="106">
        <f>I16-K16-L16</f>
        <v>6765.5640000000003</v>
      </c>
      <c r="N16" s="101">
        <f>+express!N16+'askari cash and carry'!N16+'Al-Makkah '!N16+sanwal!N16+'quality store'!N16+haider!N16+'six brother'!N16+'ali genera'!N16+'noor husain'!N16+'M ali super'!N16</f>
        <v>1453.1692800000001</v>
      </c>
      <c r="O16" s="101">
        <f>+express!O16+'askari cash and carry'!O16+'Al-Makkah '!O16+sanwal!O16+'quality store'!O16+haider!O16+'six brother'!O16+'ali genera'!O16+'noor husain'!O16+'M ali super'!O16</f>
        <v>123.92985540000001</v>
      </c>
      <c r="P16" s="105">
        <f t="shared" ref="P16:P24" si="0">M16+N16+O16</f>
        <v>8342.6631354000001</v>
      </c>
      <c r="Q16" s="108"/>
      <c r="T16" s="163" t="str">
        <f>+'Al-Makkah '!A5</f>
        <v>Customer Name : Al-Makkah Cash &amp; Carry</v>
      </c>
      <c r="U16" s="164">
        <f>+'Al-Makkah '!P35</f>
        <v>6925.5095714999998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79">
        <f t="shared" ref="G17:G24" si="1">H17/40</f>
        <v>0.72499999999999998</v>
      </c>
      <c r="H17" s="172">
        <f>+express!H17+'askari cash and carry'!H17+'Al-Makkah '!H17+sanwal!H17+'quality store'!H17+haider!H17+'six brother'!H17+'ali genera'!H17+'noor husain'!H17+'M ali super'!H17+'new kashmeer'!H17+'5 start'!H17</f>
        <v>29</v>
      </c>
      <c r="I17" s="1">
        <f t="shared" ref="I17:I23" si="2">(G17*D17)*F17+H17*F17</f>
        <v>3042.8249999999998</v>
      </c>
      <c r="J17" s="172">
        <f>+express!J17+'askari cash and carry'!J17+'Al-Makkah '!J17+sanwal!J17+'quality store'!J17+haider!J17+'six brother'!J17+'ali genera'!J17+'noor husain'!J17+'M ali super'!J17+'new kashmeer'!J17+'5 start'!J17</f>
        <v>9</v>
      </c>
      <c r="K17" s="172">
        <f>+express!K17+'askari cash and carry'!K17+'Al-Makkah '!K17+sanwal!K17+'quality store'!K17+haider!K17+'six brother'!K17+'ali genera'!K17+'noor husain'!K17+'M ali super'!K17</f>
        <v>0</v>
      </c>
      <c r="L17" s="175">
        <f>+express!L17+'askari cash and carry'!L17+'Al-Makkah '!L17+sanwal!L17+'quality store'!L17+haider!L17+'six brother'!L17+'ali genera'!L17+'noor husain'!L17+'M ali super'!L17</f>
        <v>407.10899999999998</v>
      </c>
      <c r="M17" s="118">
        <f t="shared" ref="M17:M23" si="3">I17-K17-L17</f>
        <v>2635.7159999999999</v>
      </c>
      <c r="N17" s="101">
        <f>+express!N17+'askari cash and carry'!N17+'Al-Makkah '!N17+sanwal!N17+'quality store'!N17+haider!N17+'six brother'!N17+'ali genera'!N17+'noor husain'!N17+'M ali super'!N17</f>
        <v>1040.89797</v>
      </c>
      <c r="O17" s="101">
        <f>+express!O17+'askari cash and carry'!O17+'Al-Makkah '!O17+sanwal!O17+'quality store'!O17+haider!O17+'six brother'!O17+'ali genera'!O17+'noor husain'!O17+'M ali super'!O17</f>
        <v>76.182055349999999</v>
      </c>
      <c r="P17" s="120">
        <f t="shared" si="0"/>
        <v>3752.79602535</v>
      </c>
      <c r="S17" s="64"/>
      <c r="T17" s="163" t="str">
        <f>+sanwal!A5</f>
        <v>Customer Name : Sanwal</v>
      </c>
      <c r="U17" s="164">
        <f>+sanwal!P35</f>
        <v>1238.27688954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79">
        <f t="shared" si="1"/>
        <v>2.3250000000000002</v>
      </c>
      <c r="H18" s="172">
        <f>+express!H18+'askari cash and carry'!H18+'Al-Makkah '!H18+sanwal!H18+'quality store'!H18+haider!H18+'six brother'!H18+'ali genera'!H18+'noor husain'!H18+'M ali super'!H18+'new kashmeer'!H18+'5 start'!H18</f>
        <v>93</v>
      </c>
      <c r="I18" s="1">
        <f t="shared" si="2"/>
        <v>9758.0249999999996</v>
      </c>
      <c r="J18" s="172">
        <f>+express!J18+'askari cash and carry'!J18+'Al-Makkah '!J18+sanwal!J18+'quality store'!J18+haider!J18+'six brother'!J18+'ali genera'!J18+'noor husain'!J18+'M ali super'!J18+'new kashmeer'!J18+'5 start'!J18</f>
        <v>5</v>
      </c>
      <c r="K18" s="172">
        <f>+express!K18+'askari cash and carry'!K18+'Al-Makkah '!K18+sanwal!K18+'quality store'!K18+haider!K18+'six brother'!K18+'ali genera'!K18+'noor husain'!K18+'M ali super'!K18</f>
        <v>0</v>
      </c>
      <c r="L18" s="175">
        <f>+express!L18+'askari cash and carry'!L18+'Al-Makkah '!L18+sanwal!L18+'quality store'!L18+haider!L18+'six brother'!L18+'ali genera'!L18+'noor husain'!L18+'M ali super'!L18</f>
        <v>658.92900000000009</v>
      </c>
      <c r="M18" s="118">
        <f t="shared" si="3"/>
        <v>9099.0959999999995</v>
      </c>
      <c r="N18" s="101">
        <f>+express!N18+'askari cash and carry'!N18+'Al-Makkah '!N18+sanwal!N18+'quality store'!N18+haider!N18+'six brother'!N18+'ali genera'!N18+'noor husain'!N18+'M ali super'!N18</f>
        <v>1643.3773199999998</v>
      </c>
      <c r="O18" s="101">
        <f>+express!O18+'askari cash and carry'!O18+'Al-Makkah '!O18+sanwal!O18+'quality store'!O18+haider!O18+'six brother'!O18+'ali genera'!O18+'noor husain'!O18+'M ali super'!O18</f>
        <v>129.2352831</v>
      </c>
      <c r="P18" s="120">
        <f t="shared" si="0"/>
        <v>10871.7086031</v>
      </c>
      <c r="T18" s="163" t="str">
        <f>+'quality store'!A5</f>
        <v>Customer Name : Quality Store</v>
      </c>
      <c r="U18" s="164">
        <f>+'quality store'!P35</f>
        <v>1218.9504487499999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79">
        <f t="shared" si="1"/>
        <v>1.2749999999999999</v>
      </c>
      <c r="H19" s="172">
        <f>+express!H19+'askari cash and carry'!H19+'Al-Makkah '!H19+sanwal!H19+'quality store'!H19+haider!H19+'six brother'!H19+'ali genera'!H19+'noor husain'!H19+'M ali super'!H19+'new kashmeer'!H19+'5 start'!H19</f>
        <v>51</v>
      </c>
      <c r="I19" s="1">
        <f t="shared" si="2"/>
        <v>7409.28</v>
      </c>
      <c r="J19" s="172">
        <f>+express!J19+'askari cash and carry'!J19+'Al-Makkah '!J19+sanwal!J19+'quality store'!J19+haider!J19+'six brother'!J19+'ali genera'!J19+'noor husain'!J19+'M ali super'!J19+'new kashmeer'!J19+'5 start'!J19</f>
        <v>3</v>
      </c>
      <c r="K19" s="172">
        <f>+express!K19+'askari cash and carry'!K19+'Al-Makkah '!K19+sanwal!K19+'quality store'!K19+haider!K19+'six brother'!K19+'ali genera'!K19+'noor husain'!K19+'M ali super'!K19</f>
        <v>0</v>
      </c>
      <c r="L19" s="175">
        <f>+express!L19+'askari cash and carry'!L19+'Al-Makkah '!L19+sanwal!L19+'quality store'!L19+haider!L19+'six brother'!L19+'ali genera'!L19+'noor husain'!L19+'M ali super'!L19</f>
        <v>87.168000000000006</v>
      </c>
      <c r="M19" s="118">
        <f t="shared" si="3"/>
        <v>7322.1120000000001</v>
      </c>
      <c r="N19" s="101">
        <f>+express!N19+'askari cash and carry'!N19+'Al-Makkah '!N19+sanwal!N19+'quality store'!N19+haider!N19+'six brother'!N19+'ali genera'!N19+'noor husain'!N19+'M ali super'!N19</f>
        <v>220.53503999999998</v>
      </c>
      <c r="O19" s="101">
        <f>+express!O19+'askari cash and carry'!O19+'Al-Makkah '!O19+sanwal!O19+'quality store'!O19+haider!O19+'six brother'!O19+'ali genera'!O19+'noor husain'!O19+'M ali super'!O19</f>
        <v>6.1148352000000008</v>
      </c>
      <c r="P19" s="120">
        <f t="shared" si="0"/>
        <v>7548.7618751999998</v>
      </c>
      <c r="T19" s="163" t="str">
        <f>+haider!A5</f>
        <v>Customer Name : Haider Store</v>
      </c>
      <c r="U19" s="164">
        <f>+haider!P35</f>
        <v>538.64712270000007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79">
        <f t="shared" si="1"/>
        <v>1.075</v>
      </c>
      <c r="H20" s="172">
        <f>+express!H20+'askari cash and carry'!H20+'Al-Makkah '!H20+sanwal!H20+'quality store'!H20+haider!H20+'six brother'!H20+'ali genera'!H20+'noor husain'!H20+'M ali super'!H20+'new kashmeer'!H20+'5 start'!H20</f>
        <v>43</v>
      </c>
      <c r="I20" s="1">
        <f t="shared" si="2"/>
        <v>6247.04</v>
      </c>
      <c r="J20" s="172">
        <f>+express!J20+'askari cash and carry'!J20+'Al-Makkah '!J20+sanwal!J20+'quality store'!J20+haider!J20+'six brother'!J20+'ali genera'!J20+'noor husain'!J20+'M ali super'!J20+'new kashmeer'!J20+'5 start'!J20</f>
        <v>4</v>
      </c>
      <c r="K20" s="172">
        <f>+express!K20+'askari cash and carry'!K20+'Al-Makkah '!K20+sanwal!K20+'quality store'!K20+haider!K20+'six brother'!K20+'ali genera'!K20+'noor husain'!K20+'M ali super'!K20</f>
        <v>0</v>
      </c>
      <c r="L20" s="175">
        <f>+express!L20+'askari cash and carry'!L20+'Al-Makkah '!L20+sanwal!L20+'quality store'!L20+haider!L20+'six brother'!L20+'ali genera'!L20+'noor husain'!L20+'M ali super'!L20</f>
        <v>87.168000000000006</v>
      </c>
      <c r="M20" s="118">
        <f t="shared" si="3"/>
        <v>6159.8720000000003</v>
      </c>
      <c r="N20" s="101">
        <f>+express!N20+'askari cash and carry'!N20+'Al-Makkah '!N20+sanwal!N20+'quality store'!N20+haider!N20+'six brother'!N20+'ali genera'!N20+'noor husain'!N20+'M ali super'!N20</f>
        <v>268.47744</v>
      </c>
      <c r="O20" s="101">
        <f>+express!O20+'askari cash and carry'!O20+'Al-Makkah '!O20+sanwal!O20+'quality store'!O20+haider!O20+'six brother'!O20+'ali genera'!O20+'noor husain'!O20+'M ali super'!O20</f>
        <v>6.3545472000000007</v>
      </c>
      <c r="P20" s="120">
        <f t="shared" si="0"/>
        <v>6434.7039871999996</v>
      </c>
      <c r="T20" s="163" t="str">
        <f>+'six brother'!A5</f>
        <v>Customer Name : Six Brother Mart</v>
      </c>
      <c r="U20" s="164">
        <f>+'six brother'!P35</f>
        <v>3290.1166998000003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79">
        <f t="shared" si="1"/>
        <v>1.1499999999999999</v>
      </c>
      <c r="H21" s="172">
        <f>+express!H21+'askari cash and carry'!H21+'Al-Makkah '!H21+sanwal!H21+'quality store'!H21+haider!H21+'six brother'!H21+'ali genera'!H21+'noor husain'!H21+'M ali super'!H21+'new kashmeer'!H21+'5 start'!H21</f>
        <v>46</v>
      </c>
      <c r="I21" s="1">
        <f t="shared" si="2"/>
        <v>6682.88</v>
      </c>
      <c r="J21" s="172">
        <f>+express!J21+'askari cash and carry'!J21+'Al-Makkah '!J21+sanwal!J21+'quality store'!J21+haider!J21+'six brother'!J21+'ali genera'!J21+'noor husain'!J21+'M ali super'!J21+'new kashmeer'!J21+'5 start'!J21</f>
        <v>0</v>
      </c>
      <c r="K21" s="172">
        <f>+express!K21+'askari cash and carry'!K21+'Al-Makkah '!K21+sanwal!K21+'quality store'!K21+haider!K21+'six brother'!K21+'ali genera'!K21+'noor husain'!K21+'M ali super'!K21</f>
        <v>0</v>
      </c>
      <c r="L21" s="175">
        <f>+express!L21+'askari cash and carry'!L21+'Al-Makkah '!L21+sanwal!L21+'quality store'!L21+haider!L21+'six brother'!L21+'ali genera'!L21+'noor husain'!L21+'M ali super'!L21</f>
        <v>174.33600000000001</v>
      </c>
      <c r="M21" s="118">
        <f t="shared" si="3"/>
        <v>6508.5439999999999</v>
      </c>
      <c r="N21" s="101">
        <f>+express!N21+'askari cash and carry'!N21+'Al-Makkah '!N21+sanwal!N21+'quality store'!N21+haider!N21+'six brother'!N21+'ali genera'!N21+'noor husain'!N21+'M ali super'!N21</f>
        <v>441.07007999999996</v>
      </c>
      <c r="O21" s="101">
        <f>+express!O21+'askari cash and carry'!O21+'Al-Makkah '!O21+sanwal!O21+'quality store'!O21+haider!O21+'six brother'!O21+'ali genera'!O21+'noor husain'!O21+'M ali super'!O21</f>
        <v>12.229670400000002</v>
      </c>
      <c r="P21" s="120">
        <f t="shared" si="0"/>
        <v>6961.8437503999994</v>
      </c>
      <c r="T21" s="163" t="str">
        <f>+'ali genera'!A5</f>
        <v>Customer Name : Ali General Store</v>
      </c>
      <c r="U21" s="164">
        <f>+'ali genera'!P35</f>
        <v>2437.9008974999997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79">
        <f t="shared" si="1"/>
        <v>0.97499999999999998</v>
      </c>
      <c r="H22" s="172">
        <f>+express!H22+'askari cash and carry'!H22+'Al-Makkah '!H22+sanwal!H22+'quality store'!H22+haider!H22+'six brother'!H22+'ali genera'!H22+'noor husain'!H22+'M ali super'!H22+'new kashmeer'!H22+'5 start'!H22</f>
        <v>39</v>
      </c>
      <c r="I22" s="1">
        <f t="shared" si="2"/>
        <v>3059.9400000000005</v>
      </c>
      <c r="J22" s="172">
        <f>+express!J22+'askari cash and carry'!J22+'Al-Makkah '!J22+sanwal!J22+'quality store'!J22+haider!J22+'six brother'!J22+'ali genera'!J22+'noor husain'!J22+'M ali super'!J22+'new kashmeer'!J22+'5 start'!J22</f>
        <v>0</v>
      </c>
      <c r="K22" s="172">
        <f>+express!K22+'askari cash and carry'!K22+'Al-Makkah '!K22+sanwal!K22+'quality store'!K22+haider!K22+'six brother'!K22+'ali genera'!K22+'noor husain'!K22+'M ali super'!K22</f>
        <v>53.548950000000019</v>
      </c>
      <c r="L22" s="175">
        <f>+express!L22+'askari cash and carry'!L22+'Al-Makkah '!L22+sanwal!L22+'quality store'!L22+haider!L22+'six brother'!L22+'ali genera'!L22+'noor husain'!L22+'M ali super'!L22</f>
        <v>76.498500000000021</v>
      </c>
      <c r="M22" s="118">
        <f t="shared" si="3"/>
        <v>2929.8925500000005</v>
      </c>
      <c r="N22" s="101">
        <f>+express!N22+'askari cash and carry'!N22+'Al-Makkah '!N22+sanwal!N22+'quality store'!N22+haider!N22+'six brother'!N22+'ali genera'!N22+'noor husain'!N22+'M ali super'!N22</f>
        <v>307.98296100000005</v>
      </c>
      <c r="O22" s="101">
        <f>+express!O22+'askari cash and carry'!O22+'Al-Makkah '!O22+sanwal!O22+'quality store'!O22+haider!O22+'six brother'!O22+'ali genera'!O22+'noor husain'!O22+'M ali super'!O22</f>
        <v>19.049715315000004</v>
      </c>
      <c r="P22" s="120">
        <f t="shared" si="0"/>
        <v>3256.9252263150006</v>
      </c>
      <c r="T22" s="163" t="str">
        <f>+'noor husain'!A5</f>
        <v>Customer Name : Noor Husain GS</v>
      </c>
      <c r="U22" s="164">
        <f>+'noor husain'!P35</f>
        <v>1415.2231059750002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79">
        <f t="shared" si="1"/>
        <v>0</v>
      </c>
      <c r="H23" s="172">
        <f>+express!H23+'askari cash and carry'!H23+'Al-Makkah '!H23+sanwal!H23+'quality store'!H23+haider!H23+'six brother'!H23+'ali genera'!H23+'noor husain'!H23+'M ali super'!H23+'new kashmeer'!H23+'5 start'!H23</f>
        <v>0</v>
      </c>
      <c r="I23" s="1">
        <f t="shared" si="2"/>
        <v>0</v>
      </c>
      <c r="J23" s="172">
        <f>+express!J23+'askari cash and carry'!J23+'Al-Makkah '!J23+sanwal!J23+'quality store'!J23+haider!J23+'six brother'!J23+'ali genera'!J23+'noor husain'!J23+'M ali super'!J23+'new kashmeer'!J23+'5 start'!J23</f>
        <v>0</v>
      </c>
      <c r="K23" s="172">
        <f>+express!K23+'askari cash and carry'!K23+'Al-Makkah '!K23+sanwal!K23+'quality store'!K23+haider!K23+'six brother'!K23+'ali genera'!K23+'noor husain'!K23+'M ali super'!K23</f>
        <v>0</v>
      </c>
      <c r="L23" s="175">
        <f>+express!L23+'askari cash and carry'!L23+'Al-Makkah '!L23+sanwal!L23+'quality store'!L23+haider!L23+'six brother'!L23+'ali genera'!L23+'noor husain'!L23+'M ali super'!L23</f>
        <v>0</v>
      </c>
      <c r="M23" s="118">
        <f t="shared" si="3"/>
        <v>0</v>
      </c>
      <c r="N23" s="101">
        <f>+express!N23+'askari cash and carry'!N23+'Al-Makkah '!N23+sanwal!N23+'quality store'!N23+haider!N23+'six brother'!N23+'ali genera'!N23+'noor husain'!N23+'M ali super'!N23</f>
        <v>0</v>
      </c>
      <c r="O23" s="101">
        <f>+express!O23+'askari cash and carry'!O23+'Al-Makkah '!O23+sanwal!O23+'quality store'!O23+haider!O23+'six brother'!O23+'ali genera'!O23+'noor husain'!O23+'M ali super'!O23</f>
        <v>0</v>
      </c>
      <c r="P23" s="120">
        <f t="shared" si="0"/>
        <v>0</v>
      </c>
      <c r="T23" s="163" t="str">
        <f>+'M ali super'!A5</f>
        <v>Customer Name : MA Super Store</v>
      </c>
      <c r="U23" s="164">
        <f>+'M ali super'!P35</f>
        <v>7313.7026925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79">
        <f t="shared" si="1"/>
        <v>0</v>
      </c>
      <c r="H24" s="172">
        <f>+express!H24+'askari cash and carry'!H24+'Al-Makkah '!H24+sanwal!H24+'quality store'!H24+haider!H24+'six brother'!H24+'ali genera'!H24+'noor husain'!H24+'M ali super'!H24+'new kashmeer'!H24+'5 start'!H24</f>
        <v>0</v>
      </c>
      <c r="I24" s="1">
        <f>(G24*D24)*F24+H24*F24</f>
        <v>0</v>
      </c>
      <c r="J24" s="172">
        <f>+express!J24+'askari cash and carry'!J24+'Al-Makkah '!J24+sanwal!J24+'quality store'!J24+haider!J24+'six brother'!J24+'ali genera'!J24+'noor husain'!J24+'M ali super'!J24+'new kashmeer'!J24+'5 start'!J24</f>
        <v>0</v>
      </c>
      <c r="K24" s="172">
        <f>+express!K24+'askari cash and carry'!K24+'Al-Makkah '!K24+sanwal!K24+'quality store'!K24+haider!K24+'six brother'!K24+'ali genera'!K24+'noor husain'!K24+'M ali super'!K24</f>
        <v>0</v>
      </c>
      <c r="L24" s="175">
        <f>+express!L24+'askari cash and carry'!L24+'Al-Makkah '!L24+sanwal!L24+'quality store'!L24+haider!L24+'six brother'!L24+'ali genera'!L24+'noor husain'!L24+'M ali super'!L24</f>
        <v>0</v>
      </c>
      <c r="M24" s="133">
        <f>I24-K24-L24</f>
        <v>0</v>
      </c>
      <c r="N24" s="101">
        <f>+express!N24+'askari cash and carry'!N24+'Al-Makkah '!N24+sanwal!N24+'quality store'!N24+haider!N24+'six brother'!N24+'ali genera'!N24+'noor husain'!N24+'M ali super'!N24</f>
        <v>0</v>
      </c>
      <c r="O24" s="101">
        <f>+express!O24+'askari cash and carry'!O24+'Al-Makkah '!O24+sanwal!O24+'quality store'!O24+haider!O24+'six brother'!O24+'ali genera'!O24+'noor husain'!O24+'M ali super'!O24</f>
        <v>0</v>
      </c>
      <c r="P24" s="132">
        <f t="shared" si="0"/>
        <v>0</v>
      </c>
      <c r="T24" s="163" t="str">
        <f>+'new kashmeer'!A5</f>
        <v>Customer Name : New Kashmeer Bakery</v>
      </c>
      <c r="U24" s="164">
        <f>+'new kashmeer'!P35</f>
        <v>5700.0051747000007</v>
      </c>
    </row>
    <row r="25" spans="1:21 16384:16384" ht="26.5" thickBot="1" x14ac:dyDescent="0.65">
      <c r="A25" s="207" t="s">
        <v>84</v>
      </c>
      <c r="B25" s="208"/>
      <c r="C25" s="209"/>
      <c r="D25" s="203"/>
      <c r="E25" s="203"/>
      <c r="F25" s="203"/>
      <c r="G25" s="180">
        <f t="shared" ref="G25:M25" si="4">SUM(G16:G24)</f>
        <v>9.2750000000000004</v>
      </c>
      <c r="H25" s="176">
        <f t="shared" si="4"/>
        <v>371</v>
      </c>
      <c r="I25" s="177">
        <f t="shared" si="4"/>
        <v>43544.74</v>
      </c>
      <c r="J25" s="176">
        <f t="shared" si="4"/>
        <v>28</v>
      </c>
      <c r="K25" s="177">
        <f t="shared" si="4"/>
        <v>53.548950000000019</v>
      </c>
      <c r="L25" s="178">
        <f t="shared" si="4"/>
        <v>2070.3944999999999</v>
      </c>
      <c r="M25" s="141">
        <f t="shared" si="4"/>
        <v>41420.796549999999</v>
      </c>
      <c r="N25" s="142">
        <f>SUM(N16:N24)</f>
        <v>5375.5100909999983</v>
      </c>
      <c r="O25" s="143">
        <f>SUM(O16:O24)</f>
        <v>373.09596196500001</v>
      </c>
      <c r="P25" s="144">
        <f>SUM(P16:P24)</f>
        <v>47169.402602964998</v>
      </c>
      <c r="T25" s="163" t="str">
        <f>+'5 start'!A5</f>
        <v>Customer Name : Five Start GS</v>
      </c>
      <c r="U25" s="164">
        <f>+'5 start'!P35</f>
        <v>5171.0276250000006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40949.365402665004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43544.74</v>
      </c>
    </row>
    <row r="29" spans="1:21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2070.3944999999999</v>
      </c>
    </row>
    <row r="30" spans="1:21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53.548950000000019</v>
      </c>
    </row>
    <row r="31" spans="1:21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41420.796549999999</v>
      </c>
    </row>
    <row r="32" spans="1:21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5375.5100909999983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46796.306640999996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1169.907666025</v>
      </c>
    </row>
    <row r="35" spans="2:16" ht="15.75" customHeight="1" thickBot="1" x14ac:dyDescent="0.4">
      <c r="N35" s="201" t="s">
        <v>92</v>
      </c>
      <c r="O35" s="202"/>
      <c r="P35" s="160">
        <f>P33+P34</f>
        <v>47966.214307024995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103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>
        <v>3520123465409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 t="shared" ref="O16:O24" si="1">(N16+M16)*$O$15</f>
        <v>2.9441954999999997</v>
      </c>
      <c r="P16" s="105">
        <f t="shared" ref="P16:P24" si="2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2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129.26760000000002</v>
      </c>
      <c r="O17" s="119">
        <f t="shared" si="1"/>
        <v>3.0596130000000001</v>
      </c>
      <c r="P17" s="120">
        <f t="shared" si="2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/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212.3682</v>
      </c>
      <c r="O18" s="119">
        <f t="shared" si="1"/>
        <v>5.8883909999999995</v>
      </c>
      <c r="P18" s="120">
        <f t="shared" si="2"/>
        <v>1183.5665909999998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2098.5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167.88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1930.62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2378.4398999999999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1" t="s">
        <v>92</v>
      </c>
      <c r="O35" s="202"/>
      <c r="P35" s="160">
        <f>P33+P34</f>
        <v>2390.3320994999999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2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105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>
        <v>41197127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2905.6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232.44800000000001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2673.152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3293.2070400000002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1" t="s">
        <v>92</v>
      </c>
      <c r="O35" s="202"/>
      <c r="P35" s="160">
        <f>P33+P34</f>
        <v>3309.6730752000003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4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>
        <v>3530232820806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3.5330345999999997</v>
      </c>
      <c r="P18" s="120">
        <f t="shared" si="1"/>
        <v>710.1399545999999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16.476600000000005</v>
      </c>
      <c r="L25" s="140">
        <f t="shared" si="9"/>
        <v>73.902000000000001</v>
      </c>
      <c r="M25" s="141">
        <f t="shared" si="9"/>
        <v>1009.9313999999999</v>
      </c>
      <c r="N25" s="142">
        <f>SUM(N16:N24)</f>
        <v>222.18490799999998</v>
      </c>
      <c r="O25" s="143">
        <f>SUM(O16:O24)</f>
        <v>6.1605815399999999</v>
      </c>
      <c r="P25" s="144">
        <f>SUM(P16:P24)</f>
        <v>1238.27688954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1100.31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73.902000000000001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16.476600000000005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1009.9313999999999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222.18490799999998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1232.1163079999999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6.1605815399999999</v>
      </c>
    </row>
    <row r="35" spans="2:16" ht="15.75" customHeight="1" thickBot="1" x14ac:dyDescent="0.4">
      <c r="N35" s="201" t="s">
        <v>92</v>
      </c>
      <c r="O35" s="202"/>
      <c r="P35" s="160">
        <f>P33+P34</f>
        <v>1238.27688954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3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>
        <v>21364524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6" customHeight="1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</v>
      </c>
      <c r="H16" s="101"/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>
        <v>1</v>
      </c>
      <c r="H17" s="115"/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1</v>
      </c>
      <c r="H18" s="115"/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3</v>
      </c>
      <c r="H25" s="136">
        <f t="shared" si="9"/>
        <v>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503.64</v>
      </c>
      <c r="M25" s="141">
        <f t="shared" si="9"/>
        <v>5791.86</v>
      </c>
      <c r="N25" s="142">
        <f>SUM(N16:N24)</f>
        <v>1099.1943000000001</v>
      </c>
      <c r="O25" s="143">
        <f>SUM(O16:O24)</f>
        <v>34.455271499999995</v>
      </c>
      <c r="P25" s="144">
        <f>SUM(P16:P24)</f>
        <v>6925.5095714999989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6295.5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503.64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5791.86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1099.1943000000001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6891.0542999999998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34.455271500000002</v>
      </c>
    </row>
    <row r="35" spans="2:16" ht="15.75" customHeight="1" thickBot="1" x14ac:dyDescent="0.4">
      <c r="N35" s="201" t="s">
        <v>92</v>
      </c>
      <c r="O35" s="202"/>
      <c r="P35" s="160">
        <f>P33+P34</f>
        <v>6925.5095714999998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1" sqref="I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5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14.720977499999998</v>
      </c>
      <c r="P18" s="120">
        <f t="shared" si="1"/>
        <v>603.56007749999992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29.730498749999999</v>
      </c>
      <c r="P25" s="144">
        <f>SUM(P16:P24)</f>
        <v>1218.9504487499999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1049.25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83.94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965.31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1189.2199499999999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29.730498749999999</v>
      </c>
    </row>
    <row r="35" spans="2:16" ht="15.75" customHeight="1" thickBot="1" x14ac:dyDescent="0.4">
      <c r="N35" s="201" t="s">
        <v>92</v>
      </c>
      <c r="O35" s="202"/>
      <c r="P35" s="160">
        <f>P33+P34</f>
        <v>1218.9504487499999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6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110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104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470.76000000000005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23.538000000000004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16.476600000000005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430.74540000000002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525.50938800000006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1" t="s">
        <v>92</v>
      </c>
      <c r="O35" s="202"/>
      <c r="P35" s="160">
        <f>P33+P34</f>
        <v>538.64712270000007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7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112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>
        <v>8210138518349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1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11.54175</v>
      </c>
      <c r="O17" s="119">
        <f t="shared" ref="O17:O24" si="6">(N17+M17)*$O$15</f>
        <v>5.7708750000000003E-2</v>
      </c>
      <c r="P17" s="120">
        <f t="shared" si="1"/>
        <v>11.59945875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2.0382784000000003</v>
      </c>
      <c r="P19" s="120">
        <f t="shared" si="1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50</v>
      </c>
      <c r="I25" s="137">
        <f t="shared" si="9"/>
        <v>2894.3500000000004</v>
      </c>
      <c r="J25" s="138"/>
      <c r="K25" s="139">
        <f t="shared" si="9"/>
        <v>13.730500000000003</v>
      </c>
      <c r="L25" s="140">
        <f t="shared" si="9"/>
        <v>219.779</v>
      </c>
      <c r="M25" s="141">
        <f t="shared" si="9"/>
        <v>2660.8405000000002</v>
      </c>
      <c r="N25" s="142">
        <f>SUM(N16:N24)</f>
        <v>612.90746000000001</v>
      </c>
      <c r="O25" s="143">
        <f>SUM(O16:O24)</f>
        <v>16.3687398</v>
      </c>
      <c r="P25" s="144">
        <f>SUM(P16:P24)</f>
        <v>3290.1166997999999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2894.3500000000004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219.779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13.730500000000003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2660.8405000000002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612.90746000000001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3273.7479600000001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16.3687398</v>
      </c>
    </row>
    <row r="35" spans="2:16" ht="15.75" customHeight="1" thickBot="1" x14ac:dyDescent="0.4">
      <c r="N35" s="201" t="s">
        <v>92</v>
      </c>
      <c r="O35" s="202"/>
      <c r="P35" s="160">
        <f>P33+P34</f>
        <v>3290.1166998000003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8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114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2098.5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167.88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1930.62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2378.4398999999999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1" t="s">
        <v>92</v>
      </c>
      <c r="O35" s="202"/>
      <c r="P35" s="160">
        <f>P33+P34</f>
        <v>2437.9008974999997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9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112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7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</v>
      </c>
      <c r="I16" s="102">
        <f>(G16*D16)*F16+H16*F16</f>
        <v>419.7</v>
      </c>
      <c r="J16" s="103"/>
      <c r="K16" s="104">
        <f>I16*$K$13</f>
        <v>0</v>
      </c>
      <c r="L16" s="105">
        <f>I16*8%</f>
        <v>33.576000000000001</v>
      </c>
      <c r="M16" s="106">
        <f>I16-K16-L16</f>
        <v>386.12399999999997</v>
      </c>
      <c r="N16" s="106">
        <f t="shared" ref="N16:N24" si="0">(M16*$N$15)+(J16*F16)*$N$15</f>
        <v>84.947279999999992</v>
      </c>
      <c r="O16" s="107">
        <f>(N16+M16)*$O$15</f>
        <v>2.3553563999999998</v>
      </c>
      <c r="P16" s="105">
        <f t="shared" ref="P16:P24" si="1">M16+N16+O16</f>
        <v>473.42663639999995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7</v>
      </c>
      <c r="I17" s="116">
        <f t="shared" ref="I17:I23" si="2">(G17*D17)*F17+H17*F17</f>
        <v>367.23750000000001</v>
      </c>
      <c r="J17" s="117">
        <v>1</v>
      </c>
      <c r="K17" s="1">
        <f t="shared" ref="K17:K21" si="3">I17*$K$13</f>
        <v>0</v>
      </c>
      <c r="L17" s="105">
        <f t="shared" ref="L17:L21" si="4">I17*8%</f>
        <v>29.379000000000001</v>
      </c>
      <c r="M17" s="118">
        <f t="shared" ref="M17:M23" si="5">I17-K17-L17</f>
        <v>337.85849999999999</v>
      </c>
      <c r="N17" s="118">
        <f t="shared" si="0"/>
        <v>85.870620000000002</v>
      </c>
      <c r="O17" s="119">
        <f t="shared" ref="O17:O24" si="6">(N17+M17)*$O$15</f>
        <v>2.1186455999999998</v>
      </c>
      <c r="P17" s="120">
        <f t="shared" si="1"/>
        <v>425.84776559999995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1.4720977499999999</v>
      </c>
      <c r="P18" s="120">
        <f t="shared" si="1"/>
        <v>295.89164774999995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5</v>
      </c>
      <c r="I22" s="116">
        <f t="shared" si="2"/>
        <v>196.15000000000003</v>
      </c>
      <c r="J22" s="117"/>
      <c r="K22" s="1">
        <f>I22*3.5%</f>
        <v>6.8652500000000014</v>
      </c>
      <c r="L22" s="120">
        <f>I22*5%</f>
        <v>9.8075000000000028</v>
      </c>
      <c r="M22" s="118">
        <f t="shared" si="5"/>
        <v>179.47725000000003</v>
      </c>
      <c r="N22" s="118">
        <f t="shared" si="0"/>
        <v>39.484995000000005</v>
      </c>
      <c r="O22" s="119">
        <f t="shared" si="6"/>
        <v>1.0948112250000002</v>
      </c>
      <c r="P22" s="120">
        <f t="shared" si="1"/>
        <v>220.05705622500003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25</v>
      </c>
      <c r="I25" s="137">
        <f t="shared" si="9"/>
        <v>1245.4000000000001</v>
      </c>
      <c r="J25" s="138"/>
      <c r="K25" s="139">
        <f t="shared" si="9"/>
        <v>6.8652500000000014</v>
      </c>
      <c r="L25" s="140">
        <f t="shared" si="9"/>
        <v>93.747500000000002</v>
      </c>
      <c r="M25" s="141">
        <f t="shared" si="9"/>
        <v>1144.7872499999999</v>
      </c>
      <c r="N25" s="142">
        <f>SUM(N16:N24)</f>
        <v>263.39494500000001</v>
      </c>
      <c r="O25" s="143">
        <f>SUM(O16:O24)</f>
        <v>7.0409109749999992</v>
      </c>
      <c r="P25" s="144">
        <f>SUM(P16:P24)</f>
        <v>1415.2231059749997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1245.4000000000001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93.747500000000002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6.8652500000000014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1144.7872500000001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263.39494500000001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1408.1821950000001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7.040910975000001</v>
      </c>
    </row>
    <row r="35" spans="2:16" ht="15.75" customHeight="1" thickBot="1" x14ac:dyDescent="0.4">
      <c r="N35" s="201" t="s">
        <v>92</v>
      </c>
      <c r="O35" s="202"/>
      <c r="P35" s="160">
        <f>P33+P34</f>
        <v>1415.2231059750002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activeCell="J24" sqref="J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116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117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</v>
      </c>
      <c r="H16" s="101"/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>
        <v>1</v>
      </c>
      <c r="H17" s="115"/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1</v>
      </c>
      <c r="H18" s="115"/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59.460997499999998</v>
      </c>
      <c r="P18" s="120">
        <f t="shared" si="1"/>
        <v>2437.9008974999997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3</v>
      </c>
      <c r="H25" s="136">
        <f t="shared" si="9"/>
        <v>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503.64</v>
      </c>
      <c r="M25" s="141">
        <f t="shared" si="9"/>
        <v>5791.86</v>
      </c>
      <c r="N25" s="142">
        <f>SUM(N16:N24)</f>
        <v>1343.4597000000001</v>
      </c>
      <c r="O25" s="143">
        <f>SUM(O16:O24)</f>
        <v>178.3829925</v>
      </c>
      <c r="P25" s="144">
        <f>SUM(P16:P24)</f>
        <v>7313.7026924999991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6295.5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503.64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5791.86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1343.4597000000001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7135.3197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178.3829925</v>
      </c>
    </row>
    <row r="35" spans="2:16" ht="15.75" customHeight="1" thickBot="1" x14ac:dyDescent="0.4">
      <c r="N35" s="201" t="s">
        <v>92</v>
      </c>
      <c r="O35" s="202"/>
      <c r="P35" s="160">
        <f>P33+P34</f>
        <v>7313.7026925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6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118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119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>
        <v>3420103553549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>
        <v>1</v>
      </c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138.96266999999997</v>
      </c>
      <c r="O16" s="107">
        <f>(N16+M16)*$O$15</f>
        <v>3.5907433499999999</v>
      </c>
      <c r="P16" s="105">
        <f t="shared" ref="P16:P24" si="1">M16+N16+O16</f>
        <v>721.73941334999995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3.5907433499999999</v>
      </c>
      <c r="P17" s="120">
        <f t="shared" si="1"/>
        <v>721.73941334999995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16</v>
      </c>
      <c r="I18" s="116">
        <f t="shared" si="2"/>
        <v>839.4</v>
      </c>
      <c r="J18" s="117"/>
      <c r="K18" s="1">
        <f t="shared" si="3"/>
        <v>0</v>
      </c>
      <c r="L18" s="105">
        <f t="shared" si="4"/>
        <v>67.152000000000001</v>
      </c>
      <c r="M18" s="118">
        <f t="shared" si="5"/>
        <v>772.24799999999993</v>
      </c>
      <c r="N18" s="118">
        <f t="shared" si="0"/>
        <v>169.89455999999998</v>
      </c>
      <c r="O18" s="119">
        <f t="shared" si="6"/>
        <v>4.7107127999999996</v>
      </c>
      <c r="P18" s="120">
        <f t="shared" si="1"/>
        <v>946.8532727999999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>
        <v>1</v>
      </c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192.40883199999999</v>
      </c>
      <c r="O19" s="119">
        <f t="shared" si="6"/>
        <v>4.9717721599999996</v>
      </c>
      <c r="P19" s="120">
        <f t="shared" si="1"/>
        <v>999.32620415999997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4.9717721599999996</v>
      </c>
      <c r="P20" s="120">
        <f t="shared" si="1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</v>
      </c>
      <c r="I21" s="116">
        <f t="shared" si="2"/>
        <v>1162.24</v>
      </c>
      <c r="J21" s="117"/>
      <c r="K21" s="1">
        <f t="shared" si="3"/>
        <v>0</v>
      </c>
      <c r="L21" s="105">
        <f t="shared" si="4"/>
        <v>92.979200000000006</v>
      </c>
      <c r="M21" s="118">
        <f t="shared" si="5"/>
        <v>1069.2608</v>
      </c>
      <c r="N21" s="118">
        <f t="shared" si="0"/>
        <v>235.23737600000001</v>
      </c>
      <c r="O21" s="119">
        <f t="shared" si="6"/>
        <v>6.5224908800000003</v>
      </c>
      <c r="P21" s="120">
        <f t="shared" si="1"/>
        <v>1311.0206668800001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5004.1000000000004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400.32799999999997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4603.7720000000008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5671.6469400000005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01" t="s">
        <v>92</v>
      </c>
      <c r="O35" s="202"/>
      <c r="P35" s="160">
        <f>P33+P34</f>
        <v>5700.0051747000007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activeCell="R21" activeCellId="1" sqref="J20 R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46177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46176</v>
      </c>
      <c r="O5" s="228"/>
      <c r="P5" s="228"/>
      <c r="R5" s="70"/>
      <c r="S5" s="71"/>
    </row>
    <row r="6" spans="1:19 16383:16384" ht="15" customHeight="1" x14ac:dyDescent="0.35">
      <c r="A6" s="227" t="s">
        <v>121</v>
      </c>
      <c r="B6" s="227"/>
      <c r="C6" s="227"/>
      <c r="F6" s="70"/>
      <c r="G6" s="74"/>
      <c r="K6" s="227" t="s">
        <v>52</v>
      </c>
      <c r="L6" s="227"/>
      <c r="M6" s="227"/>
      <c r="N6" s="240" t="s">
        <v>98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 t="s">
        <v>97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>
        <v>2</v>
      </c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384.81766399999998</v>
      </c>
      <c r="O19" s="119">
        <f t="shared" si="6"/>
        <v>49.717721600000004</v>
      </c>
      <c r="P19" s="120">
        <f t="shared" si="1"/>
        <v>2038.4265856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16</v>
      </c>
      <c r="I20" s="116">
        <f t="shared" si="2"/>
        <v>1162.24</v>
      </c>
      <c r="J20" s="117"/>
      <c r="K20" s="1">
        <f t="shared" si="3"/>
        <v>0</v>
      </c>
      <c r="L20" s="105">
        <f t="shared" si="4"/>
        <v>92.979200000000006</v>
      </c>
      <c r="M20" s="118">
        <f t="shared" si="5"/>
        <v>1069.2608</v>
      </c>
      <c r="N20" s="118">
        <f t="shared" si="0"/>
        <v>235.23737600000001</v>
      </c>
      <c r="O20" s="119">
        <f t="shared" si="6"/>
        <v>32.612454400000004</v>
      </c>
      <c r="P20" s="120">
        <f t="shared" si="1"/>
        <v>1337.1106304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1</v>
      </c>
      <c r="H22" s="115"/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1</v>
      </c>
      <c r="H25" s="136">
        <f t="shared" si="9"/>
        <v>40</v>
      </c>
      <c r="I25" s="137">
        <f t="shared" si="9"/>
        <v>4474.8000000000011</v>
      </c>
      <c r="J25" s="138"/>
      <c r="K25" s="139">
        <f t="shared" si="9"/>
        <v>54.922000000000011</v>
      </c>
      <c r="L25" s="140">
        <f t="shared" si="9"/>
        <v>310.90800000000007</v>
      </c>
      <c r="M25" s="141">
        <f t="shared" si="9"/>
        <v>4108.97</v>
      </c>
      <c r="N25" s="142">
        <f>SUM(N16:N24)</f>
        <v>935.93499999999995</v>
      </c>
      <c r="O25" s="143">
        <f>SUM(O16:O24)</f>
        <v>126.12262500000001</v>
      </c>
      <c r="P25" s="144">
        <f>SUM(P16:P24)</f>
        <v>5171.0276249999997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4474.8000000000011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310.90800000000007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54.922000000000011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4108.9700000000012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5044.9050000000007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126.12262500000003</v>
      </c>
    </row>
    <row r="35" spans="2:16" ht="15.75" customHeight="1" thickBot="1" x14ac:dyDescent="0.4">
      <c r="N35" s="201" t="s">
        <v>92</v>
      </c>
      <c r="O35" s="202"/>
      <c r="P35" s="160">
        <f>P33+P34</f>
        <v>5171.0276250000006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Cust. Price List</vt:lpstr>
      <vt:lpstr>Format</vt:lpstr>
      <vt:lpstr>express</vt:lpstr>
      <vt:lpstr>askari cash and carry</vt:lpstr>
      <vt:lpstr>sanwal</vt:lpstr>
      <vt:lpstr>Al-Makkah </vt:lpstr>
      <vt:lpstr>quality store</vt:lpstr>
      <vt:lpstr>haider</vt:lpstr>
      <vt:lpstr>six brother</vt:lpstr>
      <vt:lpstr>ali genera</vt:lpstr>
      <vt:lpstr>noor husain</vt:lpstr>
      <vt:lpstr>M ali super</vt:lpstr>
      <vt:lpstr>new kashmeer</vt:lpstr>
      <vt:lpstr>5 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2026-06-04T11:56:56Z</dcterms:modified>
</cp:coreProperties>
</file>