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10901CE0-F29F-4B1B-853B-7DC081A15166}" xr6:coauthVersionLast="45" xr6:coauthVersionMax="45" xr10:uidLastSave="{00000000-0000-0000-0000-000000000000}"/>
  <bookViews>
    <workbookView xWindow="-110" yWindow="-110" windowWidth="19420" windowHeight="10420" tabRatio="949" activeTab="1" xr2:uid="{00000000-000D-0000-FFFF-FFFF00000000}"/>
  </bookViews>
  <sheets>
    <sheet name="Sheet2" sheetId="13" r:id="rId1"/>
    <sheet name="Format" sheetId="15" r:id="rId2"/>
    <sheet name="Cust. Price List" sheetId="6" r:id="rId3"/>
    <sheet name="shell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Bravo" sheetId="26" r:id="rId14"/>
    <sheet name="786" sheetId="27" r:id="rId15"/>
  </sheets>
  <externalReferences>
    <externalReference r:id="rId16"/>
  </externalReferences>
  <definedNames>
    <definedName name="_xlnm._FilterDatabase" localSheetId="2" hidden="1">'Cust. Price List'!$A$7:$Q$7</definedName>
    <definedName name="_xlnm._FilterDatabase" localSheetId="3" hidden="1">shell!$K$3:$P$6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5" l="1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J25" i="15" l="1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7" i="27" l="1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20" i="18" l="1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20" i="24"/>
  <c r="L17" i="24"/>
  <c r="K17" i="24"/>
  <c r="K19" i="24"/>
  <c r="L21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21" l="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K21" i="17"/>
  <c r="L22" i="24"/>
  <c r="M22" i="24" s="1"/>
  <c r="N22" i="24" s="1"/>
  <c r="O22" i="24" s="1"/>
  <c r="L21" i="23"/>
  <c r="L23" i="17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M17" i="18"/>
  <c r="N17" i="18" s="1"/>
  <c r="O17" i="18" s="1"/>
  <c r="I25" i="18"/>
  <c r="P28" i="18" s="1"/>
  <c r="I25" i="17"/>
  <c r="P28" i="17" s="1"/>
  <c r="M20" i="17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L17" i="15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L23" i="15" s="1"/>
  <c r="I24" i="16"/>
  <c r="L24" i="16" s="1"/>
  <c r="M23" i="17"/>
  <c r="N23" i="17" s="1"/>
  <c r="O23" i="17" s="1"/>
  <c r="P23" i="17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N17" i="20"/>
  <c r="O17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N20" i="17"/>
  <c r="O20" i="17" s="1"/>
  <c r="M16" i="17"/>
  <c r="L16" i="16"/>
  <c r="L16" i="15" s="1"/>
  <c r="I23" i="15"/>
  <c r="L25" i="23" l="1"/>
  <c r="P29" i="23" s="1"/>
  <c r="L25" i="20"/>
  <c r="P29" i="20" s="1"/>
  <c r="M16" i="19"/>
  <c r="N16" i="19" s="1"/>
  <c r="K25" i="17"/>
  <c r="P30" i="17" s="1"/>
  <c r="K25" i="20"/>
  <c r="P30" i="20" s="1"/>
  <c r="P31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P31" i="23" l="1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<sst xmlns="http://schemas.openxmlformats.org/spreadsheetml/2006/main" count="1005" uniqueCount="125">
  <si>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</si>
  <si>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</si>
  <si>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</si>
  <si>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</si>
  <si>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</si>
  <si>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</si>
  <si>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</si>
  <si>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</si>
  <si>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</si>
  <si>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</si>
  <si>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</si>
  <si>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</si>
  <si>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</si>
  <si>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</si>
  <si>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</si>
  <si>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</si>
  <si>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</si>
  <si>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</si>
  <si>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</si>
  <si>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</si>
  <si>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</si>
  <si>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</si>
  <si>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</si>
  <si>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</si>
  <si>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</si>
  <si>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</si>
  <si>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</si>
  <si>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</si>
  <si>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</si>
  <si>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</si>
  <si>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</si>
  <si>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</si>
  <si>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</si>
  <si>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</si>
  <si>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</si>
  <si>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</si>
  <si>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</si>
  <si>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</si>
  <si>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</si>
  <si>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</si>
  <si>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</si>
  <si>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</si>
  <si>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</si>
  <si>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</si>
  <si>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</si>
  <si>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</si>
  <si>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</si>
  <si>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</si>
  <si>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</si>
  <si>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</si>
  <si>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</si>
  <si>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</si>
  <si>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</si>
  <si>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</si>
  <si>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</si>
  <si>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</si>
  <si>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</si>
  <si>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</si>
  <si>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</si>
  <si>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</si>
  <si>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</si>
  <si>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</si>
  <si>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</si>
  <si>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</si>
  <si>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</si>
  <si>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</si>
  <si>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</si>
  <si>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</si>
  <si>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</si>
  <si>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</si>
  <si>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</si>
  <si>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</si>
  <si>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</si>
  <si>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</si>
  <si>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</si>
  <si>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</si>
  <si>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</si>
  <si>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</si>
  <si>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</si>
  <si>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</si>
  <si>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</si>
  <si>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</si>
  <si>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</si>
  <si>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</si>
  <si>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</si>
  <si>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</si>
  <si>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</si>
  <si>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</si>
  <si>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</si>
  <si>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</si>
  <si>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</si>
  <si>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</si>
  <si>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</si>
  <si>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</si>
  <si>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</si>
  <si>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</si>
  <si>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</si>
  <si>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</si>
  <si>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</si>
  <si>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</si>
  <si>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</si>
  <si>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</si>
  <si>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</si>
  <si>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</si>
  <si>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</si>
  <si>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</si>
  <si>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</si>
  <si>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ZAHID</t>
  </si>
  <si>
    <t>Customer Name : Shell pump</t>
  </si>
  <si>
    <t xml:space="preserve">Address: Shimla pahari 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</si>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</sst>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6"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107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103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+shell!A5</f>
        <v>Customer Name : Shell pump</v>
      </c>
      <c r="U14" s="164">
        <f>+shell!P35</f>
        <v>6751.0744320000003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10126.611648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+shell!H16+'2'!H16+'4'!H16+'3'!H16+'5'!H16+'6'!H16+'7'!H16+'8'!H16+'9'!H16+'10'!H16+Bravo!H16+'786'!H16</f>
        <v>57</v>
      </c>
      <c r="I16" s="1">
        <f>(G16*D16)*F16+H16*F16</f>
        <v>2990.3624999999997</v>
      </c>
      <c r="J16" s="172">
        <f>+shell!J16+'2'!J16+'4'!J16+'3'!J16+'5'!J16+'6'!J16+'7'!J16+'8'!J16+'9'!J16+'10'!J16+Bravo!J16+'786'!J16</f>
        <v>2</v>
      </c>
      <c r="K16" s="172">
        <f>+shell!K16+'2'!K16+'4'!K16+'3'!K16+'5'!K16+'6'!K16+'7'!K16+'8'!K16+'9'!K16+'10'!K16</f>
        <v>0</v>
      </c>
      <c r="L16" s="175">
        <f>+shell!L16+'2'!L16+'4'!L16+'3'!L16+'5'!L16+'6'!L16+'7'!L16+'8'!L16+'9'!L16+'10'!L16</f>
        <v>239.22899999999998</v>
      </c>
      <c r="M16" s="106">
        <f>I16-K16-L16</f>
        <v>2751.1334999999999</v>
      </c>
      <c r="N16" s="101">
        <f>+shell!N16+'2'!N16+'4'!N16+'3'!N16+'5'!N16+'6'!N16+'7'!N16+'8'!N16+'9'!N16+'10'!N16</f>
        <v>587.62196999999992</v>
      </c>
      <c r="O16" s="101">
        <f>+shell!O16+'2'!O16+'4'!O16+'3'!O16+'5'!O16+'6'!O16+'7'!O16+'8'!O16+'9'!O16+'10'!O16</f>
        <v>83.468886749999996</v>
      </c>
      <c r="P16" s="105">
        <f t="shared" ref="P16:P24" si="0">M16+N16+O16</f>
        <v>3422.22435675</v>
      </c>
      <c r="Q16" s="108"/>
      <c r="T16" s="163" t="str">
        <f>+'4'!A5</f>
        <v>Customer Name : Nazeer Store</v>
      </c>
      <c r="U16" s="164">
        <f>+'4'!P35</f>
        <v>2219.1948988499998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+shell!H17+'2'!H17+'4'!H17+'3'!H17+'5'!H17+'6'!H17+'7'!H17+'8'!H17+'9'!H17+'10'!H17+Bravo!H17+'786'!H17</f>
        <v>27</v>
      </c>
      <c r="I17" s="1">
        <f t="shared" ref="I17:I23" si="1">(G17*D17)*F17+H17*F17</f>
        <v>1416.4875</v>
      </c>
      <c r="J17" s="172">
        <f>+shell!J17+'2'!J17+'4'!J17+'3'!J17+'5'!J17+'6'!J17+'7'!J17+'8'!J17+'9'!J17+'10'!J17+Bravo!J17+'786'!J17</f>
        <v>1</v>
      </c>
      <c r="K17" s="172">
        <f>+shell!K17+'2'!K17+'4'!K17+'3'!K17+'5'!K17+'6'!K17+'7'!K17+'8'!K17+'9'!K17+'10'!K17</f>
        <v>0</v>
      </c>
      <c r="L17" s="175">
        <f>+shell!L17+'2'!L17+'4'!L17+'3'!L17+'5'!L17+'6'!L17+'7'!L17+'8'!L17+'9'!L17+'10'!L17</f>
        <v>113.31899999999999</v>
      </c>
      <c r="M17" s="118">
        <f t="shared" ref="M17:M23" si="2">I17-K17-L17</f>
        <v>1303.1685</v>
      </c>
      <c r="N17" s="101">
        <f>+shell!N17+'2'!N17+'4'!N17+'3'!N17+'5'!N17+'6'!N17+'7'!N17+'8'!N17+'9'!N17+'10'!N17</f>
        <v>298.23881999999998</v>
      </c>
      <c r="O17" s="101">
        <f>+shell!O17+'2'!O17+'4'!O17+'3'!O17+'5'!O17+'6'!O17+'7'!O17+'8'!O17+'9'!O17+'10'!O17</f>
        <v>40.035183000000004</v>
      </c>
      <c r="P17" s="120">
        <f t="shared" si="0"/>
        <v>1641.442503</v>
      </c>
      <c r="S17" s="64"/>
      <c r="T17" s="163" t="str">
        <f>+'3'!A5</f>
        <v>Customer Name : Haneef Store</v>
      </c>
      <c r="U17" s="164">
        <f>+'3'!P35</f>
        <v>1987.1913086999998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+shell!H18+'2'!H18+'4'!H18+'3'!H18+'5'!H18+'6'!H18+'7'!H18+'8'!H18+'9'!H18+'10'!H18+Bravo!H18+'786'!H18</f>
        <v>0</v>
      </c>
      <c r="I18" s="1">
        <f t="shared" si="1"/>
        <v>0</v>
      </c>
      <c r="J18" s="172">
        <f>+shell!J18+'2'!J18+'4'!J18+'3'!J18+'5'!J18+'6'!J18+'7'!J18+'8'!J18+'9'!J18+'10'!J18+Bravo!J18+'786'!J18</f>
        <v>0</v>
      </c>
      <c r="K18" s="172">
        <f>+shell!K18+'2'!K18+'4'!K18+'3'!K18+'5'!K18+'6'!K18+'7'!K18+'8'!K18+'9'!K18+'10'!K18</f>
        <v>0</v>
      </c>
      <c r="L18" s="175">
        <f>+shell!L18+'2'!L18+'4'!L18+'3'!L18+'5'!L18+'6'!L18+'7'!L18+'8'!L18+'9'!L18+'10'!L18</f>
        <v>0</v>
      </c>
      <c r="M18" s="118">
        <f t="shared" si="2"/>
        <v>0</v>
      </c>
      <c r="N18" s="101">
        <f>+shell!N18+'2'!N18+'4'!N18+'3'!N18+'5'!N18+'6'!N18+'7'!N18+'8'!N18+'9'!N18+'10'!N18</f>
        <v>0</v>
      </c>
      <c r="O18" s="101">
        <f>+shell!O18+'2'!O18+'4'!O18+'3'!O18+'5'!O18+'6'!O18+'7'!O18+'8'!O18+'9'!O18+'10'!O18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Tufail Store</v>
      </c>
      <c r="U18" s="164">
        <f>+'5'!P35</f>
        <v>2437.9008974999997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+shell!H19+'2'!H19+'4'!H19+'3'!H19+'5'!H19+'6'!H19+'7'!H19+'8'!H19+'9'!H19+'10'!H19+Bravo!H19+'786'!H19</f>
        <v>52</v>
      </c>
      <c r="I19" s="1">
        <f t="shared" si="1"/>
        <v>3777.28</v>
      </c>
      <c r="J19" s="172">
        <f>+shell!J19+'2'!J19+'4'!J19+'3'!J19+'5'!J19+'6'!J19+'7'!J19+'8'!J19+'9'!J19+'10'!J19+Bravo!J19+'786'!J19</f>
        <v>7</v>
      </c>
      <c r="K19" s="172">
        <f>+shell!K19+'2'!K19+'4'!K19+'3'!K19+'5'!K19+'6'!K19+'7'!K19+'8'!K19+'9'!K19+'10'!K19</f>
        <v>0</v>
      </c>
      <c r="L19" s="175">
        <f>+shell!L19+'2'!L19+'4'!L19+'3'!L19+'5'!L19+'6'!L19+'7'!L19+'8'!L19+'9'!L19+'10'!L19</f>
        <v>999.52639999999997</v>
      </c>
      <c r="M19" s="118">
        <f t="shared" si="2"/>
        <v>2777.7536</v>
      </c>
      <c r="N19" s="101">
        <f>+shell!N19+'2'!N19+'4'!N19+'3'!N19+'5'!N19+'6'!N19+'7'!N19+'8'!N19+'9'!N19+'10'!N19</f>
        <v>2415.1928319999997</v>
      </c>
      <c r="O19" s="101">
        <f>+shell!O19+'2'!O19+'4'!O19+'3'!O19+'5'!O19+'6'!O19+'7'!O19+'8'!O19+'9'!O19+'10'!O19</f>
        <v>204.21864320000003</v>
      </c>
      <c r="P19" s="120">
        <f t="shared" si="0"/>
        <v>5397.1650751999996</v>
      </c>
      <c r="T19" s="163" t="str">
        <f>+'6'!A5</f>
        <v>Customer Name : Sadat Store</v>
      </c>
      <c r="U19" s="164">
        <f>+'6'!P35</f>
        <v>538.64712270000007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+shell!H20+'2'!H20+'4'!H20+'3'!H20+'5'!H20+'6'!H20+'7'!H20+'8'!H20+'9'!H20+'10'!H20+Bravo!H20+'786'!H20</f>
        <v>50</v>
      </c>
      <c r="I20" s="1">
        <f t="shared" si="1"/>
        <v>3632</v>
      </c>
      <c r="J20" s="172">
        <f>+shell!J20+'2'!J20+'4'!J20+'3'!J20+'5'!J20+'6'!J20+'7'!J20+'8'!J20+'9'!J20+'10'!J20+Bravo!J20+'786'!J20</f>
        <v>12</v>
      </c>
      <c r="K20" s="172">
        <f>+shell!K20+'2'!K20+'4'!K20+'3'!K20+'5'!K20+'6'!K20+'7'!K20+'8'!K20+'9'!K20+'10'!K20</f>
        <v>0</v>
      </c>
      <c r="L20" s="175">
        <f>+shell!L20+'2'!L20+'4'!L20+'3'!L20+'5'!L20+'6'!L20+'7'!L20+'8'!L20+'9'!L20+'10'!L20</f>
        <v>987.904</v>
      </c>
      <c r="M20" s="118">
        <f t="shared" si="2"/>
        <v>2644.096</v>
      </c>
      <c r="N20" s="101">
        <f>+shell!N20+'2'!N20+'4'!N20+'3'!N20+'5'!N20+'6'!N20+'7'!N20+'8'!N20+'9'!N20+'10'!N20</f>
        <v>2465.6921600000001</v>
      </c>
      <c r="O20" s="101">
        <f>+shell!O20+'2'!O20+'4'!O20+'3'!O20+'5'!O20+'6'!O20+'7'!O20+'8'!O20+'9'!O20+'10'!O20</f>
        <v>193.34734080000004</v>
      </c>
      <c r="P20" s="120">
        <f t="shared" si="0"/>
        <v>5303.1355008</v>
      </c>
      <c r="T20" s="163" t="str">
        <f>+'7'!A5</f>
        <v>Customer Name : Araf Store</v>
      </c>
      <c r="U20" s="164">
        <f>+'7'!P35</f>
        <v>3309.6730752000003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+shell!H21+'2'!H21+'4'!H21+'3'!H21+'5'!H21+'6'!H21+'7'!H21+'8'!H21+'9'!H21+'10'!H21+Bravo!H21+'786'!H21</f>
        <v>42</v>
      </c>
      <c r="I21" s="1">
        <f t="shared" si="1"/>
        <v>3050.88</v>
      </c>
      <c r="J21" s="172">
        <f>+shell!J21+'2'!J21+'4'!J21+'3'!J21+'5'!J21+'6'!J21+'7'!J21+'8'!J21+'9'!J21+'10'!J21+Bravo!J21+'786'!J21</f>
        <v>8</v>
      </c>
      <c r="K21" s="172">
        <f>+shell!K21+'2'!K21+'4'!K21+'3'!K21+'5'!K21+'6'!K21+'7'!K21+'8'!K21+'9'!K21+'10'!K21</f>
        <v>0</v>
      </c>
      <c r="L21" s="175">
        <f>+shell!L21+'2'!L21+'4'!L21+'3'!L21+'5'!L21+'6'!L21+'7'!L21+'8'!L21+'9'!L21+'10'!L21</f>
        <v>1173.8624</v>
      </c>
      <c r="M21" s="118">
        <f t="shared" si="2"/>
        <v>1877.0176000000001</v>
      </c>
      <c r="N21" s="101">
        <f>+shell!N21+'2'!N21+'4'!N21+'3'!N21+'5'!N21+'6'!N21+'7'!N21+'8'!N21+'9'!N21+'10'!N21</f>
        <v>2872.243712</v>
      </c>
      <c r="O21" s="101">
        <f>+shell!O21+'2'!O21+'4'!O21+'3'!O21+'5'!O21+'6'!O21+'7'!O21+'8'!O21+'9'!O21+'10'!O21</f>
        <v>257.61340160000003</v>
      </c>
      <c r="P21" s="120">
        <f t="shared" si="0"/>
        <v>5006.8747136000002</v>
      </c>
      <c r="T21" s="163" t="str">
        <f>+'8'!A5</f>
        <v>Customer Name : Nafees Store</v>
      </c>
      <c r="U21" s="164">
        <f>+'8'!P35</f>
        <v>2022.0462656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+shell!H22+'2'!H22+'4'!H22+'3'!H22+'5'!H22+'6'!H22+'7'!H22+'8'!H22+'9'!H22+'10'!H22+Bravo!H22+'786'!H22</f>
        <v>48</v>
      </c>
      <c r="I22" s="1">
        <f t="shared" si="1"/>
        <v>1883.0400000000002</v>
      </c>
      <c r="J22" s="172">
        <f>+shell!J22+'2'!J22+'4'!J22+'3'!J22+'5'!J22+'6'!J22+'7'!J22+'8'!J22+'9'!J22+'10'!J22+Bravo!J22+'786'!J22</f>
        <v>0</v>
      </c>
      <c r="K22" s="172">
        <f>+shell!K22+'2'!K22+'4'!K22+'3'!K22+'5'!K22+'6'!K22+'7'!K22+'8'!K22+'9'!K22+'10'!K22</f>
        <v>65.906400000000019</v>
      </c>
      <c r="L22" s="175">
        <f>+shell!L22+'2'!L22+'4'!L22+'3'!L22+'5'!L22+'6'!L22+'7'!L22+'8'!L22+'9'!L22+'10'!L22</f>
        <v>94.152000000000015</v>
      </c>
      <c r="M22" s="118">
        <f t="shared" si="2"/>
        <v>1722.9816000000001</v>
      </c>
      <c r="N22" s="101">
        <f>+shell!N22+'2'!N22+'4'!N22+'3'!N22+'5'!N22+'6'!N22+'7'!N22+'8'!N22+'9'!N22+'10'!N22</f>
        <v>344.59631999999999</v>
      </c>
      <c r="O22" s="101">
        <f>+shell!O22+'2'!O22+'4'!O22+'3'!O22+'5'!O22+'6'!O22+'7'!O22+'8'!O22+'9'!O22+'10'!O22</f>
        <v>51.689448000000006</v>
      </c>
      <c r="P22" s="120">
        <f t="shared" si="0"/>
        <v>2119.2673680000003</v>
      </c>
      <c r="T22" s="163" t="str">
        <f>+'9'!A5</f>
        <v>Customer Name : Rehman Store</v>
      </c>
      <c r="U22" s="164">
        <f>+'9'!P35</f>
        <v>3375.5372160000002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+shell!H23+'2'!H23+'4'!H23+'3'!H23+'5'!H23+'6'!H23+'7'!H23+'8'!H23+'9'!H23+'10'!H23+Bravo!H23+'786'!H23</f>
        <v>0</v>
      </c>
      <c r="I23" s="1">
        <f t="shared" si="1"/>
        <v>0</v>
      </c>
      <c r="J23" s="172">
        <f>+shell!J23+'2'!J23+'4'!J23+'3'!J23+'5'!J23+'6'!J23+'7'!J23+'8'!J23+'9'!J23+'10'!J23+Bravo!J23+'786'!J23</f>
        <v>0</v>
      </c>
      <c r="K23" s="172">
        <f>+shell!K23+'2'!K23+'4'!K23+'3'!K23+'5'!K23+'6'!K23+'7'!K23+'8'!K23+'9'!K23+'10'!K23</f>
        <v>0</v>
      </c>
      <c r="L23" s="175">
        <f>+shell!L23+'2'!L23+'4'!L23+'3'!L23+'5'!L23+'6'!L23+'7'!L23+'8'!L23+'9'!L23+'10'!L23</f>
        <v>0</v>
      </c>
      <c r="M23" s="118">
        <f t="shared" si="2"/>
        <v>0</v>
      </c>
      <c r="N23" s="101">
        <f>+shell!N23+'2'!N23+'4'!N23+'3'!N23+'5'!N23+'6'!N23+'7'!N23+'8'!N23+'9'!N23+'10'!N23</f>
        <v>0</v>
      </c>
      <c r="O23" s="101">
        <f>+shell!O23+'2'!O23+'4'!O23+'3'!O23+'5'!O23+'6'!O23+'7'!O23+'8'!O23+'9'!O23+'10'!O23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19178.232652800001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+shell!H24+'2'!H24+'4'!H24+'3'!H24+'5'!H24+'6'!H24+'7'!H24+'8'!H24+'9'!H24+'10'!H24+Bravo!H24+'786'!H24</f>
        <v>0</v>
      </c>
      <c r="I24" s="1">
        <f>(G24*D24)*F24+H24*F24</f>
        <v>0</v>
      </c>
      <c r="J24" s="172">
        <f>+shell!J24+'2'!J24+'4'!J24+'3'!J24+'5'!J24+'6'!J24+'7'!J24+'8'!J24+'9'!J24+'10'!J24+Bravo!J24+'786'!J24</f>
        <v>0</v>
      </c>
      <c r="K24" s="172">
        <f>+shell!K24+'2'!K24+'4'!K24+'3'!K24+'5'!K24+'6'!K24+'7'!K24+'8'!K24+'9'!K24+'10'!K24</f>
        <v>0</v>
      </c>
      <c r="L24" s="175">
        <f>+shell!L24+'2'!L24+'4'!L24+'3'!L24+'5'!L24+'6'!L24+'7'!L24+'8'!L24+'9'!L24+'10'!L24</f>
        <v>0</v>
      </c>
      <c r="M24" s="133">
        <f>I24-K24-L24</f>
        <v>0</v>
      </c>
      <c r="N24" s="101">
        <f>+shell!N24+'2'!N24+'4'!N24+'3'!N24+'5'!N24+'6'!N24+'7'!N24+'8'!N24+'9'!N24+'10'!N24</f>
        <v>0</v>
      </c>
      <c r="O24" s="101">
        <f>+shell!O24+'2'!O24+'4'!O24+'3'!O24+'5'!O24+'6'!O24+'7'!O24+'8'!O24+'9'!O24+'10'!O24</f>
        <v>0</v>
      </c>
      <c r="P24" s="132">
        <f t="shared" si="0"/>
        <v>0</v>
      </c>
      <c r="T24" s="163" t="str">
        <f>+Bravo!A5</f>
        <v xml:space="preserve">Customer Name : </v>
      </c>
      <c r="U24" s="164">
        <f>+Bravo!P35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276</v>
      </c>
      <c r="I25" s="178">
        <f t="shared" si="3"/>
        <v>16750.05</v>
      </c>
      <c r="J25" s="177">
        <f t="shared" si="3"/>
        <v>30</v>
      </c>
      <c r="K25" s="178">
        <f t="shared" si="3"/>
        <v>65.906400000000019</v>
      </c>
      <c r="L25" s="179">
        <f t="shared" si="3"/>
        <v>3607.9928</v>
      </c>
      <c r="M25" s="141">
        <f t="shared" si="3"/>
        <v>13076.150799999999</v>
      </c>
      <c r="N25" s="142">
        <f>SUM(N16:N24)</f>
        <v>8983.585814</v>
      </c>
      <c r="O25" s="143">
        <f>SUM(O16:O24)</f>
        <v>830.37290335</v>
      </c>
      <c r="P25" s="144">
        <f>SUM(P16:P24)</f>
        <v>22890.10951735</v>
      </c>
      <c r="T25" s="163" t="str">
        <f>+'786'!A5</f>
        <v xml:space="preserve">Customer Name : </v>
      </c>
      <c r="U25" s="164">
        <f>+'786'!P35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51946.10951735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16750.05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3607.9928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65.906400000000019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13076.150799999999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8983.585814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22059.736614000001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551.49341535000008</v>
      </c>
    </row>
    <row r="35" spans="2:16" ht="15.75" customHeight="1" thickBot="1" x14ac:dyDescent="0.4">
      <c r="N35" s="200" t="s">
        <v>92</v>
      </c>
      <c r="O35" s="201"/>
      <c r="P35" s="160">
        <f>P33+P34</f>
        <v>22611.230029350001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108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109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41.165088000000004</v>
      </c>
      <c r="P19" s="120">
        <f t="shared" si="2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41.165088000000004</v>
      </c>
      <c r="P20" s="120">
        <f t="shared" si="2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1</v>
      </c>
      <c r="H21" s="115"/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82.330176000000009</v>
      </c>
      <c r="P21" s="120">
        <f t="shared" si="2"/>
        <v>3375.5372160000002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1</v>
      </c>
      <c r="H25" s="136">
        <f t="shared" si="9"/>
        <v>40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5811.2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464.89600000000002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5346.3040000000001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6586.4140800000005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00" t="s">
        <v>92</v>
      </c>
      <c r="O35" s="201"/>
      <c r="P35" s="160">
        <f>P33+P34</f>
        <v>6751.0744320000003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Sheet2!$B$6:$B$21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activeCell="G21" sqref="G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111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1</v>
      </c>
      <c r="H19" s="115"/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1</v>
      </c>
      <c r="H20" s="115"/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1</v>
      </c>
      <c r="H21" s="115"/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3</v>
      </c>
      <c r="H25" s="136">
        <f t="shared" si="9"/>
        <v>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246.99052800000004</v>
      </c>
      <c r="P25" s="144">
        <f>SUM(P16:P24)</f>
        <v>10126.611648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8716.7999999999993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697.34400000000005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8019.4559999999992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9879.6211199999998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246.99052800000001</v>
      </c>
    </row>
    <row r="35" spans="2:16" ht="15.75" customHeight="1" thickBot="1" x14ac:dyDescent="0.4">
      <c r="N35" s="200" t="s">
        <v>92</v>
      </c>
      <c r="O35" s="201"/>
      <c r="P35" s="160">
        <f>P33+P34</f>
        <v>10126.611648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112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111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127.42091999999998</v>
      </c>
      <c r="O17" s="119">
        <f t="shared" ref="O17:O24" si="6">(N17+M17)*$O$15</f>
        <v>17.665172999999999</v>
      </c>
      <c r="P17" s="120">
        <f t="shared" si="1"/>
        <v>724.27209299999993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36</v>
      </c>
      <c r="I25" s="137">
        <f t="shared" si="9"/>
        <v>1729.86</v>
      </c>
      <c r="J25" s="138"/>
      <c r="K25" s="139">
        <f t="shared" si="9"/>
        <v>16.476600000000005</v>
      </c>
      <c r="L25" s="140">
        <f t="shared" si="9"/>
        <v>124.26599999999999</v>
      </c>
      <c r="M25" s="141">
        <f t="shared" si="9"/>
        <v>1589.1173999999999</v>
      </c>
      <c r="N25" s="142">
        <f>SUM(N16:N24)</f>
        <v>349.60582799999997</v>
      </c>
      <c r="O25" s="143">
        <f>SUM(O16:O24)</f>
        <v>48.468080700000002</v>
      </c>
      <c r="P25" s="144">
        <f>SUM(P16:P24)</f>
        <v>1987.1913086999998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1729.86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124.26599999999999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16.476600000000005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1589.1173999999999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349.60582799999997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1938.7232279999998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48.468080700000002</v>
      </c>
    </row>
    <row r="35" spans="2:16" ht="15.75" customHeight="1" thickBot="1" x14ac:dyDescent="0.4">
      <c r="N35" s="200" t="s">
        <v>92</v>
      </c>
      <c r="O35" s="201"/>
      <c r="P35" s="160">
        <f>P33+P34</f>
        <v>1987.1913086999998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114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28.712726249999999</v>
      </c>
      <c r="P16" s="105">
        <f t="shared" ref="P16:P24" si="1">M16+N16+O16</f>
        <v>1177.2217762499999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155.068344</v>
      </c>
      <c r="O22" s="119">
        <f t="shared" si="6"/>
        <v>25.413978600000004</v>
      </c>
      <c r="P22" s="120">
        <f t="shared" si="1"/>
        <v>1041.9731226000001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44</v>
      </c>
      <c r="I25" s="137">
        <f t="shared" si="9"/>
        <v>1990.77</v>
      </c>
      <c r="J25" s="138"/>
      <c r="K25" s="139">
        <f t="shared" si="9"/>
        <v>32.95320000000001</v>
      </c>
      <c r="L25" s="140">
        <f t="shared" si="9"/>
        <v>131.01600000000002</v>
      </c>
      <c r="M25" s="141">
        <f t="shared" si="9"/>
        <v>1826.8008</v>
      </c>
      <c r="N25" s="142">
        <f>SUM(N16:N24)</f>
        <v>338.26739399999997</v>
      </c>
      <c r="O25" s="143">
        <f>SUM(O16:O24)</f>
        <v>54.126704850000003</v>
      </c>
      <c r="P25" s="144">
        <f>SUM(P16:P24)</f>
        <v>2219.1948988499998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1990.77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131.01600000000002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32.95320000000001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1826.8008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338.26739399999997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2165.0681939999999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54.126704850000003</v>
      </c>
    </row>
    <row r="35" spans="2:16" ht="15.75" customHeight="1" thickBot="1" x14ac:dyDescent="0.4">
      <c r="N35" s="200" t="s">
        <v>92</v>
      </c>
      <c r="O35" s="201"/>
      <c r="P35" s="160">
        <f>P33+P34</f>
        <v>2219.1948988499998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3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116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25</v>
      </c>
      <c r="I16" s="102">
        <f>(G16*D16)*F16+H16*F16</f>
        <v>1311.5625</v>
      </c>
      <c r="J16" s="103">
        <v>1</v>
      </c>
      <c r="K16" s="104">
        <f>I16*$K$13</f>
        <v>0</v>
      </c>
      <c r="L16" s="105">
        <f>I16*8%</f>
        <v>104.925</v>
      </c>
      <c r="M16" s="106">
        <f>I16-K16-L16</f>
        <v>1206.6375</v>
      </c>
      <c r="N16" s="106">
        <f t="shared" ref="N16:N24" si="0">(M16*$N$15)+(J16*F16)*$N$15</f>
        <v>277.00200000000001</v>
      </c>
      <c r="O16" s="107">
        <f>(N16+M16)*$O$15</f>
        <v>37.090987500000004</v>
      </c>
      <c r="P16" s="105">
        <f t="shared" ref="P16:P24" si="1">M16+N16+O16</f>
        <v>1520.7304875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1</v>
      </c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170.81790000000001</v>
      </c>
      <c r="O17" s="119">
        <f t="shared" ref="O17:O24" si="6">(N17+M17)*$O$15</f>
        <v>22.370010000000001</v>
      </c>
      <c r="P17" s="120">
        <f t="shared" si="1"/>
        <v>917.17040999999995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2098.5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167.88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1930.62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2378.4398999999999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0" t="s">
        <v>92</v>
      </c>
      <c r="O35" s="201"/>
      <c r="P35" s="160">
        <f>P33+P34</f>
        <v>2437.9008974999997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118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470.76000000000005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23.538000000000004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16.476600000000005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430.74540000000002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525.50938800000006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0" t="s">
        <v>92</v>
      </c>
      <c r="O35" s="201"/>
      <c r="P35" s="160">
        <f>P33+P34</f>
        <v>538.64712270000007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120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3520242563059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252.49663999999999</v>
      </c>
      <c r="O20" s="119">
        <f t="shared" si="6"/>
        <v>6.2746431999999999</v>
      </c>
      <c r="P20" s="120">
        <f t="shared" si="1"/>
        <v>1261.2032831999998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2905.6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232.44799999999998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2673.152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3293.2070400000002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0" t="s">
        <v>92</v>
      </c>
      <c r="O35" s="201"/>
      <c r="P35" s="160">
        <f>P33+P34</f>
        <v>3309.6730752000003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122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24.459340800000003</v>
      </c>
      <c r="P19" s="120">
        <f t="shared" si="1"/>
        <v>1002.8329728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1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15.9808</v>
      </c>
      <c r="O20" s="119">
        <f t="shared" si="6"/>
        <v>0.39952000000000004</v>
      </c>
      <c r="P20" s="120">
        <f t="shared" si="1"/>
        <v>16.380320000000001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24.459340800000003</v>
      </c>
      <c r="P21" s="120">
        <f t="shared" si="1"/>
        <v>1002.8329728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0</v>
      </c>
      <c r="L25" s="140">
        <f t="shared" si="9"/>
        <v>139.46880000000002</v>
      </c>
      <c r="M25" s="141">
        <f t="shared" si="9"/>
        <v>1603.8912</v>
      </c>
      <c r="N25" s="142">
        <f>SUM(N16:N24)</f>
        <v>368.83686399999999</v>
      </c>
      <c r="O25" s="143">
        <f>SUM(O16:O24)</f>
        <v>49.318201600000009</v>
      </c>
      <c r="P25" s="144">
        <f>SUM(P16:P24)</f>
        <v>2022.0462656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1743.3600000000001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139.46880000000002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1603.8912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368.83686399999999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1972.7280639999999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49.318201600000002</v>
      </c>
    </row>
    <row r="35" spans="2:16" ht="15.75" customHeight="1" thickBot="1" x14ac:dyDescent="0.4">
      <c r="N35" s="200" t="s">
        <v>92</v>
      </c>
      <c r="O35" s="201"/>
      <c r="P35" s="160">
        <f>P33+P34</f>
        <v>2022.0462656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J5" sqref="J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120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252.49663999999999</v>
      </c>
      <c r="O20" s="119">
        <f t="shared" si="6"/>
        <v>31.373215999999999</v>
      </c>
      <c r="P20" s="120">
        <f t="shared" si="1"/>
        <v>1286.3018559999998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2905.6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232.44799999999998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2673.152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3293.2070400000002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0" t="s">
        <v>92</v>
      </c>
      <c r="O35" s="201"/>
      <c r="P35" s="160">
        <f>P33+P34</f>
        <v>3375.5372160000002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120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3628249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2</v>
      </c>
      <c r="H19" s="115"/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1014.6355199999999</v>
      </c>
      <c r="O19" s="119">
        <f t="shared" si="6"/>
        <v>31.804697600000001</v>
      </c>
      <c r="P19" s="120">
        <f t="shared" si="1"/>
        <v>6392.7442175999995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2</v>
      </c>
      <c r="H20" s="115"/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1014.6355199999999</v>
      </c>
      <c r="O20" s="119">
        <f t="shared" si="6"/>
        <v>31.804697600000001</v>
      </c>
      <c r="P20" s="120">
        <f t="shared" si="1"/>
        <v>6392.7442175999995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2</v>
      </c>
      <c r="H21" s="115"/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6</v>
      </c>
      <c r="H25" s="136">
        <f t="shared" si="9"/>
        <v>0</v>
      </c>
      <c r="I25" s="137">
        <f t="shared" si="9"/>
        <v>17433.599999999999</v>
      </c>
      <c r="J25" s="138"/>
      <c r="K25" s="139">
        <f t="shared" si="9"/>
        <v>0</v>
      </c>
      <c r="L25" s="140">
        <f t="shared" si="9"/>
        <v>1394.6880000000001</v>
      </c>
      <c r="M25" s="141">
        <f t="shared" si="9"/>
        <v>16038.912</v>
      </c>
      <c r="N25" s="142">
        <f>SUM(N16:N24)</f>
        <v>3043.9065599999999</v>
      </c>
      <c r="O25" s="143">
        <f>SUM(O16:O24)</f>
        <v>95.414092800000006</v>
      </c>
      <c r="P25" s="144">
        <f>SUM(P16:P24)</f>
        <v>19178.232652799998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17433.599999999999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1394.6880000000001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16038.911999999998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3043.9065599999999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19082.81856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95.414092800000006</v>
      </c>
    </row>
    <row r="35" spans="2:16" ht="15.75" customHeight="1" thickBot="1" x14ac:dyDescent="0.4">
      <c r="N35" s="200" t="s">
        <v>92</v>
      </c>
      <c r="O35" s="201"/>
      <c r="P35" s="160">
        <f>P33+P34</f>
        <v>19178.232652800001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46178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46177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Sheet2!$B$5:$B$10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Sheet2</vt:lpstr>
      <vt:lpstr>Format</vt:lpstr>
      <vt:lpstr>Cust. Price List</vt:lpstr>
      <vt:lpstr>shell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Bravo</vt:lpstr>
      <vt:lpstr>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2026-06-05T09:59:55Z</dcterms:modified>
</cp:coreProperties>
</file>