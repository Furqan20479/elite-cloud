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159E738-B028-4D3F-9D56-F3AA9AC2C09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C24" i="33"/>
  <c r="B24" i="33"/>
  <c r="F23" i="33"/>
  <c r="E23" i="33"/>
  <c r="D23" i="33"/>
  <c r="I23" i="33" s="1"/>
  <c r="B23" i="33"/>
  <c r="C23" i="33" s="1"/>
  <c r="F22" i="33"/>
  <c r="E22" i="33"/>
  <c r="D22" i="33"/>
  <c r="I22" i="33" s="1"/>
  <c r="C22" i="33"/>
  <c r="B22" i="33"/>
  <c r="F21" i="33"/>
  <c r="E21" i="33"/>
  <c r="D21" i="33"/>
  <c r="B21" i="33"/>
  <c r="C21" i="33" s="1"/>
  <c r="F20" i="33"/>
  <c r="E20" i="33"/>
  <c r="D20" i="33"/>
  <c r="C20" i="33"/>
  <c r="B20" i="33"/>
  <c r="F19" i="33"/>
  <c r="E19" i="33"/>
  <c r="D19" i="33"/>
  <c r="I19" i="33" s="1"/>
  <c r="B19" i="33"/>
  <c r="C19" i="33" s="1"/>
  <c r="I18" i="33"/>
  <c r="K18" i="33" s="1"/>
  <c r="F18" i="33"/>
  <c r="E18" i="33"/>
  <c r="D18" i="33"/>
  <c r="C18" i="33"/>
  <c r="B18" i="33"/>
  <c r="F17" i="33"/>
  <c r="E17" i="33"/>
  <c r="D17" i="33"/>
  <c r="I17" i="33" s="1"/>
  <c r="B17" i="33"/>
  <c r="C17" i="33" s="1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C24" i="32"/>
  <c r="B24" i="32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K17" i="33" l="1"/>
  <c r="L17" i="33"/>
  <c r="I16" i="31"/>
  <c r="I17" i="31"/>
  <c r="K17" i="31" s="1"/>
  <c r="I18" i="31"/>
  <c r="I19" i="31"/>
  <c r="I20" i="31"/>
  <c r="I21" i="31"/>
  <c r="L21" i="31" s="1"/>
  <c r="I22" i="31"/>
  <c r="I23" i="31"/>
  <c r="I24" i="31"/>
  <c r="I23" i="32"/>
  <c r="K23" i="32" s="1"/>
  <c r="I24" i="32"/>
  <c r="L18" i="33"/>
  <c r="I20" i="33"/>
  <c r="I24" i="33"/>
  <c r="I25" i="33" s="1"/>
  <c r="P28" i="33" s="1"/>
  <c r="I21" i="33"/>
  <c r="I20" i="28"/>
  <c r="I21" i="28"/>
  <c r="K21" i="28" s="1"/>
  <c r="I22" i="28"/>
  <c r="I23" i="28"/>
  <c r="I24" i="28"/>
  <c r="L16" i="33"/>
  <c r="I25" i="35"/>
  <c r="P28" i="35" s="1"/>
  <c r="K16" i="35"/>
  <c r="L16" i="35"/>
  <c r="K17" i="35"/>
  <c r="M17" i="35" s="1"/>
  <c r="L17" i="35"/>
  <c r="K18" i="35"/>
  <c r="L18" i="35"/>
  <c r="M18" i="35" s="1"/>
  <c r="K19" i="35"/>
  <c r="M19" i="35" s="1"/>
  <c r="L19" i="35"/>
  <c r="K20" i="35"/>
  <c r="M20" i="35" s="1"/>
  <c r="L20" i="35"/>
  <c r="K21" i="35"/>
  <c r="L21" i="35"/>
  <c r="M21" i="35" s="1"/>
  <c r="K22" i="35"/>
  <c r="M22" i="35" s="1"/>
  <c r="L22" i="35"/>
  <c r="K23" i="35"/>
  <c r="M23" i="35" s="1"/>
  <c r="L23" i="35"/>
  <c r="K24" i="35"/>
  <c r="L24" i="35"/>
  <c r="I25" i="34"/>
  <c r="P28" i="34" s="1"/>
  <c r="K16" i="34"/>
  <c r="L16" i="34"/>
  <c r="M16" i="34"/>
  <c r="K17" i="34"/>
  <c r="M17" i="34" s="1"/>
  <c r="L17" i="34"/>
  <c r="K18" i="34"/>
  <c r="L18" i="34"/>
  <c r="K19" i="34"/>
  <c r="M19" i="34" s="1"/>
  <c r="L19" i="34"/>
  <c r="K20" i="34"/>
  <c r="L20" i="34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M21" i="33" s="1"/>
  <c r="L21" i="33"/>
  <c r="K22" i="33"/>
  <c r="L22" i="33"/>
  <c r="M22" i="33" s="1"/>
  <c r="K19" i="33"/>
  <c r="L19" i="33"/>
  <c r="K23" i="33"/>
  <c r="M23" i="33" s="1"/>
  <c r="L23" i="33"/>
  <c r="K20" i="33"/>
  <c r="L20" i="33"/>
  <c r="M20" i="33" s="1"/>
  <c r="K24" i="33"/>
  <c r="M17" i="33"/>
  <c r="M18" i="33"/>
  <c r="K16" i="33"/>
  <c r="K24" i="32"/>
  <c r="L24" i="32"/>
  <c r="I25" i="32"/>
  <c r="P28" i="32" s="1"/>
  <c r="K16" i="32"/>
  <c r="M16" i="32" s="1"/>
  <c r="L16" i="32"/>
  <c r="K17" i="32"/>
  <c r="L17" i="32"/>
  <c r="K18" i="32"/>
  <c r="L18" i="32"/>
  <c r="K19" i="32"/>
  <c r="L19" i="32"/>
  <c r="K20" i="32"/>
  <c r="M20" i="32" s="1"/>
  <c r="L20" i="32"/>
  <c r="K21" i="32"/>
  <c r="L21" i="32"/>
  <c r="K22" i="32"/>
  <c r="L22" i="32"/>
  <c r="M22" i="32" s="1"/>
  <c r="K19" i="31"/>
  <c r="M19" i="31" s="1"/>
  <c r="L19" i="31"/>
  <c r="K21" i="31"/>
  <c r="K22" i="31"/>
  <c r="L22" i="31"/>
  <c r="M22" i="31" s="1"/>
  <c r="K24" i="31"/>
  <c r="L24" i="31"/>
  <c r="K16" i="31"/>
  <c r="L16" i="31"/>
  <c r="K18" i="31"/>
  <c r="L18" i="31"/>
  <c r="M18" i="31" s="1"/>
  <c r="K20" i="31"/>
  <c r="M20" i="31" s="1"/>
  <c r="L20" i="31"/>
  <c r="K23" i="31"/>
  <c r="L23" i="31"/>
  <c r="M23" i="31" s="1"/>
  <c r="K18" i="30"/>
  <c r="M18" i="30" s="1"/>
  <c r="L18" i="30"/>
  <c r="K20" i="30"/>
  <c r="L20" i="30"/>
  <c r="K21" i="30"/>
  <c r="L21" i="30"/>
  <c r="K23" i="30"/>
  <c r="L23" i="30"/>
  <c r="M23" i="30" s="1"/>
  <c r="I25" i="30"/>
  <c r="P28" i="30" s="1"/>
  <c r="K16" i="30"/>
  <c r="L16" i="30"/>
  <c r="K17" i="30"/>
  <c r="M17" i="30" s="1"/>
  <c r="L17" i="30"/>
  <c r="K19" i="30"/>
  <c r="L19" i="30"/>
  <c r="K22" i="30"/>
  <c r="M22" i="30" s="1"/>
  <c r="L22" i="30"/>
  <c r="K24" i="30"/>
  <c r="M24" i="30" s="1"/>
  <c r="L24" i="30"/>
  <c r="I25" i="29"/>
  <c r="P28" i="29" s="1"/>
  <c r="K16" i="29"/>
  <c r="L16" i="29"/>
  <c r="K19" i="29"/>
  <c r="L19" i="29"/>
  <c r="M19" i="29" s="1"/>
  <c r="K21" i="29"/>
  <c r="M21" i="29" s="1"/>
  <c r="L21" i="29"/>
  <c r="K24" i="29"/>
  <c r="L24" i="29"/>
  <c r="M24" i="29" s="1"/>
  <c r="K17" i="29"/>
  <c r="M17" i="29" s="1"/>
  <c r="L17" i="29"/>
  <c r="K20" i="29"/>
  <c r="L20" i="29"/>
  <c r="M20" i="29" s="1"/>
  <c r="K22" i="29"/>
  <c r="M22" i="29" s="1"/>
  <c r="L22" i="29"/>
  <c r="K18" i="29"/>
  <c r="L18" i="29"/>
  <c r="K23" i="29"/>
  <c r="M23" i="29" s="1"/>
  <c r="L23" i="29"/>
  <c r="K16" i="28"/>
  <c r="L16" i="28"/>
  <c r="K17" i="28"/>
  <c r="L17" i="28"/>
  <c r="M17" i="28" s="1"/>
  <c r="K18" i="28"/>
  <c r="M18" i="28" s="1"/>
  <c r="L18" i="28"/>
  <c r="K19" i="28"/>
  <c r="M19" i="28" s="1"/>
  <c r="L19" i="28"/>
  <c r="K20" i="28"/>
  <c r="L20" i="28"/>
  <c r="K22" i="28"/>
  <c r="M22" i="28" s="1"/>
  <c r="L22" i="28"/>
  <c r="K23" i="28"/>
  <c r="M23" i="28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1" i="31" l="1"/>
  <c r="L21" i="28"/>
  <c r="M20" i="28"/>
  <c r="N20" i="28" s="1"/>
  <c r="I25" i="28"/>
  <c r="P28" i="28" s="1"/>
  <c r="M18" i="29"/>
  <c r="M19" i="30"/>
  <c r="M16" i="30"/>
  <c r="N16" i="30" s="1"/>
  <c r="M20" i="30"/>
  <c r="I25" i="31"/>
  <c r="P28" i="31" s="1"/>
  <c r="L17" i="31"/>
  <c r="M17" i="31" s="1"/>
  <c r="M21" i="32"/>
  <c r="M25" i="32" s="1"/>
  <c r="M19" i="32"/>
  <c r="M17" i="32"/>
  <c r="M18" i="34"/>
  <c r="N18" i="34" s="1"/>
  <c r="O18" i="34" s="1"/>
  <c r="P18" i="34" s="1"/>
  <c r="M24" i="35"/>
  <c r="L25" i="30"/>
  <c r="P29" i="30" s="1"/>
  <c r="I16" i="26"/>
  <c r="I17" i="26"/>
  <c r="I25" i="26" s="1"/>
  <c r="P28" i="26" s="1"/>
  <c r="I18" i="26"/>
  <c r="I19" i="26"/>
  <c r="I20" i="26"/>
  <c r="I21" i="26"/>
  <c r="K21" i="26" s="1"/>
  <c r="I22" i="26"/>
  <c r="I23" i="26"/>
  <c r="I24" i="26"/>
  <c r="I16" i="27"/>
  <c r="L16" i="27" s="1"/>
  <c r="I17" i="27"/>
  <c r="I18" i="27"/>
  <c r="I19" i="27"/>
  <c r="I20" i="27"/>
  <c r="L20" i="27" s="1"/>
  <c r="I21" i="27"/>
  <c r="I22" i="27"/>
  <c r="I23" i="27"/>
  <c r="I24" i="27"/>
  <c r="L24" i="27" s="1"/>
  <c r="M24" i="28"/>
  <c r="M21" i="28"/>
  <c r="M21" i="30"/>
  <c r="M24" i="31"/>
  <c r="N24" i="31" s="1"/>
  <c r="O24" i="31" s="1"/>
  <c r="L23" i="32"/>
  <c r="M23" i="32" s="1"/>
  <c r="M18" i="32"/>
  <c r="M24" i="32"/>
  <c r="M24" i="33"/>
  <c r="N24" i="33" s="1"/>
  <c r="O24" i="33" s="1"/>
  <c r="M19" i="33"/>
  <c r="M16" i="29"/>
  <c r="L25" i="31"/>
  <c r="P29" i="31" s="1"/>
  <c r="K25" i="33"/>
  <c r="P30" i="33" s="1"/>
  <c r="L24" i="33"/>
  <c r="L25" i="33" s="1"/>
  <c r="P29" i="33" s="1"/>
  <c r="P31" i="33" s="1"/>
  <c r="M20" i="34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N17" i="34"/>
  <c r="O17" i="34" s="1"/>
  <c r="N24" i="34"/>
  <c r="O24" i="34" s="1"/>
  <c r="P24" i="34"/>
  <c r="N21" i="34"/>
  <c r="O21" i="34" s="1"/>
  <c r="L25" i="34"/>
  <c r="P29" i="34" s="1"/>
  <c r="K25" i="34"/>
  <c r="P30" i="34" s="1"/>
  <c r="P31" i="34" s="1"/>
  <c r="N23" i="34"/>
  <c r="O23" i="34" s="1"/>
  <c r="P23" i="34" s="1"/>
  <c r="N19" i="34"/>
  <c r="O19" i="34" s="1"/>
  <c r="N16" i="34"/>
  <c r="N23" i="33"/>
  <c r="O23" i="33" s="1"/>
  <c r="N20" i="33"/>
  <c r="O20" i="33" s="1"/>
  <c r="N19" i="33"/>
  <c r="O19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P17" i="32"/>
  <c r="N23" i="32"/>
  <c r="O23" i="32" s="1"/>
  <c r="N18" i="32"/>
  <c r="O18" i="32" s="1"/>
  <c r="N24" i="32"/>
  <c r="O24" i="32" s="1"/>
  <c r="P24" i="32" s="1"/>
  <c r="N20" i="32"/>
  <c r="O20" i="32" s="1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N20" i="31"/>
  <c r="O20" i="31" s="1"/>
  <c r="P20" i="31"/>
  <c r="N23" i="31"/>
  <c r="O23" i="31" s="1"/>
  <c r="P23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20" i="30"/>
  <c r="O20" i="30" s="1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P31" i="28" s="1"/>
  <c r="M16" i="28"/>
  <c r="N21" i="28"/>
  <c r="O21" i="28" s="1"/>
  <c r="N18" i="28"/>
  <c r="O18" i="28" s="1"/>
  <c r="P18" i="28" s="1"/>
  <c r="N17" i="28"/>
  <c r="O17" i="28" s="1"/>
  <c r="J25" i="15"/>
  <c r="I25" i="27"/>
  <c r="P28" i="27" s="1"/>
  <c r="K16" i="27"/>
  <c r="K17" i="27"/>
  <c r="L17" i="27"/>
  <c r="K20" i="27"/>
  <c r="K21" i="27"/>
  <c r="L21" i="27"/>
  <c r="K22" i="27"/>
  <c r="L22" i="27"/>
  <c r="K23" i="27"/>
  <c r="L23" i="27"/>
  <c r="K24" i="27"/>
  <c r="K19" i="27"/>
  <c r="L19" i="27"/>
  <c r="K18" i="27"/>
  <c r="L18" i="27"/>
  <c r="L17" i="26"/>
  <c r="K19" i="26"/>
  <c r="L19" i="26"/>
  <c r="K22" i="26"/>
  <c r="L22" i="26"/>
  <c r="K23" i="26"/>
  <c r="L23" i="26"/>
  <c r="K18" i="26"/>
  <c r="L18" i="26"/>
  <c r="K20" i="26"/>
  <c r="L20" i="26"/>
  <c r="L21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O20" i="28" l="1"/>
  <c r="P20" i="28"/>
  <c r="N17" i="31"/>
  <c r="O17" i="31" s="1"/>
  <c r="P17" i="31"/>
  <c r="K17" i="26"/>
  <c r="M17" i="26" s="1"/>
  <c r="M23" i="27"/>
  <c r="P21" i="30"/>
  <c r="M25" i="34"/>
  <c r="M24" i="26"/>
  <c r="P24" i="31"/>
  <c r="P18" i="31"/>
  <c r="P23" i="32"/>
  <c r="P19" i="32"/>
  <c r="P21" i="29"/>
  <c r="P20" i="34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1" i="18" l="1"/>
  <c r="I24" i="18"/>
  <c r="L24" i="18" s="1"/>
  <c r="I20" i="19"/>
  <c r="I23" i="19"/>
  <c r="L23" i="19" s="1"/>
  <c r="I22" i="18"/>
  <c r="L22" i="18" s="1"/>
  <c r="I19" i="19"/>
  <c r="I21" i="19"/>
  <c r="I22" i="19"/>
  <c r="K22" i="19" s="1"/>
  <c r="I24" i="19"/>
  <c r="I19" i="22"/>
  <c r="I20" i="22"/>
  <c r="I21" i="22"/>
  <c r="L21" i="22" s="1"/>
  <c r="I22" i="22"/>
  <c r="P16" i="32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I20" i="21"/>
  <c r="I22" i="21"/>
  <c r="I24" i="2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3" i="22"/>
  <c r="K24" i="20"/>
  <c r="L24" i="20"/>
  <c r="L21" i="20"/>
  <c r="K21" i="20"/>
  <c r="K20" i="19"/>
  <c r="L20" i="19"/>
  <c r="K18" i="19"/>
  <c r="K24" i="19"/>
  <c r="L24" i="19"/>
  <c r="L19" i="19"/>
  <c r="K19" i="19"/>
  <c r="L21" i="19"/>
  <c r="K21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21" l="1"/>
  <c r="L20" i="21"/>
  <c r="K18" i="21"/>
  <c r="L18" i="21"/>
  <c r="M18" i="21" s="1"/>
  <c r="N18" i="21" s="1"/>
  <c r="O18" i="21" s="1"/>
  <c r="K23" i="21"/>
  <c r="L23" i="21"/>
  <c r="K19" i="21"/>
  <c r="L19" i="21"/>
  <c r="L22" i="19"/>
  <c r="K21" i="22"/>
  <c r="K24" i="21"/>
  <c r="L24" i="21"/>
  <c r="M24" i="21" s="1"/>
  <c r="N24" i="21" s="1"/>
  <c r="O24" i="21" s="1"/>
  <c r="P24" i="21" s="1"/>
  <c r="K22" i="21"/>
  <c r="L22" i="21"/>
  <c r="K21" i="21"/>
  <c r="L21" i="21"/>
  <c r="M21" i="21" s="1"/>
  <c r="N21" i="21" s="1"/>
  <c r="K23" i="20"/>
  <c r="M23" i="20" s="1"/>
  <c r="N23" i="20" s="1"/>
  <c r="O23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17" i="20"/>
  <c r="M17" i="20" s="1"/>
  <c r="N17" i="20" s="1"/>
  <c r="O17" i="20" s="1"/>
  <c r="K17" i="19"/>
  <c r="L16" i="17"/>
  <c r="M16" i="17" s="1"/>
  <c r="K20" i="18"/>
  <c r="M20" i="18" s="1"/>
  <c r="L17" i="17"/>
  <c r="L19" i="20"/>
  <c r="K16" i="23"/>
  <c r="L24" i="24"/>
  <c r="L18" i="24"/>
  <c r="M18" i="24" s="1"/>
  <c r="N18" i="24" s="1"/>
  <c r="O18" i="24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M23" i="2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1" i="20"/>
  <c r="N21" i="20" s="1"/>
  <c r="O21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N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L21" i="15" l="1"/>
  <c r="L25" i="24"/>
  <c r="P29" i="24" s="1"/>
  <c r="K25" i="19"/>
  <c r="P30" i="19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N16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 l="1"/>
  <c r="P29" i="16" s="1"/>
  <c r="M16" i="15"/>
  <c r="P31" i="21"/>
  <c r="P33" i="21" s="1"/>
  <c r="P34" i="21" s="1"/>
  <c r="P35" i="21" s="1"/>
  <c r="U19" i="15" s="1"/>
  <c r="M17" i="15"/>
  <c r="P31" i="17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5" i="23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<sst xmlns="http://schemas.openxmlformats.org/spreadsheetml/2006/main" count="1583" uniqueCount="118">
  <si>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</si>
  <si>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</si>
  <si>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</si>
  <si>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</si>
  <si>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</si>
  <si>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</si>
  <si>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</si>
  <si>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</si>
  <si>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</si>
  <si>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</si>
  <si>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</si>
  <si>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</si>
  <si>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</si>
  <si>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</si>
  <si>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</si>
  <si>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</si>
  <si>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</si>
  <si>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</si>
  <si>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</si>
  <si>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</si>
  <si>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</si>
  <si>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</si>
  <si>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</si>
  <si>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</si>
  <si>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</si>
  <si>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</si>
  <si>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</si>
  <si>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</si>
  <si>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</si>
  <si>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</si>
  <si>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</si>
  <si>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</si>
  <si>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</si>
  <si>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</si>
  <si>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</si>
  <si>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</si>
  <si>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</si>
  <si>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</si>
  <si>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</si>
  <si>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</si>
  <si>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</si>
  <si>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</si>
  <si>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</si>
  <si>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</si>
  <si>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</si>
  <si>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</si>
  <si>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</si>
  <si>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</si>
  <si>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</si>
  <si>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</si>
  <si>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</si>
  <si>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</si>
  <si>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</si>
  <si>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</si>
  <si>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</si>
  <si>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</si>
  <si>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</si>
  <si>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</si>
  <si>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</si>
  <si>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</si>
  <si>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</si>
  <si>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</si>
  <si>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</si>
  <si>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</si>
  <si>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</si>
  <si>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</si>
  <si>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</si>
  <si>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</si>
  <si>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</si>
  <si>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</si>
  <si>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</si>
  <si>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</si>
  <si>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</si>
  <si>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</si>
  <si>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</si>
  <si>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</si>
  <si>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</si>
  <si>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</si>
  <si>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</si>
  <si>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</si>
  <si>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</si>
  <si>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</si>
  <si>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</si>
  <si>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</si>
  <si>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</si>
  <si>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</si>
  <si>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</si>
  <si>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</si>
  <si>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</si>
  <si>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</si>
  <si>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</si>
  <si>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</si>
  <si>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</si>
  <si>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</si>
  <si>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</si>
  <si>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</si>
  <si>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</si>
  <si>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</si>
  <si>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</si>
  <si>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</si>
  <si>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</si>
  <si>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</si>
  <si>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</si>
  <si>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</si>
  <si>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 xml:space="preserve">Customer Name : Dil Mart </t>
  </si>
  <si>
    <t>Address: Center Park</t>
  </si>
  <si>
    <t>Customer Name : Alsafa Mart</t>
  </si>
  <si>
    <t>Address: Central Park</t>
  </si>
  <si>
    <t>7539738-6</t>
  </si>
  <si>
    <t>Customer Name : Sheen Mart</t>
  </si>
  <si>
    <t>4733136-5</t>
  </si>
  <si>
    <t>Customer Name : As Store</t>
  </si>
  <si>
    <t xml:space="preserve">Address: Central Park </t>
  </si>
  <si>
    <t>Customer Name : Khan Store</t>
  </si>
  <si>
    <t>Zeshan</t>
  </si>
  <si>
    <t>Shop Bill Summary (Zeshan)</t>
  </si>
  <si>
    <t xml:space="preserve">Customer Name :Altaf Cash &amp; Carry </t>
  </si>
  <si>
    <t>D483661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</si>
</sst>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zoomScale="70" zoomScaleNormal="70" workbookViewId="0">
      <selection activeCell="J3" sqref="J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7" t="s">
        <v>45</v>
      </c>
      <c r="B2" s="197"/>
      <c r="C2" s="197"/>
    </row>
    <row r="3" spans="1:21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2" t="s">
        <v>114</v>
      </c>
      <c r="B5" s="202"/>
      <c r="C5" s="202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21 16383:16384" ht="15" customHeight="1" x14ac:dyDescent="0.35">
      <c r="A6" s="202"/>
      <c r="B6" s="202"/>
      <c r="C6" s="202"/>
      <c r="F6" s="70"/>
      <c r="G6" s="74"/>
      <c r="K6" s="199" t="s">
        <v>52</v>
      </c>
      <c r="L6" s="199"/>
      <c r="M6" s="199"/>
      <c r="N6" s="201" t="s">
        <v>42</v>
      </c>
      <c r="O6" s="201"/>
      <c r="P6" s="20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21 16383:16384" hidden="1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21 16383:16384" x14ac:dyDescent="0.35">
      <c r="A10" s="204"/>
      <c r="B10" s="75"/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21 16383:16384" ht="15" thickBot="1" x14ac:dyDescent="0.4">
      <c r="A11" s="204"/>
      <c r="B11" s="76"/>
      <c r="C11" s="77"/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21 16383:16384" ht="14.65" customHeight="1" x14ac:dyDescent="0.35">
      <c r="A12" s="204"/>
      <c r="B12" s="76"/>
      <c r="C12" s="77"/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T12" s="213" t="s">
        <v>115</v>
      </c>
      <c r="U12" s="214"/>
      <c r="XFD12" t="s">
        <v>62</v>
      </c>
    </row>
    <row r="13" spans="1:21 16383:16384" ht="15" thickBot="1" x14ac:dyDescent="0.4">
      <c r="A13" s="241"/>
      <c r="J13" s="78"/>
      <c r="K13" s="78"/>
      <c r="L13" s="79">
        <v>0.05</v>
      </c>
      <c r="T13" s="215"/>
      <c r="U13" s="216"/>
      <c r="XFD13" t="s">
        <v>63</v>
      </c>
    </row>
    <row r="14" spans="1:21 16383:16384" ht="29.25" customHeight="1" x14ac:dyDescent="0.6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07" t="s">
        <v>68</v>
      </c>
      <c r="H14" s="208"/>
      <c r="I14" s="208" t="s">
        <v>69</v>
      </c>
      <c r="J14" s="208" t="s">
        <v>70</v>
      </c>
      <c r="K14" s="208"/>
      <c r="L14" s="210"/>
      <c r="M14" s="21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Dil Mart 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9"/>
      <c r="J15" s="171" t="s">
        <v>78</v>
      </c>
      <c r="K15" s="171" t="s">
        <v>79</v>
      </c>
      <c r="L15" s="174" t="s">
        <v>80</v>
      </c>
      <c r="M15" s="21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Alsafa Mart</v>
      </c>
      <c r="U15" s="164">
        <f>+'2'!P35</f>
        <v>7207.6118655000009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75</v>
      </c>
      <c r="I16" s="1">
        <f>(G16*D16)*F16+H16*F16</f>
        <v>3934.6875</v>
      </c>
      <c r="J16" s="172">
        <f>+'1'!J16+'2'!J16+'4'!J16+'3'!J16+'5'!J16+'6'!J16+'7'!J16+'8'!J16+'9'!J16+'10'!J16+'11'!J16+'12'!J16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398.71499999999997</v>
      </c>
      <c r="M16" s="106">
        <f>I16-K16-L16</f>
        <v>3535.9724999999999</v>
      </c>
      <c r="N16" s="101">
        <f>+'1'!N16+'2'!N16+'4'!N16+'3'!N16+'5'!N16+'6'!N16+'7'!N16+'8'!N16+'9'!N16+'10'!N16</f>
        <v>693.76409999999998</v>
      </c>
      <c r="O16" s="101">
        <f>+'1'!O16+'2'!O16+'4'!O16+'3'!O16+'5'!O16+'6'!O16+'7'!O16+'8'!O16+'9'!O16+'10'!O16</f>
        <v>21.148682999999998</v>
      </c>
      <c r="P16" s="105">
        <f t="shared" ref="P16:P24" si="0">M16+N16+O16</f>
        <v>4250.8852830000005</v>
      </c>
      <c r="Q16" s="108"/>
      <c r="T16" s="163" t="str">
        <f>+'4'!A5</f>
        <v>Customer Name : As Store</v>
      </c>
      <c r="U16" s="164">
        <f>+'4'!P35</f>
        <v>2390.3320994999999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82</v>
      </c>
      <c r="I17" s="1">
        <f t="shared" ref="I17:I23" si="1">(G17*D17)*F17+H17*F17</f>
        <v>4301.9250000000002</v>
      </c>
      <c r="J17" s="172">
        <f>+'1'!J17+'2'!J17+'4'!J17+'3'!J17+'5'!J17+'6'!J17+'7'!J17+'8'!J17+'9'!J17+'10'!J17+'11'!J17+'12'!J17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369.33599999999996</v>
      </c>
      <c r="M17" s="118">
        <f t="shared" ref="M17:M23" si="2">I17-K17-L17</f>
        <v>3932.5890000000004</v>
      </c>
      <c r="N17" s="101">
        <f>+'1'!N17+'2'!N17+'4'!N17+'3'!N17+'5'!N17+'6'!N17+'7'!N17+'8'!N17+'9'!N17+'10'!N17</f>
        <v>878.89377000000002</v>
      </c>
      <c r="O17" s="101">
        <f>+'1'!O17+'2'!O17+'4'!O17+'3'!O17+'5'!O17+'6'!O17+'7'!O17+'8'!O17+'9'!O17+'10'!O17</f>
        <v>24.057413850000003</v>
      </c>
      <c r="P17" s="120">
        <f t="shared" si="0"/>
        <v>4835.5401838500002</v>
      </c>
      <c r="S17" s="64"/>
      <c r="T17" s="163" t="str">
        <f>+'3'!A5</f>
        <v>Customer Name : Sheen Mart</v>
      </c>
      <c r="U17" s="164">
        <f>+'3'!P35</f>
        <v>7460.4616245000007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55</v>
      </c>
      <c r="I18" s="1">
        <f t="shared" si="1"/>
        <v>2885.4375</v>
      </c>
      <c r="J18" s="172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314.77499999999998</v>
      </c>
      <c r="M18" s="118">
        <f t="shared" si="2"/>
        <v>2570.6624999999999</v>
      </c>
      <c r="N18" s="101">
        <f>+'1'!N18+'2'!N18+'4'!N18+'3'!N18+'5'!N18+'6'!N18+'7'!N18+'8'!N18+'9'!N18+'10'!N18</f>
        <v>510.56505000000004</v>
      </c>
      <c r="O18" s="101">
        <f>+'1'!O18+'2'!O18+'4'!O18+'3'!O18+'5'!O18+'6'!O18+'7'!O18+'8'!O18+'9'!O18+'10'!O18</f>
        <v>15.406137749999999</v>
      </c>
      <c r="P18" s="120">
        <f t="shared" si="0"/>
        <v>3096.6336877500003</v>
      </c>
      <c r="T18" s="163" t="str">
        <f>+'5'!A5</f>
        <v>Customer Name : Khan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100</v>
      </c>
      <c r="I19" s="1">
        <f t="shared" si="1"/>
        <v>7264</v>
      </c>
      <c r="J19" s="172">
        <f>+'1'!J19+'2'!J19+'4'!J19+'3'!J19+'5'!J19+'6'!J19+'7'!J19+'8'!J19+'9'!J19+'10'!J19+'11'!J19+'12'!J19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697.34400000000005</v>
      </c>
      <c r="M19" s="118">
        <f t="shared" si="2"/>
        <v>6566.6559999999999</v>
      </c>
      <c r="N19" s="101">
        <f>+'1'!N19+'2'!N19+'4'!N19+'3'!N19+'5'!N19+'6'!N19+'7'!N19+'8'!N19+'9'!N19+'10'!N19</f>
        <v>1360.1113599999999</v>
      </c>
      <c r="O19" s="101">
        <f>+'1'!O19+'2'!O19+'4'!O19+'3'!O19+'5'!O19+'6'!O19+'7'!O19+'8'!O19+'9'!O19+'10'!O19</f>
        <v>105.49797760000001</v>
      </c>
      <c r="P19" s="120">
        <f t="shared" si="0"/>
        <v>8032.2653375999998</v>
      </c>
      <c r="T19" s="163" t="str">
        <f>+'6'!A5</f>
        <v xml:space="preserve">Customer Name :Altaf Cash &amp; Carry </v>
      </c>
      <c r="U19" s="164">
        <f>+'6'!P35</f>
        <v>11135.169376619999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139</v>
      </c>
      <c r="I20" s="1">
        <f t="shared" si="1"/>
        <v>10096.960000000001</v>
      </c>
      <c r="J20" s="172">
        <f>+'1'!J20+'2'!J20+'4'!J20+'3'!J20+'5'!J20+'6'!J20+'7'!J20+'8'!J20+'9'!J20+'10'!J20+'11'!J20+'12'!J20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921.0752</v>
      </c>
      <c r="M20" s="118">
        <f t="shared" si="2"/>
        <v>9175.8848000000016</v>
      </c>
      <c r="N20" s="101">
        <f>+'1'!N20+'2'!N20+'4'!N20+'3'!N20+'5'!N20+'6'!N20+'7'!N20+'8'!N20+'9'!N20+'10'!N20</f>
        <v>1968.6602239999997</v>
      </c>
      <c r="O20" s="101">
        <f>+'1'!O20+'2'!O20+'4'!O20+'3'!O20+'5'!O20+'6'!O20+'7'!O20+'8'!O20+'9'!O20+'10'!O20</f>
        <v>121.58686592000001</v>
      </c>
      <c r="P20" s="120">
        <f t="shared" si="0"/>
        <v>11266.131889920001</v>
      </c>
      <c r="T20" s="163" t="str">
        <f>+'7'!A5</f>
        <v>Customer Name : Shop Name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Shop Name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80</v>
      </c>
      <c r="I22" s="1">
        <f t="shared" si="1"/>
        <v>3138.4000000000005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156.92000000000004</v>
      </c>
      <c r="M22" s="118">
        <f t="shared" si="2"/>
        <v>2871.6360000000004</v>
      </c>
      <c r="N22" s="101">
        <f>+'1'!N22+'2'!N22+'4'!N22+'3'!N22+'5'!N22+'6'!N22+'7'!N22+'8'!N22+'9'!N22+'10'!N22</f>
        <v>574.32720000000006</v>
      </c>
      <c r="O22" s="101">
        <f>+'1'!O22+'2'!O22+'4'!O22+'3'!O22+'5'!O22+'6'!O22+'7'!O22+'8'!O22+'9'!O22+'10'!O22</f>
        <v>17.229816000000003</v>
      </c>
      <c r="P22" s="120">
        <f t="shared" si="0"/>
        <v>3463.1930160000006</v>
      </c>
      <c r="T22" s="163" t="str">
        <f>+'9'!A5</f>
        <v>Customer Name : Shop Name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23" t="s">
        <v>84</v>
      </c>
      <c r="B25" s="224"/>
      <c r="C25" s="225">
        <f>H25/40</f>
        <v>13.275</v>
      </c>
      <c r="D25" s="219"/>
      <c r="E25" s="219"/>
      <c r="F25" s="219"/>
      <c r="G25" s="176">
        <f t="shared" ref="G25:M25" si="3">SUM(G16:G24)</f>
        <v>0</v>
      </c>
      <c r="H25" s="177">
        <f t="shared" si="3"/>
        <v>531</v>
      </c>
      <c r="I25" s="178">
        <f t="shared" si="3"/>
        <v>31621.410000000003</v>
      </c>
      <c r="J25" s="177">
        <f t="shared" si="3"/>
        <v>24</v>
      </c>
      <c r="K25" s="178">
        <f t="shared" si="3"/>
        <v>109.84400000000002</v>
      </c>
      <c r="L25" s="179">
        <f t="shared" si="3"/>
        <v>2858.1652000000004</v>
      </c>
      <c r="M25" s="141">
        <f t="shared" si="3"/>
        <v>28653.400800000003</v>
      </c>
      <c r="N25" s="142">
        <f>SUM(N16:N24)</f>
        <v>5986.321704</v>
      </c>
      <c r="O25" s="143">
        <f>SUM(O16:O24)</f>
        <v>304.92689412000004</v>
      </c>
      <c r="P25" s="144">
        <f>SUM(P16:P24)</f>
        <v>34944.649398120004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34944.649398119996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31621.410000000003</v>
      </c>
    </row>
    <row r="29" spans="1:21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2858.1652000000004</v>
      </c>
    </row>
    <row r="30" spans="1:21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109.84400000000002</v>
      </c>
    </row>
    <row r="31" spans="1:21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28653.400800000003</v>
      </c>
    </row>
    <row r="32" spans="1:21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5986.321704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34639.722504000005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865.99306260000014</v>
      </c>
    </row>
    <row r="35" spans="2:16" ht="15.75" customHeight="1" thickBot="1" x14ac:dyDescent="0.4">
      <c r="N35" s="217" t="s">
        <v>92</v>
      </c>
      <c r="O35" s="218"/>
      <c r="P35" s="160">
        <f>P33+P34</f>
        <v>35505.715566600004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82.330176000000009</v>
      </c>
      <c r="P19" s="120">
        <f t="shared" si="2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82.330176000000009</v>
      </c>
      <c r="P20" s="120">
        <f t="shared" si="2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5811.2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464.89600000000002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5346.3040000000001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6586.4140800000005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7" t="s">
        <v>92</v>
      </c>
      <c r="O35" s="218"/>
      <c r="P35" s="160">
        <f>P33+P34</f>
        <v>6751.0744320000003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2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106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107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108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3520115707091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1132.1631</v>
      </c>
      <c r="O25" s="143">
        <f>SUM(O16:O24)</f>
        <v>35.858765499999997</v>
      </c>
      <c r="P25" s="144">
        <f>SUM(P16:P24)</f>
        <v>7207.6118655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6573.3000000000011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478.78800000000001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54.922000000000011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6039.5900000000011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1132.1631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7171.7531000000008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17" t="s">
        <v>92</v>
      </c>
      <c r="O35" s="218"/>
      <c r="P35" s="160">
        <f>P33+P34</f>
        <v>7207.6118655000009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4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109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107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110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1383.7548999999999</v>
      </c>
      <c r="O25" s="143">
        <f>SUM(O16:O24)</f>
        <v>37.116724500000004</v>
      </c>
      <c r="P25" s="144">
        <f>SUM(P16:P24)</f>
        <v>7460.4616244999997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6573.3000000000011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478.78800000000001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54.922000000000011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6039.5900000000011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1383.7548999999999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7423.344900000001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37.116724500000004</v>
      </c>
    </row>
    <row r="35" spans="2:16" ht="15.75" customHeight="1" thickBot="1" x14ac:dyDescent="0.4">
      <c r="N35" s="217" t="s">
        <v>92</v>
      </c>
      <c r="O35" s="218"/>
      <c r="P35" s="160">
        <f>P33+P34</f>
        <v>7460.4616245000007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3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111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112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80">
        <v>3520143554037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2098.5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167.88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1930.62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2378.4398999999999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7" t="s">
        <v>92</v>
      </c>
      <c r="O35" s="218"/>
      <c r="P35" s="160">
        <f>P33+P34</f>
        <v>2390.3320994999999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5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113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112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6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116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107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117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 t="s">
        <v>117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351.28890000000001</v>
      </c>
      <c r="O16" s="107">
        <f>(N16+M16)*$O$15</f>
        <v>10.9898445</v>
      </c>
      <c r="P16" s="105">
        <f t="shared" ref="P16:P24" si="1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2</v>
      </c>
      <c r="K17" s="1">
        <f t="shared" ref="K17:K21" si="3">I17*$K$13</f>
        <v>0</v>
      </c>
      <c r="L17" s="105">
        <f t="shared" ref="L17:L24" si="4">I17*12%</f>
        <v>75.545999999999992</v>
      </c>
      <c r="M17" s="118">
        <f t="shared" ref="M17:M23" si="5">I17-K17-L17</f>
        <v>554.00399999999991</v>
      </c>
      <c r="N17" s="118">
        <f t="shared" si="0"/>
        <v>118.60721999999998</v>
      </c>
      <c r="O17" s="119">
        <f t="shared" ref="O17:O24" si="6">(N17+M17)*$O$15</f>
        <v>3.3630560999999997</v>
      </c>
      <c r="P17" s="120">
        <f t="shared" si="1"/>
        <v>675.97427609999988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39</v>
      </c>
      <c r="I20" s="116">
        <f t="shared" si="2"/>
        <v>2832.96</v>
      </c>
      <c r="J20" s="117">
        <v>2</v>
      </c>
      <c r="K20" s="1">
        <f t="shared" si="3"/>
        <v>0</v>
      </c>
      <c r="L20" s="105">
        <f t="shared" si="4"/>
        <v>339.95519999999999</v>
      </c>
      <c r="M20" s="118">
        <f t="shared" si="5"/>
        <v>2493.0048000000002</v>
      </c>
      <c r="N20" s="118">
        <f t="shared" si="0"/>
        <v>474.89126399999998</v>
      </c>
      <c r="O20" s="119">
        <f t="shared" si="6"/>
        <v>14.83948032</v>
      </c>
      <c r="P20" s="120">
        <f t="shared" si="1"/>
        <v>2982.7355443199999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8">SUM(G16:G24)</f>
        <v>0</v>
      </c>
      <c r="H25" s="136">
        <f t="shared" si="8"/>
        <v>171</v>
      </c>
      <c r="I25" s="137">
        <f t="shared" si="8"/>
        <v>10565.11</v>
      </c>
      <c r="J25" s="138"/>
      <c r="K25" s="139">
        <f t="shared" si="8"/>
        <v>0</v>
      </c>
      <c r="L25" s="140">
        <f t="shared" si="8"/>
        <v>1267.8132000000001</v>
      </c>
      <c r="M25" s="141">
        <f t="shared" si="8"/>
        <v>9297.2968000000001</v>
      </c>
      <c r="N25" s="142">
        <f>SUM(N16:N24)</f>
        <v>1782.4737239999999</v>
      </c>
      <c r="O25" s="143">
        <f>SUM(O16:O24)</f>
        <v>55.39885262</v>
      </c>
      <c r="P25" s="144">
        <f>SUM(P16:P24)</f>
        <v>11135.169376619999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10565.11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1267.8132000000001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9297.2968000000001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1782.4737239999999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11079.770524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55.39885262</v>
      </c>
    </row>
    <row r="35" spans="2:16" ht="15.75" customHeight="1" thickBot="1" x14ac:dyDescent="0.4">
      <c r="N35" s="217" t="s">
        <v>92</v>
      </c>
      <c r="O35" s="218"/>
      <c r="P35" s="160">
        <f>P33+P34</f>
        <v>11135.169376619999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7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8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9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46184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102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46183</v>
      </c>
      <c r="O5" s="198"/>
      <c r="P5" s="198"/>
      <c r="R5" s="70"/>
      <c r="S5" s="71"/>
    </row>
    <row r="6" spans="1:19 16383:16384" ht="15" customHeight="1" x14ac:dyDescent="0.35">
      <c r="A6" s="199" t="s">
        <v>103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>
        <v>0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2026-06-11T14:15:04Z</dcterms:modified>
</cp:coreProperties>
</file>