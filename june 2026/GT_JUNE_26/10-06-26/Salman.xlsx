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F89DC2F9-E5CB-48E0-B19A-DB8899184D0F}" xr6:coauthVersionLast="45" xr6:coauthVersionMax="45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K22" i="15" l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P31" i="21" l="1"/>
  <c r="M25" i="20"/>
  <c r="M17" i="15"/>
  <c r="P31" i="17"/>
  <c r="L25" i="16"/>
  <c r="P29" i="16" s="1"/>
  <c r="M18" i="16"/>
  <c r="N18" i="16" s="1"/>
  <c r="N18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<sst xmlns="http://schemas.openxmlformats.org/spreadsheetml/2006/main" count="1598" uniqueCount="123">
  <si>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</si>
  <si>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</si>
  <si>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</si>
  <si>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</si>
  <si>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</si>
  <si>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</si>
  <si>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</si>
  <si>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</si>
  <si>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</si>
  <si>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</si>
  <si>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</si>
  <si>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</si>
  <si>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</si>
  <si>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</si>
  <si>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</si>
  <si>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</si>
  <si>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</si>
  <si>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</si>
  <si>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</si>
  <si>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</si>
  <si>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</si>
  <si>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</si>
  <si>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</si>
  <si>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</si>
  <si>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</si>
  <si>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</si>
  <si>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</si>
  <si>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</si>
  <si>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</si>
  <si>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</si>
  <si>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</si>
  <si>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</si>
  <si>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</si>
  <si>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</si>
  <si>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</si>
  <si>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</si>
  <si>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</si>
  <si>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</si>
  <si>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</si>
  <si>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</si>
  <si>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</si>
  <si>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</si>
  <si>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</si>
  <si>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</si>
  <si>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</si>
  <si>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</si>
  <si>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</si>
  <si>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</si>
  <si>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</si>
  <si>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</si>
  <si>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</si>
  <si>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</si>
  <si>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</si>
  <si>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</si>
  <si>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</si>
  <si>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</si>
  <si>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</si>
  <si>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</si>
  <si>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</si>
  <si>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</si>
  <si>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</si>
  <si>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</si>
  <si>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</si>
  <si>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</si>
  <si>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</si>
  <si>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</si>
  <si>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</si>
  <si>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</si>
  <si>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</si>
  <si>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</si>
  <si>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</si>
  <si>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</si>
  <si>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</si>
  <si>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</si>
  <si>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</si>
  <si>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</si>
  <si>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</si>
  <si>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</si>
  <si>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</si>
  <si>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</si>
  <si>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</si>
  <si>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</si>
  <si>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</si>
  <si>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</si>
  <si>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</si>
  <si>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</si>
  <si>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</si>
  <si>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</si>
  <si>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</si>
  <si>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</si>
  <si>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</si>
  <si>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</si>
  <si>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</si>
  <si>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</si>
  <si>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</si>
  <si>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</si>
  <si>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</si>
  <si>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</si>
  <si>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</si>
  <si>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</si>
  <si>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</si>
  <si>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</si>
  <si>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</si>
  <si>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Mobeen Ahmad</t>
  </si>
  <si>
    <t>Rana Bilal Tso</t>
  </si>
  <si>
    <t>Shakoor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</si>
  <si>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</si>
  <si>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</si>
  <si>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</si>
  <si>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</si>
  <si>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</si>
  <si>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</si>
  <si>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 xml:space="preserve">Salman </t>
  </si>
  <si>
    <t>Shop Bill Summary (Salman)</t>
  </si>
  <si>
    <t>Customer Name : M Sadiq Store</t>
  </si>
  <si>
    <t>Address: Gulberg 3</t>
  </si>
  <si>
    <t>Customer Name : Al madina Photo Copy</t>
  </si>
  <si>
    <t>Address:  Gulberg 3</t>
  </si>
  <si>
    <t xml:space="preserve">Customer Name : Al-Falah Bakers </t>
  </si>
  <si>
    <t>2222730-0</t>
  </si>
  <si>
    <t>Customer Name : SM Store</t>
  </si>
  <si>
    <t xml:space="preserve">Customer Name : H Mart </t>
  </si>
  <si>
    <t>Customer Name : SK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</si>
</sst>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9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top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3" fontId="14" fillId="4" borderId="1" xfId="0" applyNumberFormat="1" applyFont="1" applyFill="1" applyBorder="1" applyAlignment="1">
      <alignment horizontal="center" vertical="top" shrinkToFi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103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104</v>
      </c>
    </row>
    <row r="13" spans="1:2" x14ac:dyDescent="0.35">
      <c r="A13">
        <v>8</v>
      </c>
      <c r="B13" t="s">
        <v>105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8"/>
      <c r="B3" s="188"/>
      <c r="C3" s="188"/>
      <c r="D3" s="188"/>
      <c r="E3" s="188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</row>
    <row r="4" spans="1:29" x14ac:dyDescent="0.35">
      <c r="A4" s="190" t="s">
        <v>6</v>
      </c>
      <c r="B4" s="5" t="s">
        <v>7</v>
      </c>
      <c r="C4" s="5"/>
      <c r="D4" s="192" t="s">
        <v>8</v>
      </c>
      <c r="E4" s="194" t="s">
        <v>9</v>
      </c>
      <c r="F4" s="196" t="s">
        <v>3</v>
      </c>
      <c r="G4" s="196"/>
      <c r="H4" s="197" t="s">
        <v>10</v>
      </c>
      <c r="I4" s="197"/>
      <c r="J4" s="198" t="s">
        <v>11</v>
      </c>
      <c r="K4" s="199"/>
      <c r="L4" s="198" t="s">
        <v>12</v>
      </c>
      <c r="M4" s="199"/>
      <c r="N4" s="200" t="s">
        <v>13</v>
      </c>
      <c r="O4" s="200"/>
      <c r="P4" s="198" t="s">
        <v>4</v>
      </c>
      <c r="Q4" s="199"/>
      <c r="R4" s="198" t="s">
        <v>14</v>
      </c>
      <c r="S4" s="199"/>
      <c r="T4" s="201" t="s">
        <v>15</v>
      </c>
      <c r="U4" s="201"/>
      <c r="V4" s="202" t="s">
        <v>16</v>
      </c>
      <c r="W4" s="203"/>
      <c r="X4" s="202" t="s">
        <v>17</v>
      </c>
      <c r="Y4" s="203"/>
    </row>
    <row r="5" spans="1:29" ht="26.25" customHeight="1" thickBot="1" x14ac:dyDescent="0.4">
      <c r="A5" s="191"/>
      <c r="B5" s="7" t="s">
        <v>18</v>
      </c>
      <c r="C5" s="7" t="s">
        <v>8</v>
      </c>
      <c r="D5" s="193"/>
      <c r="E5" s="19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topLeftCell="A6" zoomScale="70" zoomScaleNormal="70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customWidth="1"/>
    <col min="6" max="6" width="6.54296875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customWidth="1"/>
    <col min="12" max="12" width="7.453125" customWidth="1"/>
    <col min="13" max="13" width="8" customWidth="1"/>
    <col min="14" max="14" width="10" style="69" customWidth="1"/>
    <col min="15" max="15" width="9.54296875" customWidth="1"/>
    <col min="16" max="16" width="9.7265625" customWidth="1"/>
    <col min="17" max="17" width="4.54296875" customWidth="1"/>
    <col min="18" max="18" width="7.26953125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04" t="s">
        <v>45</v>
      </c>
      <c r="B2" s="204"/>
      <c r="C2" s="204"/>
    </row>
    <row r="3" spans="1:21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1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9" t="s">
        <v>112</v>
      </c>
      <c r="B5" s="209"/>
      <c r="C5" s="209"/>
      <c r="F5" s="7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70"/>
      <c r="S5" s="71"/>
    </row>
    <row r="6" spans="1:21 16383:16384" ht="15" customHeight="1" x14ac:dyDescent="0.35">
      <c r="A6" s="209"/>
      <c r="B6" s="209"/>
      <c r="C6" s="209"/>
      <c r="F6" s="70"/>
      <c r="G6" s="74"/>
      <c r="K6" s="206" t="s">
        <v>52</v>
      </c>
      <c r="L6" s="206"/>
      <c r="M6" s="206"/>
      <c r="N6" s="208" t="s">
        <v>42</v>
      </c>
      <c r="O6" s="208"/>
      <c r="P6" s="20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21 16383:16384" hidden="1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21 16383:16384" x14ac:dyDescent="0.35">
      <c r="A10" s="211"/>
      <c r="B10" s="75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21 16383:16384" ht="15" thickBot="1" x14ac:dyDescent="0.4">
      <c r="A11" s="211"/>
      <c r="B11" s="76"/>
      <c r="C11" s="77"/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21 16383:16384" ht="14.65" customHeight="1" x14ac:dyDescent="0.35">
      <c r="A12" s="211"/>
      <c r="B12" s="76"/>
      <c r="C12" s="77"/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T12" s="220" t="s">
        <v>113</v>
      </c>
      <c r="U12" s="221"/>
      <c r="XFD12" t="s">
        <v>62</v>
      </c>
    </row>
    <row r="13" spans="1:21 16383:16384" ht="15" thickBot="1" x14ac:dyDescent="0.4">
      <c r="A13" s="248"/>
      <c r="J13" s="78"/>
      <c r="K13" s="78"/>
      <c r="L13" s="79">
        <v>0.05</v>
      </c>
      <c r="T13" s="222"/>
      <c r="U13" s="223"/>
      <c r="XFD13" t="s">
        <v>63</v>
      </c>
    </row>
    <row r="14" spans="1:21 16383:16384" ht="29.25" customHeight="1" x14ac:dyDescent="0.6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14" t="s">
        <v>68</v>
      </c>
      <c r="H14" s="215"/>
      <c r="I14" s="215" t="s">
        <v>69</v>
      </c>
      <c r="J14" s="215" t="s">
        <v>70</v>
      </c>
      <c r="K14" s="215"/>
      <c r="L14" s="217"/>
      <c r="M14" s="218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 Sadiq Store</v>
      </c>
      <c r="U14" s="164">
        <f>+'1'!P35</f>
        <v>2390.3320994999999</v>
      </c>
      <c r="XFD14" t="s">
        <v>75</v>
      </c>
    </row>
    <row r="15" spans="1:21 16383:16384" ht="29.25" customHeight="1" thickBot="1" x14ac:dyDescent="0.65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6"/>
      <c r="J15" s="171" t="s">
        <v>78</v>
      </c>
      <c r="K15" s="171" t="s">
        <v>79</v>
      </c>
      <c r="L15" s="174" t="s">
        <v>80</v>
      </c>
      <c r="M15" s="21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Al madina Photo Copy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258">
        <f>+'1'!H16+'2'!H16+'4'!H16+'3'!H16+'5'!H16+'6'!H16+'7'!H16+'8'!H16+'9'!H16+'10'!H16+'11'!H16+'12'!H16</f>
        <v>33</v>
      </c>
      <c r="I16" s="1">
        <f>(G16*D16)*F16+H16*F16</f>
        <v>1731.2625</v>
      </c>
      <c r="J16" s="258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138.50099999999998</v>
      </c>
      <c r="M16" s="106">
        <f>I16-K16-L16</f>
        <v>1592.7615000000001</v>
      </c>
      <c r="N16" s="101">
        <f>+'1'!N16+'2'!N16+'4'!N16+'3'!N16+'5'!N16+'6'!N16+'7'!N16+'8'!N16+'9'!N16+'10'!N16</f>
        <v>350.40752999999995</v>
      </c>
      <c r="O16" s="101">
        <f>+'1'!O16+'2'!O16+'4'!O16+'3'!O16+'5'!O16+'6'!O16+'7'!O16+'8'!O16+'9'!O16+'10'!O16</f>
        <v>21.492627149999997</v>
      </c>
      <c r="P16" s="105">
        <f t="shared" ref="P16:P24" si="0">M16+N16+O16</f>
        <v>1964.6616571500001</v>
      </c>
      <c r="Q16" s="108"/>
      <c r="T16" s="163" t="str">
        <f>+'4'!A5</f>
        <v>Customer Name : SM Store</v>
      </c>
      <c r="U16" s="164">
        <f>+'4'!P35</f>
        <v>2437.9008974999997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258">
        <f>+'1'!H17+'2'!H17+'4'!H17+'3'!H17+'5'!H17+'6'!H17+'7'!H17+'8'!H17+'9'!H17+'10'!H17+'11'!H17+'12'!H17</f>
        <v>32</v>
      </c>
      <c r="I17" s="1">
        <f t="shared" ref="I17:I23" si="1">(G17*D17)*F17+H17*F17</f>
        <v>1678.8</v>
      </c>
      <c r="J17" s="258">
        <f>+'1'!J17+'2'!J17+'4'!J17+'3'!J17+'5'!J17+'6'!J17+'7'!J17+'8'!J17+'9'!J17+'10'!J17+'11'!J17+'12'!J17</f>
        <v>4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134.304</v>
      </c>
      <c r="M17" s="118">
        <f t="shared" ref="M17:M23" si="2">I17-K17-L17</f>
        <v>1544.4959999999999</v>
      </c>
      <c r="N17" s="101">
        <f>+'1'!N17+'2'!N17+'4'!N17+'3'!N17+'5'!N17+'6'!N17+'7'!N17+'8'!N17+'9'!N17+'10'!N17</f>
        <v>385.95612</v>
      </c>
      <c r="O17" s="101">
        <f>+'1'!O17+'2'!O17+'4'!O17+'3'!O17+'5'!O17+'6'!O17+'7'!O17+'8'!O17+'9'!O17+'10'!O17</f>
        <v>21.659877600000002</v>
      </c>
      <c r="P17" s="120">
        <f t="shared" si="0"/>
        <v>1952.1119976</v>
      </c>
      <c r="S17" s="64"/>
      <c r="T17" s="163" t="str">
        <f>+'3'!A5</f>
        <v xml:space="preserve">Customer Name : Al-Falah Bakers </v>
      </c>
      <c r="U17" s="164">
        <f>+'3'!P35</f>
        <v>2064.5304959999999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258">
        <f>+'1'!H18+'2'!H18+'4'!H18+'3'!H18+'5'!H18+'6'!H18+'7'!H18+'8'!H18+'9'!H18+'10'!H18+'11'!H18+'12'!H18</f>
        <v>55</v>
      </c>
      <c r="I18" s="1">
        <f t="shared" si="1"/>
        <v>2885.4375</v>
      </c>
      <c r="J18" s="258">
        <f>+'1'!J18+'2'!J18+'4'!J18+'3'!J18+'5'!J18+'6'!J18+'7'!J18+'8'!J18+'9'!J18+'10'!J18+'11'!J18+'12'!J18</f>
        <v>2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230.83499999999998</v>
      </c>
      <c r="M18" s="118">
        <f t="shared" si="2"/>
        <v>2654.6025</v>
      </c>
      <c r="N18" s="101">
        <f>+'1'!N18+'2'!N18+'4'!N18+'3'!N18+'5'!N18+'6'!N18+'7'!N18+'8'!N18+'9'!N18+'10'!N18</f>
        <v>607.09604999999999</v>
      </c>
      <c r="O18" s="101">
        <f>+'1'!O18+'2'!O18+'4'!O18+'3'!O18+'5'!O18+'6'!O18+'7'!O18+'8'!O18+'9'!O18+'10'!O18</f>
        <v>40.09289175</v>
      </c>
      <c r="P18" s="120">
        <f t="shared" si="0"/>
        <v>3301.7914417500001</v>
      </c>
      <c r="T18" s="163" t="str">
        <f>+'5'!A5</f>
        <v xml:space="preserve">Customer Name : H Mart </v>
      </c>
      <c r="U18" s="164">
        <f>+'5'!P35</f>
        <v>2566.3777444799994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258">
        <f>+'1'!H19+'2'!H19+'4'!H19+'3'!H19+'5'!H19+'6'!H19+'7'!H19+'8'!H19+'9'!H19+'10'!H19+'11'!H19+'12'!H19</f>
        <v>13</v>
      </c>
      <c r="I19" s="1">
        <f t="shared" si="1"/>
        <v>944.32</v>
      </c>
      <c r="J19" s="258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75.545600000000007</v>
      </c>
      <c r="M19" s="118">
        <f t="shared" si="2"/>
        <v>868.77440000000001</v>
      </c>
      <c r="N19" s="101">
        <f>+'1'!N19+'2'!N19+'4'!N19+'3'!N19+'5'!N19+'6'!N19+'7'!N19+'8'!N19+'9'!N19+'10'!N19</f>
        <v>191.130368</v>
      </c>
      <c r="O19" s="101">
        <f>+'1'!O19+'2'!O19+'4'!O19+'3'!O19+'5'!O19+'6'!O19+'7'!O19+'8'!O19+'9'!O19+'10'!O19</f>
        <v>5.2995238400000009</v>
      </c>
      <c r="P19" s="120">
        <f t="shared" si="0"/>
        <v>1065.20429184</v>
      </c>
      <c r="T19" s="163" t="str">
        <f>+'6'!A5</f>
        <v>Customer Name : SK Mart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258">
        <f>+'1'!H20+'2'!H20+'4'!H20+'3'!H20+'5'!H20+'6'!H20+'7'!H20+'8'!H20+'9'!H20+'10'!H20+'11'!H20+'12'!H20</f>
        <v>12</v>
      </c>
      <c r="I20" s="1">
        <f t="shared" si="1"/>
        <v>871.68000000000006</v>
      </c>
      <c r="J20" s="258">
        <f>+'1'!J20+'2'!J20+'4'!J20+'3'!J20+'5'!J20+'6'!J20+'7'!J20+'8'!J20+'9'!J20+'10'!J20+'11'!J20+'12'!J20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69.734400000000008</v>
      </c>
      <c r="M20" s="118">
        <f t="shared" si="2"/>
        <v>801.94560000000001</v>
      </c>
      <c r="N20" s="101">
        <f>+'1'!N20+'2'!N20+'4'!N20+'3'!N20+'5'!N20+'6'!N20+'7'!N20+'8'!N20+'9'!N20+'10'!N20</f>
        <v>192.40883199999999</v>
      </c>
      <c r="O20" s="101">
        <f>+'1'!O20+'2'!O20+'4'!O20+'3'!O20+'5'!O20+'6'!O20+'7'!O20+'8'!O20+'9'!O20+'10'!O20</f>
        <v>4.9717721599999996</v>
      </c>
      <c r="P20" s="120">
        <f t="shared" si="0"/>
        <v>999.32620415999997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258">
        <f>+'1'!H21+'2'!H21+'4'!H21+'3'!H21+'5'!H21+'6'!H21+'7'!H21+'8'!H21+'9'!H21+'10'!H21+'11'!H21+'12'!H21</f>
        <v>0</v>
      </c>
      <c r="I21" s="1">
        <f t="shared" si="1"/>
        <v>0</v>
      </c>
      <c r="J21" s="258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258">
        <f>+'1'!H22+'2'!H22+'4'!H22+'3'!H22+'5'!H22+'6'!H22+'7'!H22+'8'!H22+'9'!H22+'10'!H22+'11'!H22+'12'!H22</f>
        <v>4</v>
      </c>
      <c r="I22" s="1">
        <f t="shared" si="1"/>
        <v>156.92000000000002</v>
      </c>
      <c r="J22" s="258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5.4922000000000013</v>
      </c>
      <c r="L22" s="175">
        <f>+'1'!L22+'2'!L22+'4'!L22+'3'!L22+'5'!L22+'6'!L22+'7'!L22+'8'!L22+'9'!L22+'10'!L22</f>
        <v>7.846000000000001</v>
      </c>
      <c r="M22" s="118">
        <f t="shared" si="2"/>
        <v>143.58180000000002</v>
      </c>
      <c r="N22" s="101">
        <f>+'1'!N22+'2'!N22+'4'!N22+'3'!N22+'5'!N22+'6'!N22+'7'!N22+'8'!N22+'9'!N22+'10'!N22</f>
        <v>31.587996000000004</v>
      </c>
      <c r="O22" s="101">
        <f>+'1'!O22+'2'!O22+'4'!O22+'3'!O22+'5'!O22+'6'!O22+'7'!O22+'8'!O22+'9'!O22+'10'!O22</f>
        <v>0.87584898000000011</v>
      </c>
      <c r="P22" s="120">
        <f t="shared" si="0"/>
        <v>176.04564498000002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0" t="s">
        <v>84</v>
      </c>
      <c r="B25" s="231"/>
      <c r="C25" s="232">
        <f>H25/40</f>
        <v>3.7250000000000001</v>
      </c>
      <c r="D25" s="226"/>
      <c r="E25" s="226"/>
      <c r="F25" s="226"/>
      <c r="G25" s="176">
        <f t="shared" ref="G25:M25" si="3">SUM(G16:G24)</f>
        <v>0</v>
      </c>
      <c r="H25" s="177">
        <f t="shared" si="3"/>
        <v>149</v>
      </c>
      <c r="I25" s="178">
        <f t="shared" si="3"/>
        <v>8268.42</v>
      </c>
      <c r="J25" s="177">
        <f t="shared" si="3"/>
        <v>7</v>
      </c>
      <c r="K25" s="178">
        <f t="shared" si="3"/>
        <v>5.4922000000000013</v>
      </c>
      <c r="L25" s="179">
        <f t="shared" si="3"/>
        <v>656.76599999999996</v>
      </c>
      <c r="M25" s="141">
        <f t="shared" si="3"/>
        <v>7606.1617999999999</v>
      </c>
      <c r="N25" s="142">
        <f>SUM(N16:N24)</f>
        <v>1758.586896</v>
      </c>
      <c r="O25" s="143">
        <f>SUM(O16:O24)</f>
        <v>94.392541480000006</v>
      </c>
      <c r="P25" s="144">
        <f>SUM(P16:P24)</f>
        <v>9459.1412374800002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9459.1412374799984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8268.42</v>
      </c>
    </row>
    <row r="29" spans="1:21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656.76599999999996</v>
      </c>
    </row>
    <row r="30" spans="1:21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5.4922000000000013</v>
      </c>
    </row>
    <row r="31" spans="1:21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7606.1618000000008</v>
      </c>
    </row>
    <row r="32" spans="1:21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1758.586896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9364.7486960000006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2.5000000000000001E-2</v>
      </c>
      <c r="P34" s="153">
        <f>O34*P33</f>
        <v>234.11871740000004</v>
      </c>
    </row>
    <row r="35" spans="2:16" ht="15.75" customHeight="1" thickBot="1" x14ac:dyDescent="0.4">
      <c r="N35" s="224" t="s">
        <v>92</v>
      </c>
      <c r="O35" s="225"/>
      <c r="P35" s="160">
        <f>P33+P34</f>
        <v>9598.8674134000012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activeCell="I21" sqref="I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1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114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70"/>
      <c r="S5" s="71"/>
    </row>
    <row r="6" spans="1:19 16383:16384" ht="15" customHeight="1" x14ac:dyDescent="0.35">
      <c r="A6" s="206" t="s">
        <v>115</v>
      </c>
      <c r="B6" s="206"/>
      <c r="C6" s="206"/>
      <c r="F6" s="70"/>
      <c r="G6" s="74"/>
      <c r="K6" s="206" t="s">
        <v>52</v>
      </c>
      <c r="L6" s="206"/>
      <c r="M6" s="206"/>
      <c r="N6" s="208" t="s">
        <v>102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187">
        <v>3520287817693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 t="shared" ref="O16:O24" si="1">(N16+M16)*$O$15</f>
        <v>2.9441954999999997</v>
      </c>
      <c r="P16" s="105">
        <f t="shared" ref="P16:P24" si="2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>
        <v>1</v>
      </c>
      <c r="K17" s="1">
        <f t="shared" ref="K17:K21" si="4">I17*$K$13</f>
        <v>0</v>
      </c>
      <c r="L17" s="105">
        <f t="shared" ref="L17:L21" si="5">I17*8%</f>
        <v>41.97</v>
      </c>
      <c r="M17" s="118">
        <f t="shared" ref="M17:M23" si="6">I17-K17-L17</f>
        <v>482.65499999999997</v>
      </c>
      <c r="N17" s="118">
        <f t="shared" si="0"/>
        <v>117.72585000000001</v>
      </c>
      <c r="O17" s="119">
        <f t="shared" si="1"/>
        <v>3.0019042499999999</v>
      </c>
      <c r="P17" s="120">
        <f t="shared" si="2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3"/>
        <v>1049.25</v>
      </c>
      <c r="J18" s="117">
        <v>1</v>
      </c>
      <c r="K18" s="1">
        <f t="shared" si="4"/>
        <v>0</v>
      </c>
      <c r="L18" s="105">
        <f t="shared" si="5"/>
        <v>83.94</v>
      </c>
      <c r="M18" s="118">
        <f t="shared" si="6"/>
        <v>965.31</v>
      </c>
      <c r="N18" s="118">
        <f t="shared" si="0"/>
        <v>223.90995000000001</v>
      </c>
      <c r="O18" s="119">
        <f t="shared" si="1"/>
        <v>5.9460997500000001</v>
      </c>
      <c r="P18" s="120">
        <f t="shared" si="2"/>
        <v>1195.16604975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2098.5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167.88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1930.62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2378.4398999999999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24" t="s">
        <v>92</v>
      </c>
      <c r="O35" s="225"/>
      <c r="P35" s="160">
        <f>P33+P34</f>
        <v>2390.3320994999999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1" workbookViewId="0">
      <selection activeCell="J16" sqref="J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2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116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70"/>
      <c r="S5" s="71"/>
    </row>
    <row r="6" spans="1:19 16383:16384" ht="15" customHeight="1" x14ac:dyDescent="0.35">
      <c r="A6" s="206" t="s">
        <v>117</v>
      </c>
      <c r="B6" s="206"/>
      <c r="C6" s="206"/>
      <c r="F6" s="70"/>
      <c r="G6" s="74"/>
      <c r="K6" s="206" t="s">
        <v>52</v>
      </c>
      <c r="L6" s="206"/>
      <c r="M6" s="206"/>
      <c r="N6" s="208" t="s">
        <v>102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50</v>
      </c>
      <c r="C11" s="77" t="str">
        <f>IF($O34&gt;2.49%,"No","Yes")</f>
        <v>No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4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118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70"/>
      <c r="S5" s="71"/>
    </row>
    <row r="6" spans="1:19 16383:16384" ht="15" customHeight="1" x14ac:dyDescent="0.35">
      <c r="A6" s="206" t="s">
        <v>115</v>
      </c>
      <c r="B6" s="206"/>
      <c r="C6" s="206"/>
      <c r="F6" s="70"/>
      <c r="G6" s="74"/>
      <c r="K6" s="206" t="s">
        <v>52</v>
      </c>
      <c r="L6" s="206"/>
      <c r="M6" s="206"/>
      <c r="N6" s="208" t="s">
        <v>102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169" t="s">
        <v>119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">
        <f t="shared" si="3"/>
        <v>0</v>
      </c>
      <c r="L19" s="105">
        <f t="shared" si="4"/>
        <v>75.545600000000007</v>
      </c>
      <c r="M19" s="118">
        <f t="shared" si="5"/>
        <v>868.77440000000001</v>
      </c>
      <c r="N19" s="118">
        <f t="shared" si="0"/>
        <v>191.130368</v>
      </c>
      <c r="O19" s="119">
        <f t="shared" si="6"/>
        <v>5.2995238400000009</v>
      </c>
      <c r="P19" s="120">
        <f t="shared" si="1"/>
        <v>1065.20429184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>
        <v>1</v>
      </c>
      <c r="K20" s="1">
        <f t="shared" si="3"/>
        <v>0</v>
      </c>
      <c r="L20" s="105">
        <f t="shared" si="4"/>
        <v>69.734400000000008</v>
      </c>
      <c r="M20" s="118">
        <f t="shared" si="5"/>
        <v>801.94560000000001</v>
      </c>
      <c r="N20" s="118">
        <f t="shared" si="0"/>
        <v>192.40883199999999</v>
      </c>
      <c r="O20" s="119">
        <f t="shared" si="6"/>
        <v>4.9717721599999996</v>
      </c>
      <c r="P20" s="120">
        <f t="shared" si="1"/>
        <v>999.32620415999997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25</v>
      </c>
      <c r="I25" s="137">
        <f t="shared" si="9"/>
        <v>1816</v>
      </c>
      <c r="J25" s="138"/>
      <c r="K25" s="139">
        <f t="shared" si="9"/>
        <v>0</v>
      </c>
      <c r="L25" s="140">
        <f t="shared" si="9"/>
        <v>145.28000000000003</v>
      </c>
      <c r="M25" s="141">
        <f t="shared" si="9"/>
        <v>1670.72</v>
      </c>
      <c r="N25" s="142">
        <f>SUM(N16:N24)</f>
        <v>383.53919999999999</v>
      </c>
      <c r="O25" s="143">
        <f>SUM(O16:O24)</f>
        <v>10.271296</v>
      </c>
      <c r="P25" s="144">
        <f>SUM(P16:P24)</f>
        <v>2064.5304959999999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1816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145.28000000000003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1670.72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383.53919999999999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2054.2592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10.271296</v>
      </c>
    </row>
    <row r="35" spans="2:16" ht="15.75" customHeight="1" thickBot="1" x14ac:dyDescent="0.4">
      <c r="N35" s="224" t="s">
        <v>92</v>
      </c>
      <c r="O35" s="225"/>
      <c r="P35" s="160">
        <f>P33+P34</f>
        <v>2064.5304959999999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3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120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70"/>
      <c r="S5" s="71"/>
    </row>
    <row r="6" spans="1:19 16383:16384" ht="15" customHeight="1" x14ac:dyDescent="0.35">
      <c r="A6" s="206" t="s">
        <v>115</v>
      </c>
      <c r="B6" s="206"/>
      <c r="C6" s="206"/>
      <c r="F6" s="70"/>
      <c r="G6" s="74"/>
      <c r="K6" s="206" t="s">
        <v>52</v>
      </c>
      <c r="L6" s="206"/>
      <c r="M6" s="206"/>
      <c r="N6" s="208" t="s">
        <v>102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50</v>
      </c>
      <c r="C11" s="77" t="str">
        <f>IF($O34&gt;2.49%,"No","Yes")</f>
        <v>No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14.720977499999998</v>
      </c>
      <c r="P16" s="105">
        <f t="shared" ref="P16:P24" si="1">M16+N16+O16</f>
        <v>603.56007749999992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15.009521250000001</v>
      </c>
      <c r="P17" s="120">
        <f t="shared" si="1"/>
        <v>615.39037125000004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29.730498749999999</v>
      </c>
      <c r="P18" s="120">
        <f t="shared" si="1"/>
        <v>1218.9504487499999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59.460997499999998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2098.5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167.88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1930.62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2378.4398999999999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24" t="s">
        <v>92</v>
      </c>
      <c r="O35" s="225"/>
      <c r="P35" s="160">
        <f>P33+P34</f>
        <v>2437.9008974999997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5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121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70"/>
      <c r="S5" s="71"/>
    </row>
    <row r="6" spans="1:19 16383:16384" ht="15" customHeight="1" x14ac:dyDescent="0.35">
      <c r="A6" s="206" t="s">
        <v>115</v>
      </c>
      <c r="B6" s="206"/>
      <c r="C6" s="206"/>
      <c r="F6" s="70"/>
      <c r="G6" s="74"/>
      <c r="K6" s="206" t="s">
        <v>52</v>
      </c>
      <c r="L6" s="206"/>
      <c r="M6" s="206"/>
      <c r="N6" s="208" t="s">
        <v>102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169">
        <v>3520227947949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13</v>
      </c>
      <c r="I16" s="102">
        <f>(G16*D16)*F16+H16*F16</f>
        <v>682.01249999999993</v>
      </c>
      <c r="J16" s="103"/>
      <c r="K16" s="104">
        <f>I16*$K$13</f>
        <v>0</v>
      </c>
      <c r="L16" s="105">
        <f>I16*8%</f>
        <v>54.560999999999993</v>
      </c>
      <c r="M16" s="106">
        <f>I16-K16-L16</f>
        <v>627.4514999999999</v>
      </c>
      <c r="N16" s="106">
        <f t="shared" ref="N16:N24" si="0">(M16*$N$15)+(J16*F16)*$N$15</f>
        <v>138.03932999999998</v>
      </c>
      <c r="O16" s="107">
        <f>(N16+M16)*$O$15</f>
        <v>3.8274541499999994</v>
      </c>
      <c r="P16" s="105">
        <f t="shared" ref="P16:P24" si="1">M16+N16+O16</f>
        <v>769.31828414999984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>
        <v>2</v>
      </c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150.50441999999998</v>
      </c>
      <c r="O17" s="119">
        <f t="shared" ref="O17:O24" si="6">(N17+M17)*$O$15</f>
        <v>3.6484520999999996</v>
      </c>
      <c r="P17" s="120">
        <f t="shared" si="1"/>
        <v>733.33887209999989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4.4162932499999998</v>
      </c>
      <c r="P18" s="120">
        <f t="shared" si="1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</v>
      </c>
      <c r="I22" s="116">
        <f t="shared" si="2"/>
        <v>156.92000000000002</v>
      </c>
      <c r="J22" s="117"/>
      <c r="K22" s="1">
        <f>I22*3.5%</f>
        <v>5.4922000000000013</v>
      </c>
      <c r="L22" s="120">
        <f>I22*5%</f>
        <v>7.846000000000001</v>
      </c>
      <c r="M22" s="118">
        <f t="shared" si="5"/>
        <v>143.58180000000002</v>
      </c>
      <c r="N22" s="118">
        <f t="shared" si="0"/>
        <v>31.587996000000004</v>
      </c>
      <c r="O22" s="119">
        <f t="shared" si="6"/>
        <v>0.87584898000000011</v>
      </c>
      <c r="P22" s="120">
        <f t="shared" si="1"/>
        <v>176.04564498000002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44</v>
      </c>
      <c r="I25" s="137">
        <f t="shared" si="9"/>
        <v>2255.42</v>
      </c>
      <c r="J25" s="138"/>
      <c r="K25" s="139">
        <f t="shared" si="9"/>
        <v>5.4922000000000013</v>
      </c>
      <c r="L25" s="140">
        <f t="shared" si="9"/>
        <v>175.726</v>
      </c>
      <c r="M25" s="141">
        <f t="shared" si="9"/>
        <v>2074.2017999999998</v>
      </c>
      <c r="N25" s="142">
        <f>SUM(N16:N24)</f>
        <v>479.40789599999994</v>
      </c>
      <c r="O25" s="143">
        <f>SUM(O16:O24)</f>
        <v>12.768048480000001</v>
      </c>
      <c r="P25" s="144">
        <f>SUM(P16:P24)</f>
        <v>2566.3777444799998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2255.42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175.726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5.4922000000000013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2074.2017999999998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479.40789599999994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2553.6096959999995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12.768048479999997</v>
      </c>
    </row>
    <row r="35" spans="2:16" ht="15.75" customHeight="1" thickBot="1" x14ac:dyDescent="0.4">
      <c r="N35" s="224" t="s">
        <v>92</v>
      </c>
      <c r="O35" s="225"/>
      <c r="P35" s="160">
        <f>P33+P34</f>
        <v>2566.3777444799994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F27" sqref="F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6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122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70"/>
      <c r="S5" s="71"/>
    </row>
    <row r="6" spans="1:19 16383:16384" ht="15" customHeight="1" x14ac:dyDescent="0.35">
      <c r="A6" s="206" t="s">
        <v>115</v>
      </c>
      <c r="B6" s="206"/>
      <c r="C6" s="206"/>
      <c r="F6" s="70"/>
      <c r="G6" s="74"/>
      <c r="K6" s="206" t="s">
        <v>52</v>
      </c>
      <c r="L6" s="206"/>
      <c r="M6" s="206"/>
      <c r="N6" s="208" t="s">
        <v>102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50</v>
      </c>
      <c r="C11" s="77" t="str">
        <f>IF($O34&gt;2.49%,"No","Yes")</f>
        <v>No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7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7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106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70"/>
      <c r="S5" s="71"/>
    </row>
    <row r="6" spans="1:19 16383:16384" ht="15" customHeight="1" x14ac:dyDescent="0.35">
      <c r="A6" s="206" t="s">
        <v>107</v>
      </c>
      <c r="B6" s="206"/>
      <c r="C6" s="206"/>
      <c r="F6" s="70"/>
      <c r="G6" s="74"/>
      <c r="K6" s="206" t="s">
        <v>52</v>
      </c>
      <c r="L6" s="206"/>
      <c r="M6" s="206"/>
      <c r="N6" s="208" t="s">
        <v>44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169">
        <v>3520242563059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8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108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70"/>
      <c r="S5" s="71"/>
    </row>
    <row r="6" spans="1:19 16383:16384" ht="15" customHeight="1" x14ac:dyDescent="0.35">
      <c r="A6" s="206" t="s">
        <v>109</v>
      </c>
      <c r="B6" s="206"/>
      <c r="C6" s="206"/>
      <c r="F6" s="70"/>
      <c r="G6" s="74"/>
      <c r="K6" s="206" t="s">
        <v>52</v>
      </c>
      <c r="L6" s="206"/>
      <c r="M6" s="206"/>
      <c r="N6" s="208" t="s">
        <v>44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50</v>
      </c>
      <c r="C11" s="77" t="str">
        <f>IF($O34&gt;2.49%,"No","Yes")</f>
        <v>No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9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110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70"/>
      <c r="S5" s="71"/>
    </row>
    <row r="6" spans="1:19 16383:16384" ht="15" customHeight="1" x14ac:dyDescent="0.35">
      <c r="A6" s="206" t="s">
        <v>107</v>
      </c>
      <c r="B6" s="206"/>
      <c r="C6" s="206"/>
      <c r="F6" s="70"/>
      <c r="G6" s="74"/>
      <c r="K6" s="206" t="s">
        <v>52</v>
      </c>
      <c r="L6" s="206"/>
      <c r="M6" s="206"/>
      <c r="N6" s="208" t="s">
        <v>44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167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50</v>
      </c>
      <c r="C11" s="77" t="str">
        <f>IF($O34&gt;2.49%,"No","Yes")</f>
        <v>No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10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111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70"/>
      <c r="S5" s="71"/>
    </row>
    <row r="6" spans="1:19 16383:16384" ht="15" customHeight="1" x14ac:dyDescent="0.35">
      <c r="A6" s="206" t="s">
        <v>107</v>
      </c>
      <c r="B6" s="206"/>
      <c r="C6" s="206"/>
      <c r="F6" s="70"/>
      <c r="G6" s="74"/>
      <c r="K6" s="206" t="s">
        <v>52</v>
      </c>
      <c r="L6" s="206"/>
      <c r="M6" s="206"/>
      <c r="N6" s="208" t="s">
        <v>44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>
        <v>3628249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10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70"/>
      <c r="S5" s="71"/>
    </row>
    <row r="6" spans="1:19 16383:16384" ht="15" customHeight="1" x14ac:dyDescent="0.35">
      <c r="A6" s="206" t="s">
        <v>97</v>
      </c>
      <c r="B6" s="206"/>
      <c r="C6" s="206"/>
      <c r="F6" s="70"/>
      <c r="G6" s="74"/>
      <c r="K6" s="206" t="s">
        <v>52</v>
      </c>
      <c r="L6" s="206"/>
      <c r="M6" s="206"/>
      <c r="N6" s="208" t="s">
        <v>101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50</v>
      </c>
      <c r="C11" s="77" t="str">
        <f>IF($O34&gt;2.49%,"No","Yes")</f>
        <v>No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10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70"/>
      <c r="S5" s="71"/>
    </row>
    <row r="6" spans="1:19 16383:16384" ht="15" customHeight="1" x14ac:dyDescent="0.35">
      <c r="A6" s="206" t="s">
        <v>99</v>
      </c>
      <c r="B6" s="206"/>
      <c r="C6" s="206"/>
      <c r="F6" s="70"/>
      <c r="G6" s="74"/>
      <c r="K6" s="206" t="s">
        <v>52</v>
      </c>
      <c r="L6" s="206"/>
      <c r="M6" s="206"/>
      <c r="N6" s="208" t="s">
        <v>101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46184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46183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2026-06-11T05:20:52Z</dcterms:modified>
</cp:coreProperties>
</file>