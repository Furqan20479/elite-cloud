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F777968-C82E-4EBF-BD54-85DC4AF5244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L17" i="21"/>
  <c r="L18" i="21"/>
  <c r="L19" i="21"/>
  <c r="L20" i="21"/>
  <c r="L21" i="21"/>
  <c r="L16" i="21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L21" i="15" l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8" i="15"/>
  <c r="M16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P33" i="20" l="1"/>
  <c r="P34" i="20" s="1"/>
  <c r="P35" i="20" s="1"/>
  <c r="U18" i="15" s="1"/>
  <c r="O16" i="18"/>
  <c r="N22" i="15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<sst xmlns="http://schemas.openxmlformats.org/spreadsheetml/2006/main" count="1581" uniqueCount="124">
  <si>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</si>
  <si>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</si>
  <si>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</si>
  <si>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</si>
  <si>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</si>
  <si>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</si>
  <si>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</si>
  <si>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</si>
  <si>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</si>
  <si>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</si>
  <si>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</si>
  <si>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</si>
  <si>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</si>
  <si>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</si>
  <si>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</si>
  <si>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</si>
  <si>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</si>
  <si>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</si>
  <si>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</si>
  <si>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</si>
  <si>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</si>
  <si>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</si>
  <si>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</si>
  <si>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</si>
  <si>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</si>
  <si>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</si>
  <si>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</si>
  <si>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</si>
  <si>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</si>
  <si>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</si>
  <si>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</si>
  <si>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</si>
  <si>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</si>
  <si>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</si>
  <si>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</si>
  <si>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</si>
  <si>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</si>
  <si>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</si>
  <si>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</si>
  <si>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</si>
  <si>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</si>
  <si>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</si>
  <si>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</si>
  <si>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</si>
  <si>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</si>
  <si>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</si>
  <si>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</si>
  <si>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</si>
  <si>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</si>
  <si>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</si>
  <si>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</si>
  <si>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</si>
  <si>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</si>
  <si>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</si>
  <si>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</si>
  <si>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</si>
  <si>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</si>
  <si>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</si>
  <si>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</si>
  <si>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</si>
  <si>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</si>
  <si>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</si>
  <si>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</si>
  <si>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</si>
  <si>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</si>
  <si>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</si>
  <si>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</si>
  <si>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</si>
  <si>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</si>
  <si>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</si>
  <si>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</si>
  <si>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</si>
  <si>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</si>
  <si>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</si>
  <si>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</si>
  <si>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</si>
  <si>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</si>
  <si>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</si>
  <si>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</si>
  <si>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</si>
  <si>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</si>
  <si>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</si>
  <si>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</si>
  <si>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</si>
  <si>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</si>
  <si>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</si>
  <si>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</si>
  <si>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</si>
  <si>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</si>
  <si>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</si>
  <si>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</si>
  <si>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</si>
  <si>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</si>
  <si>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</si>
  <si>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</si>
  <si>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</si>
  <si>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</si>
  <si>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</si>
  <si>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</si>
  <si>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</si>
  <si>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</si>
  <si>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</si>
  <si>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</si>
  <si>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</si>
  <si>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</si>
  <si>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Mubeen</t>
  </si>
  <si>
    <t>Shop Bill Summary (Mubeen)</t>
  </si>
  <si>
    <t>Customer Name : Ayan Store</t>
  </si>
  <si>
    <t>Address: Tajpura Road GhaziaAbad</t>
  </si>
  <si>
    <t>Customer Name : Mg Mart</t>
  </si>
  <si>
    <t>Address: Tajpura Butt Chowk</t>
  </si>
  <si>
    <t>352011449504-9</t>
  </si>
  <si>
    <t>Customer Name : Marwa Mart</t>
  </si>
  <si>
    <t xml:space="preserve">Address: Tajbagh </t>
  </si>
  <si>
    <t xml:space="preserve">Customer Name : Adil Sweets </t>
  </si>
  <si>
    <t>Address: Tajpura</t>
  </si>
  <si>
    <t xml:space="preserve">Customer Name : Khan Bakers </t>
  </si>
  <si>
    <t>Address: Tajbagh</t>
  </si>
  <si>
    <t>Customer Name : Top Bakers</t>
  </si>
  <si>
    <t xml:space="preserve">Address: tajbagh </t>
  </si>
  <si>
    <t>Customer Name : Saad Mart</t>
  </si>
  <si>
    <t>Customer Name : Ghulam rasool 2</t>
  </si>
  <si>
    <t>Address: Dubai Chowk tajbagh</t>
  </si>
  <si>
    <t>3528249-9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</si>
</sst>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2" zoomScale="70" zoomScaleNormal="70" workbookViewId="0">
      <selection activeCell="I22" sqref="I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105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106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Ayan Store</v>
      </c>
      <c r="U14" s="164">
        <f>+'1'!P35</f>
        <v>1795.4904090000002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Mg Mart</v>
      </c>
      <c r="U15" s="164">
        <f>+'2'!P35</f>
        <v>5700.0051746999998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50</v>
      </c>
      <c r="I16" s="1">
        <f>(G16*D16)*F16+H16*F16</f>
        <v>2623.125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209.84999999999997</v>
      </c>
      <c r="M16" s="106">
        <f>I16-K16-L16</f>
        <v>2413.2750000000001</v>
      </c>
      <c r="N16" s="101">
        <f>+'1'!N16+'2'!N16+'4'!N16+'3'!N16+'5'!N16+'6'!N16+'7'!N16+'8'!N16+'9'!N16+'10'!N16</f>
        <v>565.54575</v>
      </c>
      <c r="O16" s="101">
        <f>+'1'!O16+'2'!O16+'4'!O16+'3'!O16+'5'!O16+'6'!O16+'7'!O16+'8'!O16+'9'!O16+'10'!O16</f>
        <v>56.574510750000002</v>
      </c>
      <c r="P16" s="105">
        <f t="shared" ref="P16:P24" si="0">M16+N16+O16</f>
        <v>3035.39526075</v>
      </c>
      <c r="Q16" s="108"/>
      <c r="T16" s="163" t="str">
        <f>+'3'!A5</f>
        <v>Customer Name : Marwa Mart</v>
      </c>
      <c r="U16" s="164">
        <f>+'3'!P35</f>
        <v>9929.0192255999991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459.36165000000005</v>
      </c>
      <c r="O17" s="101">
        <f>+'1'!O17+'2'!O17+'4'!O17+'3'!O17+'5'!O17+'6'!O17+'7'!O17+'8'!O17+'9'!O17+'10'!O17</f>
        <v>47.741924249999997</v>
      </c>
      <c r="P17" s="120">
        <f t="shared" si="0"/>
        <v>2437.7235742499997</v>
      </c>
      <c r="S17" s="64"/>
      <c r="T17" s="163" t="str">
        <f>+'4'!A5</f>
        <v xml:space="preserve">Customer Name : Adil Sweets </v>
      </c>
      <c r="U17" s="164">
        <f>+'4'!P35</f>
        <v>3656.85134625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50</v>
      </c>
      <c r="I18" s="1">
        <f t="shared" si="1"/>
        <v>2623.125</v>
      </c>
      <c r="J18" s="172">
        <f>+'1'!J18+'2'!J18+'4'!J18+'3'!J18+'5'!J18+'6'!J18+'7'!J18+'8'!J18+'9'!J18+'10'!J18+'11'!J18+'12'!J18+'13'!J18+'14'!J18+'15'!J18+'16'!J18+'17'!J18+'18'!J18</f>
        <v>1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209.84999999999997</v>
      </c>
      <c r="M18" s="118">
        <f t="shared" si="2"/>
        <v>2413.2750000000001</v>
      </c>
      <c r="N18" s="101">
        <f>+'1'!N18+'2'!N18+'4'!N18+'3'!N18+'5'!N18+'6'!N18+'7'!N18+'8'!N18+'9'!N18+'10'!N18</f>
        <v>542.46225000000004</v>
      </c>
      <c r="O18" s="101">
        <f>+'1'!O18+'2'!O18+'4'!O18+'3'!O18+'5'!O18+'6'!O18+'7'!O18+'8'!O18+'9'!O18+'10'!O18</f>
        <v>56.228258249999996</v>
      </c>
      <c r="P18" s="120">
        <f t="shared" si="0"/>
        <v>3011.9655082500003</v>
      </c>
      <c r="T18" s="163" t="str">
        <f>+'5'!A5</f>
        <v xml:space="preserve">Customer Name : Khan Bakers </v>
      </c>
      <c r="U18" s="164">
        <f>+'5'!P35</f>
        <v>5813.4381134999994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110</v>
      </c>
      <c r="I19" s="1">
        <f t="shared" si="1"/>
        <v>7990.4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639.23200000000008</v>
      </c>
      <c r="M19" s="118">
        <f t="shared" si="2"/>
        <v>7351.1679999999997</v>
      </c>
      <c r="N19" s="101">
        <f>+'1'!N19+'2'!N19+'4'!N19+'3'!N19+'5'!N19+'6'!N19+'7'!N19+'8'!N19+'9'!N19+'10'!N19</f>
        <v>1697.1609600000002</v>
      </c>
      <c r="O19" s="101">
        <f>+'1'!O19+'2'!O19+'4'!O19+'3'!O19+'5'!O19+'6'!O19+'7'!O19+'8'!O19+'9'!O19+'10'!O19</f>
        <v>102.633056</v>
      </c>
      <c r="P19" s="120">
        <f t="shared" si="0"/>
        <v>9150.9620159999995</v>
      </c>
      <c r="T19" s="163" t="str">
        <f>+'6'!A5</f>
        <v>Customer Name : Top Bakers</v>
      </c>
      <c r="U19" s="164">
        <f>+'6'!P35</f>
        <v>3302.86816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100</v>
      </c>
      <c r="I20" s="1">
        <f t="shared" si="1"/>
        <v>7264</v>
      </c>
      <c r="J20" s="172">
        <f>+'1'!J20+'2'!J20+'4'!J20+'3'!J20+'5'!J20+'6'!J20+'7'!J20+'8'!J20+'9'!J20+'10'!J20+'11'!J20+'12'!J20+'13'!J20+'14'!J20+'15'!J20+'16'!J20+'17'!J20+'18'!J20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610.17600000000004</v>
      </c>
      <c r="M20" s="118">
        <f t="shared" si="2"/>
        <v>6653.8239999999996</v>
      </c>
      <c r="N20" s="101">
        <f>+'1'!N20+'2'!N20+'4'!N20+'3'!N20+'5'!N20+'6'!N20+'7'!N20+'8'!N20+'9'!N20+'10'!N20</f>
        <v>1559.7260799999999</v>
      </c>
      <c r="O20" s="101">
        <f>+'1'!O20+'2'!O20+'4'!O20+'3'!O20+'5'!O20+'6'!O20+'7'!O20+'8'!O20+'9'!O20+'10'!O20</f>
        <v>89.916697599999992</v>
      </c>
      <c r="P20" s="120">
        <f t="shared" si="0"/>
        <v>8303.4667775999987</v>
      </c>
      <c r="T20" s="163" t="str">
        <f>+'7'!A5</f>
        <v>Customer Name : Saad Mart</v>
      </c>
      <c r="U20" s="164">
        <f>+'7'!P35</f>
        <v>1687.7686080000001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90</v>
      </c>
      <c r="I21" s="1">
        <f t="shared" si="1"/>
        <v>6537.6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552.06399999999996</v>
      </c>
      <c r="M21" s="118">
        <f t="shared" si="2"/>
        <v>5985.5360000000001</v>
      </c>
      <c r="N21" s="101">
        <f>+'1'!N21+'2'!N21+'4'!N21+'3'!N21+'5'!N21+'6'!N21+'7'!N21+'8'!N21+'9'!N21+'10'!N21</f>
        <v>1380.7411199999999</v>
      </c>
      <c r="O21" s="101">
        <f>+'1'!O21+'2'!O21+'4'!O21+'3'!O21+'5'!O21+'6'!O21+'7'!O21+'8'!O21+'9'!O21+'10'!O21</f>
        <v>93.8334464</v>
      </c>
      <c r="P21" s="120">
        <f t="shared" si="0"/>
        <v>7460.1105663999997</v>
      </c>
      <c r="T21" s="163" t="str">
        <f>+'8'!A5</f>
        <v>Customer Name : Ghulam rasool 2</v>
      </c>
      <c r="U21" s="164">
        <f>+'8'!P35</f>
        <v>3309.6730752000003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43.792449000000005</v>
      </c>
      <c r="P22" s="120">
        <f t="shared" si="0"/>
        <v>1795.4904090000002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12</v>
      </c>
      <c r="D25" s="206"/>
      <c r="E25" s="206"/>
      <c r="F25" s="206"/>
      <c r="G25" s="176">
        <f t="shared" ref="G25:M25" si="3">SUM(G16:G24)</f>
        <v>0</v>
      </c>
      <c r="H25" s="177">
        <f t="shared" si="3"/>
        <v>480</v>
      </c>
      <c r="I25" s="178">
        <f t="shared" si="3"/>
        <v>30705.95</v>
      </c>
      <c r="J25" s="177">
        <f t="shared" si="3"/>
        <v>22</v>
      </c>
      <c r="K25" s="178">
        <f t="shared" si="3"/>
        <v>54.922000000000011</v>
      </c>
      <c r="L25" s="179">
        <f t="shared" si="3"/>
        <v>2467.5119999999997</v>
      </c>
      <c r="M25" s="141">
        <f t="shared" si="3"/>
        <v>28183.516</v>
      </c>
      <c r="N25" s="142">
        <f>SUM(N16:N24)</f>
        <v>6520.8777700000001</v>
      </c>
      <c r="O25" s="143">
        <f>SUM(O16:O24)</f>
        <v>490.72034224999993</v>
      </c>
      <c r="P25" s="144">
        <f>SUM(P16:P24)</f>
        <v>35195.114112249998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35195.114112249998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30705.95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2467.5119999999997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54.922000000000011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28183.516000000003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6520.8777700000001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34704.393770000002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867.60984425000015</v>
      </c>
    </row>
    <row r="39" spans="2:16" ht="15.75" customHeight="1" thickBot="1" x14ac:dyDescent="0.4">
      <c r="N39" s="204" t="s">
        <v>92</v>
      </c>
      <c r="O39" s="205"/>
      <c r="P39" s="160">
        <f>P37+P38</f>
        <v>35572.003614250003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108</v>
      </c>
      <c r="B6" s="230"/>
      <c r="C6" s="230"/>
      <c r="F6" s="70"/>
      <c r="G6" s="74"/>
      <c r="K6" s="230" t="s">
        <v>52</v>
      </c>
      <c r="L6" s="230"/>
      <c r="M6" s="230"/>
      <c r="N6" s="243" t="s">
        <v>99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43.792449000000005</v>
      </c>
      <c r="P22" s="120">
        <f t="shared" si="2"/>
        <v>1795.4904090000002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1569.2000000000003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78.460000000000022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54.922000000000011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1435.8180000000002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1751.6979600000002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4" t="s">
        <v>92</v>
      </c>
      <c r="O35" s="205"/>
      <c r="P35" s="160">
        <f>P33+P34</f>
        <v>1795.4904090000002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109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110</v>
      </c>
      <c r="B6" s="230"/>
      <c r="C6" s="230"/>
      <c r="F6" s="70"/>
      <c r="G6" s="74"/>
      <c r="K6" s="230" t="s">
        <v>52</v>
      </c>
      <c r="L6" s="230"/>
      <c r="M6" s="230"/>
      <c r="N6" s="243" t="s">
        <v>99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111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4.4740019999999996</v>
      </c>
      <c r="P16" s="105">
        <f t="shared" ref="P16:P24" si="1">M16+N16+O16</f>
        <v>899.27440200000001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4.4162932499999998</v>
      </c>
      <c r="P18" s="120">
        <f t="shared" si="1"/>
        <v>887.67494324999996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28.358234699999997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5004.1000000000004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400.32800000000003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4603.7719999999999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5671.6469399999996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28.358234699999997</v>
      </c>
    </row>
    <row r="35" spans="2:16" ht="15.75" customHeight="1" thickBot="1" x14ac:dyDescent="0.4">
      <c r="N35" s="204" t="s">
        <v>92</v>
      </c>
      <c r="O35" s="205"/>
      <c r="P35" s="160">
        <f>P33+P34</f>
        <v>5700.0051746999998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H11" sqref="H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113</v>
      </c>
      <c r="B6" s="230"/>
      <c r="C6" s="230"/>
      <c r="F6" s="70"/>
      <c r="G6" s="74"/>
      <c r="K6" s="230" t="s">
        <v>52</v>
      </c>
      <c r="L6" s="230"/>
      <c r="M6" s="230"/>
      <c r="N6" s="243" t="s">
        <v>99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697.34400000000005</v>
      </c>
      <c r="M25" s="141">
        <f t="shared" si="9"/>
        <v>8019.4560000000001</v>
      </c>
      <c r="N25" s="142">
        <f>SUM(N16:N24)</f>
        <v>1860.1651199999999</v>
      </c>
      <c r="O25" s="143">
        <f>SUM(O16:O24)</f>
        <v>49.398105600000001</v>
      </c>
      <c r="P25" s="144">
        <f>SUM(P16:P24)</f>
        <v>9929.0192256000009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8716.7999999999993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697.34400000000005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8019.4559999999992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1860.1651199999999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9879.6211199999998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49.398105600000001</v>
      </c>
    </row>
    <row r="35" spans="2:16" ht="15.75" customHeight="1" thickBot="1" x14ac:dyDescent="0.4">
      <c r="N35" s="204" t="s">
        <v>92</v>
      </c>
      <c r="O35" s="205"/>
      <c r="P35" s="160">
        <f>P33+P34</f>
        <v>9929.0192255999991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J13" sqref="J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115</v>
      </c>
      <c r="B6" s="230"/>
      <c r="C6" s="230"/>
      <c r="F6" s="70"/>
      <c r="G6" s="74"/>
      <c r="K6" s="230" t="s">
        <v>52</v>
      </c>
      <c r="L6" s="230"/>
      <c r="M6" s="230"/>
      <c r="N6" s="243" t="s">
        <v>99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60</v>
      </c>
      <c r="I25" s="137">
        <f t="shared" si="9"/>
        <v>3147.75</v>
      </c>
      <c r="J25" s="138"/>
      <c r="K25" s="139">
        <f t="shared" si="9"/>
        <v>0</v>
      </c>
      <c r="L25" s="140">
        <f t="shared" si="9"/>
        <v>251.82</v>
      </c>
      <c r="M25" s="141">
        <f t="shared" si="9"/>
        <v>2895.93</v>
      </c>
      <c r="N25" s="142">
        <f>SUM(N16:N24)</f>
        <v>671.72985000000006</v>
      </c>
      <c r="O25" s="143">
        <f>SUM(O16:O24)</f>
        <v>89.19149625</v>
      </c>
      <c r="P25" s="144">
        <f>SUM(P16:P24)</f>
        <v>3656.8513462499996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3147.75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251.82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2895.93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671.72985000000006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3567.65985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89.19149625</v>
      </c>
    </row>
    <row r="35" spans="2:16" ht="15.75" customHeight="1" thickBot="1" x14ac:dyDescent="0.4">
      <c r="N35" s="204" t="s">
        <v>92</v>
      </c>
      <c r="O35" s="205"/>
      <c r="P35" s="160">
        <f>P33+P34</f>
        <v>3656.85134625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116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117</v>
      </c>
      <c r="B6" s="230"/>
      <c r="C6" s="230"/>
      <c r="F6" s="70"/>
      <c r="G6" s="74"/>
      <c r="K6" s="230" t="s">
        <v>52</v>
      </c>
      <c r="L6" s="230"/>
      <c r="M6" s="230"/>
      <c r="N6" s="243" t="s">
        <v>99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>
        <v>1</v>
      </c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170.81790000000001</v>
      </c>
      <c r="O16" s="107">
        <f>(N16+M16)*$O$15</f>
        <v>22.370010000000001</v>
      </c>
      <c r="P16" s="105">
        <f t="shared" ref="P16:P24" si="1">M16+N16+O16</f>
        <v>917.17040999999995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15.009521250000001</v>
      </c>
      <c r="P17" s="120">
        <f t="shared" si="1"/>
        <v>615.39037125000004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22.081466250000002</v>
      </c>
      <c r="P18" s="120">
        <f t="shared" si="1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>
        <v>1</v>
      </c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236.51583999999997</v>
      </c>
      <c r="O21" s="119">
        <f t="shared" si="6"/>
        <v>30.973695999999997</v>
      </c>
      <c r="P21" s="120">
        <f t="shared" si="1"/>
        <v>1269.9215359999998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400.32800000000003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141.79117350000001</v>
      </c>
      <c r="P25" s="144">
        <f>SUM(P16:P24)</f>
        <v>5813.4381134999994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5004.1000000000004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400.32800000000003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4603.7719999999999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5671.6469399999996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141.79117349999999</v>
      </c>
    </row>
    <row r="35" spans="2:16" ht="15.75" customHeight="1" thickBot="1" x14ac:dyDescent="0.4">
      <c r="N35" s="204" t="s">
        <v>92</v>
      </c>
      <c r="O35" s="205"/>
      <c r="P35" s="160">
        <f>P33+P34</f>
        <v>5813.4381134999994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L17" sqref="L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119</v>
      </c>
      <c r="B6" s="230"/>
      <c r="C6" s="230"/>
      <c r="F6" s="70"/>
      <c r="G6" s="74"/>
      <c r="K6" s="230" t="s">
        <v>52</v>
      </c>
      <c r="L6" s="230"/>
      <c r="M6" s="230"/>
      <c r="N6" s="243" t="s">
        <v>99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I16*10%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I17*10%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145.28</v>
      </c>
      <c r="M20" s="118">
        <f t="shared" si="5"/>
        <v>1307.52</v>
      </c>
      <c r="N20" s="118">
        <f t="shared" si="0"/>
        <v>303.6352</v>
      </c>
      <c r="O20" s="119">
        <f t="shared" si="6"/>
        <v>40.278880000000001</v>
      </c>
      <c r="P20" s="120">
        <f t="shared" si="1"/>
        <v>1651.43408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145.28</v>
      </c>
      <c r="M21" s="118">
        <f t="shared" si="5"/>
        <v>1307.52</v>
      </c>
      <c r="N21" s="118">
        <f t="shared" si="0"/>
        <v>303.6352</v>
      </c>
      <c r="O21" s="119">
        <f t="shared" si="6"/>
        <v>40.278880000000001</v>
      </c>
      <c r="P21" s="120">
        <f t="shared" si="1"/>
        <v>1651.43408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290.56</v>
      </c>
      <c r="M25" s="141">
        <f t="shared" si="9"/>
        <v>2615.04</v>
      </c>
      <c r="N25" s="142">
        <f>SUM(N16:N24)</f>
        <v>607.2704</v>
      </c>
      <c r="O25" s="143">
        <f>SUM(O16:O24)</f>
        <v>80.557760000000002</v>
      </c>
      <c r="P25" s="144">
        <f>SUM(P16:P24)</f>
        <v>3302.86816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2905.6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290.56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2615.04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607.2704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3222.3103999999998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80.557760000000002</v>
      </c>
    </row>
    <row r="35" spans="2:16" ht="15.75" customHeight="1" thickBot="1" x14ac:dyDescent="0.4">
      <c r="N35" s="204" t="s">
        <v>92</v>
      </c>
      <c r="O35" s="205"/>
      <c r="P35" s="160">
        <f>P33+P34</f>
        <v>3302.86816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120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117</v>
      </c>
      <c r="B6" s="230"/>
      <c r="C6" s="230"/>
      <c r="F6" s="70"/>
      <c r="G6" s="74"/>
      <c r="K6" s="230" t="s">
        <v>52</v>
      </c>
      <c r="L6" s="230"/>
      <c r="M6" s="230"/>
      <c r="N6" s="243" t="s">
        <v>99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1452.8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116.224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1336.576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1646.6035200000001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04" t="s">
        <v>92</v>
      </c>
      <c r="O35" s="205"/>
      <c r="P35" s="160">
        <f>P33+P34</f>
        <v>1687.7686080000001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D7" sqref="D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121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122</v>
      </c>
      <c r="B6" s="230"/>
      <c r="C6" s="230"/>
      <c r="F6" s="70"/>
      <c r="G6" s="74"/>
      <c r="K6" s="230" t="s">
        <v>52</v>
      </c>
      <c r="L6" s="230"/>
      <c r="M6" s="230"/>
      <c r="N6" s="243" t="s">
        <v>99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123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2905.6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232.44800000000001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2673.152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3293.2070400000002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4" t="s">
        <v>92</v>
      </c>
      <c r="O35" s="205"/>
      <c r="P35" s="160">
        <f>P33+P34</f>
        <v>3309.6730752000003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46196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46195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2026-06-23T11:35:22Z</dcterms:modified>
</cp:coreProperties>
</file>