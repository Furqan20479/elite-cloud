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99C0845-C59B-4009-A630-D369FCFFEE2B}" xr6:coauthVersionLast="47" xr6:coauthVersionMax="47" xr10:uidLastSave="{00000000-0000-0000-0000-000000000000}"/>
  <bookViews>
    <workbookView xWindow="-110" yWindow="-110" windowWidth="19420" windowHeight="10420" tabRatio="949" activeTab="1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9">'7'!$A$1:$P$36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H25" i="15" l="1"/>
  <c r="I16" i="3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K21" i="26" s="1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L21" i="26" l="1"/>
  <c r="M21" i="26" s="1"/>
  <c r="N21" i="26" s="1"/>
  <c r="O21" i="26" s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22" i="19"/>
  <c r="M22" i="19" s="1"/>
  <c r="N22" i="19" s="1"/>
  <c r="O22" i="19" s="1"/>
  <c r="P22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M16" i="17"/>
  <c r="I23" i="15"/>
  <c r="L25" i="19" l="1"/>
  <c r="P29" i="19" s="1"/>
  <c r="P31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C25" i="15"/>
</calcChain>
</file>

<file path=xl/sharedStrings.xml><?xml version="1.0" encoding="utf-8"?>
<sst xmlns="http://schemas.openxmlformats.org/spreadsheetml/2006/main" count="1585" uniqueCount="128">
  <si>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</si>
  <si>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</si>
  <si>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</si>
  <si>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</si>
  <si>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</si>
  <si>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</si>
  <si>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</si>
  <si>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</si>
  <si>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</si>
  <si>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</si>
  <si>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</si>
  <si>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</si>
  <si>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</si>
  <si>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</si>
  <si>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</si>
  <si>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</si>
  <si>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</si>
  <si>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</si>
  <si>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</si>
  <si>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</si>
  <si>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</si>
  <si>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</si>
  <si>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</si>
  <si>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</si>
  <si>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</si>
  <si>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</si>
  <si>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</si>
  <si>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</si>
  <si>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</si>
  <si>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</si>
  <si>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</si>
  <si>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</si>
  <si>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</si>
  <si>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</si>
  <si>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</si>
  <si>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</si>
  <si>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</si>
  <si>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</si>
  <si>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</si>
  <si>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</si>
  <si>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</si>
  <si>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</si>
  <si>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</si>
  <si>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</si>
  <si>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</si>
  <si>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</si>
  <si>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</si>
  <si>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</si>
  <si>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</si>
  <si>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</si>
  <si>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</si>
  <si>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</si>
  <si>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</si>
  <si>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</si>
  <si>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</si>
  <si>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</si>
  <si>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</si>
  <si>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</si>
  <si>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</si>
  <si>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</si>
  <si>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</si>
  <si>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</si>
  <si>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</si>
  <si>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</si>
  <si>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</si>
  <si>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</si>
  <si>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</si>
  <si>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</si>
  <si>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</si>
  <si>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</si>
  <si>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</si>
  <si>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</si>
  <si>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</si>
  <si>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</si>
  <si>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</si>
  <si>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</si>
  <si>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</si>
  <si>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</si>
  <si>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</si>
  <si>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</si>
  <si>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</si>
  <si>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</si>
  <si>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</si>
  <si>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</si>
  <si>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</si>
  <si>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</si>
  <si>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</si>
  <si>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</si>
  <si>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</si>
  <si>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</si>
  <si>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</si>
  <si>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</si>
  <si>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</si>
  <si>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</si>
  <si>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</si>
  <si>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</si>
  <si>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</si>
  <si>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</si>
  <si>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</si>
  <si>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</si>
  <si>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</si>
  <si>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</si>
  <si>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</si>
  <si>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</si>
  <si>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</si>
  <si>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</si>
  <si>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Zeshan</t>
  </si>
  <si>
    <t>Shop Bill Summary (Zeshan)</t>
  </si>
  <si>
    <t>Customer Name : Grocer Store</t>
  </si>
  <si>
    <t>Address: Phase 5</t>
  </si>
  <si>
    <t>0188146-9</t>
  </si>
  <si>
    <t>Customer Name : S Mart</t>
  </si>
  <si>
    <t>9274556-2</t>
  </si>
  <si>
    <t>Customer Name : 24/7 Mart</t>
  </si>
  <si>
    <t>Customer Name : CV Store</t>
  </si>
  <si>
    <t>Customer Name : Afzal Store</t>
  </si>
  <si>
    <t>Customer Name : Paradise</t>
  </si>
  <si>
    <t>10155560-7</t>
  </si>
  <si>
    <t xml:space="preserve">Customer Name : Ajwa Bakers </t>
  </si>
  <si>
    <t>Address: State Life</t>
  </si>
  <si>
    <t>4361567-8</t>
  </si>
  <si>
    <t xml:space="preserve">Customer Name : Green Mart </t>
  </si>
  <si>
    <t>Address: Askari 11</t>
  </si>
  <si>
    <t>Customer Name : Shop no 4</t>
  </si>
  <si>
    <t>Address: DHA</t>
  </si>
  <si>
    <t>Customer Name : Yousaf Store</t>
  </si>
  <si>
    <t xml:space="preserve">Customer Name : Captain Mart </t>
  </si>
  <si>
    <t xml:space="preserve">Address: Sui Gas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</si>
</sst>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S10" sqref="S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Grocer Store</v>
      </c>
      <c r="U14" s="164">
        <f>+'1'!P35</f>
        <v>4350.62370405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 Mart</v>
      </c>
      <c r="U15" s="164">
        <f>+'2'!P35</f>
        <v>440.11411245000005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10</v>
      </c>
      <c r="I16" s="1">
        <f>(G16*D16)*F16+H16*F16</f>
        <v>524.625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41.97</v>
      </c>
      <c r="M16" s="106">
        <f>I16-K16-L16</f>
        <v>482.65499999999997</v>
      </c>
      <c r="N16" s="101">
        <f>+'1'!N16+'2'!N16+'4'!N16+'3'!N16+'5'!N16+'6'!N16+'7'!N16+'8'!N16+'9'!N16+'10'!N16</f>
        <v>96.321149999999989</v>
      </c>
      <c r="O16" s="101">
        <f>+'1'!O16+'2'!O16+'4'!O16+'3'!O16+'5'!O16+'6'!O16+'7'!O16+'8'!O16+'9'!O16+'10'!O16</f>
        <v>2.89488075</v>
      </c>
      <c r="P16" s="105">
        <f t="shared" ref="P16:P24" si="0">M16+N16+O16</f>
        <v>581.87103074999993</v>
      </c>
      <c r="Q16" s="108"/>
      <c r="T16" s="163" t="str">
        <f>+'3'!A5</f>
        <v>Customer Name : 24/7 Mart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86.877899999999997</v>
      </c>
      <c r="O17" s="101">
        <f>+'1'!O17+'2'!O17+'4'!O17+'3'!O17+'5'!O17+'6'!O17+'7'!O17+'8'!O17+'9'!O17+'10'!O17</f>
        <v>2.8476644999999996</v>
      </c>
      <c r="P17" s="120">
        <f t="shared" si="0"/>
        <v>572.38056449999988</v>
      </c>
      <c r="S17" s="64"/>
      <c r="T17" s="163" t="str">
        <f>+'4'!A5</f>
        <v>Customer Name : CV Store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Afzal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894.34367999999995</v>
      </c>
      <c r="O19" s="101">
        <f>+'1'!O19+'2'!O19+'4'!O19+'3'!O19+'5'!O19+'6'!O19+'7'!O19+'8'!O19+'9'!O19+'10'!O19</f>
        <v>27.861798399999998</v>
      </c>
      <c r="P19" s="120">
        <f t="shared" si="0"/>
        <v>5600.2214784000007</v>
      </c>
      <c r="T19" s="163" t="str">
        <f>+'6'!A5</f>
        <v>Customer Name : Paradise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520.39296000000002</v>
      </c>
      <c r="O20" s="101">
        <f>+'1'!O20+'2'!O20+'4'!O20+'3'!O20+'5'!O20+'6'!O20+'7'!O20+'8'!O20+'9'!O20+'10'!O20</f>
        <v>15.967724799999999</v>
      </c>
      <c r="P20" s="120">
        <f t="shared" si="0"/>
        <v>3209.5126848</v>
      </c>
      <c r="T20" s="163" t="str">
        <f>+'7'!A5</f>
        <v xml:space="preserve">Customer Name : Ajwa Bakers </v>
      </c>
      <c r="U20" s="164">
        <f>+'7'!P35</f>
        <v>3622.05625035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110</v>
      </c>
      <c r="I21" s="1">
        <f t="shared" si="1"/>
        <v>7990.4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406.78399999999999</v>
      </c>
      <c r="M21" s="118">
        <f t="shared" si="2"/>
        <v>7583.616</v>
      </c>
      <c r="N21" s="101">
        <f>+'1'!N21+'2'!N21+'4'!N21+'3'!N21+'5'!N21+'6'!N21+'7'!N21+'8'!N21+'9'!N21+'10'!N21</f>
        <v>868.19327999999996</v>
      </c>
      <c r="O21" s="101">
        <f>+'1'!O21+'2'!O21+'4'!O21+'3'!O21+'5'!O21+'6'!O21+'7'!O21+'8'!O21+'9'!O21+'10'!O21</f>
        <v>27.731046399999997</v>
      </c>
      <c r="P21" s="120">
        <f t="shared" si="0"/>
        <v>8479.5403263999997</v>
      </c>
      <c r="T21" s="163" t="str">
        <f>+'8'!A5</f>
        <v xml:space="preserve">Customer Name : Green Mart </v>
      </c>
      <c r="U21" s="164">
        <f>+'8'!P35</f>
        <v>7990.9302719999996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82.383000000000024</v>
      </c>
      <c r="L22" s="175">
        <f>+'1'!L22+'2'!L22+'4'!L22+'3'!L22+'5'!L22+'6'!L22+'7'!L22+'8'!L22+'9'!L22+'10'!L22</f>
        <v>117.69000000000004</v>
      </c>
      <c r="M22" s="118">
        <f t="shared" si="2"/>
        <v>2153.7270000000003</v>
      </c>
      <c r="N22" s="101">
        <f>+'1'!N22+'2'!N22+'4'!N22+'3'!N22+'5'!N22+'6'!N22+'7'!N22+'8'!N22+'9'!N22+'10'!N22</f>
        <v>459.46176000000003</v>
      </c>
      <c r="O22" s="101">
        <f>+'1'!O22+'2'!O22+'4'!O22+'3'!O22+'5'!O22+'6'!O22+'7'!O22+'8'!O22+'9'!O22+'10'!O22</f>
        <v>48.099903000000005</v>
      </c>
      <c r="P22" s="120">
        <f t="shared" si="0"/>
        <v>2661.2886630000003</v>
      </c>
      <c r="T22" s="163" t="str">
        <f>+'9'!A5</f>
        <v>Customer Name : Shop no 4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Yousaf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Captain Mart </v>
      </c>
      <c r="U24" s="164">
        <f>+'11'!P35</f>
        <v>3375.5372160000002</v>
      </c>
    </row>
    <row r="25" spans="1:21 16384:16384" ht="26.5" thickBot="1" x14ac:dyDescent="0.65">
      <c r="A25" s="209" t="s">
        <v>84</v>
      </c>
      <c r="B25" s="210"/>
      <c r="C25" s="211">
        <f>H25/40</f>
        <v>7.5</v>
      </c>
      <c r="D25" s="205"/>
      <c r="E25" s="205"/>
      <c r="F25" s="205"/>
      <c r="G25" s="176">
        <f t="shared" ref="G25:M25" si="3">SUM(G16:G24)</f>
        <v>0</v>
      </c>
      <c r="H25" s="177">
        <f>SUM(H16:H22)</f>
        <v>300</v>
      </c>
      <c r="I25" s="178">
        <f t="shared" si="3"/>
        <v>19383.849999999999</v>
      </c>
      <c r="J25" s="177">
        <f t="shared" si="3"/>
        <v>12</v>
      </c>
      <c r="K25" s="178">
        <f t="shared" si="3"/>
        <v>82.383000000000024</v>
      </c>
      <c r="L25" s="179">
        <f t="shared" si="3"/>
        <v>1247.6460000000002</v>
      </c>
      <c r="M25" s="141">
        <f t="shared" si="3"/>
        <v>18053.821</v>
      </c>
      <c r="N25" s="142">
        <f>SUM(N16:N24)</f>
        <v>2925.5907299999999</v>
      </c>
      <c r="O25" s="143">
        <f>SUM(O16:O24)</f>
        <v>125.40301785</v>
      </c>
      <c r="P25" s="144">
        <f>SUM(P16:P24)</f>
        <v>21104.81474785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21574.751963850005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19383.849999999999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1247.6460000000002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82.383000000000024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18053.820999999996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2925.5907299999999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20979.411729999996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524.48529324999993</v>
      </c>
    </row>
    <row r="39" spans="2:16" ht="15.75" customHeight="1" thickBot="1" x14ac:dyDescent="0.4">
      <c r="N39" s="203" t="s">
        <v>92</v>
      </c>
      <c r="O39" s="204"/>
      <c r="P39" s="160">
        <f>P37+P38</f>
        <v>21503.897023249996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8110112801763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96.321149999999989</v>
      </c>
      <c r="O16" s="107">
        <f t="shared" ref="O16:O24" si="1">(N16+M16)*$O$15</f>
        <v>2.89488075</v>
      </c>
      <c r="P16" s="105">
        <f t="shared" ref="P16:P24" si="2">M16+N16+O16</f>
        <v>581.87103074999993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86.877899999999997</v>
      </c>
      <c r="O17" s="119">
        <f t="shared" si="1"/>
        <v>2.8476644999999996</v>
      </c>
      <c r="P17" s="120">
        <f t="shared" si="2"/>
        <v>572.38056449999988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193.51295999999996</v>
      </c>
      <c r="O19" s="119">
        <f t="shared" si="1"/>
        <v>5.9797247999999996</v>
      </c>
      <c r="P19" s="120">
        <f t="shared" si="2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1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133.36704</v>
      </c>
      <c r="O20" s="119">
        <f t="shared" si="1"/>
        <v>4.0082751999999999</v>
      </c>
      <c r="P20" s="120">
        <f t="shared" si="2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180.43775999999997</v>
      </c>
      <c r="O21" s="119">
        <f t="shared" si="1"/>
        <v>5.9143487999999991</v>
      </c>
      <c r="P21" s="120">
        <f t="shared" si="2"/>
        <v>1188.7841087999998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60</v>
      </c>
      <c r="I25" s="137">
        <f t="shared" si="9"/>
        <v>3954.85</v>
      </c>
      <c r="J25" s="138"/>
      <c r="K25" s="139">
        <f t="shared" si="9"/>
        <v>0</v>
      </c>
      <c r="L25" s="140">
        <f t="shared" si="9"/>
        <v>316.38799999999998</v>
      </c>
      <c r="M25" s="141">
        <f t="shared" si="9"/>
        <v>3638.4619999999995</v>
      </c>
      <c r="N25" s="142">
        <f>SUM(N16:N24)</f>
        <v>690.51680999999985</v>
      </c>
      <c r="O25" s="143">
        <f>SUM(O16:O24)</f>
        <v>21.644894049999998</v>
      </c>
      <c r="P25" s="144">
        <f>SUM(P16:P24)</f>
        <v>4350.6237040499991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3954.85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316.38799999999998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3638.462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690.51680999999985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4328.9788099999996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21.644894049999998</v>
      </c>
    </row>
    <row r="35" spans="2:16" ht="15.75" customHeight="1" thickBot="1" x14ac:dyDescent="0.4">
      <c r="N35" s="203" t="s">
        <v>92</v>
      </c>
      <c r="O35" s="204"/>
      <c r="P35" s="160">
        <f>P33+P34</f>
        <v>4350.62370405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03" t="s">
        <v>92</v>
      </c>
      <c r="O35" s="204"/>
      <c r="P35" s="160">
        <f>P33+P34</f>
        <v>440.11411245000005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3520144391811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C24" sqref="C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120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3520123465409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64.611810000000006</v>
      </c>
      <c r="O22" s="119">
        <f t="shared" si="6"/>
        <v>2.1178315500000005</v>
      </c>
      <c r="P22" s="120">
        <f t="shared" si="1"/>
        <v>425.68414155000005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13.730500000000003</v>
      </c>
      <c r="L25" s="140">
        <f t="shared" si="9"/>
        <v>252.06299999999999</v>
      </c>
      <c r="M25" s="141">
        <f t="shared" si="9"/>
        <v>3032.1064999999999</v>
      </c>
      <c r="N25" s="142">
        <f>SUM(N16:N24)</f>
        <v>571.92957000000001</v>
      </c>
      <c r="O25" s="143">
        <f>SUM(O16:O24)</f>
        <v>18.02018035</v>
      </c>
      <c r="P25" s="144">
        <f>SUM(P16:P24)</f>
        <v>3622.0562503499996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3297.9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252.06299999999999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3032.1064999999999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571.92957000000001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3604.0360700000001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18.02018035</v>
      </c>
    </row>
    <row r="35" spans="2:16" ht="15.75" customHeight="1" thickBot="1" x14ac:dyDescent="0.4">
      <c r="N35" s="203" t="s">
        <v>92</v>
      </c>
      <c r="O35" s="204"/>
      <c r="P35" s="160">
        <f>P33+P34</f>
        <v>3622.05625035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9819656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2302644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7264</v>
      </c>
      <c r="J25" s="138"/>
      <c r="K25" s="139">
        <f t="shared" si="9"/>
        <v>0</v>
      </c>
      <c r="L25" s="140">
        <f t="shared" si="9"/>
        <v>581.12</v>
      </c>
      <c r="M25" s="141">
        <f t="shared" si="9"/>
        <v>6682.88</v>
      </c>
      <c r="N25" s="142">
        <f>SUM(N16:N24)</f>
        <v>1268.2944</v>
      </c>
      <c r="O25" s="143">
        <f>SUM(O16:O24)</f>
        <v>39.755872000000004</v>
      </c>
      <c r="P25" s="144">
        <f>SUM(P16:P24)</f>
        <v>7990.9302719999996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7264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581.12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6682.88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1268.2944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7951.1743999999999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39.755872000000004</v>
      </c>
    </row>
    <row r="35" spans="2:16" ht="15.75" customHeight="1" thickBot="1" x14ac:dyDescent="0.4">
      <c r="N35" s="203" t="s">
        <v>92</v>
      </c>
      <c r="O35" s="204"/>
      <c r="P35" s="160">
        <f>P33+P34</f>
        <v>7990.9302719999996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6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22" sqref="A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8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abSelected="1"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2026-06-29T06:26:16Z</dcterms:modified>
</cp:coreProperties>
</file>