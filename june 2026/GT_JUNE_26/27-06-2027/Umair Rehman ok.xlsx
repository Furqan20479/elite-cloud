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C23D0D0-F93E-4BA6-93CD-142105D6BD9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<sst xmlns="http://schemas.openxmlformats.org/spreadsheetml/2006/main" count="1582" uniqueCount="120">
  <si>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</si>
  <si>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</si>
  <si>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</si>
  <si>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</si>
  <si>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</si>
  <si>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</si>
  <si>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</si>
  <si>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</si>
  <si>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</si>
  <si>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</si>
  <si>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</si>
  <si>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</si>
  <si>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</si>
  <si>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</si>
  <si>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</si>
  <si>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</si>
  <si>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</si>
  <si>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</si>
  <si>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</si>
  <si>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</si>
  <si>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</si>
  <si>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</si>
  <si>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</si>
  <si>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</si>
  <si>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</si>
  <si>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</si>
  <si>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</si>
  <si>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</si>
  <si>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</si>
  <si>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</si>
  <si>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</si>
  <si>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</si>
  <si>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</si>
  <si>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</si>
  <si>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</si>
  <si>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</si>
  <si>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</si>
  <si>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</si>
  <si>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</si>
  <si>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</si>
  <si>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</si>
  <si>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</si>
  <si>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</si>
  <si>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</si>
  <si>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</si>
  <si>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</si>
  <si>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</si>
  <si>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</si>
  <si>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</si>
  <si>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</si>
  <si>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</si>
  <si>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</si>
  <si>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</si>
  <si>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</si>
  <si>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</si>
  <si>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</si>
  <si>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</si>
  <si>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</si>
  <si>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</si>
  <si>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</si>
  <si>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</si>
  <si>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</si>
  <si>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</si>
  <si>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</si>
  <si>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</si>
  <si>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</si>
  <si>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</si>
  <si>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</si>
  <si>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</si>
  <si>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</si>
  <si>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</si>
  <si>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</si>
  <si>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</si>
  <si>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</si>
  <si>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</si>
  <si>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</si>
  <si>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</si>
  <si>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</si>
  <si>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</si>
  <si>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</si>
  <si>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</si>
  <si>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</si>
  <si>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</si>
  <si>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</si>
  <si>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</si>
  <si>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</si>
  <si>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</si>
  <si>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</si>
  <si>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</si>
  <si>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</si>
  <si>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</si>
  <si>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</si>
  <si>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</si>
  <si>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</si>
  <si>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</si>
  <si>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</si>
  <si>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</si>
  <si>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</si>
  <si>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</si>
  <si>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</si>
  <si>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</si>
  <si>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</si>
  <si>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</si>
  <si>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</si>
  <si>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</si>
  <si>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</si>
  <si>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Permier Mart</t>
  </si>
  <si>
    <t>Address: Awan Market Ferozpur Road</t>
  </si>
  <si>
    <t>i040700-2</t>
  </si>
  <si>
    <t xml:space="preserve">Customer Name : Panda Mart </t>
  </si>
  <si>
    <t xml:space="preserve">Address: Pak Arab </t>
  </si>
  <si>
    <t>Customer Name : Awan Super Store</t>
  </si>
  <si>
    <t xml:space="preserve">Customer Name : Chohan Super Mart </t>
  </si>
  <si>
    <t xml:space="preserve">Customer Name : Al Noor Bakery </t>
  </si>
  <si>
    <t xml:space="preserve">Address: Pak Arab Ghora Chowk </t>
  </si>
  <si>
    <t>Customer Name : Alnoor Store 2</t>
  </si>
  <si>
    <t>Customer Name : Bismillah GS</t>
  </si>
  <si>
    <t xml:space="preserve">Customer Name : Waleed Super Mart </t>
  </si>
  <si>
    <t>Address: Pak Arab Vital AA</t>
  </si>
  <si>
    <t>Shop Bill Summary (Umair)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</si>
</sst>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6" zoomScale="70" zoomScaleNormal="70" workbookViewId="0">
      <selection activeCell="V22" sqref="V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119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Permier Mart</v>
      </c>
      <c r="U14" s="164">
        <f>+'1'!P35</f>
        <v>14709.683424600002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Panda Mart </v>
      </c>
      <c r="U15" s="164">
        <f>+'2'!P35</f>
        <v>19858.038451199998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671.72985000000006</v>
      </c>
      <c r="O16" s="101">
        <f>+'1'!O16+'2'!O16+'4'!O16+'3'!O16+'5'!O16+'6'!O16+'7'!O16+'8'!O16+'9'!O16+'10'!O16</f>
        <v>41.622698249999999</v>
      </c>
      <c r="P16" s="105">
        <f t="shared" ref="P16:P24" si="0">M16+N16+O16</f>
        <v>3609.2825482500002</v>
      </c>
      <c r="Q16" s="108"/>
      <c r="T16" s="163" t="str">
        <f>+'3'!A5</f>
        <v>Customer Name : Awan Super Store</v>
      </c>
      <c r="U16" s="164">
        <f>+'3'!P35</f>
        <v>10126.611648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671.72985000000006</v>
      </c>
      <c r="O17" s="101">
        <f>+'1'!O17+'2'!O17+'4'!O17+'3'!O17+'5'!O17+'6'!O17+'7'!O17+'8'!O17+'9'!O17+'10'!O17</f>
        <v>41.622698249999999</v>
      </c>
      <c r="P17" s="120">
        <f t="shared" si="0"/>
        <v>3609.2825482500002</v>
      </c>
      <c r="S17" s="64"/>
      <c r="T17" s="163" t="str">
        <f>+'4'!A5</f>
        <v xml:space="preserve">Customer Name : Chohan Super Mart </v>
      </c>
      <c r="U17" s="164">
        <f>+'4'!P35</f>
        <v>2437.9008974999997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Noor Bakery </v>
      </c>
      <c r="U18" s="164">
        <f>+'5'!P35</f>
        <v>9929.0192255999991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247</v>
      </c>
      <c r="I19" s="1">
        <f t="shared" si="1"/>
        <v>17942.080000000002</v>
      </c>
      <c r="J19" s="172">
        <f>+'1'!J19+'2'!J19+'4'!J19+'3'!J19+'5'!J19+'6'!J19+'7'!J19+'8'!J19+'9'!J19+'10'!J19+'11'!J19+'12'!J19+'13'!J19+'14'!J19+'15'!J19+'16'!J19+'17'!J19+'18'!J19</f>
        <v>11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1435.3664000000001</v>
      </c>
      <c r="M19" s="118">
        <f t="shared" si="2"/>
        <v>16506.713600000003</v>
      </c>
      <c r="N19" s="101">
        <f>+'1'!N19+'2'!N19+'4'!N19+'3'!N19+'5'!N19+'6'!N19+'7'!N19+'8'!N19+'9'!N19+'10'!N19</f>
        <v>3807.2657920000001</v>
      </c>
      <c r="O19" s="101">
        <f>+'1'!O19+'2'!O19+'4'!O19+'3'!O19+'5'!O19+'6'!O19+'7'!O19+'8'!O19+'9'!O19+'10'!O19</f>
        <v>188.63213311999999</v>
      </c>
      <c r="P19" s="120">
        <f t="shared" si="0"/>
        <v>20502.611525120003</v>
      </c>
      <c r="T19" s="163" t="str">
        <f>+'6'!A5</f>
        <v>Customer Name : Alnoor Store 2</v>
      </c>
      <c r="U19" s="164">
        <f>+'6'!P35</f>
        <v>5947.775112960001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247</v>
      </c>
      <c r="I20" s="1">
        <f t="shared" si="1"/>
        <v>17942.080000000002</v>
      </c>
      <c r="J20" s="172">
        <f>+'1'!J20+'2'!J20+'4'!J20+'3'!J20+'5'!J20+'6'!J20+'7'!J20+'8'!J20+'9'!J20+'10'!J20+'11'!J20+'12'!J20+'13'!J20+'14'!J20+'15'!J20+'16'!J20+'17'!J20+'18'!J20</f>
        <v>14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1435.3664000000001</v>
      </c>
      <c r="M20" s="118">
        <f t="shared" si="2"/>
        <v>16506.713600000003</v>
      </c>
      <c r="N20" s="101">
        <f>+'1'!N20+'2'!N20+'4'!N20+'3'!N20+'5'!N20+'6'!N20+'7'!N20+'8'!N20+'9'!N20+'10'!N20</f>
        <v>3855.2081920000001</v>
      </c>
      <c r="O20" s="101">
        <f>+'1'!O20+'2'!O20+'4'!O20+'3'!O20+'5'!O20+'6'!O20+'7'!O20+'8'!O20+'9'!O20+'10'!O20</f>
        <v>189.51107711999998</v>
      </c>
      <c r="P20" s="120">
        <f t="shared" si="0"/>
        <v>20551.432869120003</v>
      </c>
      <c r="T20" s="163" t="str">
        <f>+'7'!A5</f>
        <v>Customer Name : Bismillah GS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258</v>
      </c>
      <c r="I21" s="1">
        <f t="shared" si="1"/>
        <v>18741.12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1499.2896000000001</v>
      </c>
      <c r="M21" s="118">
        <f t="shared" si="2"/>
        <v>17241.830399999999</v>
      </c>
      <c r="N21" s="101">
        <f>+'1'!N21+'2'!N21+'4'!N21+'3'!N21+'5'!N21+'6'!N21+'7'!N21+'8'!N21+'9'!N21+'10'!N21</f>
        <v>3984.9722879999999</v>
      </c>
      <c r="O21" s="101">
        <f>+'1'!O21+'2'!O21+'4'!O21+'3'!O21+'5'!O21+'6'!O21+'7'!O21+'8'!O21+'9'!O21+'10'!O21</f>
        <v>194.82687232000001</v>
      </c>
      <c r="P21" s="120">
        <f t="shared" si="0"/>
        <v>21421.629560320001</v>
      </c>
      <c r="T21" s="163" t="str">
        <f>+'8'!A5</f>
        <v xml:space="preserve">Customer Name : Waleed Super Mart </v>
      </c>
      <c r="U21" s="164">
        <f>+'8'!P35</f>
        <v>3375.5372160000006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21.8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872</v>
      </c>
      <c r="I25" s="178">
        <f t="shared" si="3"/>
        <v>60920.78</v>
      </c>
      <c r="J25" s="177">
        <f t="shared" si="3"/>
        <v>43</v>
      </c>
      <c r="K25" s="178">
        <f t="shared" si="3"/>
        <v>0</v>
      </c>
      <c r="L25" s="179">
        <f t="shared" si="3"/>
        <v>4873.6624000000002</v>
      </c>
      <c r="M25" s="141">
        <f t="shared" si="3"/>
        <v>56047.117600000005</v>
      </c>
      <c r="N25" s="142">
        <f>SUM(N16:N24)</f>
        <v>12990.905972</v>
      </c>
      <c r="O25" s="143">
        <f>SUM(O16:O24)</f>
        <v>656.21547906000001</v>
      </c>
      <c r="P25" s="144">
        <f>SUM(P16:P24)</f>
        <v>69694.239051060009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69694.239051059994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60920.78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4873.6624000000002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56047.117599999998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12990.905972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69038.023572000006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1725.9505893000003</v>
      </c>
    </row>
    <row r="39" spans="2:16" ht="15.75" customHeight="1" thickBot="1" x14ac:dyDescent="0.4">
      <c r="N39" s="219" t="s">
        <v>92</v>
      </c>
      <c r="O39" s="220"/>
      <c r="P39" s="160">
        <f>P37+P38</f>
        <v>70763.974161300008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G17" sqref="G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2755.8049200000005</v>
      </c>
      <c r="O25" s="143">
        <f>SUM(O16:O24)</f>
        <v>73.182504600000001</v>
      </c>
      <c r="P25" s="144">
        <f>SUM(P16:P24)</f>
        <v>14709.6834246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1033.104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11880.696000000002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2755.8049200000005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14636.500920000002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73.182504600000016</v>
      </c>
    </row>
    <row r="35" spans="2:16" ht="15.75" customHeight="1" thickBot="1" x14ac:dyDescent="0.4">
      <c r="N35" s="219" t="s">
        <v>92</v>
      </c>
      <c r="O35" s="220"/>
      <c r="P35" s="160">
        <f>P33+P34</f>
        <v>14709.683424600002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3520263248545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1240.1100799999999</v>
      </c>
      <c r="O19" s="119">
        <f t="shared" si="6"/>
        <v>32.932070400000001</v>
      </c>
      <c r="P19" s="120">
        <f t="shared" si="1"/>
        <v>6619.3461504000006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1240.1100799999999</v>
      </c>
      <c r="O20" s="119">
        <f t="shared" si="6"/>
        <v>32.932070400000001</v>
      </c>
      <c r="P20" s="120">
        <f t="shared" si="1"/>
        <v>6619.3461504000006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240</v>
      </c>
      <c r="I25" s="137">
        <f t="shared" si="9"/>
        <v>17433.599999999999</v>
      </c>
      <c r="J25" s="138"/>
      <c r="K25" s="139">
        <f t="shared" si="9"/>
        <v>0</v>
      </c>
      <c r="L25" s="140">
        <f t="shared" si="9"/>
        <v>1394.6880000000001</v>
      </c>
      <c r="M25" s="141">
        <f t="shared" si="9"/>
        <v>16038.912</v>
      </c>
      <c r="N25" s="142">
        <f>SUM(N16:N24)</f>
        <v>3720.3302399999998</v>
      </c>
      <c r="O25" s="143">
        <f>SUM(O16:O24)</f>
        <v>98.796211200000002</v>
      </c>
      <c r="P25" s="144">
        <f>SUM(P16:P24)</f>
        <v>19858.038451200002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17433.599999999999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1394.6880000000001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16038.911999999998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3720.3302399999998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19759.24224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98.796211200000002</v>
      </c>
    </row>
    <row r="35" spans="2:16" ht="15.75" customHeight="1" thickBot="1" x14ac:dyDescent="0.4">
      <c r="N35" s="219" t="s">
        <v>92</v>
      </c>
      <c r="O35" s="220"/>
      <c r="P35" s="160">
        <f>P33+P34</f>
        <v>19858.038451199998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19" t="s">
        <v>92</v>
      </c>
      <c r="O35" s="220"/>
      <c r="P35" s="160">
        <f>P33+P34</f>
        <v>10126.611648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9" t="s">
        <v>92</v>
      </c>
      <c r="O35" s="220"/>
      <c r="P35" s="160">
        <f>P33+P34</f>
        <v>2437.9008974999997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3110265550895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19" t="s">
        <v>92</v>
      </c>
      <c r="O35" s="220"/>
      <c r="P35" s="160">
        <f>P33+P34</f>
        <v>9929.0192255999991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3110265550895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>
        <v>1</v>
      </c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368.83686399999999</v>
      </c>
      <c r="O19" s="119">
        <f t="shared" si="6"/>
        <v>9.86364032</v>
      </c>
      <c r="P19" s="120">
        <f t="shared" si="1"/>
        <v>1982.59170432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368.83686399999999</v>
      </c>
      <c r="O20" s="119">
        <f t="shared" si="6"/>
        <v>9.86364032</v>
      </c>
      <c r="P20" s="120">
        <f t="shared" si="1"/>
        <v>1982.59170432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368.83686399999999</v>
      </c>
      <c r="O21" s="119">
        <f t="shared" si="6"/>
        <v>9.86364032</v>
      </c>
      <c r="P21" s="120">
        <f t="shared" si="1"/>
        <v>1982.59170432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72</v>
      </c>
      <c r="I25" s="137">
        <f t="shared" si="9"/>
        <v>5230.08</v>
      </c>
      <c r="J25" s="138"/>
      <c r="K25" s="139">
        <f t="shared" si="9"/>
        <v>0</v>
      </c>
      <c r="L25" s="140">
        <f t="shared" si="9"/>
        <v>418.40640000000008</v>
      </c>
      <c r="M25" s="141">
        <f t="shared" si="9"/>
        <v>4811.6736000000001</v>
      </c>
      <c r="N25" s="142">
        <f>SUM(N16:N24)</f>
        <v>1106.5105920000001</v>
      </c>
      <c r="O25" s="143">
        <f>SUM(O16:O24)</f>
        <v>29.590920959999998</v>
      </c>
      <c r="P25" s="144">
        <f>SUM(P16:P24)</f>
        <v>5947.7751129600001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5230.08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418.40640000000008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4811.6736000000001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1106.5105920000001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5918.1841920000006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29.590920960000005</v>
      </c>
    </row>
    <row r="35" spans="2:16" ht="15.75" customHeight="1" thickBot="1" x14ac:dyDescent="0.4">
      <c r="N35" s="219" t="s">
        <v>92</v>
      </c>
      <c r="O35" s="220"/>
      <c r="P35" s="160">
        <f>P33+P34</f>
        <v>5947.775112960001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3520186128205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">
        <f t="shared" si="3"/>
        <v>0</v>
      </c>
      <c r="L19" s="105">
        <f t="shared" si="4"/>
        <v>75.545600000000007</v>
      </c>
      <c r="M19" s="118">
        <f t="shared" si="5"/>
        <v>868.77440000000001</v>
      </c>
      <c r="N19" s="118">
        <f t="shared" si="0"/>
        <v>191.130368</v>
      </c>
      <c r="O19" s="119">
        <f t="shared" si="6"/>
        <v>26.497619200000003</v>
      </c>
      <c r="P19" s="120">
        <f t="shared" si="1"/>
        <v>1086.4023872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2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223.09196800000001</v>
      </c>
      <c r="O20" s="119">
        <f t="shared" si="6"/>
        <v>27.296659200000001</v>
      </c>
      <c r="P20" s="120">
        <f t="shared" si="1"/>
        <v>1119.1630272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">
        <f t="shared" si="3"/>
        <v>0</v>
      </c>
      <c r="L21" s="105">
        <f t="shared" si="4"/>
        <v>81.356800000000007</v>
      </c>
      <c r="M21" s="118">
        <f t="shared" si="5"/>
        <v>935.60320000000002</v>
      </c>
      <c r="N21" s="118">
        <f t="shared" si="0"/>
        <v>205.83270400000001</v>
      </c>
      <c r="O21" s="119">
        <f t="shared" si="6"/>
        <v>28.535897599999998</v>
      </c>
      <c r="P21" s="120">
        <f t="shared" si="1"/>
        <v>1169.9718015999999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620.05504000000008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620.05504000000008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82.330176000000023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2026-06-29T12:39:52Z</dcterms:modified>
</cp:coreProperties>
</file>