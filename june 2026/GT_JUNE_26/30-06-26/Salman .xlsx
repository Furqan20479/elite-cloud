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99F14A4-BE76-40F3-867E-3B8DC1F08ED3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17" i="15" l="1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K21" i="19" s="1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2" i="15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7"/>
  <c r="O25" i="17" s="1"/>
  <c r="N25" i="17"/>
  <c r="P32" i="17" s="1"/>
  <c r="O16" i="16"/>
  <c r="O16" i="18" l="1"/>
  <c r="O25" i="18" s="1"/>
  <c r="N20" i="15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16" i="18"/>
  <c r="P25" i="18" s="1"/>
  <c r="P34" i="18"/>
  <c r="P35" i="18" s="1"/>
  <c r="U17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<sst xmlns="http://schemas.openxmlformats.org/spreadsheetml/2006/main" count="1581" uniqueCount="114">
  <si>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</si>
  <si>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</si>
  <si>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</si>
  <si>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</si>
  <si>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</si>
  <si>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</si>
  <si>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</si>
  <si>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</si>
  <si>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</si>
  <si>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</si>
  <si>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</si>
  <si>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</si>
  <si>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</si>
  <si>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</si>
  <si>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</si>
  <si>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</si>
  <si>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</si>
  <si>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</si>
  <si>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</si>
  <si>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</si>
  <si>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</si>
  <si>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</si>
  <si>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</si>
  <si>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</si>
  <si>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</si>
  <si>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</si>
  <si>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</si>
  <si>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</si>
  <si>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</si>
  <si>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</si>
  <si>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</si>
  <si>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</si>
  <si>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</si>
  <si>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</si>
  <si>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</si>
  <si>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</si>
  <si>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</si>
  <si>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</si>
  <si>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</si>
  <si>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</si>
  <si>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</si>
  <si>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</si>
  <si>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</si>
  <si>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</si>
  <si>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</si>
  <si>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</si>
  <si>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</si>
  <si>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</si>
  <si>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</si>
  <si>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</si>
  <si>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</si>
  <si>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</si>
  <si>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</si>
  <si>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</si>
  <si>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</si>
  <si>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</si>
  <si>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</si>
  <si>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</si>
  <si>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</si>
  <si>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</si>
  <si>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</si>
  <si>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</si>
  <si>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</si>
  <si>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</si>
  <si>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</si>
  <si>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</si>
  <si>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</si>
  <si>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</si>
  <si>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</si>
  <si>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</si>
  <si>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</si>
  <si>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</si>
  <si>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</si>
  <si>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</si>
  <si>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</si>
  <si>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</si>
  <si>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</si>
  <si>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</si>
  <si>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</si>
  <si>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</si>
  <si>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</si>
  <si>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</si>
  <si>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</si>
  <si>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</si>
  <si>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</si>
  <si>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</si>
  <si>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</si>
  <si>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</si>
  <si>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</si>
  <si>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</si>
  <si>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</si>
  <si>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</si>
  <si>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</si>
  <si>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</si>
  <si>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</si>
  <si>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</si>
  <si>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</si>
  <si>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</si>
  <si>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</si>
  <si>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</si>
  <si>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</si>
  <si>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</si>
  <si>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</si>
  <si>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</si>
  <si>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</si>
  <si>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</si>
  <si>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 xml:space="preserve">Salman </t>
  </si>
  <si>
    <t>Shop Bill Summary (salman)</t>
  </si>
  <si>
    <t>Customer Name : Express Store</t>
  </si>
  <si>
    <t>Address: Gopal Nager</t>
  </si>
  <si>
    <t>Customer Name : Sanwal GS</t>
  </si>
  <si>
    <t>Customer Name : Quality Store</t>
  </si>
  <si>
    <t xml:space="preserve">Customer Name : Kashmir Bakers </t>
  </si>
  <si>
    <t>Customer Name : Rehman 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</si>
</sst>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6" zoomScale="70" zoomScaleNormal="70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107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Express Store</v>
      </c>
      <c r="U14" s="164">
        <f>+'1'!P35</f>
        <v>2390.3320994999999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Sanwal GS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30</v>
      </c>
      <c r="I16" s="1">
        <f>(G16*D16)*F16+H16*F16</f>
        <v>1573.875</v>
      </c>
      <c r="J16" s="172">
        <f>+'1'!J16+'2'!J16+'4'!J16+'3'!J16+'5'!J16+'6'!J16+'7'!J16+'8'!J16+'9'!J16+'10'!J16+'11'!J16+'12'!J16+'13'!J16+'14'!J16+'15'!J16+'16'!J16+'17'!J16+'18'!J16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125.91</v>
      </c>
      <c r="M16" s="106">
        <f>I16-K16-L16</f>
        <v>1447.9649999999999</v>
      </c>
      <c r="N16" s="101">
        <f>+'1'!N16+'2'!N16+'4'!N16+'3'!N16+'5'!N16+'6'!N16+'7'!N16+'8'!N16+'9'!N16+'10'!N16</f>
        <v>330.09405000000004</v>
      </c>
      <c r="O16" s="101">
        <f>+'1'!O16+'2'!O16+'4'!O16+'3'!O16+'5'!O16+'6'!O16+'7'!O16+'8'!O16+'9'!O16+'10'!O16</f>
        <v>8.8902952499999994</v>
      </c>
      <c r="P16" s="105">
        <f t="shared" ref="P16:P24" si="0">M16+N16+O16</f>
        <v>1786.9493452499999</v>
      </c>
      <c r="Q16" s="108"/>
      <c r="T16" s="163" t="str">
        <f>+'3'!A5</f>
        <v>Customer Name : Quality Store</v>
      </c>
      <c r="U16" s="164">
        <f>+'3'!P35</f>
        <v>1687.7686080000001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30</v>
      </c>
      <c r="I17" s="1">
        <f t="shared" ref="I17:I23" si="1">(G17*D17)*F17+H17*F17</f>
        <v>1573.875</v>
      </c>
      <c r="J17" s="172">
        <f>+'1'!J17+'2'!J17+'4'!J17+'3'!J17+'5'!J17+'6'!J17+'7'!J17+'8'!J17+'9'!J17+'10'!J17+'11'!J17+'12'!J17+'13'!J17+'14'!J17+'15'!J17+'16'!J17+'17'!J17+'18'!J17</f>
        <v>2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125.91</v>
      </c>
      <c r="M17" s="118">
        <f t="shared" ref="M17:M23" si="2">I17-K17-L17</f>
        <v>1447.9649999999999</v>
      </c>
      <c r="N17" s="101">
        <f>+'1'!N17+'2'!N17+'4'!N17+'3'!N17+'5'!N17+'6'!N17+'7'!N17+'8'!N17+'9'!N17+'10'!N17</f>
        <v>341.63580000000002</v>
      </c>
      <c r="O17" s="101">
        <f>+'1'!O17+'2'!O17+'4'!O17+'3'!O17+'5'!O17+'6'!O17+'7'!O17+'8'!O17+'9'!O17+'10'!O17</f>
        <v>8.948004000000001</v>
      </c>
      <c r="P17" s="120">
        <f t="shared" si="0"/>
        <v>1798.548804</v>
      </c>
      <c r="S17" s="64"/>
      <c r="T17" s="163" t="str">
        <f>+'4'!A5</f>
        <v xml:space="preserve">Customer Name : Kashmir Bakers </v>
      </c>
      <c r="U17" s="164">
        <f>+'4'!P35</f>
        <v>3685.4512081500002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Rehman GS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10</v>
      </c>
      <c r="I19" s="1">
        <f t="shared" si="1"/>
        <v>726.4</v>
      </c>
      <c r="J19" s="172">
        <f>+'1'!J19+'2'!J19+'4'!J19+'3'!J19+'5'!J19+'6'!J19+'7'!J19+'8'!J19+'9'!J19+'10'!J19+'11'!J19+'12'!J19+'13'!J19+'14'!J19+'15'!J19+'16'!J19+'17'!J19+'18'!J19</f>
        <v>1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58.112000000000002</v>
      </c>
      <c r="M19" s="118">
        <f t="shared" si="2"/>
        <v>668.28800000000001</v>
      </c>
      <c r="N19" s="101">
        <f>+'1'!N19+'2'!N19+'4'!N19+'3'!N19+'5'!N19+'6'!N19+'7'!N19+'8'!N19+'9'!N19+'10'!N19</f>
        <v>163.00415999999998</v>
      </c>
      <c r="O19" s="101">
        <f>+'1'!O19+'2'!O19+'4'!O19+'3'!O19+'5'!O19+'6'!O19+'7'!O19+'8'!O19+'9'!O19+'10'!O19</f>
        <v>4.1564607999999996</v>
      </c>
      <c r="P19" s="120">
        <f t="shared" si="0"/>
        <v>835.44862079999996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10</v>
      </c>
      <c r="I20" s="1">
        <f t="shared" si="1"/>
        <v>726.4</v>
      </c>
      <c r="J20" s="172">
        <f>+'1'!J20+'2'!J20+'4'!J20+'3'!J20+'5'!J20+'6'!J20+'7'!J20+'8'!J20+'9'!J20+'10'!J20+'11'!J20+'12'!J20+'13'!J20+'14'!J20+'15'!J20+'16'!J20+'17'!J20+'18'!J20</f>
        <v>1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58.112000000000002</v>
      </c>
      <c r="M20" s="118">
        <f t="shared" si="2"/>
        <v>668.28800000000001</v>
      </c>
      <c r="N20" s="101">
        <f>+'1'!N20+'2'!N20+'4'!N20+'3'!N20+'5'!N20+'6'!N20+'7'!N20+'8'!N20+'9'!N20+'10'!N20</f>
        <v>163.00415999999998</v>
      </c>
      <c r="O20" s="101">
        <f>+'1'!O20+'2'!O20+'4'!O20+'3'!O20+'5'!O20+'6'!O20+'7'!O20+'8'!O20+'9'!O20+'10'!O20</f>
        <v>4.1564607999999996</v>
      </c>
      <c r="P20" s="120">
        <f t="shared" si="0"/>
        <v>835.44862079999996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30</v>
      </c>
      <c r="I21" s="1">
        <f t="shared" si="1"/>
        <v>2179.1999999999998</v>
      </c>
      <c r="J21" s="172">
        <f>+'1'!J21+'2'!J21+'4'!J21+'3'!J21+'5'!J21+'6'!J21+'7'!J21+'8'!J21+'9'!J21+'10'!J21+'11'!J21+'12'!J21+'13'!J21+'14'!J21+'15'!J21+'16'!J21+'17'!J21+'18'!J21</f>
        <v>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174.33600000000001</v>
      </c>
      <c r="M21" s="118">
        <f t="shared" si="2"/>
        <v>2004.8639999999998</v>
      </c>
      <c r="N21" s="101">
        <f>+'1'!N21+'2'!N21+'4'!N21+'3'!N21+'5'!N21+'6'!N21+'7'!N21+'8'!N21+'9'!N21+'10'!N21</f>
        <v>457.05088000000001</v>
      </c>
      <c r="O21" s="101">
        <f>+'1'!O21+'2'!O21+'4'!O21+'3'!O21+'5'!O21+'6'!O21+'7'!O21+'8'!O21+'9'!O21+'10'!O21</f>
        <v>45.241644800000003</v>
      </c>
      <c r="P21" s="120">
        <f t="shared" si="0"/>
        <v>2507.1565247999997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2.75</v>
      </c>
      <c r="D25" s="221"/>
      <c r="E25" s="221"/>
      <c r="F25" s="221"/>
      <c r="G25" s="176">
        <f t="shared" ref="G25:M25" si="3">SUM(G16:G24)</f>
        <v>0</v>
      </c>
      <c r="H25" s="177">
        <f t="shared" si="3"/>
        <v>110</v>
      </c>
      <c r="I25" s="178">
        <f t="shared" si="3"/>
        <v>6779.75</v>
      </c>
      <c r="J25" s="177">
        <f t="shared" si="3"/>
        <v>6</v>
      </c>
      <c r="K25" s="178">
        <f t="shared" si="3"/>
        <v>0</v>
      </c>
      <c r="L25" s="179">
        <f t="shared" si="3"/>
        <v>542.38000000000011</v>
      </c>
      <c r="M25" s="141">
        <f t="shared" si="3"/>
        <v>6237.369999999999</v>
      </c>
      <c r="N25" s="142">
        <f>SUM(N16:N24)</f>
        <v>1454.7890499999999</v>
      </c>
      <c r="O25" s="143">
        <f>SUM(O16:O24)</f>
        <v>71.392865650000005</v>
      </c>
      <c r="P25" s="144">
        <f>SUM(P16:P24)</f>
        <v>7763.5519156499995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7763.5519156499995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6779.75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542.38000000000011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6237.37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1454.7890499999999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7692.1590500000002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192.30397625000001</v>
      </c>
    </row>
    <row r="39" spans="2:16" ht="15.75" customHeight="1" thickBot="1" x14ac:dyDescent="0.4">
      <c r="N39" s="219" t="s">
        <v>92</v>
      </c>
      <c r="O39" s="220"/>
      <c r="P39" s="160">
        <f>P37+P38</f>
        <v>7884.4630262500004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7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108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3520123465409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>
        <v>1</v>
      </c>
      <c r="K16" s="104">
        <f>I16*$K$13</f>
        <v>0</v>
      </c>
      <c r="L16" s="105">
        <f>I16*8%</f>
        <v>83.94</v>
      </c>
      <c r="M16" s="106">
        <f>I16-K16-L16</f>
        <v>965.31</v>
      </c>
      <c r="N16" s="106">
        <f t="shared" ref="N16:N24" si="0">(M16*$N$15)+(J16*F16)*$N$15</f>
        <v>223.90995000000001</v>
      </c>
      <c r="O16" s="107">
        <f t="shared" ref="O16:O24" si="1">(N16+M16)*$O$15</f>
        <v>5.9460997500000001</v>
      </c>
      <c r="P16" s="105">
        <f t="shared" ref="P16:P24" si="2">M16+N16+O16</f>
        <v>1195.16604975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3">(G17*D17)*F17+H17*F17</f>
        <v>1049.25</v>
      </c>
      <c r="J17" s="117">
        <v>1</v>
      </c>
      <c r="K17" s="1">
        <f t="shared" ref="K17:K21" si="4">I17*$K$13</f>
        <v>0</v>
      </c>
      <c r="L17" s="105">
        <f t="shared" ref="L17:L21" si="5">I17*8%</f>
        <v>83.94</v>
      </c>
      <c r="M17" s="118">
        <f t="shared" ref="M17:M23" si="6">I17-K17-L17</f>
        <v>965.31</v>
      </c>
      <c r="N17" s="118">
        <f t="shared" si="0"/>
        <v>223.90995000000001</v>
      </c>
      <c r="O17" s="119">
        <f t="shared" si="1"/>
        <v>5.9460997500000001</v>
      </c>
      <c r="P17" s="120">
        <f t="shared" si="2"/>
        <v>1195.16604975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447.81990000000002</v>
      </c>
      <c r="O25" s="143">
        <f>SUM(O16:O24)</f>
        <v>11.8921995</v>
      </c>
      <c r="P25" s="144">
        <f>SUM(P16:P24)</f>
        <v>2390.3320994999999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2098.5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167.88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1930.62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447.81990000000002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2378.4398999999999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11.8921995</v>
      </c>
    </row>
    <row r="35" spans="2:16" ht="15.75" customHeight="1" thickBot="1" x14ac:dyDescent="0.4">
      <c r="N35" s="219" t="s">
        <v>92</v>
      </c>
      <c r="O35" s="220"/>
      <c r="P35" s="160">
        <f>P33+P34</f>
        <v>2390.3320994999999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6" workbookViewId="0">
      <selection activeCell="J16" sqref="J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110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3530232820806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3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41.165088000000004</v>
      </c>
      <c r="P21" s="120">
        <f t="shared" si="1"/>
        <v>1687.7686080000001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116.224</v>
      </c>
      <c r="M25" s="141">
        <f t="shared" si="9"/>
        <v>1336.576</v>
      </c>
      <c r="N25" s="142">
        <f>SUM(N16:N24)</f>
        <v>310.02751999999998</v>
      </c>
      <c r="O25" s="143">
        <f>SUM(O16:O24)</f>
        <v>41.165088000000004</v>
      </c>
      <c r="P25" s="144">
        <f>SUM(P16:P24)</f>
        <v>1687.7686080000001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1452.8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116.224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1336.576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1646.6035200000001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41.165088000000004</v>
      </c>
    </row>
    <row r="35" spans="2:16" ht="15.75" customHeight="1" thickBot="1" x14ac:dyDescent="0.4">
      <c r="N35" s="219" t="s">
        <v>92</v>
      </c>
      <c r="O35" s="220"/>
      <c r="P35" s="160">
        <f>P33+P34</f>
        <v>1687.7686080000001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3420103553549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I16*$K$13</f>
        <v>0</v>
      </c>
      <c r="L16" s="105">
        <f>I16*8%</f>
        <v>41.97</v>
      </c>
      <c r="M16" s="106">
        <f>I16-K16-L16</f>
        <v>482.65499999999997</v>
      </c>
      <c r="N16" s="106">
        <f t="shared" ref="N16:N24" si="0">(M16*$N$15)+(J16*F16)*$N$15</f>
        <v>106.1841</v>
      </c>
      <c r="O16" s="107">
        <f>(N16+M16)*$O$15</f>
        <v>2.9441954999999997</v>
      </c>
      <c r="P16" s="105">
        <f t="shared" ref="P16:P24" si="1">M16+N16+O16</f>
        <v>591.78329549999989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1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117.72585000000001</v>
      </c>
      <c r="O17" s="119">
        <f t="shared" ref="O17:O24" si="6">(N17+M17)*$O$15</f>
        <v>3.0019042499999999</v>
      </c>
      <c r="P17" s="120">
        <f t="shared" si="1"/>
        <v>603.38275425000006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>
        <v>1</v>
      </c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163.00415999999998</v>
      </c>
      <c r="O19" s="119">
        <f t="shared" si="6"/>
        <v>4.1564607999999996</v>
      </c>
      <c r="P19" s="120">
        <f t="shared" si="1"/>
        <v>835.44862079999996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1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163.00415999999998</v>
      </c>
      <c r="O20" s="119">
        <f t="shared" si="6"/>
        <v>4.1564607999999996</v>
      </c>
      <c r="P20" s="120">
        <f t="shared" si="1"/>
        <v>835.44862079999996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50</v>
      </c>
      <c r="I25" s="137">
        <f t="shared" si="9"/>
        <v>3228.4500000000003</v>
      </c>
      <c r="J25" s="138"/>
      <c r="K25" s="139">
        <f t="shared" si="9"/>
        <v>0</v>
      </c>
      <c r="L25" s="140">
        <f t="shared" si="9"/>
        <v>258.27600000000001</v>
      </c>
      <c r="M25" s="141">
        <f t="shared" si="9"/>
        <v>2970.174</v>
      </c>
      <c r="N25" s="142">
        <f>SUM(N16:N24)</f>
        <v>696.94163000000003</v>
      </c>
      <c r="O25" s="143">
        <f>SUM(O16:O24)</f>
        <v>18.33557815</v>
      </c>
      <c r="P25" s="144">
        <f>SUM(P16:P24)</f>
        <v>3685.4512081499997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3228.4500000000003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258.27600000000001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2970.1740000000004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696.94163000000003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3667.1156300000002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18.33557815</v>
      </c>
    </row>
    <row r="35" spans="2:16" ht="15.75" customHeight="1" thickBot="1" x14ac:dyDescent="0.4">
      <c r="N35" s="219" t="s">
        <v>92</v>
      </c>
      <c r="O35" s="220"/>
      <c r="P35" s="160">
        <f>P33+P34</f>
        <v>3685.4512081500002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113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109</v>
      </c>
      <c r="B6" s="201"/>
      <c r="C6" s="201"/>
      <c r="F6" s="70"/>
      <c r="G6" s="74"/>
      <c r="K6" s="201" t="s">
        <v>52</v>
      </c>
      <c r="L6" s="201"/>
      <c r="M6" s="201"/>
      <c r="N6" s="203" t="s">
        <v>98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35202031216927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46203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46202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2026-06-30T13:01:10Z</dcterms:modified>
</cp:coreProperties>
</file>