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6D09FAA-B61A-471D-AC5B-441444CA8EE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34" i="15" l="1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K19" i="28" s="1"/>
  <c r="I20" i="28"/>
  <c r="I21" i="28"/>
  <c r="I22" i="28"/>
  <c r="I23" i="28"/>
  <c r="L23" i="28" s="1"/>
  <c r="I24" i="28"/>
  <c r="I22" i="32"/>
  <c r="I18" i="33"/>
  <c r="K18" i="33" s="1"/>
  <c r="I20" i="33"/>
  <c r="K20" i="33" s="1"/>
  <c r="I16" i="30"/>
  <c r="I17" i="30"/>
  <c r="I18" i="30"/>
  <c r="I19" i="30"/>
  <c r="I25" i="30" s="1"/>
  <c r="P28" i="30" s="1"/>
  <c r="I20" i="30"/>
  <c r="I21" i="30"/>
  <c r="I22" i="30"/>
  <c r="I23" i="30"/>
  <c r="L23" i="30" s="1"/>
  <c r="I24" i="30"/>
  <c r="I16" i="32"/>
  <c r="I17" i="32"/>
  <c r="I18" i="32"/>
  <c r="I25" i="32" s="1"/>
  <c r="P28" i="32" s="1"/>
  <c r="I19" i="32"/>
  <c r="I20" i="32"/>
  <c r="I21" i="32"/>
  <c r="I16" i="33"/>
  <c r="L16" i="33" s="1"/>
  <c r="I16" i="31"/>
  <c r="I17" i="31"/>
  <c r="I18" i="31"/>
  <c r="I19" i="31"/>
  <c r="K19" i="31" s="1"/>
  <c r="I20" i="31"/>
  <c r="I21" i="31"/>
  <c r="I22" i="31"/>
  <c r="K22" i="31" s="1"/>
  <c r="I23" i="31"/>
  <c r="K23" i="31" s="1"/>
  <c r="I24" i="31"/>
  <c r="I23" i="32"/>
  <c r="I22" i="33"/>
  <c r="L22" i="33" s="1"/>
  <c r="I16" i="34"/>
  <c r="I17" i="34"/>
  <c r="I18" i="34"/>
  <c r="I19" i="34"/>
  <c r="I20" i="34"/>
  <c r="K20" i="34" s="1"/>
  <c r="I21" i="34"/>
  <c r="I22" i="34"/>
  <c r="I23" i="34"/>
  <c r="I24" i="34"/>
  <c r="L24" i="34" s="1"/>
  <c r="I16" i="29"/>
  <c r="I17" i="29"/>
  <c r="I18" i="29"/>
  <c r="I19" i="29"/>
  <c r="K19" i="29" s="1"/>
  <c r="I20" i="29"/>
  <c r="I21" i="29"/>
  <c r="I22" i="29"/>
  <c r="K22" i="29" s="1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19" i="34"/>
  <c r="L19" i="34"/>
  <c r="K21" i="34"/>
  <c r="L21" i="34"/>
  <c r="K22" i="34"/>
  <c r="L22" i="34"/>
  <c r="K23" i="34"/>
  <c r="M23" i="34" s="1"/>
  <c r="L23" i="34"/>
  <c r="K21" i="33"/>
  <c r="L21" i="33"/>
  <c r="K19" i="33"/>
  <c r="L19" i="33"/>
  <c r="K23" i="33"/>
  <c r="K24" i="33"/>
  <c r="L24" i="33"/>
  <c r="M17" i="33"/>
  <c r="M18" i="33"/>
  <c r="K24" i="32"/>
  <c r="M24" i="32" s="1"/>
  <c r="L24" i="32"/>
  <c r="K16" i="32"/>
  <c r="L16" i="32"/>
  <c r="K17" i="32"/>
  <c r="L17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M24" i="31" s="1"/>
  <c r="K16" i="31"/>
  <c r="L16" i="31"/>
  <c r="K18" i="31"/>
  <c r="L18" i="31"/>
  <c r="K20" i="31"/>
  <c r="L20" i="31"/>
  <c r="K18" i="30"/>
  <c r="L18" i="30"/>
  <c r="K20" i="30"/>
  <c r="L20" i="30"/>
  <c r="K21" i="30"/>
  <c r="L21" i="30"/>
  <c r="M21" i="30" s="1"/>
  <c r="K23" i="30"/>
  <c r="K16" i="30"/>
  <c r="L16" i="30"/>
  <c r="K17" i="30"/>
  <c r="L17" i="30"/>
  <c r="L19" i="30"/>
  <c r="K22" i="30"/>
  <c r="L22" i="30"/>
  <c r="K24" i="30"/>
  <c r="L24" i="30"/>
  <c r="K16" i="29"/>
  <c r="L16" i="29"/>
  <c r="K21" i="29"/>
  <c r="L21" i="29"/>
  <c r="K24" i="29"/>
  <c r="L24" i="29"/>
  <c r="M24" i="29" s="1"/>
  <c r="K17" i="29"/>
  <c r="L17" i="29"/>
  <c r="K20" i="29"/>
  <c r="L20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L19" i="28"/>
  <c r="K20" i="28"/>
  <c r="L20" i="28"/>
  <c r="K21" i="28"/>
  <c r="L21" i="28"/>
  <c r="K22" i="28"/>
  <c r="L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4" i="30"/>
  <c r="N24" i="30" s="1"/>
  <c r="O24" i="30" s="1"/>
  <c r="P24" i="30" s="1"/>
  <c r="K19" i="30"/>
  <c r="K18" i="32"/>
  <c r="K16" i="33"/>
  <c r="M24" i="33"/>
  <c r="N24" i="33" s="1"/>
  <c r="O24" i="33" s="1"/>
  <c r="K24" i="34"/>
  <c r="M24" i="34" s="1"/>
  <c r="L20" i="34"/>
  <c r="M21" i="35"/>
  <c r="M22" i="29"/>
  <c r="N22" i="29" s="1"/>
  <c r="O22" i="29" s="1"/>
  <c r="M23" i="30"/>
  <c r="I25" i="34"/>
  <c r="P28" i="34" s="1"/>
  <c r="M24" i="28"/>
  <c r="L20" i="33"/>
  <c r="M20" i="33" s="1"/>
  <c r="N20" i="33" s="1"/>
  <c r="O20" i="33" s="1"/>
  <c r="M24" i="35"/>
  <c r="L23" i="31"/>
  <c r="L19" i="31"/>
  <c r="M23" i="35"/>
  <c r="N23" i="35" s="1"/>
  <c r="O23" i="35" s="1"/>
  <c r="K22" i="33"/>
  <c r="M22" i="33" s="1"/>
  <c r="M22" i="31"/>
  <c r="M23" i="33"/>
  <c r="N23" i="33" s="1"/>
  <c r="O23" i="33" s="1"/>
  <c r="I16" i="26"/>
  <c r="L16" i="26" s="1"/>
  <c r="I17" i="26"/>
  <c r="I18" i="26"/>
  <c r="K18" i="26" s="1"/>
  <c r="I19" i="26"/>
  <c r="I20" i="26"/>
  <c r="L20" i="26" s="1"/>
  <c r="I21" i="26"/>
  <c r="L21" i="26" s="1"/>
  <c r="I22" i="26"/>
  <c r="K22" i="26" s="1"/>
  <c r="I23" i="26"/>
  <c r="L23" i="26" s="1"/>
  <c r="I24" i="26"/>
  <c r="K24" i="26" s="1"/>
  <c r="I21" i="27"/>
  <c r="I25" i="27" s="1"/>
  <c r="P28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19" i="35"/>
  <c r="O19" i="35" s="1"/>
  <c r="L25" i="35"/>
  <c r="P29" i="35" s="1"/>
  <c r="M16" i="35"/>
  <c r="L25" i="34"/>
  <c r="P29" i="34" s="1"/>
  <c r="N23" i="34"/>
  <c r="O23" i="34" s="1"/>
  <c r="P23" i="34" s="1"/>
  <c r="N19" i="34"/>
  <c r="O19" i="34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K17" i="27"/>
  <c r="L17" i="27"/>
  <c r="K20" i="27"/>
  <c r="L20" i="27"/>
  <c r="K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18" i="26"/>
  <c r="K20" i="26"/>
  <c r="K21" i="26"/>
  <c r="K16" i="26"/>
  <c r="T23" i="15"/>
  <c r="T22" i="15"/>
  <c r="T21" i="15"/>
  <c r="T20" i="15"/>
  <c r="T19" i="15"/>
  <c r="T18" i="15"/>
  <c r="T15" i="15"/>
  <c r="T14" i="15"/>
  <c r="N24" i="34" l="1"/>
  <c r="O24" i="34" s="1"/>
  <c r="L24" i="26"/>
  <c r="M24" i="26" s="1"/>
  <c r="N24" i="26" s="1"/>
  <c r="O24" i="26" s="1"/>
  <c r="L21" i="27"/>
  <c r="M21" i="27" s="1"/>
  <c r="N21" i="27" s="1"/>
  <c r="K25" i="34"/>
  <c r="P30" i="34" s="1"/>
  <c r="L25" i="33"/>
  <c r="P29" i="33" s="1"/>
  <c r="L22" i="26"/>
  <c r="L25" i="26" s="1"/>
  <c r="P29" i="26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K25" i="27"/>
  <c r="P30" i="27" s="1"/>
  <c r="N20" i="26"/>
  <c r="O20" i="26" s="1"/>
  <c r="M16" i="26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I16" i="22"/>
  <c r="I17" i="22"/>
  <c r="I18" i="22"/>
  <c r="L18" i="22" s="1"/>
  <c r="I19" i="22"/>
  <c r="I20" i="22"/>
  <c r="I21" i="22"/>
  <c r="I22" i="22"/>
  <c r="L22" i="22" s="1"/>
  <c r="P24" i="34"/>
  <c r="I16" i="25"/>
  <c r="K16" i="25" s="1"/>
  <c r="I17" i="25"/>
  <c r="L17" i="25" s="1"/>
  <c r="I18" i="25"/>
  <c r="K18" i="25" s="1"/>
  <c r="I19" i="25"/>
  <c r="I20" i="25"/>
  <c r="L20" i="25" s="1"/>
  <c r="I22" i="25"/>
  <c r="K22" i="25" s="1"/>
  <c r="I23" i="25"/>
  <c r="L23" i="25" s="1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16" i="25"/>
  <c r="K24" i="25"/>
  <c r="L22" i="25"/>
  <c r="K17" i="25"/>
  <c r="K23" i="25"/>
  <c r="K21" i="24"/>
  <c r="L23" i="24"/>
  <c r="K23" i="24"/>
  <c r="L23" i="23"/>
  <c r="K23" i="23"/>
  <c r="K16" i="22"/>
  <c r="L16" i="22"/>
  <c r="K18" i="22"/>
  <c r="K20" i="22"/>
  <c r="L20" i="22"/>
  <c r="K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2" i="19"/>
  <c r="L21" i="19"/>
  <c r="K21" i="19"/>
  <c r="L21" i="18"/>
  <c r="K21" i="18"/>
  <c r="K22" i="18"/>
  <c r="M22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K24" i="18"/>
  <c r="M24" i="18" s="1"/>
  <c r="I25" i="25"/>
  <c r="P28" i="25" s="1"/>
  <c r="K17" i="24"/>
  <c r="M17" i="24" s="1"/>
  <c r="N17" i="24" s="1"/>
  <c r="O17" i="24" s="1"/>
  <c r="K17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M19" i="25" s="1"/>
  <c r="N19" i="25" s="1"/>
  <c r="O19" i="25" s="1"/>
  <c r="L19" i="25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L25" i="25" l="1"/>
  <c r="P29" i="25" s="1"/>
  <c r="L21" i="15"/>
  <c r="K25" i="25"/>
  <c r="P30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6" l="1"/>
  <c r="N24" i="16" s="1"/>
  <c r="M22" i="15"/>
  <c r="M16" i="15"/>
  <c r="P19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<sst xmlns="http://schemas.openxmlformats.org/spreadsheetml/2006/main" count="1590" uniqueCount="136">
  <si>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</si>
  <si>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</si>
  <si>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</si>
  <si>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</si>
  <si>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</si>
  <si>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</si>
  <si>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</si>
  <si>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</si>
  <si>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</si>
  <si>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</si>
  <si>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</si>
  <si>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</si>
  <si>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</si>
  <si>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</si>
  <si>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</si>
  <si>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</si>
  <si>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</si>
  <si>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</si>
  <si>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</si>
  <si>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</si>
  <si>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</si>
  <si>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</si>
  <si>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</si>
  <si>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</si>
  <si>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</si>
  <si>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</si>
  <si>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</si>
  <si>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</si>
  <si>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</si>
  <si>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</si>
  <si>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</si>
  <si>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</si>
  <si>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</si>
  <si>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</si>
  <si>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</si>
  <si>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</si>
  <si>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</si>
  <si>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</si>
  <si>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</si>
  <si>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</si>
  <si>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</si>
  <si>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</si>
  <si>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</si>
  <si>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</si>
  <si>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</si>
  <si>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</si>
  <si>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</si>
  <si>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</si>
  <si>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</si>
  <si>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</si>
  <si>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</si>
  <si>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</si>
  <si>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</si>
  <si>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</si>
  <si>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</si>
  <si>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</si>
  <si>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</si>
  <si>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</si>
  <si>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</si>
  <si>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</si>
  <si>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</si>
  <si>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</si>
  <si>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</si>
  <si>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</si>
  <si>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</si>
  <si>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</si>
  <si>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</si>
  <si>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</si>
  <si>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</si>
  <si>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</si>
  <si>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</si>
  <si>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</si>
  <si>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</si>
  <si>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</si>
  <si>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</si>
  <si>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</si>
  <si>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</si>
  <si>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</si>
  <si>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</si>
  <si>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</si>
  <si>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</si>
  <si>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</si>
  <si>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</si>
  <si>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</si>
  <si>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</si>
  <si>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</si>
  <si>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</si>
  <si>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</si>
  <si>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</si>
  <si>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</si>
  <si>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</si>
  <si>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</si>
  <si>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</si>
  <si>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</si>
  <si>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</si>
  <si>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</si>
  <si>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</si>
  <si>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</si>
  <si>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</si>
  <si>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</si>
  <si>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</si>
  <si>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Umair Rehman</t>
  </si>
  <si>
    <t>Umer Nawaz</t>
  </si>
  <si>
    <t xml:space="preserve">Zeshan </t>
  </si>
  <si>
    <t>Shop Bill Summary (Zeshan)</t>
  </si>
  <si>
    <t>Customer Name : Defaence store</t>
  </si>
  <si>
    <t>Address: DHA</t>
  </si>
  <si>
    <t>1665437-6</t>
  </si>
  <si>
    <t>Customer Name : allys Store</t>
  </si>
  <si>
    <t>0207759-7</t>
  </si>
  <si>
    <t>Customer Name : Shahab Store</t>
  </si>
  <si>
    <t>1737799-4</t>
  </si>
  <si>
    <t>Customer Name : MS Store</t>
  </si>
  <si>
    <t>Customer Name : Besta Store</t>
  </si>
  <si>
    <t>247279-4</t>
  </si>
  <si>
    <t>Customer Name : Hadi Store</t>
  </si>
  <si>
    <t>Customer Name : Bilal Store</t>
  </si>
  <si>
    <t xml:space="preserve">Address: H Block </t>
  </si>
  <si>
    <t xml:space="preserve">Address: DHA M Block </t>
  </si>
  <si>
    <t>Customer Name : Usman Store</t>
  </si>
  <si>
    <t xml:space="preserve">Address: M Blocj </t>
  </si>
  <si>
    <t>Customer Name : Hafiz Store</t>
  </si>
  <si>
    <t xml:space="preserve">Address: N block </t>
  </si>
  <si>
    <t>896065059-6</t>
  </si>
  <si>
    <t>Customer Name : Bravo  Store</t>
  </si>
  <si>
    <t>A276821-8</t>
  </si>
  <si>
    <t>Customer Name : My choice Store</t>
  </si>
  <si>
    <t>Customer Name : Pakisatan Store</t>
  </si>
  <si>
    <t>Customer Name : Maharaja Store</t>
  </si>
  <si>
    <t>Customer Name : Adnan Store</t>
  </si>
  <si>
    <t>Customer Name : Abdul Ghani Store</t>
  </si>
  <si>
    <t>Customer Name : MHT Store</t>
  </si>
  <si>
    <t xml:space="preserve">Customer Name : KS Mart </t>
  </si>
  <si>
    <t xml:space="preserve">Customer Name : Hafiz Azmat </t>
  </si>
  <si>
    <t>Customer Name : Paradise Store</t>
  </si>
  <si>
    <t>101555-7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</si>
</sst>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20" sqref="J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  <c r="B14" t="s">
        <v>101</v>
      </c>
    </row>
    <row r="15" spans="1:2" x14ac:dyDescent="0.35">
      <c r="A15">
        <v>10</v>
      </c>
      <c r="B15" t="s">
        <v>102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20" sqref="J20"/>
      <selection pane="topRight" activeCell="J20" sqref="J20"/>
      <selection pane="bottomLeft" activeCell="J20" sqref="J20"/>
      <selection pane="bottomRight" activeCell="J20" sqref="J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103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Defaence store</v>
      </c>
      <c r="U14" s="164">
        <f>+'1'!P35</f>
        <v>6356.2435824000004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allys Store</v>
      </c>
      <c r="U15" s="164">
        <f>+'2'!P35</f>
        <v>2752.4376496500004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96</v>
      </c>
      <c r="I16" s="1">
        <f>(G16*D16)*F16+H16*F16</f>
        <v>5036.3999999999996</v>
      </c>
      <c r="J16" s="172">
        <f>+'1'!J16+'2'!J16+'4'!J16+'3'!J16+'5'!J16+'6'!J16+'7'!J16+'8'!J16+'9'!J16+'10'!J16+'11'!J16+'12'!J16+'13'!J16+'14'!J16+'15'!J16+'16'!J16+'17'!J16+'18'!J16+'19'!J16+'20'!J16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377.72999999999996</v>
      </c>
      <c r="M16" s="106">
        <f>I16-K16-L16</f>
        <v>4658.67</v>
      </c>
      <c r="N16" s="101">
        <f>+'1'!N16+'2'!N16+'4'!N16+'3'!N16+'5'!N16+'6'!N16+'7'!N16+'8'!N16+'9'!N16+'10'!N16</f>
        <v>829.11734999999999</v>
      </c>
      <c r="O16" s="101">
        <f>+'1'!O16+'2'!O16+'4'!O16+'3'!O16+'5'!O16+'6'!O16+'7'!O16+'8'!O16+'9'!O16+'10'!O16</f>
        <v>25.865061749999995</v>
      </c>
      <c r="P16" s="105">
        <f t="shared" ref="P16:P24" si="0">M16+N16+O16</f>
        <v>5513.6524117500003</v>
      </c>
      <c r="Q16" s="108"/>
      <c r="T16" s="163" t="str">
        <f>+'3'!A5</f>
        <v>Customer Name : Shahab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96</v>
      </c>
      <c r="I17" s="1">
        <f t="shared" ref="I17:I23" si="1">(G17*D17)*F17+H17*F17</f>
        <v>5036.3999999999996</v>
      </c>
      <c r="J17" s="172">
        <f>+'1'!J17+'2'!J17+'4'!J17+'3'!J17+'5'!J17+'6'!J17+'7'!J17+'8'!J17+'9'!J17+'10'!J17+'11'!J17+'12'!J17+'13'!J17+'14'!J17+'15'!J17+'16'!J17+'17'!J17+'18'!J17+'19'!J17+'20'!J17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377.72999999999996</v>
      </c>
      <c r="M17" s="118">
        <f t="shared" ref="M17:M23" si="2">I17-K17-L17</f>
        <v>4658.67</v>
      </c>
      <c r="N17" s="101">
        <f>+'1'!N17+'2'!N17+'4'!N17+'3'!N17+'5'!N17+'6'!N17+'7'!N17+'8'!N17+'9'!N17+'10'!N17</f>
        <v>819.67409999999995</v>
      </c>
      <c r="O17" s="101">
        <f>+'1'!O17+'2'!O17+'4'!O17+'3'!O17+'5'!O17+'6'!O17+'7'!O17+'8'!O17+'9'!O17+'10'!O17</f>
        <v>25.817845499999997</v>
      </c>
      <c r="P17" s="120">
        <f t="shared" si="0"/>
        <v>5504.1619455</v>
      </c>
      <c r="S17" s="64"/>
      <c r="T17" s="163" t="str">
        <f>+'4'!A5</f>
        <v>Customer Name : MS Store</v>
      </c>
      <c r="U17" s="164">
        <f>+'4'!P35</f>
        <v>3375.5372160000002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Besta Store</v>
      </c>
      <c r="U18" s="164">
        <f>+'5'!P35</f>
        <v>2308.5031904999996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81</v>
      </c>
      <c r="I19" s="1">
        <f t="shared" si="1"/>
        <v>5883.84</v>
      </c>
      <c r="J19" s="172">
        <f>+'1'!J19+'2'!J19+'4'!J19+'3'!J19+'5'!J19+'6'!J19+'7'!J19+'8'!J19+'9'!J19+'10'!J19+'11'!J19+'12'!J19+'13'!J19+'14'!J19+'15'!J19+'16'!J19+'17'!J19+'18'!J19+'19'!J19+'20'!J19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383.53919999999999</v>
      </c>
      <c r="M19" s="118">
        <f t="shared" si="2"/>
        <v>5500.3008</v>
      </c>
      <c r="N19" s="101">
        <f>+'1'!N19+'2'!N19+'4'!N19+'3'!N19+'5'!N19+'6'!N19+'7'!N19+'8'!N19+'9'!N19+'10'!N19</f>
        <v>892.13542399999983</v>
      </c>
      <c r="O19" s="101">
        <f>+'1'!O19+'2'!O19+'4'!O19+'3'!O19+'5'!O19+'6'!O19+'7'!O19+'8'!O19+'9'!O19+'10'!O19</f>
        <v>51.612753919999996</v>
      </c>
      <c r="P19" s="120">
        <f t="shared" si="0"/>
        <v>6444.0489779199997</v>
      </c>
      <c r="T19" s="163" t="str">
        <f>+'6'!A5</f>
        <v>Customer Name : Hadi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76</v>
      </c>
      <c r="I20" s="1">
        <f t="shared" si="1"/>
        <v>5520.64</v>
      </c>
      <c r="J20" s="172">
        <f>+'1'!J20+'2'!J20+'4'!J20+'3'!J20+'5'!J20+'6'!J20+'7'!J20+'8'!J20+'9'!J20+'10'!J20+'11'!J20+'12'!J20+'13'!J20+'14'!J20+'15'!J20+'16'!J20+'17'!J20+'18'!J20+'19'!J20+'20'!J20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383.53920000000005</v>
      </c>
      <c r="M20" s="118">
        <f t="shared" si="2"/>
        <v>5137.1008000000002</v>
      </c>
      <c r="N20" s="101">
        <f>+'1'!N20+'2'!N20+'4'!N20+'3'!N20+'5'!N20+'6'!N20+'7'!N20+'8'!N20+'9'!N20+'10'!N20</f>
        <v>886.03366399999993</v>
      </c>
      <c r="O20" s="101">
        <f>+'1'!O20+'2'!O20+'4'!O20+'3'!O20+'5'!O20+'6'!O20+'7'!O20+'8'!O20+'9'!O20+'10'!O20</f>
        <v>42.789899519999999</v>
      </c>
      <c r="P20" s="120">
        <f t="shared" si="0"/>
        <v>6065.92436352</v>
      </c>
      <c r="T20" s="163" t="str">
        <f>+'7'!A5</f>
        <v>Customer Name : Bilal Store</v>
      </c>
      <c r="U20" s="164">
        <f>+'7'!P35</f>
        <v>3196.3721087999998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103</v>
      </c>
      <c r="I21" s="1">
        <f t="shared" si="1"/>
        <v>7481.92</v>
      </c>
      <c r="J21" s="172">
        <f>+'1'!J21+'2'!J21+'4'!J21+'3'!J21+'5'!J21+'6'!J21+'7'!J21+'8'!J21+'9'!J21+'10'!J21+'11'!J21+'12'!J21+'13'!J21+'14'!J21+'15'!J21+'16'!J21+'17'!J21+'18'!J21+'19'!J21+'20'!J21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511.38560000000001</v>
      </c>
      <c r="M21" s="118">
        <f t="shared" si="2"/>
        <v>6970.5344000000005</v>
      </c>
      <c r="N21" s="101">
        <f>+'1'!N21+'2'!N21+'4'!N21+'3'!N21+'5'!N21+'6'!N21+'7'!N21+'8'!N21+'9'!N21+'10'!N21</f>
        <v>1124.8158719999999</v>
      </c>
      <c r="O21" s="101">
        <f>+'1'!O21+'2'!O21+'4'!O21+'3'!O21+'5'!O21+'6'!O21+'7'!O21+'8'!O21+'9'!O21+'10'!O21</f>
        <v>59.488092160000001</v>
      </c>
      <c r="P21" s="120">
        <f t="shared" si="0"/>
        <v>8154.8383641600003</v>
      </c>
      <c r="T21" s="163" t="str">
        <f>+'8'!A5</f>
        <v>Customer Name : Bilal Store</v>
      </c>
      <c r="U21" s="164">
        <f>+'8'!P35</f>
        <v>7207.6118655000009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260</v>
      </c>
      <c r="I22" s="1">
        <f t="shared" si="1"/>
        <v>10199.800000000001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137.30500000000001</v>
      </c>
      <c r="L22" s="175">
        <f>+'1'!L22+'2'!L22+'4'!L22+'3'!L22+'5'!L22+'6'!L22+'7'!L22+'8'!L22+'9'!L22+'10'!L22</f>
        <v>196.15000000000003</v>
      </c>
      <c r="M22" s="118">
        <f t="shared" si="2"/>
        <v>9866.3450000000012</v>
      </c>
      <c r="N22" s="101">
        <f>+'1'!N22+'2'!N22+'4'!N22+'3'!N22+'5'!N22+'6'!N22+'7'!N22+'8'!N22+'9'!N22+'10'!N22</f>
        <v>646.11810000000014</v>
      </c>
      <c r="O22" s="101">
        <f>+'1'!O22+'2'!O22+'4'!O22+'3'!O22+'5'!O22+'6'!O22+'7'!O22+'8'!O22+'9'!O22+'10'!O22</f>
        <v>21.178315500000004</v>
      </c>
      <c r="P22" s="120">
        <f t="shared" si="0"/>
        <v>10533.6414155</v>
      </c>
      <c r="T22" s="163" t="str">
        <f>+'9'!A5</f>
        <v>Customer Name : Usman Store</v>
      </c>
      <c r="U22" s="164">
        <f>+'9'!P35</f>
        <v>7207.6118655000009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Hafiz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Bravo  Store</v>
      </c>
      <c r="U24" s="164">
        <f>+'11'!P35</f>
        <v>5070.1295250000003</v>
      </c>
    </row>
    <row r="25" spans="1:21 16384:16384" ht="26.5" thickBot="1" x14ac:dyDescent="0.65">
      <c r="A25" s="209" t="s">
        <v>84</v>
      </c>
      <c r="B25" s="210"/>
      <c r="C25" s="211">
        <f>H25/40</f>
        <v>17.8</v>
      </c>
      <c r="D25" s="205"/>
      <c r="E25" s="205"/>
      <c r="F25" s="205"/>
      <c r="G25" s="176">
        <f t="shared" ref="G25:M25" si="3">SUM(G16:G24)</f>
        <v>0</v>
      </c>
      <c r="H25" s="177">
        <f t="shared" si="3"/>
        <v>712</v>
      </c>
      <c r="I25" s="178">
        <f t="shared" si="3"/>
        <v>39159</v>
      </c>
      <c r="J25" s="177">
        <f t="shared" si="3"/>
        <v>22</v>
      </c>
      <c r="K25" s="178">
        <f t="shared" si="3"/>
        <v>137.30500000000001</v>
      </c>
      <c r="L25" s="179">
        <f t="shared" si="3"/>
        <v>2230.0740000000001</v>
      </c>
      <c r="M25" s="141">
        <f t="shared" si="3"/>
        <v>36791.620999999999</v>
      </c>
      <c r="N25" s="142">
        <f>SUM(N16:N24)</f>
        <v>5197.8945100000001</v>
      </c>
      <c r="O25" s="143">
        <f>SUM(O16:O24)</f>
        <v>226.75196835</v>
      </c>
      <c r="P25" s="144">
        <f>SUM(P16:P24)</f>
        <v>42216.267478350004</v>
      </c>
      <c r="T25" s="163" t="str">
        <f>+'12'!A5</f>
        <v>Customer Name : My choice Store</v>
      </c>
      <c r="U25" s="164">
        <f>+'12'!P35</f>
        <v>448.87260225000006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Pakisatan Store</v>
      </c>
      <c r="U26" s="164">
        <f>+'13'!P35</f>
        <v>1173.14469525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Maharaja Store</v>
      </c>
      <c r="U27" s="164">
        <f>+'14'!P35</f>
        <v>448.87260225000006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Adnan Store</v>
      </c>
      <c r="U28" s="182">
        <f>+'15'!P35</f>
        <v>448.87260225000006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Abdul Ghani Store</v>
      </c>
      <c r="U29" s="182">
        <f>+'16'!P35</f>
        <v>448.87260225000006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MHT Store</v>
      </c>
      <c r="U30" s="182">
        <f>+'17'!P35</f>
        <v>448.87260225000006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KS Mart </v>
      </c>
      <c r="U31" s="182">
        <f>+'18'!P35</f>
        <v>448.87260225000006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Hafiz Azmat </v>
      </c>
      <c r="U32" s="182">
        <f>+'19'!P35</f>
        <v>448.87260225000006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Paradise Store</v>
      </c>
      <c r="U33" s="182">
        <f>+'20'!P35</f>
        <v>1702.7365662000002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43492.436480549994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39159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2230.0740000000001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137.30500000000001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36791.620999999999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5197.8945100000001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41989.515509999997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1049.73788775</v>
      </c>
    </row>
    <row r="43" spans="1:21" ht="15.75" customHeight="1" thickBot="1" x14ac:dyDescent="0.4">
      <c r="N43" s="203" t="s">
        <v>92</v>
      </c>
      <c r="O43" s="204"/>
      <c r="P43" s="160">
        <f>P41+P42</f>
        <v>43039.253397749999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 t="shared" ref="O16:O24" si="1">(N16+M16)*$O$15</f>
        <v>5.7425452499999992</v>
      </c>
      <c r="P16" s="105">
        <f t="shared" ref="P16:P24" si="2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183.19905</v>
      </c>
      <c r="O17" s="119">
        <f t="shared" si="1"/>
        <v>5.7425452499999992</v>
      </c>
      <c r="P17" s="120">
        <f t="shared" si="2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253.65887999999998</v>
      </c>
      <c r="O20" s="119">
        <f t="shared" si="1"/>
        <v>7.9511744000000002</v>
      </c>
      <c r="P20" s="120">
        <f t="shared" si="2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253.65887999999998</v>
      </c>
      <c r="O21" s="119">
        <f t="shared" si="1"/>
        <v>7.9511744000000002</v>
      </c>
      <c r="P21" s="120">
        <f t="shared" si="2"/>
        <v>1598.1860543999999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6"/>
        <v>717.90900000000011</v>
      </c>
      <c r="N22" s="118">
        <f t="shared" si="0"/>
        <v>129.22362000000001</v>
      </c>
      <c r="O22" s="119">
        <f t="shared" si="1"/>
        <v>4.2356631000000009</v>
      </c>
      <c r="P22" s="120">
        <f t="shared" si="2"/>
        <v>851.3682831000001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27.461000000000006</v>
      </c>
      <c r="L25" s="140">
        <f t="shared" si="9"/>
        <v>439.55799999999999</v>
      </c>
      <c r="M25" s="141">
        <f t="shared" si="9"/>
        <v>5321.6810000000005</v>
      </c>
      <c r="N25" s="142">
        <f>SUM(N16:N24)</f>
        <v>1002.9394799999999</v>
      </c>
      <c r="O25" s="143">
        <f>SUM(O16:O24)</f>
        <v>31.623102399999997</v>
      </c>
      <c r="P25" s="144">
        <f>SUM(P16:P24)</f>
        <v>6356.2435824000004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5788.7000000000007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439.55799999999999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5321.6810000000005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1002.9394799999999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6324.6204800000005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31.623102400000004</v>
      </c>
    </row>
    <row r="35" spans="2:16" ht="15.75" customHeight="1" thickBot="1" x14ac:dyDescent="0.4">
      <c r="N35" s="203" t="s">
        <v>92</v>
      </c>
      <c r="O35" s="204"/>
      <c r="P35" s="160">
        <f>P33+P34</f>
        <v>6356.2435824000004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3520078332863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96.321149999999989</v>
      </c>
      <c r="O16" s="107">
        <f>(N16+M16)*$O$15</f>
        <v>2.89488075</v>
      </c>
      <c r="P16" s="105">
        <f t="shared" ref="P16:P24" si="1">M16+N16+O16</f>
        <v>581.87103074999993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86.877899999999997</v>
      </c>
      <c r="O17" s="119">
        <f t="shared" ref="O17:O24" si="6">(N17+M17)*$O$15</f>
        <v>2.8476644999999996</v>
      </c>
      <c r="P17" s="120">
        <f t="shared" si="1"/>
        <v>572.38056449999988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72.175104000000005</v>
      </c>
      <c r="O19" s="119">
        <f t="shared" si="6"/>
        <v>2.3657395200000004</v>
      </c>
      <c r="P19" s="120">
        <f t="shared" si="1"/>
        <v>475.51364352000002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85.250304</v>
      </c>
      <c r="O20" s="119">
        <f t="shared" si="6"/>
        <v>2.4311155200000001</v>
      </c>
      <c r="P20" s="120">
        <f t="shared" si="1"/>
        <v>488.65421952000003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96.233471999999992</v>
      </c>
      <c r="O21" s="119">
        <f t="shared" si="6"/>
        <v>3.1543193600000001</v>
      </c>
      <c r="P21" s="120">
        <f t="shared" si="1"/>
        <v>634.01819136000006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436.85793000000001</v>
      </c>
      <c r="O25" s="143">
        <f>SUM(O16:O24)</f>
        <v>13.69371965</v>
      </c>
      <c r="P25" s="144">
        <f>SUM(P16:P24)</f>
        <v>2752.4376496499999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2502.0500000000002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200.16399999999999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2301.8860000000004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436.85793000000001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2738.7439300000005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13.693719650000004</v>
      </c>
    </row>
    <row r="35" spans="2:16" ht="15.75" customHeight="1" thickBot="1" x14ac:dyDescent="0.4">
      <c r="N35" s="203" t="s">
        <v>92</v>
      </c>
      <c r="O35" s="204"/>
      <c r="P35" s="160">
        <f>P33+P34</f>
        <v>2752.4376496500004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J18" sqref="J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3277876290427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2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252.49663999999999</v>
      </c>
      <c r="O19" s="119">
        <f t="shared" si="6"/>
        <v>31.373215999999999</v>
      </c>
      <c r="P19" s="120">
        <f t="shared" si="1"/>
        <v>1286.3018559999998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F24" sqref="F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9" t="s">
        <v>114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11.485090499999998</v>
      </c>
      <c r="P25" s="144">
        <f>SUM(P16:P24)</f>
        <v>2308.5031904999996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2297.0180999999998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11.485090499999998</v>
      </c>
    </row>
    <row r="35" spans="2:16" ht="15.75" customHeight="1" thickBot="1" x14ac:dyDescent="0.4">
      <c r="N35" s="203" t="s">
        <v>92</v>
      </c>
      <c r="O35" s="204"/>
      <c r="P35" s="160">
        <f>P33+P34</f>
        <v>2308.5031904999996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5.9143487999999991</v>
      </c>
      <c r="P19" s="120">
        <f t="shared" si="1"/>
        <v>1188.7841087999998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193.51295999999996</v>
      </c>
      <c r="O21" s="119">
        <f t="shared" si="6"/>
        <v>5.9797247999999996</v>
      </c>
      <c r="P21" s="120">
        <f t="shared" si="1"/>
        <v>1201.9246847999998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507.31775999999996</v>
      </c>
      <c r="O25" s="143">
        <f>SUM(O16:O24)</f>
        <v>15.902348799999999</v>
      </c>
      <c r="P25" s="144">
        <f>SUM(P16:P24)</f>
        <v>3196.3721087999993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3180.46976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03" t="s">
        <v>92</v>
      </c>
      <c r="O35" s="204"/>
      <c r="P35" s="160">
        <f>P33+P34</f>
        <v>3196.3721087999998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1132.1630999999998</v>
      </c>
      <c r="O25" s="143">
        <f>SUM(O16:O24)</f>
        <v>35.858765499999997</v>
      </c>
      <c r="P25" s="144">
        <f>SUM(P16:P24)</f>
        <v>7207.6118654999991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6573.3000000000011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478.78800000000007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6039.5900000000011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1132.1630999999998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7171.7531000000008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03" t="s">
        <v>92</v>
      </c>
      <c r="O35" s="204"/>
      <c r="P35" s="160">
        <f>P33+P34</f>
        <v>7207.6118655000009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1132.1630999999998</v>
      </c>
      <c r="O25" s="143">
        <f>SUM(O16:O24)</f>
        <v>35.858765499999997</v>
      </c>
      <c r="P25" s="144">
        <f>SUM(P16:P24)</f>
        <v>7207.6118654999991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6573.3000000000011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478.78800000000007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6039.5900000000011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1132.1630999999998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7171.7531000000008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03" t="s">
        <v>92</v>
      </c>
      <c r="O35" s="204"/>
      <c r="P35" s="160">
        <f>P33+P34</f>
        <v>7207.6118655000009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310.90800000000002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4108.97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5044.9050000000007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03" t="s">
        <v>92</v>
      </c>
      <c r="O35" s="204"/>
      <c r="P35" s="160">
        <f>P33+P34</f>
        <v>5070.1295250000003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8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8.8325864999999997</v>
      </c>
      <c r="P16" s="105">
        <f t="shared" ref="P16:P24" si="1">M16+N16+O16</f>
        <v>362.13604649999996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8.8325864999999997</v>
      </c>
      <c r="P17" s="120">
        <f t="shared" si="1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22</v>
      </c>
      <c r="I25" s="137">
        <f t="shared" si="9"/>
        <v>1021.85</v>
      </c>
      <c r="J25" s="138"/>
      <c r="K25" s="139">
        <f t="shared" si="9"/>
        <v>13.730500000000003</v>
      </c>
      <c r="L25" s="140">
        <f t="shared" si="9"/>
        <v>69.978999999999999</v>
      </c>
      <c r="M25" s="141">
        <f t="shared" si="9"/>
        <v>938.14049999999997</v>
      </c>
      <c r="N25" s="142">
        <f>SUM(N16:N24)</f>
        <v>206.39090999999999</v>
      </c>
      <c r="O25" s="143">
        <f>SUM(O16:O24)</f>
        <v>28.613285250000001</v>
      </c>
      <c r="P25" s="144">
        <f>SUM(P16:P24)</f>
        <v>1173.14469525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1021.85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69.978999999999999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938.14049999999997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206.39090999999999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1144.5314100000001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28.613285250000004</v>
      </c>
    </row>
    <row r="35" spans="2:16" ht="15.75" customHeight="1" thickBot="1" x14ac:dyDescent="0.4">
      <c r="N35" s="203" t="s">
        <v>92</v>
      </c>
      <c r="O35" s="204"/>
      <c r="P35" s="160">
        <f>P33+P34</f>
        <v>1173.14469525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2"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2"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G1" sqref="G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135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3520144391899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1694.2652400000002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03" t="s">
        <v>92</v>
      </c>
      <c r="O35" s="204"/>
      <c r="P35" s="160">
        <f>P33+P34</f>
        <v>1702.7365662000002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2026-07-02T05:42:15Z</dcterms:modified>
</cp:coreProperties>
</file>