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filterPrivacy="1" codeName="ThisWorkbook" defaultThemeVersion="124226"/>
  <xr:revisionPtr revIDLastSave="0" documentId="13_ncr:1_{8B63AF15-8F16-42D7-AE4F-2CFA3E6FD144}" xr6:coauthVersionLast="45" xr6:coauthVersionMax="45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22" i="16" l="1"/>
  <c r="L17" i="16"/>
  <c r="S25" i="15" l="1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M17" i="26" s="1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25" i="35" l="1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C12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K21" i="25"/>
  <c r="L23" i="25"/>
  <c r="K23" i="25"/>
  <c r="L16" i="24"/>
  <c r="K16" i="24"/>
  <c r="L17" i="24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L21" i="21"/>
  <c r="K24" i="20"/>
  <c r="L24" i="20"/>
  <c r="L21" i="20"/>
  <c r="K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O25" i="35" l="1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L20" i="24"/>
  <c r="K19" i="24"/>
  <c r="L24" i="21"/>
  <c r="L17" i="20"/>
  <c r="K17" i="19"/>
  <c r="L16" i="17"/>
  <c r="K20" i="18"/>
  <c r="M20" i="18" s="1"/>
  <c r="L17" i="17"/>
  <c r="L19" i="20"/>
  <c r="K16" i="23"/>
  <c r="L24" i="24"/>
  <c r="L25" i="24" s="1"/>
  <c r="P29" i="24" s="1"/>
  <c r="L18" i="24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M20" i="24"/>
  <c r="M21" i="24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M23" i="24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K18" i="15" s="1"/>
  <c r="I19" i="16"/>
  <c r="L19" i="16" s="1"/>
  <c r="I20" i="16"/>
  <c r="K20" i="16" s="1"/>
  <c r="I21" i="16"/>
  <c r="L21" i="16" s="1"/>
  <c r="L21" i="15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M20" i="23"/>
  <c r="N20" i="23" s="1"/>
  <c r="O20" i="23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20" i="24"/>
  <c r="O20" i="24" s="1"/>
  <c r="N23" i="24"/>
  <c r="O23" i="24" s="1"/>
  <c r="N24" i="24"/>
  <c r="O24" i="24" s="1"/>
  <c r="N17" i="24"/>
  <c r="O17" i="24" s="1"/>
  <c r="N18" i="24"/>
  <c r="O18" i="24" s="1"/>
  <c r="N16" i="24"/>
  <c r="K25" i="24"/>
  <c r="P30" i="24" s="1"/>
  <c r="N21" i="24"/>
  <c r="O21" i="24" s="1"/>
  <c r="N16" i="23"/>
  <c r="N24" i="22"/>
  <c r="O24" i="22" s="1"/>
  <c r="P24" i="22" s="1"/>
  <c r="N18" i="22"/>
  <c r="O18" i="22" s="1"/>
  <c r="L25" i="22"/>
  <c r="P29" i="22" s="1"/>
  <c r="M16" i="22"/>
  <c r="M21" i="21"/>
  <c r="N21" i="21" s="1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N24" i="18"/>
  <c r="O24" i="18" s="1"/>
  <c r="N18" i="18"/>
  <c r="O18" i="18" s="1"/>
  <c r="N22" i="18"/>
  <c r="O22" i="18" s="1"/>
  <c r="N20" i="18"/>
  <c r="O20" i="18" s="1"/>
  <c r="M16" i="17"/>
  <c r="I23" i="15"/>
  <c r="M19" i="18" l="1"/>
  <c r="N19" i="18" s="1"/>
  <c r="O19" i="18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N16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5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M25" i="18"/>
  <c r="P22" i="18"/>
  <c r="P18" i="18"/>
  <c r="P17" i="17"/>
  <c r="N16" i="17"/>
  <c r="P20" i="17"/>
  <c r="P24" i="17"/>
  <c r="P18" i="17"/>
  <c r="P22" i="17"/>
  <c r="M20" i="16"/>
  <c r="N20" i="16" s="1"/>
  <c r="L25" i="16"/>
  <c r="P29" i="16" s="1"/>
  <c r="P31" i="21" l="1"/>
  <c r="P22" i="20"/>
  <c r="P19" i="18"/>
  <c r="P31" i="17"/>
  <c r="M22" i="16"/>
  <c r="N22" i="16" s="1"/>
  <c r="O22" i="16" s="1"/>
  <c r="O22" i="15" s="1"/>
  <c r="M17" i="15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P33" i="17" s="1"/>
  <c r="O16" i="16"/>
  <c r="P24" i="16" l="1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<sst xmlns="http://schemas.openxmlformats.org/spreadsheetml/2006/main" count="1601" uniqueCount="130">
  <si>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</si>
  <si>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</si>
  <si>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</si>
  <si>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</si>
  <si>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</si>
  <si>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</si>
  <si>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</si>
  <si>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</si>
  <si>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</si>
  <si>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</si>
  <si>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</si>
  <si>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</si>
  <si>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</si>
  <si>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</si>
  <si>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</si>
  <si>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</si>
  <si>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</si>
  <si>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</si>
  <si>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</si>
  <si>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</si>
  <si>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</si>
  <si>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</si>
  <si>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</si>
  <si>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</si>
  <si>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</si>
  <si>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</si>
  <si>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</si>
  <si>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</si>
  <si>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</si>
  <si>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</si>
  <si>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</si>
  <si>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</si>
  <si>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</si>
  <si>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</si>
  <si>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</si>
  <si>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</si>
  <si>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</si>
  <si>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</si>
  <si>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</si>
  <si>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</si>
  <si>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</si>
  <si>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</si>
  <si>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</si>
  <si>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</si>
  <si>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</si>
  <si>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</si>
  <si>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</si>
  <si>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</si>
  <si>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</si>
  <si>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</si>
  <si>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</si>
  <si>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</si>
  <si>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</si>
  <si>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</si>
  <si>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</si>
  <si>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</si>
  <si>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</si>
  <si>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</si>
  <si>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</si>
  <si>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</si>
  <si>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</si>
  <si>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</si>
  <si>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</si>
  <si>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</si>
  <si>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</si>
  <si>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</si>
  <si>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</si>
  <si>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</si>
  <si>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</si>
  <si>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</si>
  <si>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</si>
  <si>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</si>
  <si>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</si>
  <si>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</si>
  <si>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</si>
  <si>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</si>
  <si>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</si>
  <si>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</si>
  <si>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</si>
  <si>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</si>
  <si>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</si>
  <si>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</si>
  <si>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</si>
  <si>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</si>
  <si>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</si>
  <si>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</si>
  <si>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</si>
  <si>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</si>
  <si>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</si>
  <si>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</si>
  <si>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</si>
  <si>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</si>
  <si>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</si>
  <si>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</si>
  <si>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</si>
  <si>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</si>
  <si>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</si>
  <si>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 xml:space="preserve">Address: </t>
  </si>
  <si>
    <t>Furqan</t>
  </si>
  <si>
    <t>Address: Nishat Colony</t>
  </si>
  <si>
    <t>8058676-4</t>
  </si>
  <si>
    <t>Furqan Ali</t>
  </si>
  <si>
    <t>Salman Butt</t>
  </si>
  <si>
    <t>Shop Bill Summary (Mobeen Ahmad)</t>
  </si>
  <si>
    <t>Mobeen Ahmad</t>
  </si>
  <si>
    <t>Rana Bilal Tso</t>
  </si>
  <si>
    <t>Shakoor</t>
  </si>
  <si>
    <t>Address: Gawal Mandi</t>
  </si>
  <si>
    <t>Customer Name : Nafees Store</t>
  </si>
  <si>
    <t xml:space="preserve">Address: Gawal Mandi </t>
  </si>
  <si>
    <t>Customer Name : Rehman Store</t>
  </si>
  <si>
    <t>Customer Name : Tuqeer Store</t>
  </si>
  <si>
    <t>Customer Name : Paradise Mart</t>
  </si>
  <si>
    <t>Address: Lalak Chowk DHA</t>
  </si>
  <si>
    <t>1015557-7</t>
  </si>
  <si>
    <t>Customer Name : 24/7 Mart</t>
  </si>
  <si>
    <t>Address:  Phase 5 DHA</t>
  </si>
  <si>
    <t>Customer Name : Urban Mart</t>
  </si>
  <si>
    <t>Address:  DD Block DHA</t>
  </si>
  <si>
    <t>d371988-0</t>
  </si>
  <si>
    <t>Address: GG Block DHA</t>
  </si>
  <si>
    <t>Customer Name : Hikma Store</t>
  </si>
  <si>
    <t xml:space="preserve">Customer Name : Grocces Mart </t>
  </si>
  <si>
    <t>Address: Phase 5 DHA</t>
  </si>
  <si>
    <t>0188146-9</t>
  </si>
  <si>
    <t>Customer Name : Shell Pump</t>
  </si>
  <si>
    <t>2949473-7</t>
  </si>
  <si>
    <t>Customer Name : Captain Mart</t>
  </si>
  <si>
    <t>Address: Sui Gas Society</t>
  </si>
  <si>
    <t>Zeeshan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</si>
</sst>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3" fillId="0" borderId="4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34" xfId="0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102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104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98</v>
      </c>
    </row>
    <row r="12" spans="1:2" x14ac:dyDescent="0.35">
      <c r="A12">
        <v>7</v>
      </c>
      <c r="B12" t="s">
        <v>105</v>
      </c>
    </row>
    <row r="13" spans="1:2" x14ac:dyDescent="0.35">
      <c r="A13">
        <v>8</v>
      </c>
      <c r="B13" t="s">
        <v>106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F17" sqref="F1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7"/>
      <c r="B3" s="187"/>
      <c r="C3" s="187"/>
      <c r="D3" s="187"/>
      <c r="E3" s="187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</row>
    <row r="4" spans="1:29" x14ac:dyDescent="0.35">
      <c r="A4" s="189" t="s">
        <v>6</v>
      </c>
      <c r="B4" s="5" t="s">
        <v>7</v>
      </c>
      <c r="C4" s="5"/>
      <c r="D4" s="191" t="s">
        <v>8</v>
      </c>
      <c r="E4" s="193" t="s">
        <v>9</v>
      </c>
      <c r="F4" s="195" t="s">
        <v>3</v>
      </c>
      <c r="G4" s="195"/>
      <c r="H4" s="196" t="s">
        <v>10</v>
      </c>
      <c r="I4" s="196"/>
      <c r="J4" s="197" t="s">
        <v>11</v>
      </c>
      <c r="K4" s="198"/>
      <c r="L4" s="197" t="s">
        <v>12</v>
      </c>
      <c r="M4" s="198"/>
      <c r="N4" s="199" t="s">
        <v>13</v>
      </c>
      <c r="O4" s="199"/>
      <c r="P4" s="197" t="s">
        <v>4</v>
      </c>
      <c r="Q4" s="198"/>
      <c r="R4" s="197" t="s">
        <v>14</v>
      </c>
      <c r="S4" s="198"/>
      <c r="T4" s="200" t="s">
        <v>15</v>
      </c>
      <c r="U4" s="200"/>
      <c r="V4" s="201" t="s">
        <v>16</v>
      </c>
      <c r="W4" s="202"/>
      <c r="X4" s="201" t="s">
        <v>17</v>
      </c>
      <c r="Y4" s="202"/>
    </row>
    <row r="5" spans="1:29" ht="26.25" customHeight="1" thickBot="1" x14ac:dyDescent="0.4">
      <c r="A5" s="190"/>
      <c r="B5" s="7" t="s">
        <v>18</v>
      </c>
      <c r="C5" s="7" t="s">
        <v>8</v>
      </c>
      <c r="D5" s="192"/>
      <c r="E5" s="194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abSelected="1" topLeftCell="A15" zoomScale="70" zoomScaleNormal="70" workbookViewId="0">
      <selection activeCell="V19" sqref="V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.453125" customWidth="1"/>
    <col min="9" max="9" width="11.54296875" hidden="1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03" t="s">
        <v>45</v>
      </c>
      <c r="B2" s="203"/>
      <c r="C2" s="203"/>
    </row>
    <row r="3" spans="1:21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8" t="s">
        <v>129</v>
      </c>
      <c r="B5" s="208"/>
      <c r="C5" s="208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21 16383:16384" ht="15" customHeight="1" x14ac:dyDescent="0.35">
      <c r="A6" s="208"/>
      <c r="B6" s="208"/>
      <c r="C6" s="208"/>
      <c r="F6" s="70"/>
      <c r="G6" s="74"/>
      <c r="K6" s="205" t="s">
        <v>52</v>
      </c>
      <c r="L6" s="205"/>
      <c r="M6" s="205"/>
      <c r="N6" s="207" t="s">
        <v>42</v>
      </c>
      <c r="O6" s="207"/>
      <c r="P6" s="207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21 16383:16384" hidden="1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21 16383:16384" x14ac:dyDescent="0.35">
      <c r="A10" s="210"/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21 16383:16384" ht="15" thickBot="1" x14ac:dyDescent="0.4">
      <c r="A11" s="210"/>
      <c r="B11" s="76"/>
      <c r="C11" s="77"/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21 16383:16384" ht="14.65" customHeight="1" x14ac:dyDescent="0.35">
      <c r="A12" s="210"/>
      <c r="B12" s="76"/>
      <c r="C12" s="77"/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T12" s="219" t="s">
        <v>103</v>
      </c>
      <c r="U12" s="220"/>
      <c r="XFD12" t="s">
        <v>62</v>
      </c>
    </row>
    <row r="13" spans="1:21 16383:16384" ht="15" thickBot="1" x14ac:dyDescent="0.4">
      <c r="A13" s="247"/>
      <c r="J13" s="78"/>
      <c r="K13" s="78"/>
      <c r="L13" s="79">
        <v>0.05</v>
      </c>
      <c r="T13" s="221"/>
      <c r="U13" s="222"/>
      <c r="XFD13" t="s">
        <v>63</v>
      </c>
    </row>
    <row r="14" spans="1:21 16383:16384" ht="29.25" customHeight="1" x14ac:dyDescent="0.6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13" t="s">
        <v>68</v>
      </c>
      <c r="H14" s="214"/>
      <c r="I14" s="214" t="s">
        <v>69</v>
      </c>
      <c r="J14" s="214" t="s">
        <v>70</v>
      </c>
      <c r="K14" s="214"/>
      <c r="L14" s="216"/>
      <c r="M14" s="217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Paradise Mart</v>
      </c>
      <c r="U14" s="164">
        <f>+'1'!P35</f>
        <v>3781.4313111000001</v>
      </c>
      <c r="XFD14" t="s">
        <v>75</v>
      </c>
    </row>
    <row r="15" spans="1:21 16383:16384" ht="29.25" customHeight="1" thickBot="1" x14ac:dyDescent="0.65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5"/>
      <c r="J15" s="171" t="s">
        <v>78</v>
      </c>
      <c r="K15" s="171" t="s">
        <v>79</v>
      </c>
      <c r="L15" s="174" t="s">
        <v>80</v>
      </c>
      <c r="M15" s="218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24/7 Mart</v>
      </c>
      <c r="U15" s="164">
        <f>+'2'!P35</f>
        <v>3375.5372160000002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40</v>
      </c>
      <c r="I16" s="1">
        <f>(G16*D16)*F16+H16*F16</f>
        <v>2098.5</v>
      </c>
      <c r="J16" s="172">
        <f>+'1'!J16+'2'!J16+'4'!J16+'3'!J16+'5'!J16+'6'!J16+'7'!J16+'8'!J16+'9'!J16+'10'!J16+'11'!J16+'12'!J16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366.3981</v>
      </c>
      <c r="O16" s="101">
        <f>+'1'!O16+'2'!O16+'4'!O16+'3'!O16+'5'!O16+'6'!O16+'7'!O16+'8'!O16+'9'!O16+'10'!O16</f>
        <v>11.485090499999998</v>
      </c>
      <c r="P16" s="105">
        <f t="shared" ref="P16:P24" si="0">M16+N16+O16</f>
        <v>2308.5031904999996</v>
      </c>
      <c r="Q16" s="108"/>
      <c r="T16" s="163" t="str">
        <f>+'4'!A5</f>
        <v>Customer Name : Hikma Store</v>
      </c>
      <c r="U16" s="164">
        <f>+'4'!P35</f>
        <v>10403.983974299999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251.82</v>
      </c>
      <c r="M17" s="118">
        <f t="shared" ref="M17:M23" si="2">I17-K17-L17</f>
        <v>1846.68</v>
      </c>
      <c r="N17" s="101">
        <f>+'1'!N17+'2'!N17+'4'!N17+'3'!N17+'5'!N17+'6'!N17+'7'!N17+'8'!N17+'9'!N17+'10'!N17</f>
        <v>351.28890000000001</v>
      </c>
      <c r="O17" s="101">
        <f>+'1'!O17+'2'!O17+'4'!O17+'3'!O17+'5'!O17+'6'!O17+'7'!O17+'8'!O17+'9'!O17+'10'!O17</f>
        <v>10.9898445</v>
      </c>
      <c r="P17" s="120">
        <f t="shared" si="0"/>
        <v>2208.9587444999997</v>
      </c>
      <c r="S17" s="64"/>
      <c r="T17" s="163" t="str">
        <f>+'3'!A5</f>
        <v>Customer Name : Urban Mart</v>
      </c>
      <c r="U17" s="164">
        <f>+'3'!P35</f>
        <v>1654.8365376000002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Grocces Mart </v>
      </c>
      <c r="U18" s="164">
        <f>+'5'!P35</f>
        <v>1598.1860543999999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95</v>
      </c>
      <c r="I19" s="1">
        <f t="shared" si="1"/>
        <v>6900.8</v>
      </c>
      <c r="J19" s="172">
        <f>+'1'!J19+'2'!J19+'4'!J19+'3'!J19+'5'!J19+'6'!J19+'7'!J19+'8'!J19+'9'!J19+'10'!J19+'11'!J19+'12'!J19</f>
        <v>5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552.06399999999996</v>
      </c>
      <c r="M19" s="118">
        <f t="shared" si="2"/>
        <v>6348.7359999999999</v>
      </c>
      <c r="N19" s="101">
        <f>+'1'!N19+'2'!N19+'4'!N19+'3'!N19+'5'!N19+'6'!N19+'7'!N19+'8'!N19+'9'!N19+'10'!N19</f>
        <v>1307.52</v>
      </c>
      <c r="O19" s="101">
        <f>+'1'!O19+'2'!O19+'4'!O19+'3'!O19+'5'!O19+'6'!O19+'7'!O19+'8'!O19+'9'!O19+'10'!O19</f>
        <v>63.060236799999998</v>
      </c>
      <c r="P19" s="120">
        <f t="shared" si="0"/>
        <v>7719.3162367999994</v>
      </c>
      <c r="T19" s="163" t="str">
        <f>+'6'!A5</f>
        <v>Customer Name : Shell Pump</v>
      </c>
      <c r="U19" s="164">
        <f>+'6'!P35</f>
        <v>1702.7365662000002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10</v>
      </c>
      <c r="I20" s="1">
        <f t="shared" si="1"/>
        <v>726.4</v>
      </c>
      <c r="J20" s="172">
        <f>+'1'!J20+'2'!J20+'4'!J20+'3'!J20+'5'!J20+'6'!J20+'7'!J20+'8'!J20+'9'!J20+'10'!J20+'11'!J20+'12'!J20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58.112000000000002</v>
      </c>
      <c r="M20" s="118">
        <f t="shared" si="2"/>
        <v>668.28800000000001</v>
      </c>
      <c r="N20" s="101">
        <f>+'1'!N20+'2'!N20+'4'!N20+'3'!N20+'5'!N20+'6'!N20+'7'!N20+'8'!N20+'9'!N20+'10'!N20</f>
        <v>163.00415999999998</v>
      </c>
      <c r="O20" s="101">
        <f>+'1'!O20+'2'!O20+'4'!O20+'3'!O20+'5'!O20+'6'!O20+'7'!O20+'8'!O20+'9'!O20+'10'!O20</f>
        <v>20.782304</v>
      </c>
      <c r="P20" s="120">
        <f t="shared" si="0"/>
        <v>852.07446399999992</v>
      </c>
      <c r="T20" s="163" t="str">
        <f>+'7'!A5</f>
        <v>Customer Name : Captain Mart</v>
      </c>
      <c r="U20" s="164">
        <f>+'7'!P35</f>
        <v>1795.4904090000002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55</v>
      </c>
      <c r="I21" s="1">
        <f t="shared" si="1"/>
        <v>3995.2</v>
      </c>
      <c r="J21" s="172">
        <f>+'1'!J21+'2'!J21+'4'!J21+'3'!J21+'5'!J21+'6'!J21+'7'!J21+'8'!J21+'9'!J21+'10'!J21+'11'!J21+'12'!J21</f>
        <v>2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319.61599999999999</v>
      </c>
      <c r="M21" s="118">
        <f t="shared" si="2"/>
        <v>3675.5839999999998</v>
      </c>
      <c r="N21" s="101">
        <f>+'1'!N21+'2'!N21+'4'!N21+'3'!N21+'5'!N21+'6'!N21+'7'!N21+'8'!N21+'9'!N21+'10'!N21</f>
        <v>727.85279999999989</v>
      </c>
      <c r="O21" s="101">
        <f>+'1'!O21+'2'!O21+'4'!O21+'3'!O21+'5'!O21+'6'!O21+'7'!O21+'8'!O21+'9'!O21+'10'!O21</f>
        <v>46.4765248</v>
      </c>
      <c r="P21" s="120">
        <f t="shared" si="0"/>
        <v>4449.9133247999998</v>
      </c>
      <c r="T21" s="163" t="str">
        <f>+'8'!A5</f>
        <v>Customer Name : Nafees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160</v>
      </c>
      <c r="I22" s="1">
        <f t="shared" si="1"/>
        <v>6276.8000000000011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219.68800000000005</v>
      </c>
      <c r="L22" s="175">
        <f>+'1'!L22+'2'!L22+'4'!L22+'3'!L22+'5'!L22+'6'!L22+'7'!L22+'8'!L22+'9'!L22+'10'!L22</f>
        <v>423.68400000000014</v>
      </c>
      <c r="M22" s="118">
        <f t="shared" si="2"/>
        <v>5633.4280000000008</v>
      </c>
      <c r="N22" s="101">
        <f>+'1'!N22+'2'!N22+'4'!N22+'3'!N22+'5'!N22+'6'!N22+'7'!N22+'8'!N22+'9'!N22+'10'!N22</f>
        <v>1071.44976</v>
      </c>
      <c r="O22" s="101">
        <f>+'1'!O22+'2'!O22+'4'!O22+'3'!O22+'5'!O22+'6'!O22+'7'!O22+'8'!O22+'9'!O22+'10'!O22</f>
        <v>68.558348000000009</v>
      </c>
      <c r="P22" s="120">
        <f t="shared" si="0"/>
        <v>6773.4361080000008</v>
      </c>
      <c r="T22" s="163" t="str">
        <f>+'9'!A5</f>
        <v>Customer Name : Rehman Store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Tuqeer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9" t="s">
        <v>84</v>
      </c>
      <c r="B25" s="230"/>
      <c r="C25" s="231"/>
      <c r="D25" s="225"/>
      <c r="E25" s="225"/>
      <c r="F25" s="225"/>
      <c r="G25" s="176">
        <f t="shared" ref="G25:M25" si="3">SUM(G16:G24)</f>
        <v>0</v>
      </c>
      <c r="H25" s="177">
        <f t="shared" si="3"/>
        <v>400</v>
      </c>
      <c r="I25" s="178">
        <f t="shared" si="3"/>
        <v>22096.199999999997</v>
      </c>
      <c r="J25" s="177">
        <f t="shared" si="3"/>
        <v>12</v>
      </c>
      <c r="K25" s="178">
        <f t="shared" si="3"/>
        <v>219.68800000000005</v>
      </c>
      <c r="L25" s="179">
        <f t="shared" si="3"/>
        <v>1773.1760000000002</v>
      </c>
      <c r="M25" s="141">
        <f t="shared" si="3"/>
        <v>20103.335999999999</v>
      </c>
      <c r="N25" s="142">
        <f>SUM(N16:N24)</f>
        <v>3987.5137199999995</v>
      </c>
      <c r="O25" s="143">
        <f>SUM(O16:O24)</f>
        <v>221.35234860000003</v>
      </c>
      <c r="P25" s="144">
        <f>SUM(P16:P24)</f>
        <v>24312.2020686</v>
      </c>
      <c r="S25">
        <f>H25/40</f>
        <v>10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24312.202068600003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22096.199999999997</v>
      </c>
    </row>
    <row r="29" spans="1:21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1773.1760000000002</v>
      </c>
    </row>
    <row r="30" spans="1:21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219.68800000000005</v>
      </c>
    </row>
    <row r="31" spans="1:21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20103.335999999999</v>
      </c>
    </row>
    <row r="32" spans="1:21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3987.5137199999995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24090.849719999998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602.27124300000003</v>
      </c>
    </row>
    <row r="35" spans="2:16" ht="15.75" customHeight="1" thickBot="1" x14ac:dyDescent="0.4">
      <c r="N35" s="223" t="s">
        <v>92</v>
      </c>
      <c r="O35" s="224"/>
      <c r="P35" s="160">
        <f>P33+P34</f>
        <v>24693.120962999998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5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113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114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>
        <v>3520144391899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>
        <v>2</v>
      </c>
      <c r="K17" s="1">
        <f t="shared" ref="K17:K21" si="4">I17*$K$13</f>
        <v>0</v>
      </c>
      <c r="L17" s="105">
        <f>I17*12%</f>
        <v>251.82</v>
      </c>
      <c r="M17" s="118">
        <f t="shared" ref="M17:M23" si="5">I17-K17-L17</f>
        <v>1846.68</v>
      </c>
      <c r="N17" s="118">
        <f t="shared" si="0"/>
        <v>351.28890000000001</v>
      </c>
      <c r="O17" s="119">
        <f t="shared" si="1"/>
        <v>10.9898445</v>
      </c>
      <c r="P17" s="120">
        <f t="shared" si="2"/>
        <v>2208.9587444999997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ref="L18:L21" si="6">I18*8%</f>
        <v>0</v>
      </c>
      <c r="M18" s="118">
        <f t="shared" si="5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6"/>
        <v>0</v>
      </c>
      <c r="M19" s="118">
        <f t="shared" si="5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6"/>
        <v>0</v>
      </c>
      <c r="M20" s="118">
        <f t="shared" si="5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6"/>
        <v>0</v>
      </c>
      <c r="M21" s="118">
        <f t="shared" si="5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I22*12%</f>
        <v>188.30400000000003</v>
      </c>
      <c r="M22" s="118">
        <f t="shared" si="5"/>
        <v>1325.9740000000002</v>
      </c>
      <c r="N22" s="118">
        <f t="shared" si="0"/>
        <v>238.67532000000003</v>
      </c>
      <c r="O22" s="119">
        <f t="shared" si="1"/>
        <v>7.8232466000000009</v>
      </c>
      <c r="P22" s="120">
        <f t="shared" si="2"/>
        <v>1572.4725666000002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80</v>
      </c>
      <c r="I25" s="137">
        <f t="shared" si="9"/>
        <v>3667.7000000000003</v>
      </c>
      <c r="J25" s="138"/>
      <c r="K25" s="139">
        <f t="shared" si="9"/>
        <v>54.922000000000011</v>
      </c>
      <c r="L25" s="140">
        <f t="shared" si="9"/>
        <v>440.12400000000002</v>
      </c>
      <c r="M25" s="141">
        <f t="shared" si="9"/>
        <v>3172.6540000000005</v>
      </c>
      <c r="N25" s="142">
        <f>SUM(N16:N24)</f>
        <v>589.96422000000007</v>
      </c>
      <c r="O25" s="143">
        <f>SUM(O16:O24)</f>
        <v>18.813091100000001</v>
      </c>
      <c r="P25" s="144">
        <f>SUM(P16:P24)</f>
        <v>3781.4313111000001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3667.7000000000003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440.12400000000002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54.922000000000011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3172.654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589.96422000000007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3762.6182200000003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18.813091100000001</v>
      </c>
    </row>
    <row r="35" spans="2:16" ht="15.75" customHeight="1" thickBot="1" x14ac:dyDescent="0.4">
      <c r="N35" s="223" t="s">
        <v>92</v>
      </c>
      <c r="O35" s="224"/>
      <c r="P35" s="160">
        <f>P33+P34</f>
        <v>3781.4313111000001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2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116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30.973695999999997</v>
      </c>
      <c r="P19" s="120">
        <f t="shared" si="1"/>
        <v>1269.9215359999998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20.782304</v>
      </c>
      <c r="P20" s="120">
        <f t="shared" si="1"/>
        <v>852.07446399999992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3375.5372159999997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2905.6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232.44799999999998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2673.152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3293.2070400000002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23" t="s">
        <v>92</v>
      </c>
      <c r="O35" s="224"/>
      <c r="P35" s="160">
        <f>P33+P34</f>
        <v>3375.5372160000002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N28" sqref="N28:O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4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118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 t="s">
        <v>119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310.02751999999998</v>
      </c>
      <c r="O19" s="119">
        <f t="shared" si="6"/>
        <v>8.2330176000000002</v>
      </c>
      <c r="P19" s="120">
        <f t="shared" si="1"/>
        <v>1654.8365376000002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8.2330176000000002</v>
      </c>
      <c r="P25" s="144">
        <f>SUM(P16:P24)</f>
        <v>1654.8365376000002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1452.8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116.224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1336.576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1646.6035200000001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8.2330176000000002</v>
      </c>
    </row>
    <row r="35" spans="2:16" ht="15.75" customHeight="1" thickBot="1" x14ac:dyDescent="0.4">
      <c r="N35" s="223" t="s">
        <v>92</v>
      </c>
      <c r="O35" s="224"/>
      <c r="P35" s="160">
        <f>P33+P34</f>
        <v>1654.8365376000002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L18" sqref="L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3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120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9561987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520118587822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366.3981</v>
      </c>
      <c r="O16" s="107">
        <f>(N16+M16)*$O$15</f>
        <v>11.485090499999998</v>
      </c>
      <c r="P16" s="105">
        <f t="shared" ref="P16:P24" si="1">M16+N16+O16</f>
        <v>2308.5031904999996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507.31775999999996</v>
      </c>
      <c r="O19" s="119">
        <f t="shared" si="6"/>
        <v>15.9023488</v>
      </c>
      <c r="P19" s="120">
        <f t="shared" si="1"/>
        <v>3196.3721087999998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507.31775999999996</v>
      </c>
      <c r="O21" s="119">
        <f t="shared" si="6"/>
        <v>15.9023488</v>
      </c>
      <c r="P21" s="120">
        <f t="shared" si="1"/>
        <v>3196.3721087999998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160</v>
      </c>
      <c r="I25" s="137">
        <f t="shared" si="9"/>
        <v>9478.9000000000015</v>
      </c>
      <c r="J25" s="138"/>
      <c r="K25" s="139">
        <f t="shared" si="9"/>
        <v>54.922000000000011</v>
      </c>
      <c r="L25" s="140">
        <f t="shared" si="9"/>
        <v>711.23599999999999</v>
      </c>
      <c r="M25" s="141">
        <f t="shared" si="9"/>
        <v>8712.7420000000002</v>
      </c>
      <c r="N25" s="142">
        <f>SUM(N16:N24)</f>
        <v>1639.4808599999999</v>
      </c>
      <c r="O25" s="143">
        <f>SUM(O16:O24)</f>
        <v>51.761114299999996</v>
      </c>
      <c r="P25" s="144">
        <f>SUM(P16:P24)</f>
        <v>10403.983974300001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9478.9000000000015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711.23599999999999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54.922000000000011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8712.7420000000002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1639.4808599999999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10352.22286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51.761114300000003</v>
      </c>
    </row>
    <row r="35" spans="2:16" ht="15.75" customHeight="1" thickBot="1" x14ac:dyDescent="0.4">
      <c r="N35" s="223" t="s">
        <v>92</v>
      </c>
      <c r="O35" s="224"/>
      <c r="P35" s="160">
        <f>P33+P34</f>
        <v>10403.983974299999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5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122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123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 t="s">
        <v>124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8110112801763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>
        <v>1</v>
      </c>
      <c r="K19" s="1">
        <f t="shared" si="3"/>
        <v>0</v>
      </c>
      <c r="L19" s="105">
        <f t="shared" si="4"/>
        <v>116.224</v>
      </c>
      <c r="M19" s="118">
        <f t="shared" si="5"/>
        <v>1336.576</v>
      </c>
      <c r="N19" s="118">
        <f t="shared" si="0"/>
        <v>253.65887999999998</v>
      </c>
      <c r="O19" s="119">
        <f t="shared" si="6"/>
        <v>7.9511744000000002</v>
      </c>
      <c r="P19" s="120">
        <f t="shared" si="1"/>
        <v>1598.1860543999999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253.65887999999998</v>
      </c>
      <c r="O25" s="143">
        <f>SUM(O16:O24)</f>
        <v>7.9511744000000002</v>
      </c>
      <c r="P25" s="144">
        <f>SUM(P16:P24)</f>
        <v>1598.1860543999999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1452.8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116.224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1336.576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253.65887999999998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1590.23488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7.9511744000000002</v>
      </c>
    </row>
    <row r="35" spans="2:16" ht="15.75" customHeight="1" thickBot="1" x14ac:dyDescent="0.4">
      <c r="N35" s="223" t="s">
        <v>92</v>
      </c>
      <c r="O35" s="224"/>
      <c r="P35" s="160">
        <f>P33+P34</f>
        <v>1598.1860543999999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7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6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123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126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303999949355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258.44724000000002</v>
      </c>
      <c r="O22" s="119">
        <f t="shared" si="6"/>
        <v>8.4713262000000018</v>
      </c>
      <c r="P22" s="120">
        <f t="shared" si="1"/>
        <v>1702.7365662000002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258.44724000000002</v>
      </c>
      <c r="O25" s="143">
        <f>SUM(O16:O24)</f>
        <v>8.4713262000000018</v>
      </c>
      <c r="P25" s="144">
        <f>SUM(P16:P24)</f>
        <v>1702.7365662000002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1569.2000000000003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78.460000000000022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54.922000000000011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1435.8180000000002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258.44724000000002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1694.2652400000002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8.4713262000000018</v>
      </c>
    </row>
    <row r="35" spans="2:16" ht="15.75" customHeight="1" thickBot="1" x14ac:dyDescent="0.4">
      <c r="N35" s="223" t="s">
        <v>92</v>
      </c>
      <c r="O35" s="224"/>
      <c r="P35" s="160">
        <f>P33+P34</f>
        <v>1702.7365662000002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23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7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127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128</v>
      </c>
      <c r="B6" s="205"/>
      <c r="C6" s="205"/>
      <c r="F6" s="70"/>
      <c r="G6" s="74"/>
      <c r="K6" s="205" t="s">
        <v>52</v>
      </c>
      <c r="L6" s="205"/>
      <c r="M6" s="205"/>
      <c r="N6" s="207" t="s">
        <v>41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9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1569.2000000000003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78.460000000000022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54.922000000000011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1435.8180000000002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1751.6979600000002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23" t="s">
        <v>92</v>
      </c>
      <c r="O35" s="224"/>
      <c r="P35" s="160">
        <f>P33+P34</f>
        <v>1795.4904090000002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H5" sqref="H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8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108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109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9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110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107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167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111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107</v>
      </c>
      <c r="B6" s="205"/>
      <c r="C6" s="205"/>
      <c r="F6" s="70"/>
      <c r="G6" s="74"/>
      <c r="K6" s="205" t="s">
        <v>52</v>
      </c>
      <c r="L6" s="205"/>
      <c r="M6" s="205"/>
      <c r="N6" s="207" t="s">
        <v>44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>
        <v>3628249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>
        <v>3520230571269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97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/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50</v>
      </c>
      <c r="C11" s="77" t="str">
        <f>IF($O34&gt;2.49%,"No","Yes")</f>
        <v>No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I7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70"/>
      <c r="G3" s="71"/>
      <c r="K3" s="205" t="s">
        <v>47</v>
      </c>
      <c r="L3" s="205"/>
      <c r="M3" s="205"/>
      <c r="N3" s="204">
        <v>10</v>
      </c>
      <c r="O3" s="204"/>
      <c r="P3" s="204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7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7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70"/>
      <c r="S5" s="71"/>
    </row>
    <row r="6" spans="1:19 16383:16384" ht="15" customHeight="1" x14ac:dyDescent="0.35">
      <c r="A6" s="205" t="s">
        <v>99</v>
      </c>
      <c r="B6" s="205"/>
      <c r="C6" s="205"/>
      <c r="F6" s="70"/>
      <c r="G6" s="74"/>
      <c r="K6" s="205" t="s">
        <v>52</v>
      </c>
      <c r="L6" s="205"/>
      <c r="M6" s="205"/>
      <c r="N6" s="207" t="s">
        <v>101</v>
      </c>
      <c r="O6" s="207"/>
      <c r="P6" s="207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70"/>
      <c r="G7" s="74"/>
      <c r="K7" s="205"/>
      <c r="L7" s="205"/>
      <c r="M7" s="205"/>
      <c r="N7" s="207"/>
      <c r="O7" s="207"/>
      <c r="P7" s="20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70"/>
      <c r="G8" s="74"/>
      <c r="K8" s="205"/>
      <c r="L8" s="205"/>
      <c r="M8" s="205"/>
      <c r="N8" s="207"/>
      <c r="O8" s="207"/>
      <c r="P8" s="207"/>
      <c r="R8" s="70"/>
      <c r="S8" s="74"/>
    </row>
    <row r="9" spans="1:19 16383:16384" x14ac:dyDescent="0.35">
      <c r="A9" s="209"/>
      <c r="B9" s="209"/>
      <c r="C9" s="209"/>
      <c r="F9" s="70"/>
      <c r="G9" s="74"/>
      <c r="K9" s="205"/>
      <c r="L9" s="205"/>
      <c r="M9" s="205"/>
      <c r="N9" s="207"/>
      <c r="O9" s="207"/>
      <c r="P9" s="207"/>
      <c r="R9" s="7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7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70"/>
      <c r="S10" s="71"/>
      <c r="XFD10" t="s">
        <v>58</v>
      </c>
    </row>
    <row r="11" spans="1:19 16383:16384" x14ac:dyDescent="0.35">
      <c r="A11" s="210"/>
      <c r="B11" s="76" t="s">
        <v>48</v>
      </c>
      <c r="C11" s="77" t="str">
        <f>IF($O34&gt;2.49%,"No","Yes")</f>
        <v>Yes</v>
      </c>
      <c r="F11" s="7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70"/>
      <c r="S11" s="71"/>
    </row>
    <row r="12" spans="1:19 16383:16384" ht="14.65" customHeight="1" x14ac:dyDescent="0.35">
      <c r="A12" s="210" t="s">
        <v>60</v>
      </c>
      <c r="B12" s="76" t="s">
        <v>54</v>
      </c>
      <c r="C12" s="77" t="str">
        <f>IF($O32&gt;21.99%,"No","Yes")</f>
        <v>No</v>
      </c>
      <c r="F12" s="70"/>
      <c r="G12" s="71"/>
      <c r="K12" s="205" t="s">
        <v>61</v>
      </c>
      <c r="L12" s="205"/>
      <c r="M12" s="205"/>
      <c r="N12" s="204"/>
      <c r="O12" s="204"/>
      <c r="P12" s="204"/>
      <c r="R12" s="7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80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61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I6" sqref="I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3" t="s">
        <v>45</v>
      </c>
      <c r="B2" s="203"/>
      <c r="C2" s="203"/>
    </row>
    <row r="3" spans="1:19 16383:16384" ht="15" customHeight="1" x14ac:dyDescent="0.35">
      <c r="A3" s="204" t="s">
        <v>46</v>
      </c>
      <c r="B3" s="204"/>
      <c r="C3" s="204"/>
      <c r="F3" s="180"/>
      <c r="G3" s="71"/>
      <c r="K3" s="205" t="s">
        <v>47</v>
      </c>
      <c r="L3" s="205"/>
      <c r="M3" s="205"/>
      <c r="N3" s="204">
        <v>10</v>
      </c>
      <c r="O3" s="204"/>
      <c r="P3" s="204"/>
      <c r="R3" s="180"/>
      <c r="S3" s="71"/>
      <c r="XFC3" t="s">
        <v>48</v>
      </c>
      <c r="XFD3" s="72">
        <v>5.0000000000000001E-3</v>
      </c>
    </row>
    <row r="4" spans="1:19 16383:16384" ht="15" customHeight="1" x14ac:dyDescent="0.35">
      <c r="A4" s="204" t="s">
        <v>94</v>
      </c>
      <c r="B4" s="204"/>
      <c r="C4" s="204"/>
      <c r="F4" s="180"/>
      <c r="G4" s="71"/>
      <c r="K4" s="205" t="s">
        <v>49</v>
      </c>
      <c r="L4" s="205"/>
      <c r="M4" s="205"/>
      <c r="N4" s="206">
        <f ca="1">TODAY()</f>
        <v>46179</v>
      </c>
      <c r="O4" s="206"/>
      <c r="P4" s="206"/>
      <c r="R4" s="18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0" t="s">
        <v>95</v>
      </c>
      <c r="B5" s="250"/>
      <c r="C5" s="250"/>
      <c r="F5" s="180"/>
      <c r="G5" s="71"/>
      <c r="K5" s="205" t="s">
        <v>51</v>
      </c>
      <c r="L5" s="205"/>
      <c r="M5" s="205"/>
      <c r="N5" s="206">
        <f ca="1">N4-1</f>
        <v>46178</v>
      </c>
      <c r="O5" s="204"/>
      <c r="P5" s="204"/>
      <c r="R5" s="180"/>
      <c r="S5" s="71"/>
    </row>
    <row r="6" spans="1:19 16383:16384" ht="15" customHeight="1" x14ac:dyDescent="0.35">
      <c r="A6" s="205" t="s">
        <v>99</v>
      </c>
      <c r="B6" s="205"/>
      <c r="C6" s="205"/>
      <c r="F6" s="180"/>
      <c r="G6" s="74"/>
      <c r="K6" s="205" t="s">
        <v>52</v>
      </c>
      <c r="L6" s="205"/>
      <c r="M6" s="205"/>
      <c r="N6" s="207" t="s">
        <v>101</v>
      </c>
      <c r="O6" s="207"/>
      <c r="P6" s="207"/>
      <c r="R6" s="180"/>
      <c r="S6" s="74"/>
      <c r="XFC6" t="s">
        <v>53</v>
      </c>
      <c r="XFD6" s="2">
        <v>0.18</v>
      </c>
    </row>
    <row r="7" spans="1:19 16383:16384" s="73" customFormat="1" x14ac:dyDescent="0.35">
      <c r="A7" s="205"/>
      <c r="B7" s="205"/>
      <c r="C7" s="205"/>
      <c r="F7" s="180"/>
      <c r="G7" s="74"/>
      <c r="K7" s="205"/>
      <c r="L7" s="205"/>
      <c r="M7" s="205"/>
      <c r="N7" s="207"/>
      <c r="O7" s="207"/>
      <c r="P7" s="207"/>
      <c r="R7" s="180"/>
      <c r="S7" s="74"/>
      <c r="XFC7" t="s">
        <v>54</v>
      </c>
      <c r="XFD7" s="2">
        <v>0.22</v>
      </c>
    </row>
    <row r="8" spans="1:19 16383:16384" ht="15" customHeight="1" x14ac:dyDescent="0.35">
      <c r="A8" s="209"/>
      <c r="B8" s="209"/>
      <c r="C8" s="209"/>
      <c r="F8" s="180"/>
      <c r="G8" s="74"/>
      <c r="K8" s="205"/>
      <c r="L8" s="205"/>
      <c r="M8" s="205"/>
      <c r="N8" s="207"/>
      <c r="O8" s="207"/>
      <c r="P8" s="207"/>
      <c r="R8" s="180"/>
      <c r="S8" s="74"/>
    </row>
    <row r="9" spans="1:19 16383:16384" x14ac:dyDescent="0.35">
      <c r="A9" s="209"/>
      <c r="B9" s="209"/>
      <c r="C9" s="209"/>
      <c r="F9" s="180"/>
      <c r="G9" s="74"/>
      <c r="K9" s="205"/>
      <c r="L9" s="205"/>
      <c r="M9" s="205"/>
      <c r="N9" s="207"/>
      <c r="O9" s="207"/>
      <c r="P9" s="207"/>
      <c r="R9" s="180"/>
      <c r="S9" s="74"/>
      <c r="XFD9" t="s">
        <v>55</v>
      </c>
    </row>
    <row r="10" spans="1:19 16383:16384" x14ac:dyDescent="0.35">
      <c r="A10" s="210" t="s">
        <v>96</v>
      </c>
      <c r="B10" s="75" t="s">
        <v>100</v>
      </c>
      <c r="C10" s="75"/>
      <c r="F10" s="180"/>
      <c r="G10" s="71"/>
      <c r="K10" s="205" t="s">
        <v>56</v>
      </c>
      <c r="L10" s="205"/>
      <c r="M10" s="205"/>
      <c r="N10" s="204" t="s">
        <v>57</v>
      </c>
      <c r="O10" s="204"/>
      <c r="P10" s="204"/>
      <c r="R10" s="180"/>
      <c r="S10" s="71"/>
      <c r="XFD10" t="s">
        <v>58</v>
      </c>
    </row>
    <row r="11" spans="1:19 16383:16384" x14ac:dyDescent="0.35">
      <c r="A11" s="210"/>
      <c r="B11" s="76" t="s">
        <v>48</v>
      </c>
      <c r="C11" s="181" t="str">
        <f>IF($O34&gt;2.49%,"No","Yes")</f>
        <v>Yes</v>
      </c>
      <c r="F11" s="180"/>
      <c r="G11" s="71"/>
      <c r="K11" s="205" t="s">
        <v>59</v>
      </c>
      <c r="L11" s="205"/>
      <c r="M11" s="205"/>
      <c r="N11" s="204" t="s">
        <v>55</v>
      </c>
      <c r="O11" s="204"/>
      <c r="P11" s="204"/>
      <c r="R11" s="180"/>
      <c r="S11" s="71"/>
    </row>
    <row r="12" spans="1:19 16383:16384" ht="14.65" customHeight="1" x14ac:dyDescent="0.35">
      <c r="A12" s="210" t="s">
        <v>60</v>
      </c>
      <c r="B12" s="76" t="s">
        <v>54</v>
      </c>
      <c r="C12" s="181" t="str">
        <f>IF($O32&gt;21.99%,"No","Yes")</f>
        <v>No</v>
      </c>
      <c r="F12" s="180"/>
      <c r="G12" s="71"/>
      <c r="K12" s="205" t="s">
        <v>61</v>
      </c>
      <c r="L12" s="205"/>
      <c r="M12" s="205"/>
      <c r="N12" s="204"/>
      <c r="O12" s="204"/>
      <c r="P12" s="204"/>
      <c r="R12" s="180"/>
      <c r="S12" s="71"/>
      <c r="XFD12" t="s">
        <v>62</v>
      </c>
    </row>
    <row r="13" spans="1:19 16383:16384" ht="15" thickBot="1" x14ac:dyDescent="0.4">
      <c r="A13" s="247"/>
      <c r="B13" s="64" t="s">
        <v>100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8" t="s">
        <v>64</v>
      </c>
      <c r="B14" s="217"/>
      <c r="C14" s="211" t="s">
        <v>65</v>
      </c>
      <c r="D14" s="182" t="s">
        <v>2</v>
      </c>
      <c r="E14" s="81" t="s">
        <v>66</v>
      </c>
      <c r="F14" s="82" t="s">
        <v>67</v>
      </c>
      <c r="G14" s="251" t="s">
        <v>68</v>
      </c>
      <c r="H14" s="252"/>
      <c r="I14" s="253" t="s">
        <v>69</v>
      </c>
      <c r="J14" s="251" t="s">
        <v>70</v>
      </c>
      <c r="K14" s="255"/>
      <c r="L14" s="252"/>
      <c r="M14" s="253" t="s">
        <v>71</v>
      </c>
      <c r="N14" s="83" t="s">
        <v>72</v>
      </c>
      <c r="O14" s="84" t="s">
        <v>73</v>
      </c>
      <c r="P14" s="183" t="s">
        <v>74</v>
      </c>
      <c r="XFD14" t="s">
        <v>75</v>
      </c>
    </row>
    <row r="15" spans="1:19 16383:16384" ht="15" thickBot="1" x14ac:dyDescent="0.4">
      <c r="A15" s="249"/>
      <c r="B15" s="218"/>
      <c r="C15" s="212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4"/>
      <c r="J15" s="88" t="s">
        <v>78</v>
      </c>
      <c r="K15" s="90" t="s">
        <v>79</v>
      </c>
      <c r="L15" s="91" t="s">
        <v>80</v>
      </c>
      <c r="M15" s="254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9" t="s">
        <v>84</v>
      </c>
      <c r="B25" s="230"/>
      <c r="C25" s="231"/>
      <c r="D25" s="225"/>
      <c r="E25" s="225"/>
      <c r="F25" s="25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2" t="s">
        <v>85</v>
      </c>
      <c r="C28" s="233"/>
      <c r="D28" s="233"/>
      <c r="E28" s="233"/>
      <c r="F28" s="233"/>
      <c r="G28" s="233"/>
      <c r="H28" s="233"/>
      <c r="I28" s="233"/>
      <c r="J28" s="233"/>
      <c r="K28" s="233"/>
      <c r="L28" s="234"/>
      <c r="N28" s="241" t="s">
        <v>86</v>
      </c>
      <c r="O28" s="242"/>
      <c r="P28" s="152">
        <f>I25</f>
        <v>0</v>
      </c>
    </row>
    <row r="29" spans="1:19 16384:16384" ht="15" customHeight="1" x14ac:dyDescent="0.35"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7"/>
      <c r="N29" s="243" t="s">
        <v>87</v>
      </c>
      <c r="O29" s="244"/>
      <c r="P29" s="153">
        <f>L25</f>
        <v>0</v>
      </c>
    </row>
    <row r="30" spans="1:19 16384:16384" ht="15" customHeight="1" x14ac:dyDescent="0.35"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7"/>
      <c r="N30" s="243" t="s">
        <v>4</v>
      </c>
      <c r="O30" s="244"/>
      <c r="P30" s="154">
        <f>K25</f>
        <v>0</v>
      </c>
    </row>
    <row r="31" spans="1:19 16384:16384" ht="15" customHeight="1" x14ac:dyDescent="0.35"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7"/>
      <c r="M31" s="2"/>
      <c r="N31" s="243" t="s">
        <v>88</v>
      </c>
      <c r="O31" s="244"/>
      <c r="P31" s="153">
        <f>P28-P29-P30</f>
        <v>0</v>
      </c>
    </row>
    <row r="32" spans="1:19 16384:16384" ht="15" customHeight="1" x14ac:dyDescent="0.35"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7"/>
      <c r="M32" s="2"/>
      <c r="N32" s="184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7"/>
      <c r="M33" s="2"/>
      <c r="N33" s="245" t="s">
        <v>90</v>
      </c>
      <c r="O33" s="246"/>
      <c r="P33" s="153">
        <f>P31+P32</f>
        <v>0</v>
      </c>
    </row>
    <row r="34" spans="2:16" ht="15" customHeight="1" thickBot="1" x14ac:dyDescent="0.4">
      <c r="B34" s="238"/>
      <c r="C34" s="239"/>
      <c r="D34" s="239"/>
      <c r="E34" s="239"/>
      <c r="F34" s="239"/>
      <c r="G34" s="239"/>
      <c r="H34" s="239"/>
      <c r="I34" s="239"/>
      <c r="J34" s="239"/>
      <c r="K34" s="239"/>
      <c r="L34" s="240"/>
      <c r="M34" s="157"/>
      <c r="N34" s="185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3" t="s">
        <v>92</v>
      </c>
      <c r="O35" s="224"/>
      <c r="P35" s="160">
        <f>P33+P34</f>
        <v>0</v>
      </c>
    </row>
    <row r="36" spans="2:16" ht="15" thickBot="1" x14ac:dyDescent="0.4">
      <c r="B36" s="186" t="s">
        <v>93</v>
      </c>
      <c r="C36" s="225"/>
      <c r="D36" s="225"/>
      <c r="E36" s="225"/>
      <c r="F36" s="225"/>
      <c r="G36" s="225"/>
      <c r="H36" s="225"/>
      <c r="I36" s="226"/>
      <c r="J36" s="227"/>
      <c r="K36" s="22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2026-06-06T11:28:49Z</dcterms:modified>
</cp:coreProperties>
</file>