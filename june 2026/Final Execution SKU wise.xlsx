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31C01FE5-6F68-4064-8029-3047330D929C}" xr6:coauthVersionLast="47" xr6:coauthVersionMax="47" xr10:uidLastSave="{00000000-0000-0000-0000-000000000000}"/>
  <bookViews>
    <workbookView xWindow="-110" yWindow="-110" windowWidth="19420" windowHeight="10420" tabRatio="887" firstSheet="1" activeTab="28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5" i="25" l="1"/>
  <c r="X18" i="25" s="1"/>
  <c r="W15" i="25"/>
  <c r="W16" i="25" s="1"/>
  <c r="W17" i="25" s="1"/>
  <c r="V15" i="25"/>
  <c r="V16" i="25" s="1"/>
  <c r="V17" i="25" s="1"/>
  <c r="T15" i="25"/>
  <c r="T18" i="25" s="1"/>
  <c r="S15" i="25"/>
  <c r="S18" i="25" s="1"/>
  <c r="R15" i="25"/>
  <c r="R16" i="25" s="1"/>
  <c r="R17" i="25" s="1"/>
  <c r="Q15" i="25"/>
  <c r="Z13" i="25"/>
  <c r="Y13" i="25"/>
  <c r="U13" i="25"/>
  <c r="Z12" i="25"/>
  <c r="Y12" i="25"/>
  <c r="U12" i="25"/>
  <c r="Z11" i="25"/>
  <c r="Y11" i="25"/>
  <c r="U11" i="25"/>
  <c r="Z10" i="25"/>
  <c r="Y10" i="25"/>
  <c r="U10" i="25"/>
  <c r="Z9" i="25"/>
  <c r="Y9" i="25"/>
  <c r="U9" i="25"/>
  <c r="G9" i="25"/>
  <c r="G10" i="25"/>
  <c r="G11" i="25"/>
  <c r="G12" i="25"/>
  <c r="K9" i="25"/>
  <c r="K10" i="25"/>
  <c r="K11" i="25"/>
  <c r="K12" i="25"/>
  <c r="Y15" i="25" l="1"/>
  <c r="V18" i="25"/>
  <c r="S16" i="25"/>
  <c r="S17" i="25" s="1"/>
  <c r="Z15" i="25"/>
  <c r="Q18" i="25"/>
  <c r="U15" i="25"/>
  <c r="T16" i="25"/>
  <c r="T17" i="25" s="1"/>
  <c r="Q17" i="25"/>
  <c r="R18" i="25"/>
  <c r="W18" i="25"/>
  <c r="X16" i="25"/>
  <c r="X17" i="25" s="1"/>
  <c r="X14" i="24"/>
  <c r="X15" i="24" s="1"/>
  <c r="X16" i="24" s="1"/>
  <c r="W14" i="24"/>
  <c r="W15" i="24" s="1"/>
  <c r="W16" i="24" s="1"/>
  <c r="V14" i="24"/>
  <c r="V17" i="24" s="1"/>
  <c r="T14" i="24"/>
  <c r="T17" i="24" s="1"/>
  <c r="S14" i="24"/>
  <c r="S15" i="24" s="1"/>
  <c r="S16" i="24" s="1"/>
  <c r="R14" i="24"/>
  <c r="R15" i="24" s="1"/>
  <c r="R16" i="24" s="1"/>
  <c r="Q14" i="24"/>
  <c r="Q16" i="24" s="1"/>
  <c r="Z12" i="24"/>
  <c r="Y12" i="24"/>
  <c r="U12" i="24"/>
  <c r="Z11" i="24"/>
  <c r="Y11" i="24"/>
  <c r="U11" i="24"/>
  <c r="Z10" i="24"/>
  <c r="Y10" i="24"/>
  <c r="U10" i="24"/>
  <c r="Z9" i="24"/>
  <c r="Y9" i="24"/>
  <c r="U9" i="24"/>
  <c r="Z8" i="24"/>
  <c r="Y8" i="24"/>
  <c r="U8" i="24"/>
  <c r="K9" i="24"/>
  <c r="K10" i="24"/>
  <c r="K11" i="24"/>
  <c r="K12" i="24"/>
  <c r="G9" i="24"/>
  <c r="G10" i="24"/>
  <c r="G11" i="24"/>
  <c r="G12" i="24"/>
  <c r="Z12" i="21"/>
  <c r="Y12" i="21"/>
  <c r="U12" i="21"/>
  <c r="Z11" i="21"/>
  <c r="Y11" i="21"/>
  <c r="U11" i="21"/>
  <c r="Z10" i="21"/>
  <c r="Y10" i="21"/>
  <c r="U10" i="21"/>
  <c r="Z9" i="21"/>
  <c r="Y9" i="21"/>
  <c r="U9" i="21"/>
  <c r="Z8" i="21"/>
  <c r="Y8" i="21"/>
  <c r="U8" i="21"/>
  <c r="X9" i="20"/>
  <c r="X10" i="20"/>
  <c r="X11" i="20"/>
  <c r="X12" i="20"/>
  <c r="X8" i="20"/>
  <c r="W9" i="20"/>
  <c r="W10" i="20"/>
  <c r="W11" i="20"/>
  <c r="W12" i="20"/>
  <c r="W8" i="20"/>
  <c r="Z18" i="25" l="1"/>
  <c r="U14" i="24"/>
  <c r="Y14" i="24"/>
  <c r="X17" i="24"/>
  <c r="S17" i="24"/>
  <c r="V15" i="24"/>
  <c r="V16" i="24" s="1"/>
  <c r="Q17" i="24"/>
  <c r="Z14" i="24"/>
  <c r="T15" i="24"/>
  <c r="T16" i="24" s="1"/>
  <c r="R17" i="24"/>
  <c r="W17" i="24"/>
  <c r="K9" i="21"/>
  <c r="K10" i="21"/>
  <c r="K11" i="21"/>
  <c r="K12" i="21"/>
  <c r="G9" i="21"/>
  <c r="G10" i="21"/>
  <c r="G11" i="21"/>
  <c r="G12" i="21"/>
  <c r="Z17" i="24" l="1"/>
  <c r="G9" i="20"/>
  <c r="G10" i="20"/>
  <c r="G11" i="20"/>
  <c r="G12" i="20"/>
  <c r="K9" i="20"/>
  <c r="K10" i="20"/>
  <c r="K11" i="20"/>
  <c r="K12" i="20"/>
  <c r="K13" i="17" l="1"/>
  <c r="L13" i="17"/>
  <c r="G13" i="17"/>
  <c r="K9" i="19" l="1"/>
  <c r="K10" i="19"/>
  <c r="K11" i="19"/>
  <c r="K12" i="19"/>
  <c r="G9" i="19"/>
  <c r="G10" i="19"/>
  <c r="G11" i="19"/>
  <c r="G12" i="19"/>
  <c r="G9" i="16" l="1"/>
  <c r="G10" i="16"/>
  <c r="K9" i="16"/>
  <c r="K10" i="16"/>
  <c r="G9" i="17" l="1"/>
  <c r="G10" i="17"/>
  <c r="G11" i="17"/>
  <c r="G12" i="17"/>
  <c r="K9" i="17"/>
  <c r="K10" i="17"/>
  <c r="K11" i="17"/>
  <c r="K12" i="17"/>
  <c r="K12" i="15"/>
  <c r="G12" i="15"/>
  <c r="G9" i="15"/>
  <c r="G10" i="15"/>
  <c r="G11" i="15"/>
  <c r="K9" i="15"/>
  <c r="K10" i="15"/>
  <c r="K11" i="15"/>
  <c r="K9" i="14" l="1"/>
  <c r="K10" i="14"/>
  <c r="G9" i="14"/>
  <c r="G10" i="14"/>
  <c r="L9" i="30"/>
  <c r="L10" i="30"/>
  <c r="L11" i="30"/>
  <c r="L12" i="30"/>
  <c r="L9" i="29"/>
  <c r="L10" i="29"/>
  <c r="L11" i="29"/>
  <c r="L12" i="29"/>
  <c r="L9" i="28"/>
  <c r="L10" i="28"/>
  <c r="L11" i="28"/>
  <c r="L12" i="28"/>
  <c r="L9" i="2"/>
  <c r="L10" i="2"/>
  <c r="L11" i="2"/>
  <c r="L12" i="2"/>
  <c r="L9" i="3"/>
  <c r="L10" i="3"/>
  <c r="L11" i="3"/>
  <c r="L12" i="3"/>
  <c r="L9" i="4"/>
  <c r="L10" i="4"/>
  <c r="L11" i="4"/>
  <c r="L12" i="4"/>
  <c r="L9" i="5"/>
  <c r="L10" i="5"/>
  <c r="L11" i="5"/>
  <c r="L12" i="5"/>
  <c r="L9" i="6"/>
  <c r="L10" i="6"/>
  <c r="L11" i="6"/>
  <c r="L12" i="6"/>
  <c r="L9" i="7"/>
  <c r="L10" i="7"/>
  <c r="L11" i="7"/>
  <c r="L12" i="7"/>
  <c r="L9" i="8"/>
  <c r="L10" i="8"/>
  <c r="L11" i="8"/>
  <c r="L12" i="8"/>
  <c r="L9" i="9"/>
  <c r="L10" i="9"/>
  <c r="L11" i="9"/>
  <c r="L12" i="9"/>
  <c r="L9" i="10"/>
  <c r="L10" i="10"/>
  <c r="L11" i="10"/>
  <c r="L12" i="10"/>
  <c r="L9" i="11"/>
  <c r="L10" i="11"/>
  <c r="L11" i="11"/>
  <c r="L12" i="11"/>
  <c r="L9" i="12"/>
  <c r="L10" i="12"/>
  <c r="L11" i="12"/>
  <c r="L12" i="12"/>
  <c r="L9" i="13"/>
  <c r="L10" i="13"/>
  <c r="L11" i="13"/>
  <c r="L12" i="13"/>
  <c r="L9" i="14"/>
  <c r="L10" i="14"/>
  <c r="L11" i="14"/>
  <c r="L12" i="14"/>
  <c r="L9" i="15"/>
  <c r="L10" i="15"/>
  <c r="L11" i="15"/>
  <c r="L12" i="15"/>
  <c r="L9" i="16"/>
  <c r="L10" i="16"/>
  <c r="L11" i="16"/>
  <c r="L12" i="16"/>
  <c r="L9" i="17"/>
  <c r="L10" i="17"/>
  <c r="L11" i="17"/>
  <c r="L12" i="17"/>
  <c r="L9" i="18"/>
  <c r="L10" i="18"/>
  <c r="L11" i="18"/>
  <c r="L12" i="18"/>
  <c r="L9" i="19"/>
  <c r="L10" i="19"/>
  <c r="L11" i="19"/>
  <c r="L12" i="19"/>
  <c r="L9" i="20"/>
  <c r="L10" i="20"/>
  <c r="L11" i="20"/>
  <c r="L12" i="20"/>
  <c r="L9" i="21"/>
  <c r="L10" i="21"/>
  <c r="L11" i="21"/>
  <c r="L12" i="21"/>
  <c r="L9" i="22"/>
  <c r="L10" i="22"/>
  <c r="L11" i="22"/>
  <c r="L12" i="22"/>
  <c r="L9" i="23"/>
  <c r="L10" i="23"/>
  <c r="L11" i="23"/>
  <c r="L12" i="23"/>
  <c r="L9" i="24"/>
  <c r="L10" i="24"/>
  <c r="L11" i="24"/>
  <c r="L12" i="24"/>
  <c r="L9" i="25"/>
  <c r="L10" i="25"/>
  <c r="L11" i="25"/>
  <c r="L12" i="25"/>
  <c r="L9" i="26"/>
  <c r="L10" i="26"/>
  <c r="L11" i="26"/>
  <c r="L12" i="26"/>
  <c r="L9" i="27"/>
  <c r="L10" i="27"/>
  <c r="L11" i="27"/>
  <c r="L12" i="27"/>
  <c r="L9" i="32"/>
  <c r="L10" i="32"/>
  <c r="L11" i="32"/>
  <c r="L12" i="32"/>
  <c r="L9" i="31"/>
  <c r="L10" i="31"/>
  <c r="L11" i="31"/>
  <c r="L12" i="31"/>
  <c r="L8" i="30"/>
  <c r="L8" i="29"/>
  <c r="L8" i="28"/>
  <c r="L8" i="2"/>
  <c r="L8" i="3"/>
  <c r="L8" i="4"/>
  <c r="L8" i="5"/>
  <c r="L8" i="6"/>
  <c r="L8" i="7"/>
  <c r="L8" i="8"/>
  <c r="L8" i="9"/>
  <c r="L8" i="10"/>
  <c r="L8" i="11"/>
  <c r="L8" i="12"/>
  <c r="L8" i="13"/>
  <c r="L8" i="14"/>
  <c r="L8" i="15"/>
  <c r="L8" i="16"/>
  <c r="L8" i="17"/>
  <c r="L8" i="18"/>
  <c r="L8" i="19"/>
  <c r="L8" i="20"/>
  <c r="L8" i="21"/>
  <c r="L8" i="22"/>
  <c r="L8" i="23"/>
  <c r="L8" i="24"/>
  <c r="L8" i="25"/>
  <c r="L8" i="26"/>
  <c r="L8" i="27"/>
  <c r="L8" i="32"/>
  <c r="L8" i="31"/>
  <c r="K9" i="13"/>
  <c r="K10" i="13"/>
  <c r="G9" i="13"/>
  <c r="G10" i="13"/>
  <c r="K10" i="12" l="1"/>
  <c r="G10" i="12"/>
  <c r="K9" i="12" l="1"/>
  <c r="G9" i="12"/>
  <c r="P15" i="10" l="1"/>
  <c r="Q15" i="10"/>
  <c r="R15" i="10"/>
  <c r="S15" i="10"/>
  <c r="T15" i="10"/>
  <c r="O15" i="10"/>
  <c r="K9" i="10"/>
  <c r="K10" i="10"/>
  <c r="K11" i="10"/>
  <c r="G9" i="10"/>
  <c r="G10" i="10"/>
  <c r="G11" i="10"/>
  <c r="L17" i="31" l="1"/>
  <c r="L17" i="30"/>
  <c r="L17" i="29"/>
  <c r="L17" i="28"/>
  <c r="L17" i="2"/>
  <c r="L17" i="3"/>
  <c r="L17" i="4"/>
  <c r="L17" i="5"/>
  <c r="L17" i="6"/>
  <c r="L17" i="7"/>
  <c r="L17" i="8"/>
  <c r="L17" i="11"/>
  <c r="L17" i="18"/>
  <c r="L17" i="22"/>
  <c r="L17" i="23"/>
  <c r="L17" i="26"/>
  <c r="L17" i="27"/>
  <c r="L17" i="32"/>
  <c r="L17" i="9"/>
  <c r="L14" i="31"/>
  <c r="L14" i="30"/>
  <c r="L14" i="29"/>
  <c r="L14" i="28"/>
  <c r="L14" i="2"/>
  <c r="L14" i="3"/>
  <c r="L14" i="4"/>
  <c r="L14" i="5"/>
  <c r="L14" i="6"/>
  <c r="L14" i="7"/>
  <c r="L14" i="8"/>
  <c r="L14" i="11"/>
  <c r="L14" i="18"/>
  <c r="L14" i="22"/>
  <c r="L14" i="23"/>
  <c r="L14" i="26"/>
  <c r="L14" i="27"/>
  <c r="L14" i="32"/>
  <c r="L14" i="9"/>
  <c r="D16" i="31"/>
  <c r="E16" i="31"/>
  <c r="F16" i="31"/>
  <c r="H16" i="31"/>
  <c r="I16" i="31"/>
  <c r="J16" i="31"/>
  <c r="D16" i="30"/>
  <c r="E16" i="30"/>
  <c r="F16" i="30"/>
  <c r="H16" i="30"/>
  <c r="I16" i="30"/>
  <c r="J16" i="30"/>
  <c r="D16" i="29"/>
  <c r="E16" i="29"/>
  <c r="F16" i="29"/>
  <c r="H16" i="29"/>
  <c r="I16" i="29"/>
  <c r="J16" i="29"/>
  <c r="D16" i="28"/>
  <c r="E16" i="28"/>
  <c r="F16" i="28"/>
  <c r="H16" i="28"/>
  <c r="I16" i="28"/>
  <c r="J16" i="28"/>
  <c r="D16" i="2"/>
  <c r="E16" i="2"/>
  <c r="F16" i="2"/>
  <c r="H16" i="2"/>
  <c r="I16" i="2"/>
  <c r="J16" i="2"/>
  <c r="D16" i="3"/>
  <c r="E16" i="3"/>
  <c r="F16" i="3"/>
  <c r="H16" i="3"/>
  <c r="I16" i="3"/>
  <c r="J16" i="3"/>
  <c r="D16" i="4"/>
  <c r="E16" i="4"/>
  <c r="F16" i="4"/>
  <c r="H16" i="4"/>
  <c r="I16" i="4"/>
  <c r="J16" i="4"/>
  <c r="D16" i="5"/>
  <c r="E16" i="5"/>
  <c r="F16" i="5"/>
  <c r="H16" i="5"/>
  <c r="I16" i="5"/>
  <c r="J16" i="5"/>
  <c r="D16" i="6"/>
  <c r="E16" i="6"/>
  <c r="F16" i="6"/>
  <c r="H16" i="6"/>
  <c r="I16" i="6"/>
  <c r="J16" i="6"/>
  <c r="D16" i="7"/>
  <c r="E16" i="7"/>
  <c r="F16" i="7"/>
  <c r="H16" i="7"/>
  <c r="I16" i="7"/>
  <c r="J16" i="7"/>
  <c r="D16" i="8"/>
  <c r="E16" i="8"/>
  <c r="F16" i="8"/>
  <c r="H16" i="8"/>
  <c r="I16" i="8"/>
  <c r="J16" i="8"/>
  <c r="D16" i="11"/>
  <c r="E16" i="11"/>
  <c r="F16" i="11"/>
  <c r="H16" i="11"/>
  <c r="I16" i="11"/>
  <c r="J16" i="11"/>
  <c r="D16" i="18"/>
  <c r="E16" i="18"/>
  <c r="F16" i="18"/>
  <c r="H16" i="18"/>
  <c r="I16" i="18"/>
  <c r="J16" i="18"/>
  <c r="D16" i="22"/>
  <c r="E16" i="22"/>
  <c r="F16" i="22"/>
  <c r="H16" i="22"/>
  <c r="I16" i="22"/>
  <c r="J16" i="22"/>
  <c r="D16" i="23"/>
  <c r="E16" i="23"/>
  <c r="F16" i="23"/>
  <c r="H16" i="23"/>
  <c r="I16" i="23"/>
  <c r="J16" i="23"/>
  <c r="D16" i="26"/>
  <c r="E16" i="26"/>
  <c r="F16" i="26"/>
  <c r="H16" i="26"/>
  <c r="I16" i="26"/>
  <c r="J16" i="26"/>
  <c r="D16" i="27"/>
  <c r="E16" i="27"/>
  <c r="F16" i="27"/>
  <c r="H16" i="27"/>
  <c r="I16" i="27"/>
  <c r="J16" i="27"/>
  <c r="D16" i="32"/>
  <c r="E16" i="32"/>
  <c r="F16" i="32"/>
  <c r="H16" i="32"/>
  <c r="I16" i="32"/>
  <c r="J16" i="32"/>
  <c r="D16" i="9"/>
  <c r="E16" i="9"/>
  <c r="F16" i="9"/>
  <c r="H16" i="9"/>
  <c r="I16" i="9"/>
  <c r="J16" i="9"/>
  <c r="C16" i="31"/>
  <c r="C16" i="30"/>
  <c r="C16" i="29"/>
  <c r="C16" i="28"/>
  <c r="C16" i="2"/>
  <c r="C16" i="3"/>
  <c r="C16" i="4"/>
  <c r="C16" i="5"/>
  <c r="C16" i="6"/>
  <c r="C16" i="7"/>
  <c r="C16" i="8"/>
  <c r="C16" i="11"/>
  <c r="C16" i="18"/>
  <c r="C16" i="22"/>
  <c r="C16" i="23"/>
  <c r="C16" i="26"/>
  <c r="C16" i="27"/>
  <c r="C16" i="32"/>
  <c r="C16" i="9"/>
  <c r="E15" i="31"/>
  <c r="F15" i="31"/>
  <c r="H15" i="31"/>
  <c r="I15" i="31"/>
  <c r="J15" i="31"/>
  <c r="E15" i="30"/>
  <c r="F15" i="30"/>
  <c r="H15" i="30"/>
  <c r="I15" i="30"/>
  <c r="J15" i="30"/>
  <c r="E15" i="29"/>
  <c r="F15" i="29"/>
  <c r="H15" i="29"/>
  <c r="I15" i="29"/>
  <c r="J15" i="29"/>
  <c r="E15" i="28"/>
  <c r="F15" i="28"/>
  <c r="H15" i="28"/>
  <c r="I15" i="28"/>
  <c r="J15" i="28"/>
  <c r="E15" i="2"/>
  <c r="F15" i="2"/>
  <c r="H15" i="2"/>
  <c r="I15" i="2"/>
  <c r="J15" i="2"/>
  <c r="E15" i="3"/>
  <c r="F15" i="3"/>
  <c r="H15" i="3"/>
  <c r="I15" i="3"/>
  <c r="J15" i="3"/>
  <c r="E15" i="4"/>
  <c r="F15" i="4"/>
  <c r="H15" i="4"/>
  <c r="I15" i="4"/>
  <c r="J15" i="4"/>
  <c r="E15" i="5"/>
  <c r="F15" i="5"/>
  <c r="H15" i="5"/>
  <c r="I15" i="5"/>
  <c r="J15" i="5"/>
  <c r="E15" i="6"/>
  <c r="F15" i="6"/>
  <c r="H15" i="6"/>
  <c r="I15" i="6"/>
  <c r="J15" i="6"/>
  <c r="E15" i="7"/>
  <c r="F15" i="7"/>
  <c r="H15" i="7"/>
  <c r="I15" i="7"/>
  <c r="J15" i="7"/>
  <c r="E15" i="8"/>
  <c r="F15" i="8"/>
  <c r="H15" i="8"/>
  <c r="I15" i="8"/>
  <c r="J15" i="8"/>
  <c r="E15" i="11"/>
  <c r="F15" i="11"/>
  <c r="H15" i="11"/>
  <c r="I15" i="11"/>
  <c r="J15" i="11"/>
  <c r="E15" i="18"/>
  <c r="F15" i="18"/>
  <c r="H15" i="18"/>
  <c r="I15" i="18"/>
  <c r="J15" i="18"/>
  <c r="E15" i="22"/>
  <c r="F15" i="22"/>
  <c r="H15" i="22"/>
  <c r="I15" i="22"/>
  <c r="J15" i="22"/>
  <c r="E15" i="23"/>
  <c r="F15" i="23"/>
  <c r="H15" i="23"/>
  <c r="I15" i="23"/>
  <c r="J15" i="23"/>
  <c r="E15" i="26"/>
  <c r="F15" i="26"/>
  <c r="H15" i="26"/>
  <c r="I15" i="26"/>
  <c r="J15" i="26"/>
  <c r="E15" i="27"/>
  <c r="F15" i="27"/>
  <c r="H15" i="27"/>
  <c r="I15" i="27"/>
  <c r="J15" i="27"/>
  <c r="E15" i="32"/>
  <c r="F15" i="32"/>
  <c r="H15" i="32"/>
  <c r="I15" i="32"/>
  <c r="J15" i="32"/>
  <c r="E15" i="9"/>
  <c r="F15" i="9"/>
  <c r="H15" i="9"/>
  <c r="I15" i="9"/>
  <c r="J15" i="9"/>
  <c r="D15" i="31"/>
  <c r="D15" i="30"/>
  <c r="D15" i="29"/>
  <c r="D15" i="28"/>
  <c r="D15" i="2"/>
  <c r="D15" i="3"/>
  <c r="D15" i="4"/>
  <c r="D15" i="5"/>
  <c r="D15" i="6"/>
  <c r="D15" i="7"/>
  <c r="D15" i="8"/>
  <c r="D15" i="11"/>
  <c r="D15" i="18"/>
  <c r="D15" i="22"/>
  <c r="D15" i="23"/>
  <c r="D15" i="26"/>
  <c r="D15" i="27"/>
  <c r="D15" i="32"/>
  <c r="D15" i="9"/>
  <c r="K11" i="9" l="1"/>
  <c r="K10" i="9"/>
  <c r="K9" i="9"/>
  <c r="G11" i="9"/>
  <c r="G10" i="9"/>
  <c r="G9" i="9"/>
  <c r="K9" i="8" l="1"/>
  <c r="K10" i="8"/>
  <c r="G9" i="8"/>
  <c r="G10" i="8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B12" i="2"/>
  <c r="K9" i="6" l="1"/>
  <c r="K10" i="6"/>
  <c r="K11" i="6"/>
  <c r="K12" i="6"/>
  <c r="K13" i="6"/>
  <c r="G9" i="6"/>
  <c r="G10" i="6"/>
  <c r="G11" i="6"/>
  <c r="G12" i="6"/>
  <c r="G13" i="6"/>
  <c r="K8" i="7"/>
  <c r="K8" i="8"/>
  <c r="K8" i="9"/>
  <c r="K8" i="10"/>
  <c r="K8" i="11"/>
  <c r="K8" i="12"/>
  <c r="K8" i="13"/>
  <c r="K8" i="14"/>
  <c r="K8" i="15"/>
  <c r="K8" i="16"/>
  <c r="K8" i="17"/>
  <c r="K8" i="18"/>
  <c r="K8" i="19"/>
  <c r="K8" i="20"/>
  <c r="K8" i="21"/>
  <c r="K8" i="22"/>
  <c r="K8" i="23"/>
  <c r="K8" i="24"/>
  <c r="K8" i="25"/>
  <c r="K8" i="26"/>
  <c r="K8" i="27"/>
  <c r="K8" i="32"/>
  <c r="K8" i="6"/>
  <c r="G8" i="7"/>
  <c r="G8" i="8"/>
  <c r="G8" i="9"/>
  <c r="G8" i="10"/>
  <c r="G8" i="11"/>
  <c r="G8" i="12"/>
  <c r="G8" i="13"/>
  <c r="G8" i="14"/>
  <c r="G8" i="15"/>
  <c r="G8" i="16"/>
  <c r="G8" i="17"/>
  <c r="G8" i="18"/>
  <c r="G8" i="19"/>
  <c r="G8" i="20"/>
  <c r="G8" i="21"/>
  <c r="G8" i="22"/>
  <c r="G8" i="23"/>
  <c r="G8" i="24"/>
  <c r="G8" i="25"/>
  <c r="G8" i="26"/>
  <c r="G8" i="27"/>
  <c r="G8" i="32"/>
  <c r="G8" i="6"/>
  <c r="K9" i="28" l="1"/>
  <c r="K10" i="28"/>
  <c r="K11" i="28"/>
  <c r="K12" i="28"/>
  <c r="K13" i="28"/>
  <c r="K8" i="28"/>
  <c r="G9" i="28"/>
  <c r="G10" i="28"/>
  <c r="G11" i="28"/>
  <c r="G12" i="28"/>
  <c r="G13" i="28"/>
  <c r="G8" i="28"/>
  <c r="K9" i="29"/>
  <c r="K10" i="29"/>
  <c r="K11" i="29"/>
  <c r="K12" i="29"/>
  <c r="K8" i="29"/>
  <c r="G9" i="29"/>
  <c r="G10" i="29"/>
  <c r="G11" i="29"/>
  <c r="G12" i="29"/>
  <c r="G8" i="29"/>
  <c r="K9" i="30"/>
  <c r="K10" i="30"/>
  <c r="K8" i="30"/>
  <c r="G9" i="30"/>
  <c r="G10" i="30"/>
  <c r="G8" i="30"/>
  <c r="K10" i="31"/>
  <c r="K9" i="31"/>
  <c r="K8" i="31"/>
  <c r="G10" i="31"/>
  <c r="G9" i="31"/>
  <c r="G8" i="31"/>
  <c r="H17" i="32" l="1"/>
  <c r="D17" i="32"/>
  <c r="K14" i="32"/>
  <c r="J14" i="32"/>
  <c r="J17" i="32" s="1"/>
  <c r="I14" i="32"/>
  <c r="I17" i="32" s="1"/>
  <c r="H14" i="32"/>
  <c r="G14" i="32"/>
  <c r="F14" i="32"/>
  <c r="F17" i="32" s="1"/>
  <c r="E14" i="32"/>
  <c r="E17" i="32" s="1"/>
  <c r="D14" i="32"/>
  <c r="C14" i="32"/>
  <c r="C17" i="32" s="1"/>
  <c r="K14" i="31"/>
  <c r="J14" i="31"/>
  <c r="J17" i="31" s="1"/>
  <c r="I14" i="31"/>
  <c r="I17" i="31" s="1"/>
  <c r="H14" i="31"/>
  <c r="H17" i="31" s="1"/>
  <c r="G14" i="31"/>
  <c r="F14" i="31"/>
  <c r="F17" i="31" s="1"/>
  <c r="E14" i="31"/>
  <c r="E17" i="31" s="1"/>
  <c r="D14" i="31"/>
  <c r="D17" i="31" s="1"/>
  <c r="C14" i="31"/>
  <c r="C17" i="31" s="1"/>
  <c r="K14" i="30"/>
  <c r="J14" i="30"/>
  <c r="J17" i="30" s="1"/>
  <c r="I14" i="30"/>
  <c r="I17" i="30" s="1"/>
  <c r="H14" i="30"/>
  <c r="H17" i="30" s="1"/>
  <c r="G14" i="30"/>
  <c r="F14" i="30"/>
  <c r="F17" i="30" s="1"/>
  <c r="E14" i="30"/>
  <c r="E17" i="30" s="1"/>
  <c r="D14" i="30"/>
  <c r="D17" i="30" s="1"/>
  <c r="C14" i="30"/>
  <c r="C17" i="30" s="1"/>
  <c r="K14" i="29"/>
  <c r="J14" i="29"/>
  <c r="J17" i="29" s="1"/>
  <c r="I14" i="29"/>
  <c r="I17" i="29" s="1"/>
  <c r="H14" i="29"/>
  <c r="H17" i="29" s="1"/>
  <c r="G14" i="29"/>
  <c r="F14" i="29"/>
  <c r="F17" i="29" s="1"/>
  <c r="E14" i="29"/>
  <c r="E17" i="29" s="1"/>
  <c r="D14" i="29"/>
  <c r="D17" i="29" s="1"/>
  <c r="C14" i="29"/>
  <c r="C17" i="29" s="1"/>
  <c r="K14" i="28"/>
  <c r="J14" i="28"/>
  <c r="J17" i="28" s="1"/>
  <c r="I14" i="28"/>
  <c r="I17" i="28" s="1"/>
  <c r="H14" i="28"/>
  <c r="H17" i="28" s="1"/>
  <c r="G14" i="28"/>
  <c r="F14" i="28"/>
  <c r="F17" i="28" s="1"/>
  <c r="E14" i="28"/>
  <c r="E17" i="28" s="1"/>
  <c r="D14" i="28"/>
  <c r="D17" i="28" s="1"/>
  <c r="C14" i="28"/>
  <c r="C17" i="28" s="1"/>
  <c r="K14" i="27"/>
  <c r="J14" i="27"/>
  <c r="J17" i="27" s="1"/>
  <c r="I14" i="27"/>
  <c r="I17" i="27" s="1"/>
  <c r="H14" i="27"/>
  <c r="H17" i="27" s="1"/>
  <c r="G14" i="27"/>
  <c r="F14" i="27"/>
  <c r="F17" i="27" s="1"/>
  <c r="E14" i="27"/>
  <c r="E17" i="27" s="1"/>
  <c r="D14" i="27"/>
  <c r="D17" i="27" s="1"/>
  <c r="C14" i="27"/>
  <c r="C17" i="27" s="1"/>
  <c r="K14" i="26"/>
  <c r="J14" i="26"/>
  <c r="J17" i="26" s="1"/>
  <c r="I14" i="26"/>
  <c r="I17" i="26" s="1"/>
  <c r="H14" i="26"/>
  <c r="H17" i="26" s="1"/>
  <c r="G14" i="26"/>
  <c r="F14" i="26"/>
  <c r="F17" i="26" s="1"/>
  <c r="E14" i="26"/>
  <c r="E17" i="26" s="1"/>
  <c r="D14" i="26"/>
  <c r="D17" i="26" s="1"/>
  <c r="C14" i="26"/>
  <c r="C17" i="26" s="1"/>
  <c r="K14" i="25"/>
  <c r="J14" i="25"/>
  <c r="I14" i="25"/>
  <c r="H14" i="25"/>
  <c r="G14" i="25"/>
  <c r="F14" i="25"/>
  <c r="E14" i="25"/>
  <c r="D14" i="25"/>
  <c r="C14" i="25"/>
  <c r="K14" i="24"/>
  <c r="J14" i="24"/>
  <c r="I14" i="24"/>
  <c r="H14" i="24"/>
  <c r="G14" i="24"/>
  <c r="F14" i="24"/>
  <c r="E14" i="24"/>
  <c r="D14" i="24"/>
  <c r="C14" i="24"/>
  <c r="H17" i="23"/>
  <c r="K14" i="23"/>
  <c r="J14" i="23"/>
  <c r="J17" i="23" s="1"/>
  <c r="I14" i="23"/>
  <c r="I17" i="23" s="1"/>
  <c r="H14" i="23"/>
  <c r="G14" i="23"/>
  <c r="F14" i="23"/>
  <c r="F17" i="23" s="1"/>
  <c r="E14" i="23"/>
  <c r="E17" i="23" s="1"/>
  <c r="D14" i="23"/>
  <c r="D17" i="23" s="1"/>
  <c r="C14" i="23"/>
  <c r="C17" i="23" s="1"/>
  <c r="K14" i="22"/>
  <c r="J14" i="22"/>
  <c r="J17" i="22" s="1"/>
  <c r="I14" i="22"/>
  <c r="I17" i="22" s="1"/>
  <c r="H14" i="22"/>
  <c r="H17" i="22" s="1"/>
  <c r="G14" i="22"/>
  <c r="F14" i="22"/>
  <c r="F17" i="22" s="1"/>
  <c r="E14" i="22"/>
  <c r="E17" i="22" s="1"/>
  <c r="D14" i="22"/>
  <c r="D17" i="22" s="1"/>
  <c r="C14" i="22"/>
  <c r="C17" i="22" s="1"/>
  <c r="K14" i="21"/>
  <c r="J14" i="21"/>
  <c r="J15" i="21" s="1"/>
  <c r="J16" i="21" s="1"/>
  <c r="I14" i="21"/>
  <c r="H14" i="21"/>
  <c r="G14" i="21"/>
  <c r="F14" i="21"/>
  <c r="F15" i="21" s="1"/>
  <c r="F16" i="21" s="1"/>
  <c r="E14" i="21"/>
  <c r="D14" i="21"/>
  <c r="C14" i="21"/>
  <c r="K14" i="20"/>
  <c r="J14" i="20"/>
  <c r="I14" i="20"/>
  <c r="H14" i="20"/>
  <c r="H15" i="20" s="1"/>
  <c r="H16" i="20" s="1"/>
  <c r="G14" i="20"/>
  <c r="F14" i="20"/>
  <c r="E14" i="20"/>
  <c r="D14" i="20"/>
  <c r="C14" i="20"/>
  <c r="K14" i="19"/>
  <c r="J14" i="19"/>
  <c r="I14" i="19"/>
  <c r="H14" i="19"/>
  <c r="G14" i="19"/>
  <c r="F14" i="19"/>
  <c r="E14" i="19"/>
  <c r="D14" i="19"/>
  <c r="C14" i="19"/>
  <c r="K14" i="18"/>
  <c r="J14" i="18"/>
  <c r="J17" i="18" s="1"/>
  <c r="I14" i="18"/>
  <c r="I17" i="18" s="1"/>
  <c r="H14" i="18"/>
  <c r="H17" i="18" s="1"/>
  <c r="G14" i="18"/>
  <c r="F14" i="18"/>
  <c r="F17" i="18" s="1"/>
  <c r="E14" i="18"/>
  <c r="E17" i="18" s="1"/>
  <c r="D14" i="18"/>
  <c r="D17" i="18" s="1"/>
  <c r="C14" i="18"/>
  <c r="C17" i="18" s="1"/>
  <c r="F17" i="25" l="1"/>
  <c r="F15" i="25"/>
  <c r="F16" i="25" s="1"/>
  <c r="E17" i="25"/>
  <c r="E15" i="25"/>
  <c r="E16" i="25" s="1"/>
  <c r="D17" i="25"/>
  <c r="D15" i="25"/>
  <c r="D16" i="25" s="1"/>
  <c r="C17" i="25"/>
  <c r="C16" i="25"/>
  <c r="J17" i="25"/>
  <c r="J15" i="25"/>
  <c r="J16" i="25" s="1"/>
  <c r="I17" i="25"/>
  <c r="I15" i="25"/>
  <c r="I16" i="25" s="1"/>
  <c r="H15" i="25"/>
  <c r="H16" i="25" s="1"/>
  <c r="L14" i="25"/>
  <c r="H17" i="25"/>
  <c r="E17" i="24"/>
  <c r="E15" i="24"/>
  <c r="E16" i="24" s="1"/>
  <c r="I17" i="24"/>
  <c r="I15" i="24"/>
  <c r="I16" i="24" s="1"/>
  <c r="F17" i="24"/>
  <c r="F15" i="24"/>
  <c r="F16" i="24" s="1"/>
  <c r="J17" i="24"/>
  <c r="J15" i="24"/>
  <c r="J16" i="24" s="1"/>
  <c r="C17" i="24"/>
  <c r="L14" i="24"/>
  <c r="C16" i="24"/>
  <c r="D17" i="24"/>
  <c r="D15" i="24"/>
  <c r="D16" i="24" s="1"/>
  <c r="H17" i="24"/>
  <c r="H15" i="24"/>
  <c r="H16" i="24" s="1"/>
  <c r="F17" i="21"/>
  <c r="E17" i="21"/>
  <c r="E15" i="21"/>
  <c r="E16" i="21" s="1"/>
  <c r="D17" i="21"/>
  <c r="D15" i="21"/>
  <c r="D16" i="21" s="1"/>
  <c r="C17" i="21"/>
  <c r="C16" i="21"/>
  <c r="J17" i="21"/>
  <c r="I17" i="21"/>
  <c r="I15" i="21"/>
  <c r="I16" i="21" s="1"/>
  <c r="H17" i="21"/>
  <c r="H15" i="21"/>
  <c r="H16" i="21" s="1"/>
  <c r="L14" i="21"/>
  <c r="C17" i="20"/>
  <c r="C16" i="20"/>
  <c r="J17" i="20"/>
  <c r="J15" i="20"/>
  <c r="J16" i="20" s="1"/>
  <c r="I17" i="20"/>
  <c r="I15" i="20"/>
  <c r="I16" i="20" s="1"/>
  <c r="H17" i="20"/>
  <c r="F17" i="20"/>
  <c r="F15" i="20"/>
  <c r="F16" i="20" s="1"/>
  <c r="E17" i="20"/>
  <c r="E15" i="20"/>
  <c r="E16" i="20" s="1"/>
  <c r="D17" i="20"/>
  <c r="D15" i="20"/>
  <c r="D16" i="20" s="1"/>
  <c r="L14" i="20"/>
  <c r="C17" i="19"/>
  <c r="C16" i="19"/>
  <c r="J17" i="19"/>
  <c r="J15" i="19"/>
  <c r="J16" i="19" s="1"/>
  <c r="I17" i="19"/>
  <c r="I15" i="19"/>
  <c r="I16" i="19" s="1"/>
  <c r="H17" i="19"/>
  <c r="H15" i="19"/>
  <c r="H16" i="19" s="1"/>
  <c r="F17" i="19"/>
  <c r="F15" i="19"/>
  <c r="F16" i="19" s="1"/>
  <c r="E17" i="19"/>
  <c r="E15" i="19"/>
  <c r="E16" i="19" s="1"/>
  <c r="D17" i="19"/>
  <c r="L14" i="19"/>
  <c r="D15" i="19"/>
  <c r="D16" i="19" s="1"/>
  <c r="K14" i="17"/>
  <c r="J14" i="17"/>
  <c r="I14" i="17"/>
  <c r="H14" i="17"/>
  <c r="G14" i="17"/>
  <c r="F14" i="17"/>
  <c r="E14" i="17"/>
  <c r="D14" i="17"/>
  <c r="C14" i="17"/>
  <c r="K14" i="16"/>
  <c r="J14" i="16"/>
  <c r="I14" i="16"/>
  <c r="H14" i="16"/>
  <c r="H15" i="16" s="1"/>
  <c r="H16" i="16" s="1"/>
  <c r="G14" i="16"/>
  <c r="F14" i="16"/>
  <c r="E14" i="16"/>
  <c r="D14" i="16"/>
  <c r="C14" i="16"/>
  <c r="K14" i="15"/>
  <c r="J14" i="15"/>
  <c r="I14" i="15"/>
  <c r="H14" i="15"/>
  <c r="G14" i="15"/>
  <c r="F14" i="15"/>
  <c r="E14" i="15"/>
  <c r="D14" i="15"/>
  <c r="C14" i="15"/>
  <c r="K14" i="14"/>
  <c r="J14" i="14"/>
  <c r="I14" i="14"/>
  <c r="H14" i="14"/>
  <c r="G14" i="14"/>
  <c r="F14" i="14"/>
  <c r="E14" i="14"/>
  <c r="D14" i="14"/>
  <c r="C14" i="14"/>
  <c r="K14" i="13"/>
  <c r="J14" i="13"/>
  <c r="I14" i="13"/>
  <c r="H14" i="13"/>
  <c r="H15" i="13" s="1"/>
  <c r="H16" i="13" s="1"/>
  <c r="G14" i="13"/>
  <c r="F14" i="13"/>
  <c r="E14" i="13"/>
  <c r="D14" i="13"/>
  <c r="C14" i="13"/>
  <c r="K14" i="12"/>
  <c r="J14" i="12"/>
  <c r="I14" i="12"/>
  <c r="H14" i="12"/>
  <c r="G14" i="12"/>
  <c r="F14" i="12"/>
  <c r="E14" i="12"/>
  <c r="D14" i="12"/>
  <c r="C14" i="12"/>
  <c r="H17" i="11"/>
  <c r="K14" i="11"/>
  <c r="J14" i="11"/>
  <c r="J17" i="11" s="1"/>
  <c r="I14" i="11"/>
  <c r="I17" i="11" s="1"/>
  <c r="H14" i="11"/>
  <c r="G14" i="11"/>
  <c r="F14" i="11"/>
  <c r="F17" i="11" s="1"/>
  <c r="E14" i="11"/>
  <c r="E17" i="11" s="1"/>
  <c r="D14" i="11"/>
  <c r="D17" i="11" s="1"/>
  <c r="C14" i="11"/>
  <c r="C17" i="11" s="1"/>
  <c r="K14" i="10"/>
  <c r="J14" i="10"/>
  <c r="I14" i="10"/>
  <c r="H14" i="10"/>
  <c r="H15" i="10" s="1"/>
  <c r="H16" i="10" s="1"/>
  <c r="G14" i="10"/>
  <c r="F14" i="10"/>
  <c r="E14" i="10"/>
  <c r="D14" i="10"/>
  <c r="C14" i="10"/>
  <c r="K14" i="9"/>
  <c r="J14" i="9"/>
  <c r="J17" i="9" s="1"/>
  <c r="I14" i="9"/>
  <c r="I17" i="9" s="1"/>
  <c r="H14" i="9"/>
  <c r="H17" i="9" s="1"/>
  <c r="G14" i="9"/>
  <c r="F14" i="9"/>
  <c r="F17" i="9" s="1"/>
  <c r="E14" i="9"/>
  <c r="E17" i="9" s="1"/>
  <c r="D14" i="9"/>
  <c r="D17" i="9" s="1"/>
  <c r="C14" i="9"/>
  <c r="C17" i="9" s="1"/>
  <c r="K14" i="8"/>
  <c r="J14" i="8"/>
  <c r="J17" i="8" s="1"/>
  <c r="I14" i="8"/>
  <c r="I17" i="8" s="1"/>
  <c r="H14" i="8"/>
  <c r="H17" i="8" s="1"/>
  <c r="G14" i="8"/>
  <c r="F14" i="8"/>
  <c r="F17" i="8" s="1"/>
  <c r="E14" i="8"/>
  <c r="E17" i="8" s="1"/>
  <c r="D14" i="8"/>
  <c r="D17" i="8" s="1"/>
  <c r="C14" i="8"/>
  <c r="C17" i="8" s="1"/>
  <c r="K14" i="7"/>
  <c r="J14" i="7"/>
  <c r="J17" i="7" s="1"/>
  <c r="I14" i="7"/>
  <c r="I17" i="7" s="1"/>
  <c r="H14" i="7"/>
  <c r="H17" i="7" s="1"/>
  <c r="G14" i="7"/>
  <c r="F14" i="7"/>
  <c r="F17" i="7" s="1"/>
  <c r="E14" i="7"/>
  <c r="E17" i="7" s="1"/>
  <c r="D14" i="7"/>
  <c r="D17" i="7" s="1"/>
  <c r="C14" i="7"/>
  <c r="C17" i="7" s="1"/>
  <c r="J14" i="6"/>
  <c r="J17" i="6" s="1"/>
  <c r="I14" i="6"/>
  <c r="I17" i="6" s="1"/>
  <c r="H14" i="6"/>
  <c r="G14" i="6"/>
  <c r="F14" i="6"/>
  <c r="F17" i="6" s="1"/>
  <c r="E14" i="6"/>
  <c r="E17" i="6" s="1"/>
  <c r="D14" i="6"/>
  <c r="D17" i="6" s="1"/>
  <c r="C14" i="6"/>
  <c r="C17" i="6" s="1"/>
  <c r="H17" i="5"/>
  <c r="D17" i="5"/>
  <c r="K14" i="5"/>
  <c r="J14" i="5"/>
  <c r="J17" i="5" s="1"/>
  <c r="I14" i="5"/>
  <c r="I17" i="5" s="1"/>
  <c r="H14" i="5"/>
  <c r="G14" i="5"/>
  <c r="F14" i="5"/>
  <c r="F17" i="5" s="1"/>
  <c r="E14" i="5"/>
  <c r="E17" i="5" s="1"/>
  <c r="D14" i="5"/>
  <c r="C14" i="5"/>
  <c r="C17" i="5" s="1"/>
  <c r="L17" i="25" l="1"/>
  <c r="L17" i="24"/>
  <c r="L17" i="21"/>
  <c r="L17" i="20"/>
  <c r="L17" i="19"/>
  <c r="C17" i="16"/>
  <c r="C16" i="16"/>
  <c r="J17" i="16"/>
  <c r="J15" i="16"/>
  <c r="J16" i="16" s="1"/>
  <c r="I17" i="16"/>
  <c r="I15" i="16"/>
  <c r="I16" i="16" s="1"/>
  <c r="H17" i="16"/>
  <c r="F17" i="16"/>
  <c r="F15" i="16"/>
  <c r="F16" i="16" s="1"/>
  <c r="E17" i="16"/>
  <c r="E15" i="16"/>
  <c r="E16" i="16" s="1"/>
  <c r="D17" i="16"/>
  <c r="L14" i="16"/>
  <c r="D15" i="16"/>
  <c r="D16" i="16" s="1"/>
  <c r="C17" i="17"/>
  <c r="C16" i="17"/>
  <c r="J17" i="17"/>
  <c r="J15" i="17"/>
  <c r="J16" i="17" s="1"/>
  <c r="I17" i="17"/>
  <c r="I15" i="17"/>
  <c r="I16" i="17" s="1"/>
  <c r="H17" i="17"/>
  <c r="H15" i="17"/>
  <c r="H16" i="17" s="1"/>
  <c r="F17" i="17"/>
  <c r="F15" i="17"/>
  <c r="F16" i="17" s="1"/>
  <c r="E17" i="17"/>
  <c r="E15" i="17"/>
  <c r="E16" i="17" s="1"/>
  <c r="D17" i="17"/>
  <c r="D15" i="17"/>
  <c r="D16" i="17" s="1"/>
  <c r="L14" i="17"/>
  <c r="C17" i="15"/>
  <c r="C16" i="15"/>
  <c r="J17" i="15"/>
  <c r="J15" i="15"/>
  <c r="J16" i="15" s="1"/>
  <c r="I17" i="15"/>
  <c r="I15" i="15"/>
  <c r="I16" i="15" s="1"/>
  <c r="H17" i="15"/>
  <c r="H15" i="15"/>
  <c r="H16" i="15" s="1"/>
  <c r="F17" i="15"/>
  <c r="F15" i="15"/>
  <c r="F16" i="15" s="1"/>
  <c r="E17" i="15"/>
  <c r="E15" i="15"/>
  <c r="E16" i="15" s="1"/>
  <c r="D17" i="15"/>
  <c r="D15" i="15"/>
  <c r="D16" i="15" s="1"/>
  <c r="L14" i="15"/>
  <c r="C17" i="14"/>
  <c r="C16" i="14"/>
  <c r="J17" i="14"/>
  <c r="J15" i="14"/>
  <c r="J16" i="14" s="1"/>
  <c r="I17" i="14"/>
  <c r="I15" i="14"/>
  <c r="I16" i="14" s="1"/>
  <c r="H17" i="14"/>
  <c r="H15" i="14"/>
  <c r="H16" i="14" s="1"/>
  <c r="F17" i="14"/>
  <c r="F15" i="14"/>
  <c r="F16" i="14" s="1"/>
  <c r="E17" i="14"/>
  <c r="E15" i="14"/>
  <c r="E16" i="14" s="1"/>
  <c r="D17" i="14"/>
  <c r="L14" i="14"/>
  <c r="D15" i="14"/>
  <c r="D16" i="14" s="1"/>
  <c r="J17" i="13"/>
  <c r="J15" i="13"/>
  <c r="J16" i="13" s="1"/>
  <c r="H17" i="13"/>
  <c r="I17" i="13"/>
  <c r="I15" i="13"/>
  <c r="I16" i="13" s="1"/>
  <c r="C17" i="13"/>
  <c r="C16" i="13"/>
  <c r="L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J17" i="12"/>
  <c r="J15" i="12"/>
  <c r="J16" i="12" s="1"/>
  <c r="I17" i="12"/>
  <c r="I15" i="12"/>
  <c r="I16" i="12" s="1"/>
  <c r="H17" i="12"/>
  <c r="H15" i="12"/>
  <c r="H16" i="12" s="1"/>
  <c r="F17" i="12"/>
  <c r="F15" i="12"/>
  <c r="F16" i="12" s="1"/>
  <c r="E17" i="12"/>
  <c r="E15" i="12"/>
  <c r="E16" i="12" s="1"/>
  <c r="D17" i="12"/>
  <c r="D15" i="12"/>
  <c r="D16" i="12" s="1"/>
  <c r="L14" i="12"/>
  <c r="C17" i="10"/>
  <c r="C16" i="10"/>
  <c r="J17" i="10"/>
  <c r="J15" i="10"/>
  <c r="J16" i="10" s="1"/>
  <c r="I17" i="10"/>
  <c r="I15" i="10"/>
  <c r="I16" i="10" s="1"/>
  <c r="H17" i="10"/>
  <c r="F17" i="10"/>
  <c r="F15" i="10"/>
  <c r="F16" i="10" s="1"/>
  <c r="E17" i="10"/>
  <c r="E15" i="10"/>
  <c r="E16" i="10" s="1"/>
  <c r="D17" i="10"/>
  <c r="D15" i="10"/>
  <c r="D16" i="10" s="1"/>
  <c r="L14" i="10"/>
  <c r="H17" i="6"/>
  <c r="K14" i="6"/>
  <c r="K14" i="4"/>
  <c r="J14" i="4"/>
  <c r="J17" i="4" s="1"/>
  <c r="I14" i="4"/>
  <c r="I17" i="4" s="1"/>
  <c r="H14" i="4"/>
  <c r="H17" i="4" s="1"/>
  <c r="G14" i="4"/>
  <c r="F14" i="4"/>
  <c r="F17" i="4" s="1"/>
  <c r="E14" i="4"/>
  <c r="E17" i="4" s="1"/>
  <c r="D14" i="4"/>
  <c r="D17" i="4" s="1"/>
  <c r="C14" i="4"/>
  <c r="C17" i="4" s="1"/>
  <c r="L17" i="16" l="1"/>
  <c r="L17" i="17"/>
  <c r="L17" i="15"/>
  <c r="L17" i="14"/>
  <c r="L17" i="13"/>
  <c r="L17" i="12"/>
  <c r="L17" i="10"/>
  <c r="K13" i="3"/>
  <c r="J13" i="3"/>
  <c r="I13" i="3"/>
  <c r="H13" i="3"/>
  <c r="G13" i="3"/>
  <c r="F13" i="3"/>
  <c r="E13" i="3"/>
  <c r="D13" i="3"/>
  <c r="C13" i="3"/>
  <c r="K18" i="2" l="1"/>
  <c r="J18" i="2"/>
  <c r="I18" i="2"/>
  <c r="H18" i="2"/>
  <c r="G18" i="2"/>
  <c r="F18" i="2"/>
  <c r="E18" i="2"/>
  <c r="D18" i="2"/>
  <c r="C15" i="2"/>
</calcChain>
</file>

<file path=xl/sharedStrings.xml><?xml version="1.0" encoding="utf-8"?>
<sst xmlns="http://schemas.openxmlformats.org/spreadsheetml/2006/main" count="844" uniqueCount="81">
  <si>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</si>
  <si>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</si>
  <si>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</si>
  <si>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</si>
  <si>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</si>
  <si>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</si>
  <si>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</si>
  <si>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</si>
  <si>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</si>
  <si>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</si>
  <si>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 xml:space="preserve">Zahid </t>
  </si>
  <si>
    <t xml:space="preserve">Mubeen </t>
  </si>
  <si>
    <t>LEM</t>
  </si>
  <si>
    <t>CHK</t>
  </si>
  <si>
    <t>Meat</t>
  </si>
  <si>
    <t>Salman</t>
  </si>
  <si>
    <t xml:space="preserve">Zeshan </t>
  </si>
  <si>
    <t>Zahid</t>
  </si>
  <si>
    <t>Salman aslam</t>
  </si>
  <si>
    <t>zeshan</t>
  </si>
  <si>
    <t>zahid</t>
  </si>
  <si>
    <t>salman</t>
  </si>
  <si>
    <t>mubeen</t>
  </si>
  <si>
    <t>furqan</t>
  </si>
  <si>
    <t xml:space="preserve">zahid </t>
  </si>
  <si>
    <t>salman butt</t>
  </si>
  <si>
    <t>Zahid Rafique</t>
  </si>
  <si>
    <t>zeeshan</t>
  </si>
  <si>
    <t>Furqan Ali</t>
  </si>
  <si>
    <t>Salman Butt</t>
  </si>
  <si>
    <t xml:space="preserve">Mobeen </t>
  </si>
  <si>
    <t xml:space="preserve">Total </t>
  </si>
  <si>
    <t>Furqan</t>
  </si>
  <si>
    <t xml:space="preserve">Last Month </t>
  </si>
  <si>
    <t>Mubeen</t>
  </si>
  <si>
    <t>shops</t>
  </si>
  <si>
    <t>ctns</t>
  </si>
  <si>
    <t xml:space="preserve">Mebeen </t>
  </si>
  <si>
    <t>Saturday</t>
  </si>
  <si>
    <t>With FOC</t>
  </si>
  <si>
    <t>FOC</t>
  </si>
  <si>
    <t>SKU Wise</t>
  </si>
  <si>
    <t xml:space="preserve">Pcs </t>
  </si>
  <si>
    <t xml:space="preserve">Ctns </t>
  </si>
  <si>
    <t>Gourmet</t>
  </si>
  <si>
    <t>Meat 70</t>
  </si>
  <si>
    <t>Lemon 70</t>
  </si>
  <si>
    <t>Masala 70</t>
  </si>
  <si>
    <t>Meat 120</t>
  </si>
  <si>
    <t>Lemon 120</t>
  </si>
  <si>
    <t>Chk 120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</si>
  <si>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</si>
  <si>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</si>
  <si>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</si>
  <si>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</si>
  <si>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</si>
  <si>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</si>
  <si>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Nbeel</t>
  </si>
  <si>
    <t>Shops</t>
  </si>
  <si>
    <t>Ctns</t>
  </si>
  <si>
    <t xml:space="preserve">Furqan </t>
  </si>
  <si>
    <t xml:space="preserve"> </t>
  </si>
  <si>
    <t>ok</t>
  </si>
  <si>
    <t>opening</t>
  </si>
  <si>
    <t>meat 70</t>
  </si>
  <si>
    <t>Rambo Jameel</t>
  </si>
  <si>
    <t>Rambo me</t>
  </si>
  <si>
    <t xml:space="preserve">Executed </t>
  </si>
  <si>
    <t xml:space="preserve">Umair </t>
  </si>
  <si>
    <t>Executed</t>
  </si>
  <si>
    <t>Zeshan</t>
  </si>
  <si>
    <t>Umair</t>
  </si>
  <si>
    <t xml:space="preserve">Shakoor </t>
  </si>
  <si>
    <t>Bilal</t>
  </si>
  <si>
    <t xml:space="preserve">Aslam </t>
  </si>
  <si>
    <t>Booking</t>
  </si>
  <si>
    <t>Umer</t>
  </si>
  <si>
    <t xml:space="preserve">Sum </t>
  </si>
  <si>
    <t>Supply</t>
  </si>
  <si>
    <t>Execution</t>
  </si>
  <si>
    <t xml:space="preserve">Shops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</si>
</sst>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6" borderId="0" xfId="0" applyFont="1" applyFill="1"/>
    <xf numFmtId="0" fontId="0" fillId="3" borderId="15" xfId="0" applyFill="1" applyBorder="1"/>
    <xf numFmtId="0" fontId="4" fillId="0" borderId="15" xfId="0" applyFont="1" applyBorder="1"/>
    <xf numFmtId="0" fontId="2" fillId="0" borderId="27" xfId="0" applyFont="1" applyBorder="1" applyAlignment="1">
      <alignment horizontal="center" vertical="center"/>
    </xf>
    <xf numFmtId="0" fontId="2" fillId="4" borderId="15" xfId="0" applyFont="1" applyFill="1" applyBorder="1"/>
    <xf numFmtId="0" fontId="2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2" fillId="7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7" borderId="15" xfId="0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topLeftCell="A16" zoomScale="115" zoomScaleNormal="115" workbookViewId="0">
      <selection activeCell="L11" sqref="L11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1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1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1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1" ht="15" thickBot="1" x14ac:dyDescent="0.4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1" x14ac:dyDescent="0.35">
      <c r="A7" s="4" t="s">
        <v>4</v>
      </c>
      <c r="B7" s="4" t="s">
        <v>5</v>
      </c>
      <c r="C7" s="5" t="s">
        <v>6</v>
      </c>
      <c r="D7" s="6" t="s">
        <v>14</v>
      </c>
      <c r="E7" s="7" t="s">
        <v>12</v>
      </c>
      <c r="F7" s="7" t="s">
        <v>13</v>
      </c>
      <c r="G7" s="8" t="s">
        <v>8</v>
      </c>
      <c r="H7" s="9" t="s">
        <v>14</v>
      </c>
      <c r="I7" s="7" t="s">
        <v>7</v>
      </c>
      <c r="J7" s="7" t="s">
        <v>13</v>
      </c>
      <c r="K7" s="8" t="s">
        <v>8</v>
      </c>
    </row>
    <row r="8" spans="1:11" x14ac:dyDescent="0.35">
      <c r="A8" s="27"/>
      <c r="B8" s="10" t="s">
        <v>33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32</v>
      </c>
    </row>
    <row r="23" spans="1:11" x14ac:dyDescent="0.35">
      <c r="B23" t="s">
        <v>71</v>
      </c>
    </row>
    <row r="24" spans="1:11" x14ac:dyDescent="0.35">
      <c r="B24" t="s">
        <v>70</v>
      </c>
    </row>
    <row r="25" spans="1:11" x14ac:dyDescent="0.35">
      <c r="B25" t="s">
        <v>15</v>
      </c>
    </row>
    <row r="26" spans="1:11" x14ac:dyDescent="0.35">
      <c r="B26" t="s">
        <v>34</v>
      </c>
    </row>
    <row r="27" spans="1:11" x14ac:dyDescent="0.35">
      <c r="B27" t="s">
        <v>72</v>
      </c>
    </row>
    <row r="28" spans="1:11" x14ac:dyDescent="0.35">
      <c r="B28" t="s">
        <v>73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L19"/>
  <sheetViews>
    <sheetView zoomScale="130" zoomScaleNormal="130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46174</v>
      </c>
      <c r="B8" s="10" t="s">
        <v>17</v>
      </c>
      <c r="C8" s="12">
        <v>110</v>
      </c>
      <c r="D8" s="12">
        <v>16</v>
      </c>
      <c r="E8" s="12">
        <v>10</v>
      </c>
      <c r="F8" s="12">
        <v>10</v>
      </c>
      <c r="G8" s="28">
        <f>SUM(D8:F8)/20</f>
        <v>1.8</v>
      </c>
      <c r="H8" s="12">
        <v>25</v>
      </c>
      <c r="I8" s="12">
        <v>17</v>
      </c>
      <c r="J8" s="12">
        <v>21</v>
      </c>
      <c r="K8" s="28">
        <f>SUM(H8:J8)/20</f>
        <v>3.15</v>
      </c>
      <c r="L8">
        <f>SUM(C8:F8,H8,I8,J8)/40</f>
        <v>5.2249999999999996</v>
      </c>
    </row>
    <row r="9" spans="1:12" x14ac:dyDescent="0.35">
      <c r="A9" s="27">
        <v>46174</v>
      </c>
      <c r="B9" s="10" t="s">
        <v>18</v>
      </c>
      <c r="C9" s="12">
        <v>80</v>
      </c>
      <c r="D9" s="12">
        <v>16</v>
      </c>
      <c r="E9" s="12">
        <v>10</v>
      </c>
      <c r="F9" s="12">
        <v>10</v>
      </c>
      <c r="G9" s="28">
        <f>SUM(D9:F9)/20</f>
        <v>1.8</v>
      </c>
      <c r="H9" s="12">
        <v>25</v>
      </c>
      <c r="I9" s="12">
        <v>17</v>
      </c>
      <c r="J9" s="12">
        <v>20</v>
      </c>
      <c r="K9" s="28">
        <f>SUM(H9:J9)/20</f>
        <v>3.1</v>
      </c>
      <c r="L9">
        <f t="shared" ref="L9:L12" si="0">SUM(C9:F9,H9,I9,J9)/40</f>
        <v>4.45</v>
      </c>
    </row>
    <row r="10" spans="1:12" x14ac:dyDescent="0.35">
      <c r="A10" s="27"/>
      <c r="B10" s="10"/>
      <c r="C10" s="12"/>
      <c r="D10" s="12"/>
      <c r="E10" s="12"/>
      <c r="F10" s="12"/>
      <c r="G10" s="28">
        <f>SUM(D10:F10)/20</f>
        <v>0</v>
      </c>
      <c r="H10" s="12"/>
      <c r="I10" s="12"/>
      <c r="J10" s="12"/>
      <c r="K10" s="28">
        <f>SUM(H10:J10)/20</f>
        <v>0</v>
      </c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190</v>
      </c>
      <c r="D14" s="14">
        <f t="shared" si="1"/>
        <v>32</v>
      </c>
      <c r="E14" s="14">
        <f t="shared" si="1"/>
        <v>20</v>
      </c>
      <c r="F14" s="14">
        <f t="shared" si="1"/>
        <v>20</v>
      </c>
      <c r="G14" s="14">
        <f t="shared" si="1"/>
        <v>3.6</v>
      </c>
      <c r="H14" s="14">
        <f t="shared" si="1"/>
        <v>50</v>
      </c>
      <c r="I14" s="14">
        <f t="shared" si="1"/>
        <v>34</v>
      </c>
      <c r="J14" s="14">
        <f t="shared" si="1"/>
        <v>41</v>
      </c>
      <c r="K14" s="14">
        <f t="shared" si="1"/>
        <v>6.25</v>
      </c>
      <c r="L14" s="36">
        <f>C14+D14+E14+F14+H14+I14+J14</f>
        <v>387</v>
      </c>
    </row>
    <row r="15" spans="1:12" x14ac:dyDescent="0.35">
      <c r="A15" s="13"/>
      <c r="B15" s="10" t="s">
        <v>40</v>
      </c>
      <c r="C15" s="13"/>
      <c r="D15" s="13">
        <f>D14/20</f>
        <v>1.6</v>
      </c>
      <c r="E15" s="13">
        <f t="shared" ref="E15:J15" si="2">E14/20</f>
        <v>1</v>
      </c>
      <c r="F15" s="13">
        <f t="shared" si="2"/>
        <v>1</v>
      </c>
      <c r="G15" s="13"/>
      <c r="H15" s="13">
        <f t="shared" si="2"/>
        <v>2.5</v>
      </c>
      <c r="I15" s="13">
        <f t="shared" si="2"/>
        <v>1.7</v>
      </c>
      <c r="J15" s="13">
        <f t="shared" si="2"/>
        <v>2.0499999999999998</v>
      </c>
      <c r="K15" s="13"/>
    </row>
    <row r="16" spans="1:12" x14ac:dyDescent="0.35">
      <c r="A16" s="13"/>
      <c r="B16" s="10" t="s">
        <v>39</v>
      </c>
      <c r="C16" s="37">
        <f>C15+C14</f>
        <v>190</v>
      </c>
      <c r="D16" s="37">
        <f t="shared" ref="D16:J16" si="3">D15+D14</f>
        <v>33.6</v>
      </c>
      <c r="E16" s="37">
        <f t="shared" si="3"/>
        <v>21</v>
      </c>
      <c r="F16" s="37">
        <f t="shared" si="3"/>
        <v>21</v>
      </c>
      <c r="G16" s="37"/>
      <c r="H16" s="37">
        <f t="shared" si="3"/>
        <v>52.5</v>
      </c>
      <c r="I16" s="37">
        <f t="shared" si="3"/>
        <v>35.700000000000003</v>
      </c>
      <c r="J16" s="37">
        <f t="shared" si="3"/>
        <v>43.05</v>
      </c>
      <c r="K16" s="37"/>
    </row>
    <row r="17" spans="1:12" x14ac:dyDescent="0.35">
      <c r="A17" s="13"/>
      <c r="B17" s="40" t="s">
        <v>41</v>
      </c>
      <c r="C17" s="37">
        <f>C14/40</f>
        <v>4.75</v>
      </c>
      <c r="D17" s="37">
        <f t="shared" ref="D17:J17" si="4">D14/40</f>
        <v>0.8</v>
      </c>
      <c r="E17" s="37">
        <f t="shared" si="4"/>
        <v>0.5</v>
      </c>
      <c r="F17" s="37">
        <f t="shared" si="4"/>
        <v>0.5</v>
      </c>
      <c r="G17" s="37"/>
      <c r="H17" s="37">
        <f t="shared" si="4"/>
        <v>1.25</v>
      </c>
      <c r="I17" s="37">
        <f t="shared" si="4"/>
        <v>0.85</v>
      </c>
      <c r="J17" s="37">
        <f t="shared" si="4"/>
        <v>1.0249999999999999</v>
      </c>
      <c r="K17" s="37"/>
      <c r="L17" s="36">
        <f>SUM(C17:J17)</f>
        <v>9.6750000000000007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L19"/>
  <sheetViews>
    <sheetView topLeftCell="A2" zoomScale="115" zoomScaleNormal="115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46175</v>
      </c>
      <c r="B8" s="10" t="s">
        <v>16</v>
      </c>
      <c r="C8" s="12">
        <v>40</v>
      </c>
      <c r="D8" s="12">
        <v>40</v>
      </c>
      <c r="E8" s="12">
        <v>44</v>
      </c>
      <c r="F8" s="12">
        <v>22</v>
      </c>
      <c r="G8" s="28">
        <f>SUM(D8:F8)/20</f>
        <v>5.3</v>
      </c>
      <c r="H8" s="12">
        <v>27</v>
      </c>
      <c r="I8" s="12">
        <v>30</v>
      </c>
      <c r="J8" s="12">
        <v>40</v>
      </c>
      <c r="K8" s="28">
        <f>SUM(H8:J8)/20</f>
        <v>4.8499999999999996</v>
      </c>
      <c r="L8">
        <f>SUM(C8:F8,H8,I8,J8)/40</f>
        <v>6.0750000000000002</v>
      </c>
    </row>
    <row r="9" spans="1:12" x14ac:dyDescent="0.35">
      <c r="A9" s="27">
        <v>46175</v>
      </c>
      <c r="B9" s="10" t="s">
        <v>10</v>
      </c>
      <c r="C9" s="12">
        <v>0</v>
      </c>
      <c r="D9" s="12">
        <v>24</v>
      </c>
      <c r="E9" s="12">
        <v>20</v>
      </c>
      <c r="F9" s="12">
        <v>10</v>
      </c>
      <c r="G9" s="28">
        <f t="shared" ref="G9:G10" si="0">SUM(D9:F9)/20</f>
        <v>2.7</v>
      </c>
      <c r="H9" s="12">
        <v>15</v>
      </c>
      <c r="I9" s="12">
        <v>10</v>
      </c>
      <c r="J9" s="12">
        <v>20</v>
      </c>
      <c r="K9" s="28">
        <f t="shared" ref="K9:K10" si="1">SUM(H9:J9)/20</f>
        <v>2.25</v>
      </c>
      <c r="L9">
        <f t="shared" ref="L9:L12" si="2">SUM(C9:F9,H9,I9,J9)/40</f>
        <v>2.4750000000000001</v>
      </c>
    </row>
    <row r="10" spans="1:12" x14ac:dyDescent="0.35">
      <c r="A10" s="27"/>
      <c r="B10" s="10" t="s">
        <v>23</v>
      </c>
      <c r="C10" s="12"/>
      <c r="D10" s="12">
        <v>20</v>
      </c>
      <c r="E10" s="12">
        <v>20</v>
      </c>
      <c r="F10" s="12">
        <v>10</v>
      </c>
      <c r="G10" s="28">
        <f t="shared" si="0"/>
        <v>2.5</v>
      </c>
      <c r="H10" s="12">
        <v>15</v>
      </c>
      <c r="I10" s="12">
        <v>12</v>
      </c>
      <c r="J10" s="12">
        <v>11</v>
      </c>
      <c r="K10" s="28">
        <f t="shared" si="1"/>
        <v>1.9</v>
      </c>
      <c r="L10">
        <f t="shared" si="2"/>
        <v>2.2000000000000002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3">SUM(C8:C13)</f>
        <v>40</v>
      </c>
      <c r="D14" s="14">
        <f t="shared" si="3"/>
        <v>84</v>
      </c>
      <c r="E14" s="14">
        <f t="shared" si="3"/>
        <v>84</v>
      </c>
      <c r="F14" s="14">
        <f t="shared" si="3"/>
        <v>42</v>
      </c>
      <c r="G14" s="14">
        <f t="shared" si="3"/>
        <v>10.5</v>
      </c>
      <c r="H14" s="14">
        <f t="shared" si="3"/>
        <v>57</v>
      </c>
      <c r="I14" s="14">
        <f t="shared" si="3"/>
        <v>52</v>
      </c>
      <c r="J14" s="14">
        <f t="shared" si="3"/>
        <v>71</v>
      </c>
      <c r="K14" s="14">
        <f t="shared" si="3"/>
        <v>9</v>
      </c>
      <c r="L14" s="36">
        <f>C14+D14+E14+F14+H14+I14+J14</f>
        <v>430</v>
      </c>
    </row>
    <row r="15" spans="1:12" x14ac:dyDescent="0.35">
      <c r="A15" s="13"/>
      <c r="B15" s="10" t="s">
        <v>40</v>
      </c>
      <c r="C15" s="13"/>
      <c r="D15" s="13">
        <f>D14/20</f>
        <v>4.2</v>
      </c>
      <c r="E15" s="13">
        <f t="shared" ref="E15:J15" si="4">E14/20</f>
        <v>4.2</v>
      </c>
      <c r="F15" s="13">
        <f t="shared" si="4"/>
        <v>2.1</v>
      </c>
      <c r="G15" s="13"/>
      <c r="H15" s="13">
        <f t="shared" si="4"/>
        <v>2.85</v>
      </c>
      <c r="I15" s="13">
        <f t="shared" si="4"/>
        <v>2.6</v>
      </c>
      <c r="J15" s="13">
        <f t="shared" si="4"/>
        <v>3.55</v>
      </c>
      <c r="K15" s="13"/>
    </row>
    <row r="16" spans="1:12" x14ac:dyDescent="0.35">
      <c r="A16" s="13"/>
      <c r="B16" s="10" t="s">
        <v>39</v>
      </c>
      <c r="C16" s="37">
        <f>C15+C14</f>
        <v>40</v>
      </c>
      <c r="D16" s="37">
        <f t="shared" ref="D16:J16" si="5">D15+D14</f>
        <v>88.2</v>
      </c>
      <c r="E16" s="37">
        <f t="shared" si="5"/>
        <v>88.2</v>
      </c>
      <c r="F16" s="37">
        <f t="shared" si="5"/>
        <v>44.1</v>
      </c>
      <c r="G16" s="37"/>
      <c r="H16" s="37">
        <f t="shared" si="5"/>
        <v>59.85</v>
      </c>
      <c r="I16" s="37">
        <f t="shared" si="5"/>
        <v>54.6</v>
      </c>
      <c r="J16" s="37">
        <f t="shared" si="5"/>
        <v>74.55</v>
      </c>
      <c r="K16" s="37"/>
    </row>
    <row r="17" spans="1:12" x14ac:dyDescent="0.35">
      <c r="A17" s="13"/>
      <c r="B17" s="40" t="s">
        <v>41</v>
      </c>
      <c r="C17" s="37">
        <f>C14/40</f>
        <v>1</v>
      </c>
      <c r="D17" s="37">
        <f t="shared" ref="D17:J17" si="6">D14/40</f>
        <v>2.1</v>
      </c>
      <c r="E17" s="37">
        <f t="shared" si="6"/>
        <v>2.1</v>
      </c>
      <c r="F17" s="37">
        <f t="shared" si="6"/>
        <v>1.05</v>
      </c>
      <c r="G17" s="37"/>
      <c r="H17" s="37">
        <f t="shared" si="6"/>
        <v>1.425</v>
      </c>
      <c r="I17" s="37">
        <f t="shared" si="6"/>
        <v>1.3</v>
      </c>
      <c r="J17" s="37">
        <f t="shared" si="6"/>
        <v>1.7749999999999999</v>
      </c>
      <c r="K17" s="37"/>
      <c r="L17" s="36">
        <f>SUM(C17:J17)</f>
        <v>10.75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L19"/>
  <sheetViews>
    <sheetView topLeftCell="A3" zoomScale="130" zoomScaleNormal="130" workbookViewId="0">
      <selection activeCell="L11" sqref="L11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46176</v>
      </c>
      <c r="B8" s="10" t="s">
        <v>19</v>
      </c>
      <c r="C8" s="12">
        <v>50</v>
      </c>
      <c r="D8" s="12">
        <v>10</v>
      </c>
      <c r="E8" s="12">
        <v>20</v>
      </c>
      <c r="F8" s="12">
        <v>20</v>
      </c>
      <c r="G8" s="28">
        <f>SUM(D8:F8)/20</f>
        <v>2.5</v>
      </c>
      <c r="H8" s="12">
        <v>80</v>
      </c>
      <c r="I8" s="12">
        <v>58</v>
      </c>
      <c r="J8" s="12">
        <v>61</v>
      </c>
      <c r="K8" s="28">
        <f>SUM(H8:J8)/20</f>
        <v>9.9499999999999993</v>
      </c>
      <c r="L8">
        <f>SUM(C8:F8,H8,I8,J8)/40</f>
        <v>7.4749999999999996</v>
      </c>
    </row>
    <row r="9" spans="1:12" x14ac:dyDescent="0.35">
      <c r="A9" s="27">
        <v>46176</v>
      </c>
      <c r="B9" s="10" t="s">
        <v>20</v>
      </c>
      <c r="C9" s="12">
        <v>50</v>
      </c>
      <c r="D9" s="12">
        <v>10</v>
      </c>
      <c r="E9" s="12">
        <v>30</v>
      </c>
      <c r="F9" s="12">
        <v>20</v>
      </c>
      <c r="G9" s="28">
        <f t="shared" ref="G9:G12" si="0">SUM(D9:F9)/20</f>
        <v>3</v>
      </c>
      <c r="H9" s="12">
        <v>60</v>
      </c>
      <c r="I9" s="12">
        <v>62</v>
      </c>
      <c r="J9" s="12">
        <v>82</v>
      </c>
      <c r="K9" s="28">
        <f t="shared" ref="K9:K12" si="1">SUM(H9:J9)/20</f>
        <v>10.199999999999999</v>
      </c>
      <c r="L9">
        <f t="shared" ref="L9:L12" si="2">SUM(C9:F9,H9,I9,J9)/40</f>
        <v>7.85</v>
      </c>
    </row>
    <row r="10" spans="1:12" x14ac:dyDescent="0.35">
      <c r="A10" s="27">
        <v>46176</v>
      </c>
      <c r="B10" s="10" t="s">
        <v>21</v>
      </c>
      <c r="C10" s="12">
        <v>30</v>
      </c>
      <c r="D10" s="12">
        <v>20</v>
      </c>
      <c r="E10" s="12">
        <v>30</v>
      </c>
      <c r="F10" s="12">
        <v>10</v>
      </c>
      <c r="G10" s="28">
        <f t="shared" si="0"/>
        <v>3</v>
      </c>
      <c r="H10" s="12">
        <v>60</v>
      </c>
      <c r="I10" s="12">
        <v>62</v>
      </c>
      <c r="J10" s="12">
        <v>63</v>
      </c>
      <c r="K10" s="28">
        <f t="shared" si="1"/>
        <v>9.25</v>
      </c>
      <c r="L10">
        <f t="shared" si="2"/>
        <v>6.875</v>
      </c>
    </row>
    <row r="11" spans="1:12" x14ac:dyDescent="0.35">
      <c r="A11" s="27">
        <v>46176</v>
      </c>
      <c r="B11" s="11" t="s">
        <v>22</v>
      </c>
      <c r="C11" s="12">
        <v>20</v>
      </c>
      <c r="D11" s="12">
        <v>8</v>
      </c>
      <c r="E11" s="12">
        <v>20</v>
      </c>
      <c r="F11" s="12">
        <v>10</v>
      </c>
      <c r="G11" s="28">
        <f t="shared" si="0"/>
        <v>1.9</v>
      </c>
      <c r="H11" s="12">
        <v>80</v>
      </c>
      <c r="I11" s="12">
        <v>46</v>
      </c>
      <c r="J11" s="12">
        <v>81</v>
      </c>
      <c r="K11" s="28">
        <f t="shared" si="1"/>
        <v>10.35</v>
      </c>
      <c r="L11">
        <f t="shared" si="2"/>
        <v>6.625</v>
      </c>
    </row>
    <row r="12" spans="1:12" x14ac:dyDescent="0.35">
      <c r="A12" s="27">
        <v>46176</v>
      </c>
      <c r="B12" s="11" t="s">
        <v>23</v>
      </c>
      <c r="C12" s="12">
        <v>50</v>
      </c>
      <c r="D12" s="12">
        <v>0</v>
      </c>
      <c r="E12" s="12">
        <v>11</v>
      </c>
      <c r="F12" s="12">
        <v>24</v>
      </c>
      <c r="G12" s="28">
        <f t="shared" si="0"/>
        <v>1.75</v>
      </c>
      <c r="H12" s="12">
        <v>44</v>
      </c>
      <c r="I12" s="12">
        <v>60</v>
      </c>
      <c r="J12" s="12">
        <v>83</v>
      </c>
      <c r="K12" s="28">
        <f t="shared" si="1"/>
        <v>9.35</v>
      </c>
      <c r="L12">
        <f t="shared" si="2"/>
        <v>6.8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3">SUM(C8:C13)</f>
        <v>200</v>
      </c>
      <c r="D14" s="14">
        <f t="shared" si="3"/>
        <v>48</v>
      </c>
      <c r="E14" s="14">
        <f t="shared" si="3"/>
        <v>111</v>
      </c>
      <c r="F14" s="14">
        <f t="shared" si="3"/>
        <v>84</v>
      </c>
      <c r="G14" s="14">
        <f t="shared" si="3"/>
        <v>12.15</v>
      </c>
      <c r="H14" s="14">
        <f t="shared" si="3"/>
        <v>324</v>
      </c>
      <c r="I14" s="14">
        <f t="shared" si="3"/>
        <v>288</v>
      </c>
      <c r="J14" s="14">
        <f t="shared" si="3"/>
        <v>370</v>
      </c>
      <c r="K14" s="14">
        <f t="shared" si="3"/>
        <v>49.1</v>
      </c>
      <c r="L14" s="36">
        <f>C14+D14+E14+F14+H14+I14+J14</f>
        <v>1425</v>
      </c>
    </row>
    <row r="15" spans="1:12" x14ac:dyDescent="0.35">
      <c r="A15" s="13"/>
      <c r="B15" s="10" t="s">
        <v>40</v>
      </c>
      <c r="C15" s="13"/>
      <c r="D15" s="13">
        <f>D14/20</f>
        <v>2.4</v>
      </c>
      <c r="E15" s="13">
        <f t="shared" ref="E15:J15" si="4">E14/20</f>
        <v>5.55</v>
      </c>
      <c r="F15" s="13">
        <f t="shared" si="4"/>
        <v>4.2</v>
      </c>
      <c r="G15" s="13"/>
      <c r="H15" s="13">
        <f t="shared" si="4"/>
        <v>16.2</v>
      </c>
      <c r="I15" s="13">
        <f t="shared" si="4"/>
        <v>14.4</v>
      </c>
      <c r="J15" s="13">
        <f t="shared" si="4"/>
        <v>18.5</v>
      </c>
      <c r="K15" s="13"/>
    </row>
    <row r="16" spans="1:12" x14ac:dyDescent="0.35">
      <c r="A16" s="13"/>
      <c r="B16" s="10" t="s">
        <v>39</v>
      </c>
      <c r="C16" s="37">
        <f>C15+C14</f>
        <v>200</v>
      </c>
      <c r="D16" s="37">
        <f t="shared" ref="D16:J16" si="5">D15+D14</f>
        <v>50.4</v>
      </c>
      <c r="E16" s="37">
        <f t="shared" si="5"/>
        <v>116.55</v>
      </c>
      <c r="F16" s="37">
        <f t="shared" si="5"/>
        <v>88.2</v>
      </c>
      <c r="G16" s="37"/>
      <c r="H16" s="37">
        <f t="shared" si="5"/>
        <v>340.2</v>
      </c>
      <c r="I16" s="37">
        <f t="shared" si="5"/>
        <v>302.39999999999998</v>
      </c>
      <c r="J16" s="37">
        <f t="shared" si="5"/>
        <v>388.5</v>
      </c>
      <c r="K16" s="37"/>
    </row>
    <row r="17" spans="1:12" x14ac:dyDescent="0.35">
      <c r="A17" s="13"/>
      <c r="B17" s="40" t="s">
        <v>41</v>
      </c>
      <c r="C17" s="37">
        <f>C14/40</f>
        <v>5</v>
      </c>
      <c r="D17" s="37">
        <f t="shared" ref="D17:J17" si="6">D14/40</f>
        <v>1.2</v>
      </c>
      <c r="E17" s="37">
        <f t="shared" si="6"/>
        <v>2.7749999999999999</v>
      </c>
      <c r="F17" s="37">
        <f t="shared" si="6"/>
        <v>2.1</v>
      </c>
      <c r="G17" s="37"/>
      <c r="H17" s="37">
        <f t="shared" si="6"/>
        <v>8.1</v>
      </c>
      <c r="I17" s="37">
        <f t="shared" si="6"/>
        <v>7.2</v>
      </c>
      <c r="J17" s="37">
        <f t="shared" si="6"/>
        <v>9.25</v>
      </c>
      <c r="K17" s="37"/>
      <c r="L17" s="36">
        <f>SUM(C17:J17)</f>
        <v>35.625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L19"/>
  <sheetViews>
    <sheetView topLeftCell="A2" zoomScale="115" zoomScaleNormal="115" workbookViewId="0">
      <selection activeCell="L11" sqref="L11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46177</v>
      </c>
      <c r="B8" s="10" t="s">
        <v>24</v>
      </c>
      <c r="C8" s="12">
        <v>130</v>
      </c>
      <c r="D8" s="12">
        <v>97</v>
      </c>
      <c r="E8" s="12">
        <v>80</v>
      </c>
      <c r="F8" s="12">
        <v>80</v>
      </c>
      <c r="G8" s="28">
        <f>SUM(D8:F8)/20</f>
        <v>12.85</v>
      </c>
      <c r="H8" s="12">
        <v>105</v>
      </c>
      <c r="I8" s="12">
        <v>130</v>
      </c>
      <c r="J8" s="12">
        <v>118</v>
      </c>
      <c r="K8" s="28">
        <f>SUM(H8:J8)/20</f>
        <v>17.649999999999999</v>
      </c>
      <c r="L8">
        <f>SUM(C8:F8,H8,I8,J8)/40</f>
        <v>18.5</v>
      </c>
    </row>
    <row r="9" spans="1:12" x14ac:dyDescent="0.35">
      <c r="A9" s="27">
        <v>46177</v>
      </c>
      <c r="B9" s="10" t="s">
        <v>25</v>
      </c>
      <c r="C9" s="12">
        <v>140</v>
      </c>
      <c r="D9" s="12">
        <v>98</v>
      </c>
      <c r="E9" s="12">
        <v>70</v>
      </c>
      <c r="F9" s="12">
        <v>84</v>
      </c>
      <c r="G9" s="28">
        <f t="shared" ref="G9:G13" si="0">SUM(D9:F9)/20</f>
        <v>12.6</v>
      </c>
      <c r="H9" s="12">
        <v>80</v>
      </c>
      <c r="I9" s="12">
        <v>100</v>
      </c>
      <c r="J9" s="12">
        <v>116</v>
      </c>
      <c r="K9" s="28">
        <f t="shared" ref="K9:K13" si="1">SUM(H9:J9)/20</f>
        <v>14.8</v>
      </c>
      <c r="L9">
        <f t="shared" ref="L9:L12" si="2">SUM(C9:F9,H9,I9,J9)/40</f>
        <v>17.2</v>
      </c>
    </row>
    <row r="10" spans="1:12" x14ac:dyDescent="0.35">
      <c r="A10" s="27">
        <v>46177</v>
      </c>
      <c r="B10" s="10" t="s">
        <v>22</v>
      </c>
      <c r="C10" s="12">
        <v>129</v>
      </c>
      <c r="D10" s="12">
        <v>103</v>
      </c>
      <c r="E10" s="12">
        <v>60</v>
      </c>
      <c r="F10" s="12">
        <v>100</v>
      </c>
      <c r="G10" s="28">
        <f t="shared" si="0"/>
        <v>13.15</v>
      </c>
      <c r="H10" s="12">
        <v>51</v>
      </c>
      <c r="I10" s="12">
        <v>100</v>
      </c>
      <c r="J10" s="12">
        <v>122</v>
      </c>
      <c r="K10" s="28">
        <f t="shared" si="1"/>
        <v>13.65</v>
      </c>
      <c r="L10">
        <f t="shared" si="2"/>
        <v>16.625</v>
      </c>
    </row>
    <row r="11" spans="1:12" x14ac:dyDescent="0.35">
      <c r="A11" s="27">
        <v>46177</v>
      </c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</row>
    <row r="12" spans="1:12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</row>
    <row r="13" spans="1:12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</row>
    <row r="14" spans="1:12" x14ac:dyDescent="0.35">
      <c r="A14" s="13"/>
      <c r="B14" s="10"/>
      <c r="C14" s="14">
        <f t="shared" ref="C14:K14" si="3">SUM(C8:C13)</f>
        <v>399</v>
      </c>
      <c r="D14" s="14">
        <f t="shared" si="3"/>
        <v>298</v>
      </c>
      <c r="E14" s="14">
        <f t="shared" si="3"/>
        <v>210</v>
      </c>
      <c r="F14" s="14">
        <f t="shared" si="3"/>
        <v>264</v>
      </c>
      <c r="G14" s="14">
        <f t="shared" si="3"/>
        <v>38.6</v>
      </c>
      <c r="H14" s="14">
        <f t="shared" si="3"/>
        <v>236</v>
      </c>
      <c r="I14" s="14">
        <f t="shared" si="3"/>
        <v>330</v>
      </c>
      <c r="J14" s="14">
        <f t="shared" si="3"/>
        <v>356</v>
      </c>
      <c r="K14" s="14">
        <f t="shared" si="3"/>
        <v>46.1</v>
      </c>
      <c r="L14" s="36">
        <f>C14+D14+E14+F14+H14+I14+J14</f>
        <v>2093</v>
      </c>
    </row>
    <row r="15" spans="1:12" x14ac:dyDescent="0.35">
      <c r="A15" s="13"/>
      <c r="B15" s="10" t="s">
        <v>40</v>
      </c>
      <c r="C15" s="13"/>
      <c r="D15" s="13">
        <f>D14/20</f>
        <v>14.9</v>
      </c>
      <c r="E15" s="13">
        <f t="shared" ref="E15:J15" si="4">E14/20</f>
        <v>10.5</v>
      </c>
      <c r="F15" s="13">
        <f t="shared" si="4"/>
        <v>13.2</v>
      </c>
      <c r="G15" s="13"/>
      <c r="H15" s="13">
        <f t="shared" si="4"/>
        <v>11.8</v>
      </c>
      <c r="I15" s="13">
        <f t="shared" si="4"/>
        <v>16.5</v>
      </c>
      <c r="J15" s="13">
        <f t="shared" si="4"/>
        <v>17.8</v>
      </c>
      <c r="K15" s="13"/>
    </row>
    <row r="16" spans="1:12" x14ac:dyDescent="0.35">
      <c r="A16" s="13"/>
      <c r="B16" s="10" t="s">
        <v>39</v>
      </c>
      <c r="C16" s="37">
        <f>C15+C14</f>
        <v>399</v>
      </c>
      <c r="D16" s="37">
        <f t="shared" ref="D16:J16" si="5">D15+D14</f>
        <v>312.89999999999998</v>
      </c>
      <c r="E16" s="37">
        <f t="shared" si="5"/>
        <v>220.5</v>
      </c>
      <c r="F16" s="37">
        <f t="shared" si="5"/>
        <v>277.2</v>
      </c>
      <c r="G16" s="37"/>
      <c r="H16" s="37">
        <f t="shared" si="5"/>
        <v>247.8</v>
      </c>
      <c r="I16" s="37">
        <f t="shared" si="5"/>
        <v>346.5</v>
      </c>
      <c r="J16" s="37">
        <f t="shared" si="5"/>
        <v>373.8</v>
      </c>
      <c r="K16" s="37"/>
    </row>
    <row r="17" spans="1:12" x14ac:dyDescent="0.35">
      <c r="A17" s="13"/>
      <c r="B17" s="40" t="s">
        <v>41</v>
      </c>
      <c r="C17" s="37">
        <f>C14/40</f>
        <v>9.9749999999999996</v>
      </c>
      <c r="D17" s="37">
        <f t="shared" ref="D17:J17" si="6">D14/40</f>
        <v>7.45</v>
      </c>
      <c r="E17" s="37">
        <f t="shared" si="6"/>
        <v>5.25</v>
      </c>
      <c r="F17" s="37">
        <f t="shared" si="6"/>
        <v>6.6</v>
      </c>
      <c r="G17" s="37"/>
      <c r="H17" s="37">
        <f t="shared" si="6"/>
        <v>5.9</v>
      </c>
      <c r="I17" s="37">
        <f t="shared" si="6"/>
        <v>8.25</v>
      </c>
      <c r="J17" s="37">
        <f t="shared" si="6"/>
        <v>8.9</v>
      </c>
      <c r="K17" s="37"/>
      <c r="L17" s="36">
        <f>SUM(C17:J17)</f>
        <v>52.324999999999996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L20"/>
  <sheetViews>
    <sheetView zoomScale="130" zoomScaleNormal="130" workbookViewId="0">
      <selection activeCell="L11" sqref="L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5.81640625" bestFit="1" customWidth="1"/>
    <col min="8" max="8" width="3.36328125" bestFit="1" customWidth="1"/>
    <col min="9" max="9" width="3.6328125" bestFit="1" customWidth="1"/>
    <col min="10" max="10" width="4.2695312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ht="14.5" customHeight="1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4.5" customHeight="1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ht="14.5" customHeight="1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ht="15" customHeight="1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46178</v>
      </c>
      <c r="B8" s="10" t="s">
        <v>9</v>
      </c>
      <c r="C8" s="12">
        <v>62</v>
      </c>
      <c r="D8" s="12">
        <v>142</v>
      </c>
      <c r="E8" s="12">
        <v>102</v>
      </c>
      <c r="F8" s="12">
        <v>168</v>
      </c>
      <c r="G8" s="28">
        <v>20</v>
      </c>
      <c r="H8" s="12">
        <v>51</v>
      </c>
      <c r="I8" s="12">
        <v>43</v>
      </c>
      <c r="J8" s="12">
        <v>46</v>
      </c>
      <c r="K8" s="28">
        <v>7</v>
      </c>
      <c r="L8">
        <f>SUM(C8:F8,H8,I8,J8)/40</f>
        <v>15.35</v>
      </c>
    </row>
    <row r="9" spans="1:12" x14ac:dyDescent="0.35">
      <c r="A9" s="27">
        <v>46178</v>
      </c>
      <c r="B9" s="10" t="s">
        <v>10</v>
      </c>
      <c r="C9" s="12">
        <v>36</v>
      </c>
      <c r="D9" s="12">
        <v>57</v>
      </c>
      <c r="E9" s="12">
        <v>27</v>
      </c>
      <c r="F9" s="12">
        <v>0</v>
      </c>
      <c r="G9" s="28">
        <v>3</v>
      </c>
      <c r="H9" s="12">
        <v>80</v>
      </c>
      <c r="I9" s="12">
        <v>90</v>
      </c>
      <c r="J9" s="12">
        <v>110</v>
      </c>
      <c r="K9" s="28">
        <v>14</v>
      </c>
      <c r="L9">
        <f t="shared" ref="L9:L12" si="0">SUM(C9:F9,H9,I9,J9)/40</f>
        <v>10</v>
      </c>
    </row>
    <row r="10" spans="1:12" x14ac:dyDescent="0.35">
      <c r="A10" s="27">
        <v>46178</v>
      </c>
      <c r="B10" s="10" t="s">
        <v>11</v>
      </c>
      <c r="C10" s="12">
        <v>80</v>
      </c>
      <c r="D10" s="12">
        <v>0</v>
      </c>
      <c r="E10" s="12">
        <v>0</v>
      </c>
      <c r="F10" s="12">
        <v>0</v>
      </c>
      <c r="G10" s="28">
        <v>0</v>
      </c>
      <c r="H10" s="12">
        <v>16</v>
      </c>
      <c r="I10" s="12">
        <v>16</v>
      </c>
      <c r="J10" s="12">
        <v>26</v>
      </c>
      <c r="K10" s="28">
        <v>2</v>
      </c>
      <c r="L10">
        <f t="shared" si="0"/>
        <v>3.45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3"/>
      <c r="B12" s="11">
        <f>SUM(C8:F11,H8:J11)/40</f>
        <v>28.8</v>
      </c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3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36">
        <f>C14+D14+E14+F14+H14+I14+J14</f>
        <v>0</v>
      </c>
    </row>
    <row r="15" spans="1:12" x14ac:dyDescent="0.35">
      <c r="A15" s="13"/>
      <c r="B15" s="10" t="s">
        <v>40</v>
      </c>
      <c r="C15" s="14">
        <f t="shared" ref="C15" si="1">SUM(C8:C14)</f>
        <v>178</v>
      </c>
      <c r="D15" s="14">
        <f>D14/20</f>
        <v>0</v>
      </c>
      <c r="E15" s="14">
        <f t="shared" ref="E15:J15" si="2">E14/20</f>
        <v>0</v>
      </c>
      <c r="F15" s="14">
        <f t="shared" si="2"/>
        <v>0</v>
      </c>
      <c r="G15" s="14"/>
      <c r="H15" s="14">
        <f t="shared" si="2"/>
        <v>0</v>
      </c>
      <c r="I15" s="14">
        <f t="shared" si="2"/>
        <v>0</v>
      </c>
      <c r="J15" s="14">
        <f t="shared" si="2"/>
        <v>0</v>
      </c>
      <c r="K15" s="14"/>
    </row>
    <row r="16" spans="1:12" x14ac:dyDescent="0.35">
      <c r="A16" s="13"/>
      <c r="B16" s="10" t="s">
        <v>39</v>
      </c>
      <c r="C16" s="13">
        <f>C15+C14</f>
        <v>178</v>
      </c>
      <c r="D16" s="13">
        <f t="shared" ref="D16:J16" si="3">D15+D14</f>
        <v>0</v>
      </c>
      <c r="E16" s="13">
        <f t="shared" si="3"/>
        <v>0</v>
      </c>
      <c r="F16" s="13">
        <f t="shared" si="3"/>
        <v>0</v>
      </c>
      <c r="G16" s="13"/>
      <c r="H16" s="13">
        <f t="shared" si="3"/>
        <v>0</v>
      </c>
      <c r="I16" s="13">
        <f t="shared" si="3"/>
        <v>0</v>
      </c>
      <c r="J16" s="13">
        <f t="shared" si="3"/>
        <v>0</v>
      </c>
      <c r="K16" s="13"/>
    </row>
    <row r="17" spans="1:12" x14ac:dyDescent="0.35">
      <c r="A17" s="13"/>
      <c r="B17" s="40" t="s">
        <v>41</v>
      </c>
      <c r="C17" s="37"/>
      <c r="D17" s="37"/>
      <c r="E17" s="37"/>
      <c r="F17" s="37"/>
      <c r="G17" s="37"/>
      <c r="H17" s="37"/>
      <c r="I17" s="37"/>
      <c r="J17" s="37"/>
      <c r="K17" s="37"/>
      <c r="L17" s="36">
        <f>SUM(C17:J17)</f>
        <v>0</v>
      </c>
    </row>
    <row r="18" spans="1:12" x14ac:dyDescent="0.35">
      <c r="A18" s="1"/>
      <c r="B18" s="1"/>
      <c r="C18" s="42"/>
      <c r="D18" s="26">
        <f t="shared" ref="D18:K18" si="4">D15/40</f>
        <v>0</v>
      </c>
      <c r="E18" s="26">
        <f t="shared" si="4"/>
        <v>0</v>
      </c>
      <c r="F18" s="26">
        <f t="shared" si="4"/>
        <v>0</v>
      </c>
      <c r="G18" s="26">
        <f t="shared" si="4"/>
        <v>0</v>
      </c>
      <c r="H18" s="26">
        <f t="shared" si="4"/>
        <v>0</v>
      </c>
      <c r="I18" s="26">
        <f t="shared" si="4"/>
        <v>0</v>
      </c>
      <c r="J18" s="26">
        <f t="shared" si="4"/>
        <v>0</v>
      </c>
      <c r="K18" s="26">
        <f t="shared" si="4"/>
        <v>0</v>
      </c>
    </row>
    <row r="20" spans="1:12" x14ac:dyDescent="0.35">
      <c r="A20" s="1"/>
      <c r="B20" s="1"/>
      <c r="C20" s="26"/>
      <c r="D20" s="26"/>
      <c r="E20" s="26"/>
      <c r="F20" s="26"/>
      <c r="G20" s="26"/>
      <c r="H20" s="26"/>
      <c r="I20" s="26"/>
      <c r="J20" s="26"/>
      <c r="K20" s="26"/>
    </row>
  </sheetData>
  <mergeCells count="3">
    <mergeCell ref="B2:K5"/>
    <mergeCell ref="D6:G6"/>
    <mergeCell ref="H6:K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L18"/>
  <sheetViews>
    <sheetView zoomScale="130" zoomScaleNormal="130" workbookViewId="0">
      <selection activeCell="L11" sqref="L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5.81640625" bestFit="1" customWidth="1"/>
    <col min="8" max="8" width="3.54296875" bestFit="1" customWidth="1"/>
    <col min="9" max="10" width="4.2695312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7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46179</v>
      </c>
      <c r="B8" s="10" t="s">
        <v>15</v>
      </c>
      <c r="C8" s="12">
        <v>170</v>
      </c>
      <c r="D8" s="12">
        <v>70</v>
      </c>
      <c r="E8" s="12">
        <v>70</v>
      </c>
      <c r="F8" s="12">
        <v>100</v>
      </c>
      <c r="G8" s="28">
        <v>12</v>
      </c>
      <c r="H8" s="12">
        <v>215</v>
      </c>
      <c r="I8" s="12">
        <v>215</v>
      </c>
      <c r="J8" s="12">
        <v>230</v>
      </c>
      <c r="K8" s="28">
        <v>33</v>
      </c>
      <c r="L8">
        <f>SUM(C8:F8,H8,I8,J8)/40</f>
        <v>26.75</v>
      </c>
    </row>
    <row r="9" spans="1:12" x14ac:dyDescent="0.35">
      <c r="A9" s="27">
        <v>46179</v>
      </c>
      <c r="B9" s="10" t="s">
        <v>16</v>
      </c>
      <c r="C9" s="12">
        <v>120</v>
      </c>
      <c r="D9" s="12">
        <v>40</v>
      </c>
      <c r="E9" s="12">
        <v>40</v>
      </c>
      <c r="F9" s="12">
        <v>0</v>
      </c>
      <c r="G9" s="28">
        <v>4</v>
      </c>
      <c r="H9" s="12">
        <v>55</v>
      </c>
      <c r="I9" s="12">
        <v>10</v>
      </c>
      <c r="J9" s="12">
        <v>55</v>
      </c>
      <c r="K9" s="28">
        <v>6</v>
      </c>
      <c r="L9">
        <f t="shared" ref="L9:L12" si="0">SUM(C9:F9,H9,I9,J9)/40</f>
        <v>8</v>
      </c>
    </row>
    <row r="10" spans="1:12" x14ac:dyDescent="0.35">
      <c r="A10" s="27"/>
      <c r="B10" s="10"/>
      <c r="C10" s="12"/>
      <c r="D10" s="12"/>
      <c r="E10" s="12"/>
      <c r="F10" s="12"/>
      <c r="G10" s="12"/>
      <c r="H10" s="12"/>
      <c r="I10" s="12"/>
      <c r="J10" s="12"/>
      <c r="K10" s="12"/>
      <c r="L10">
        <f t="shared" si="0"/>
        <v>0</v>
      </c>
    </row>
    <row r="11" spans="1:12" x14ac:dyDescent="0.35">
      <c r="A11" s="10"/>
      <c r="B11" s="10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0"/>
      <c r="B12" s="10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3"/>
      <c r="B13" s="10"/>
      <c r="C13" s="14">
        <f t="shared" ref="C13:K13" si="1">SUM(C8:C12)</f>
        <v>290</v>
      </c>
      <c r="D13" s="14">
        <f t="shared" si="1"/>
        <v>110</v>
      </c>
      <c r="E13" s="14">
        <f t="shared" si="1"/>
        <v>110</v>
      </c>
      <c r="F13" s="14">
        <f t="shared" si="1"/>
        <v>100</v>
      </c>
      <c r="G13" s="14">
        <f t="shared" si="1"/>
        <v>16</v>
      </c>
      <c r="H13" s="14">
        <f t="shared" si="1"/>
        <v>270</v>
      </c>
      <c r="I13" s="14">
        <f t="shared" si="1"/>
        <v>225</v>
      </c>
      <c r="J13" s="14">
        <f t="shared" si="1"/>
        <v>285</v>
      </c>
      <c r="K13" s="14">
        <f t="shared" si="1"/>
        <v>39</v>
      </c>
    </row>
    <row r="14" spans="1:12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36">
        <f>C14+D14+E14+F14+H14+I14+J14</f>
        <v>0</v>
      </c>
    </row>
    <row r="15" spans="1:12" x14ac:dyDescent="0.35">
      <c r="A15" s="13"/>
      <c r="B15" s="10" t="s">
        <v>40</v>
      </c>
      <c r="C15" s="37"/>
      <c r="D15" s="37">
        <f>D14/20</f>
        <v>0</v>
      </c>
      <c r="E15" s="37">
        <f t="shared" ref="E15:J15" si="2">E14/20</f>
        <v>0</v>
      </c>
      <c r="F15" s="37">
        <f t="shared" si="2"/>
        <v>0</v>
      </c>
      <c r="G15" s="37"/>
      <c r="H15" s="37">
        <f t="shared" si="2"/>
        <v>0</v>
      </c>
      <c r="I15" s="37">
        <f t="shared" si="2"/>
        <v>0</v>
      </c>
      <c r="J15" s="37">
        <f t="shared" si="2"/>
        <v>0</v>
      </c>
      <c r="K15" s="37"/>
    </row>
    <row r="16" spans="1:12" x14ac:dyDescent="0.35">
      <c r="A16" s="13"/>
      <c r="B16" s="13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41"/>
      <c r="B17" s="40" t="s">
        <v>41</v>
      </c>
      <c r="C17" s="41"/>
      <c r="D17" s="41"/>
      <c r="E17" s="41"/>
      <c r="F17" s="41"/>
      <c r="G17" s="41"/>
      <c r="H17" s="41"/>
      <c r="I17" s="41"/>
      <c r="J17" s="41"/>
      <c r="K17" s="41"/>
      <c r="L17" s="36">
        <f>SUM(C17:J17)</f>
        <v>0</v>
      </c>
    </row>
    <row r="18" spans="1:12" x14ac:dyDescent="0.35">
      <c r="C18" s="32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L19"/>
  <sheetViews>
    <sheetView topLeftCell="A4" zoomScale="130" zoomScaleNormal="130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29"/>
      <c r="D8" s="29"/>
      <c r="E8" s="29"/>
      <c r="F8" s="29"/>
      <c r="G8" s="29"/>
      <c r="H8" s="29"/>
      <c r="I8" s="29"/>
      <c r="J8" s="29"/>
      <c r="K8" s="29"/>
      <c r="L8">
        <f>SUM(C8:F8,H8,I8,J8)/40</f>
        <v>0</v>
      </c>
    </row>
    <row r="9" spans="1:12" x14ac:dyDescent="0.35">
      <c r="A9" s="27"/>
      <c r="B9" s="10"/>
      <c r="C9" s="29"/>
      <c r="D9" s="29"/>
      <c r="E9" s="29"/>
      <c r="F9" s="29"/>
      <c r="G9" s="29"/>
      <c r="H9" s="29"/>
      <c r="I9" s="29"/>
      <c r="J9" s="29"/>
      <c r="K9" s="29"/>
      <c r="L9">
        <f t="shared" ref="L9:L12" si="0">SUM(C9:F9,H9,I9,J9)/40</f>
        <v>0</v>
      </c>
    </row>
    <row r="10" spans="1:12" x14ac:dyDescent="0.35">
      <c r="A10" s="27"/>
      <c r="B10" s="10"/>
      <c r="C10" s="29"/>
      <c r="D10" s="29"/>
      <c r="E10" s="29"/>
      <c r="F10" s="29"/>
      <c r="G10" s="29"/>
      <c r="H10" s="29"/>
      <c r="I10" s="29"/>
      <c r="J10" s="29"/>
      <c r="K10" s="29"/>
      <c r="L10">
        <f t="shared" si="0"/>
        <v>0</v>
      </c>
    </row>
    <row r="11" spans="1:12" x14ac:dyDescent="0.35">
      <c r="A11" s="11"/>
      <c r="B11" s="11"/>
      <c r="C11" s="29"/>
      <c r="D11" s="29"/>
      <c r="E11" s="29"/>
      <c r="F11" s="29"/>
      <c r="G11" s="29"/>
      <c r="H11" s="29"/>
      <c r="I11" s="29"/>
      <c r="J11" s="29"/>
      <c r="K11" s="29"/>
      <c r="L11">
        <f t="shared" si="0"/>
        <v>0</v>
      </c>
    </row>
    <row r="12" spans="1:12" x14ac:dyDescent="0.35">
      <c r="A12" s="11"/>
      <c r="B12" s="11"/>
      <c r="C12" s="29"/>
      <c r="D12" s="29"/>
      <c r="E12" s="29"/>
      <c r="F12" s="29"/>
      <c r="G12" s="29"/>
      <c r="H12" s="29"/>
      <c r="I12" s="29"/>
      <c r="J12" s="29"/>
      <c r="K12" s="29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L19"/>
  <sheetViews>
    <sheetView topLeftCell="A4" zoomScale="130" zoomScaleNormal="130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>
        <v>46181</v>
      </c>
      <c r="B8" s="10" t="s">
        <v>11</v>
      </c>
      <c r="C8" s="12"/>
      <c r="D8" s="12">
        <v>70</v>
      </c>
      <c r="E8" s="12">
        <v>70</v>
      </c>
      <c r="F8" s="12">
        <v>80</v>
      </c>
      <c r="G8" s="28">
        <v>11</v>
      </c>
      <c r="H8" s="12">
        <v>60</v>
      </c>
      <c r="I8" s="12">
        <v>52</v>
      </c>
      <c r="J8" s="12">
        <v>70</v>
      </c>
      <c r="K8" s="28">
        <v>9</v>
      </c>
      <c r="L8">
        <f>SUM(C8:F8,H8,I8,J8)/40</f>
        <v>10.050000000000001</v>
      </c>
    </row>
    <row r="9" spans="1:12" x14ac:dyDescent="0.35">
      <c r="A9" s="27">
        <v>46181</v>
      </c>
      <c r="B9" s="10" t="s">
        <v>9</v>
      </c>
      <c r="C9" s="12">
        <v>52</v>
      </c>
      <c r="D9" s="12">
        <v>118</v>
      </c>
      <c r="E9" s="12">
        <v>87</v>
      </c>
      <c r="F9" s="12">
        <v>115</v>
      </c>
      <c r="G9" s="28">
        <v>16</v>
      </c>
      <c r="H9" s="12">
        <v>95</v>
      </c>
      <c r="I9" s="12">
        <v>70</v>
      </c>
      <c r="J9" s="12">
        <v>95</v>
      </c>
      <c r="K9" s="28">
        <v>13</v>
      </c>
      <c r="L9">
        <f t="shared" ref="L9:L12" si="0">SUM(C9:F9,H9,I9,J9)/40</f>
        <v>15.8</v>
      </c>
    </row>
    <row r="10" spans="1:12" x14ac:dyDescent="0.35">
      <c r="A10" s="27">
        <v>46181</v>
      </c>
      <c r="B10" s="10" t="s">
        <v>16</v>
      </c>
      <c r="C10" s="12">
        <v>120</v>
      </c>
      <c r="D10" s="12">
        <v>223</v>
      </c>
      <c r="E10" s="12">
        <v>123</v>
      </c>
      <c r="F10" s="12">
        <v>64</v>
      </c>
      <c r="G10" s="28">
        <v>20</v>
      </c>
      <c r="H10" s="12">
        <v>153</v>
      </c>
      <c r="I10" s="12">
        <v>108</v>
      </c>
      <c r="J10" s="12">
        <v>229</v>
      </c>
      <c r="K10" s="28">
        <v>24</v>
      </c>
      <c r="L10">
        <f t="shared" si="0"/>
        <v>25.5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172</v>
      </c>
      <c r="D14" s="14">
        <f t="shared" si="1"/>
        <v>411</v>
      </c>
      <c r="E14" s="14">
        <f t="shared" si="1"/>
        <v>280</v>
      </c>
      <c r="F14" s="14">
        <f t="shared" si="1"/>
        <v>259</v>
      </c>
      <c r="G14" s="14">
        <f t="shared" si="1"/>
        <v>47</v>
      </c>
      <c r="H14" s="14">
        <f t="shared" si="1"/>
        <v>308</v>
      </c>
      <c r="I14" s="14">
        <f t="shared" si="1"/>
        <v>230</v>
      </c>
      <c r="J14" s="14">
        <f t="shared" si="1"/>
        <v>394</v>
      </c>
      <c r="K14" s="14">
        <f t="shared" si="1"/>
        <v>46</v>
      </c>
      <c r="L14" s="36">
        <f>C14+D14+E14+F14+H14+I14+J14</f>
        <v>2054</v>
      </c>
    </row>
    <row r="15" spans="1:12" x14ac:dyDescent="0.35">
      <c r="A15" s="13"/>
      <c r="B15" s="10" t="s">
        <v>40</v>
      </c>
      <c r="C15" s="13"/>
      <c r="D15" s="13">
        <f>D14/20</f>
        <v>20.55</v>
      </c>
      <c r="E15" s="13">
        <f t="shared" ref="E15:J15" si="2">E14/20</f>
        <v>14</v>
      </c>
      <c r="F15" s="13">
        <f t="shared" si="2"/>
        <v>12.95</v>
      </c>
      <c r="G15" s="13"/>
      <c r="H15" s="13">
        <f t="shared" si="2"/>
        <v>15.4</v>
      </c>
      <c r="I15" s="13">
        <f t="shared" si="2"/>
        <v>11.5</v>
      </c>
      <c r="J15" s="13">
        <f t="shared" si="2"/>
        <v>19.7</v>
      </c>
      <c r="K15" s="13"/>
    </row>
    <row r="16" spans="1:12" x14ac:dyDescent="0.35">
      <c r="A16" s="13"/>
      <c r="B16" s="10" t="s">
        <v>39</v>
      </c>
      <c r="C16" s="37">
        <f>C15+C14</f>
        <v>172</v>
      </c>
      <c r="D16" s="37">
        <f t="shared" ref="D16:J16" si="3">D15+D14</f>
        <v>431.55</v>
      </c>
      <c r="E16" s="37">
        <f t="shared" si="3"/>
        <v>294</v>
      </c>
      <c r="F16" s="37">
        <f t="shared" si="3"/>
        <v>271.95</v>
      </c>
      <c r="G16" s="37"/>
      <c r="H16" s="37">
        <f t="shared" si="3"/>
        <v>323.39999999999998</v>
      </c>
      <c r="I16" s="37">
        <f t="shared" si="3"/>
        <v>241.5</v>
      </c>
      <c r="J16" s="37">
        <f t="shared" si="3"/>
        <v>413.7</v>
      </c>
      <c r="K16" s="37"/>
    </row>
    <row r="17" spans="1:12" x14ac:dyDescent="0.35">
      <c r="A17" s="13"/>
      <c r="B17" s="40" t="s">
        <v>41</v>
      </c>
      <c r="C17" s="37">
        <f>C14/40</f>
        <v>4.3</v>
      </c>
      <c r="D17" s="37">
        <f t="shared" ref="D17:J17" si="4">D14/40</f>
        <v>10.275</v>
      </c>
      <c r="E17" s="37">
        <f t="shared" si="4"/>
        <v>7</v>
      </c>
      <c r="F17" s="37">
        <f t="shared" si="4"/>
        <v>6.4749999999999996</v>
      </c>
      <c r="G17" s="37"/>
      <c r="H17" s="37">
        <f t="shared" si="4"/>
        <v>7.7</v>
      </c>
      <c r="I17" s="37">
        <f t="shared" si="4"/>
        <v>5.75</v>
      </c>
      <c r="J17" s="37">
        <f t="shared" si="4"/>
        <v>9.85</v>
      </c>
      <c r="K17" s="37"/>
      <c r="L17" s="36">
        <f>SUM(C17:J17)</f>
        <v>51.35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L19"/>
  <sheetViews>
    <sheetView topLeftCell="A2" zoomScale="115" zoomScaleNormal="115"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 t="s">
        <v>26</v>
      </c>
      <c r="C8" s="12"/>
      <c r="D8" s="12"/>
      <c r="E8" s="12"/>
      <c r="F8" s="12"/>
      <c r="G8" s="30">
        <f>SUM(D8:F8)/20</f>
        <v>0</v>
      </c>
      <c r="H8" s="12">
        <v>6</v>
      </c>
      <c r="I8" s="12">
        <v>7</v>
      </c>
      <c r="J8" s="12">
        <v>7</v>
      </c>
      <c r="K8" s="30">
        <f>SUM(H8:J8)/20</f>
        <v>1</v>
      </c>
      <c r="L8">
        <f>SUM(C8:F8,H8,I8,J8)/40</f>
        <v>0.5</v>
      </c>
    </row>
    <row r="9" spans="1:12" x14ac:dyDescent="0.35">
      <c r="A9" s="27"/>
      <c r="B9" s="10" t="s">
        <v>21</v>
      </c>
      <c r="C9" s="12">
        <v>4</v>
      </c>
      <c r="D9" s="12">
        <v>33</v>
      </c>
      <c r="E9" s="12">
        <v>32</v>
      </c>
      <c r="F9" s="12">
        <v>55</v>
      </c>
      <c r="G9" s="30">
        <f t="shared" ref="G9:G13" si="0">SUM(D9:F9)/20</f>
        <v>6</v>
      </c>
      <c r="H9" s="12">
        <v>13</v>
      </c>
      <c r="I9" s="12">
        <v>12</v>
      </c>
      <c r="J9" s="12">
        <v>0</v>
      </c>
      <c r="K9" s="30">
        <f t="shared" ref="K9:K14" si="1">SUM(H9:J9)/20</f>
        <v>1.25</v>
      </c>
      <c r="L9">
        <f t="shared" ref="L9:L12" si="2">SUM(C9:F9,H9,I9,J9)/40</f>
        <v>3.7250000000000001</v>
      </c>
    </row>
    <row r="10" spans="1:12" x14ac:dyDescent="0.35">
      <c r="A10" s="27"/>
      <c r="B10" s="10" t="s">
        <v>27</v>
      </c>
      <c r="C10" s="12">
        <v>130</v>
      </c>
      <c r="D10" s="12">
        <v>20</v>
      </c>
      <c r="E10" s="12">
        <v>20</v>
      </c>
      <c r="F10" s="12">
        <v>80</v>
      </c>
      <c r="G10" s="30">
        <f t="shared" si="0"/>
        <v>6</v>
      </c>
      <c r="H10" s="12">
        <v>10</v>
      </c>
      <c r="I10" s="12">
        <v>5</v>
      </c>
      <c r="J10" s="12">
        <v>6</v>
      </c>
      <c r="K10" s="30">
        <f t="shared" si="1"/>
        <v>1.05</v>
      </c>
      <c r="L10">
        <f t="shared" si="2"/>
        <v>6.7750000000000004</v>
      </c>
    </row>
    <row r="11" spans="1:12" x14ac:dyDescent="0.35">
      <c r="A11" s="11"/>
      <c r="B11" s="11" t="s">
        <v>28</v>
      </c>
      <c r="C11" s="12">
        <v>64</v>
      </c>
      <c r="D11" s="12">
        <v>55</v>
      </c>
      <c r="E11" s="12">
        <v>55</v>
      </c>
      <c r="F11" s="12">
        <v>10</v>
      </c>
      <c r="G11" s="30">
        <f t="shared" si="0"/>
        <v>6</v>
      </c>
      <c r="H11" s="12">
        <v>90</v>
      </c>
      <c r="I11" s="12">
        <v>80</v>
      </c>
      <c r="J11" s="12">
        <v>110</v>
      </c>
      <c r="K11" s="30">
        <f t="shared" si="1"/>
        <v>14</v>
      </c>
      <c r="L11">
        <f t="shared" si="2"/>
        <v>11.6</v>
      </c>
    </row>
    <row r="12" spans="1:12" x14ac:dyDescent="0.35">
      <c r="A12" s="11"/>
      <c r="B12" s="11" t="s">
        <v>29</v>
      </c>
      <c r="C12" s="12"/>
      <c r="D12" s="12"/>
      <c r="E12" s="12"/>
      <c r="F12" s="12"/>
      <c r="G12" s="30">
        <f t="shared" si="0"/>
        <v>0</v>
      </c>
      <c r="H12" s="12"/>
      <c r="I12" s="12"/>
      <c r="J12" s="12"/>
      <c r="K12" s="30">
        <f t="shared" si="1"/>
        <v>0</v>
      </c>
      <c r="L12">
        <f t="shared" si="2"/>
        <v>0</v>
      </c>
    </row>
    <row r="13" spans="1:12" x14ac:dyDescent="0.35">
      <c r="A13" s="11"/>
      <c r="B13" s="11" t="s">
        <v>30</v>
      </c>
      <c r="C13" s="12">
        <v>50</v>
      </c>
      <c r="D13" s="12">
        <v>30</v>
      </c>
      <c r="E13" s="12">
        <v>50</v>
      </c>
      <c r="F13" s="12">
        <v>60</v>
      </c>
      <c r="G13" s="30">
        <f t="shared" si="0"/>
        <v>7</v>
      </c>
      <c r="H13" s="12">
        <v>30</v>
      </c>
      <c r="I13" s="12">
        <v>20</v>
      </c>
      <c r="J13" s="12">
        <v>32</v>
      </c>
      <c r="K13" s="30">
        <f t="shared" si="1"/>
        <v>4.0999999999999996</v>
      </c>
    </row>
    <row r="14" spans="1:12" x14ac:dyDescent="0.35">
      <c r="A14" s="13"/>
      <c r="B14" s="10" t="s">
        <v>31</v>
      </c>
      <c r="C14" s="14">
        <f t="shared" ref="C14:J14" si="3">SUM(C8:C13)</f>
        <v>248</v>
      </c>
      <c r="D14" s="14">
        <f t="shared" si="3"/>
        <v>138</v>
      </c>
      <c r="E14" s="14">
        <f t="shared" si="3"/>
        <v>157</v>
      </c>
      <c r="F14" s="14">
        <f t="shared" si="3"/>
        <v>205</v>
      </c>
      <c r="G14" s="31">
        <f t="shared" si="3"/>
        <v>25</v>
      </c>
      <c r="H14" s="14">
        <f t="shared" si="3"/>
        <v>149</v>
      </c>
      <c r="I14" s="14">
        <f t="shared" si="3"/>
        <v>124</v>
      </c>
      <c r="J14" s="14">
        <f t="shared" si="3"/>
        <v>155</v>
      </c>
      <c r="K14" s="30">
        <f t="shared" si="1"/>
        <v>21.4</v>
      </c>
      <c r="L14" s="36">
        <f>C14+D14+E14+F14+H14+I14+J14</f>
        <v>1176</v>
      </c>
    </row>
    <row r="15" spans="1:12" x14ac:dyDescent="0.35">
      <c r="A15" s="13"/>
      <c r="B15" s="10" t="s">
        <v>40</v>
      </c>
      <c r="C15" s="13"/>
      <c r="D15" s="13">
        <f>D14/20</f>
        <v>6.9</v>
      </c>
      <c r="E15" s="13">
        <f t="shared" ref="E15:J15" si="4">E14/20</f>
        <v>7.85</v>
      </c>
      <c r="F15" s="13">
        <f t="shared" si="4"/>
        <v>10.25</v>
      </c>
      <c r="G15" s="13"/>
      <c r="H15" s="13">
        <f t="shared" si="4"/>
        <v>7.45</v>
      </c>
      <c r="I15" s="13">
        <f t="shared" si="4"/>
        <v>6.2</v>
      </c>
      <c r="J15" s="13">
        <f t="shared" si="4"/>
        <v>7.75</v>
      </c>
      <c r="K15" s="13"/>
    </row>
    <row r="16" spans="1:12" x14ac:dyDescent="0.35">
      <c r="A16" s="13"/>
      <c r="B16" s="10" t="s">
        <v>39</v>
      </c>
      <c r="C16" s="37">
        <f>C15+C14</f>
        <v>248</v>
      </c>
      <c r="D16" s="37">
        <f t="shared" ref="D16:J16" si="5">D15+D14</f>
        <v>144.9</v>
      </c>
      <c r="E16" s="37">
        <f t="shared" si="5"/>
        <v>164.85</v>
      </c>
      <c r="F16" s="37">
        <f t="shared" si="5"/>
        <v>215.25</v>
      </c>
      <c r="G16" s="37"/>
      <c r="H16" s="37">
        <f t="shared" si="5"/>
        <v>156.44999999999999</v>
      </c>
      <c r="I16" s="37">
        <f t="shared" si="5"/>
        <v>130.19999999999999</v>
      </c>
      <c r="J16" s="37">
        <f t="shared" si="5"/>
        <v>162.75</v>
      </c>
      <c r="K16" s="37"/>
    </row>
    <row r="17" spans="1:12" x14ac:dyDescent="0.35">
      <c r="A17" s="13"/>
      <c r="B17" s="40" t="s">
        <v>41</v>
      </c>
      <c r="C17" s="37">
        <f>C14/40</f>
        <v>6.2</v>
      </c>
      <c r="D17" s="37">
        <f t="shared" ref="D17:J17" si="6">D14/40</f>
        <v>3.45</v>
      </c>
      <c r="E17" s="37">
        <f t="shared" si="6"/>
        <v>3.9249999999999998</v>
      </c>
      <c r="F17" s="37">
        <f t="shared" si="6"/>
        <v>5.125</v>
      </c>
      <c r="G17" s="37"/>
      <c r="H17" s="37">
        <f t="shared" si="6"/>
        <v>3.7250000000000001</v>
      </c>
      <c r="I17" s="37">
        <f t="shared" si="6"/>
        <v>3.1</v>
      </c>
      <c r="J17" s="37">
        <f t="shared" si="6"/>
        <v>3.875</v>
      </c>
      <c r="K17" s="37"/>
      <c r="L17" s="36">
        <f>SUM(C17:J17)</f>
        <v>29.400000000000002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 t="s">
        <v>32</v>
      </c>
      <c r="C8" s="12"/>
      <c r="D8" s="12">
        <v>40</v>
      </c>
      <c r="E8" s="12">
        <v>40</v>
      </c>
      <c r="F8" s="12">
        <v>40</v>
      </c>
      <c r="G8" s="28">
        <f>SUM(D8:F8)/20</f>
        <v>6</v>
      </c>
      <c r="H8" s="12">
        <v>60</v>
      </c>
      <c r="I8" s="12">
        <v>70</v>
      </c>
      <c r="J8" s="12">
        <v>30</v>
      </c>
      <c r="K8" s="28">
        <f>SUM(H8:J8)/20</f>
        <v>8</v>
      </c>
      <c r="L8">
        <f>SUM(C8:F8,H8,I8,J8)/40</f>
        <v>7</v>
      </c>
    </row>
    <row r="9" spans="1:12" x14ac:dyDescent="0.35">
      <c r="A9" s="27"/>
      <c r="B9" s="10" t="s">
        <v>16</v>
      </c>
      <c r="C9" s="12">
        <v>80</v>
      </c>
      <c r="D9" s="12">
        <v>75</v>
      </c>
      <c r="E9" s="12">
        <v>82</v>
      </c>
      <c r="F9" s="12">
        <v>55</v>
      </c>
      <c r="G9" s="28"/>
      <c r="H9" s="12">
        <v>100</v>
      </c>
      <c r="I9" s="12">
        <v>139</v>
      </c>
      <c r="J9" s="12">
        <v>0</v>
      </c>
      <c r="K9" s="28"/>
      <c r="L9">
        <f t="shared" ref="L9:L12" si="0">SUM(C9:F9,H9,I9,J9)/40</f>
        <v>13.275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80</v>
      </c>
      <c r="D14" s="14">
        <f t="shared" si="1"/>
        <v>115</v>
      </c>
      <c r="E14" s="14">
        <f t="shared" si="1"/>
        <v>122</v>
      </c>
      <c r="F14" s="14">
        <f t="shared" si="1"/>
        <v>95</v>
      </c>
      <c r="G14" s="14">
        <f t="shared" si="1"/>
        <v>6</v>
      </c>
      <c r="H14" s="14">
        <f t="shared" si="1"/>
        <v>160</v>
      </c>
      <c r="I14" s="14">
        <f t="shared" si="1"/>
        <v>209</v>
      </c>
      <c r="J14" s="14">
        <f t="shared" si="1"/>
        <v>30</v>
      </c>
      <c r="K14" s="14">
        <f t="shared" si="1"/>
        <v>8</v>
      </c>
      <c r="L14" s="36">
        <f>C14+D14+E14+F14+H14+I14+J14</f>
        <v>811</v>
      </c>
    </row>
    <row r="15" spans="1:12" x14ac:dyDescent="0.35">
      <c r="A15" s="13"/>
      <c r="B15" s="10" t="s">
        <v>40</v>
      </c>
      <c r="C15" s="13"/>
      <c r="D15" s="13">
        <f>D14/20</f>
        <v>5.75</v>
      </c>
      <c r="E15" s="13">
        <f t="shared" ref="E15:J15" si="2">E14/20</f>
        <v>6.1</v>
      </c>
      <c r="F15" s="13">
        <f t="shared" si="2"/>
        <v>4.75</v>
      </c>
      <c r="G15" s="13"/>
      <c r="H15" s="13">
        <f t="shared" si="2"/>
        <v>8</v>
      </c>
      <c r="I15" s="13">
        <f t="shared" si="2"/>
        <v>10.45</v>
      </c>
      <c r="J15" s="13">
        <f t="shared" si="2"/>
        <v>1.5</v>
      </c>
      <c r="K15" s="13"/>
    </row>
    <row r="16" spans="1:12" x14ac:dyDescent="0.35">
      <c r="A16" s="13"/>
      <c r="B16" s="10" t="s">
        <v>39</v>
      </c>
      <c r="C16" s="37">
        <f>C15+C14</f>
        <v>80</v>
      </c>
      <c r="D16" s="37">
        <f t="shared" ref="D16:J16" si="3">D15+D14</f>
        <v>120.75</v>
      </c>
      <c r="E16" s="37">
        <f t="shared" si="3"/>
        <v>128.1</v>
      </c>
      <c r="F16" s="37">
        <f t="shared" si="3"/>
        <v>99.75</v>
      </c>
      <c r="G16" s="37"/>
      <c r="H16" s="37">
        <f t="shared" si="3"/>
        <v>168</v>
      </c>
      <c r="I16" s="37">
        <f t="shared" si="3"/>
        <v>219.45</v>
      </c>
      <c r="J16" s="37">
        <f t="shared" si="3"/>
        <v>31.5</v>
      </c>
      <c r="K16" s="37"/>
    </row>
    <row r="17" spans="1:12" x14ac:dyDescent="0.35">
      <c r="A17" s="13"/>
      <c r="B17" s="40" t="s">
        <v>41</v>
      </c>
      <c r="C17" s="37">
        <f>C14/40</f>
        <v>2</v>
      </c>
      <c r="D17" s="37">
        <f t="shared" ref="D17:J17" si="4">D14/40</f>
        <v>2.875</v>
      </c>
      <c r="E17" s="37">
        <f t="shared" si="4"/>
        <v>3.05</v>
      </c>
      <c r="F17" s="37">
        <f t="shared" si="4"/>
        <v>2.375</v>
      </c>
      <c r="G17" s="37"/>
      <c r="H17" s="37">
        <f t="shared" si="4"/>
        <v>4</v>
      </c>
      <c r="I17" s="37">
        <f t="shared" si="4"/>
        <v>5.2249999999999996</v>
      </c>
      <c r="J17" s="37">
        <f t="shared" si="4"/>
        <v>0.75</v>
      </c>
      <c r="K17" s="37"/>
      <c r="L17" s="36">
        <f>SUM(C17:J17)</f>
        <v>20.274999999999999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R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8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8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8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8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8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  <c r="Q6" s="33" t="s">
        <v>35</v>
      </c>
      <c r="R6" s="33" t="s">
        <v>36</v>
      </c>
    </row>
    <row r="7" spans="1:18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P7" t="s">
        <v>16</v>
      </c>
      <c r="Q7" s="32">
        <v>10</v>
      </c>
      <c r="R7" s="32">
        <v>16</v>
      </c>
    </row>
    <row r="8" spans="1:18" x14ac:dyDescent="0.35">
      <c r="A8" s="27"/>
      <c r="B8" s="10" t="s">
        <v>32</v>
      </c>
      <c r="C8" s="12">
        <v>28</v>
      </c>
      <c r="D8" s="12">
        <v>10</v>
      </c>
      <c r="E8" s="12">
        <v>10</v>
      </c>
      <c r="F8" s="12">
        <v>6</v>
      </c>
      <c r="G8" s="28">
        <f>SUM(D8:F8)/20</f>
        <v>1.3</v>
      </c>
      <c r="H8" s="12">
        <v>36</v>
      </c>
      <c r="I8" s="12">
        <v>10</v>
      </c>
      <c r="J8" s="12">
        <v>30</v>
      </c>
      <c r="K8" s="28">
        <f>SUM(H8:J8)/20</f>
        <v>3.8</v>
      </c>
      <c r="L8">
        <f>SUM(C8:F8,H8,I8,J8)/40</f>
        <v>3.25</v>
      </c>
      <c r="P8" t="s">
        <v>17</v>
      </c>
      <c r="Q8" s="32">
        <v>8</v>
      </c>
      <c r="R8" s="32">
        <v>13</v>
      </c>
    </row>
    <row r="9" spans="1:18" x14ac:dyDescent="0.35">
      <c r="A9" s="27"/>
      <c r="B9" s="10" t="s">
        <v>34</v>
      </c>
      <c r="C9" s="12"/>
      <c r="D9" s="12">
        <v>15</v>
      </c>
      <c r="E9" s="12">
        <v>30</v>
      </c>
      <c r="F9" s="12">
        <v>35</v>
      </c>
      <c r="G9" s="28">
        <f t="shared" ref="G9:G10" si="0">SUM(D9:F9)/20</f>
        <v>4</v>
      </c>
      <c r="H9" s="12">
        <v>70</v>
      </c>
      <c r="I9" s="12">
        <v>80</v>
      </c>
      <c r="J9" s="12">
        <v>90</v>
      </c>
      <c r="K9" s="28">
        <f t="shared" ref="K9:K10" si="1">SUM(H9:J9)/20</f>
        <v>12</v>
      </c>
      <c r="L9">
        <f t="shared" ref="L9:L12" si="2">SUM(C9:F9,H9,I9,J9)/40</f>
        <v>8</v>
      </c>
      <c r="P9" t="s">
        <v>34</v>
      </c>
      <c r="Q9" s="32">
        <v>5</v>
      </c>
      <c r="R9" s="32">
        <v>11</v>
      </c>
    </row>
    <row r="10" spans="1:18" x14ac:dyDescent="0.35">
      <c r="A10" s="27"/>
      <c r="B10" s="10" t="s">
        <v>16</v>
      </c>
      <c r="C10" s="12">
        <v>172</v>
      </c>
      <c r="D10" s="12">
        <v>90</v>
      </c>
      <c r="E10" s="12">
        <v>90</v>
      </c>
      <c r="F10" s="12">
        <v>80</v>
      </c>
      <c r="G10" s="28">
        <f t="shared" si="0"/>
        <v>13</v>
      </c>
      <c r="H10" s="12">
        <v>307</v>
      </c>
      <c r="I10" s="12">
        <v>256</v>
      </c>
      <c r="J10" s="12">
        <v>335</v>
      </c>
      <c r="K10" s="28">
        <f t="shared" si="1"/>
        <v>44.9</v>
      </c>
      <c r="L10">
        <f t="shared" si="2"/>
        <v>33.25</v>
      </c>
    </row>
    <row r="11" spans="1:18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8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8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8" x14ac:dyDescent="0.35">
      <c r="A14" s="13"/>
      <c r="B14" s="10"/>
      <c r="C14" s="14">
        <f t="shared" ref="C14:K14" si="3">SUM(C8:C13)</f>
        <v>200</v>
      </c>
      <c r="D14" s="14">
        <f t="shared" si="3"/>
        <v>115</v>
      </c>
      <c r="E14" s="14">
        <f t="shared" si="3"/>
        <v>130</v>
      </c>
      <c r="F14" s="14">
        <f t="shared" si="3"/>
        <v>121</v>
      </c>
      <c r="G14" s="14">
        <f t="shared" si="3"/>
        <v>18.3</v>
      </c>
      <c r="H14" s="14">
        <f t="shared" si="3"/>
        <v>413</v>
      </c>
      <c r="I14" s="14">
        <f t="shared" si="3"/>
        <v>346</v>
      </c>
      <c r="J14" s="14">
        <f t="shared" si="3"/>
        <v>455</v>
      </c>
      <c r="K14" s="14">
        <f t="shared" si="3"/>
        <v>60.7</v>
      </c>
      <c r="L14" s="36">
        <f>C14+D14+E14+F14+H14+I14+J14</f>
        <v>1780</v>
      </c>
    </row>
    <row r="15" spans="1:18" x14ac:dyDescent="0.35">
      <c r="A15" s="13"/>
      <c r="B15" s="10" t="s">
        <v>40</v>
      </c>
      <c r="C15" s="13"/>
      <c r="D15" s="13">
        <f>D14/20</f>
        <v>5.75</v>
      </c>
      <c r="E15" s="13">
        <f t="shared" ref="E15:J15" si="4">E14/20</f>
        <v>6.5</v>
      </c>
      <c r="F15" s="13">
        <f t="shared" si="4"/>
        <v>6.05</v>
      </c>
      <c r="G15" s="13"/>
      <c r="H15" s="13">
        <f t="shared" si="4"/>
        <v>20.65</v>
      </c>
      <c r="I15" s="13">
        <f t="shared" si="4"/>
        <v>17.3</v>
      </c>
      <c r="J15" s="13">
        <f t="shared" si="4"/>
        <v>22.75</v>
      </c>
      <c r="K15" s="13"/>
    </row>
    <row r="16" spans="1:18" x14ac:dyDescent="0.35">
      <c r="A16" s="13"/>
      <c r="B16" s="10" t="s">
        <v>39</v>
      </c>
      <c r="C16" s="37">
        <f>C15+C14</f>
        <v>200</v>
      </c>
      <c r="D16" s="37">
        <f t="shared" ref="D16:J16" si="5">D15+D14</f>
        <v>120.75</v>
      </c>
      <c r="E16" s="37">
        <f t="shared" si="5"/>
        <v>136.5</v>
      </c>
      <c r="F16" s="37">
        <f t="shared" si="5"/>
        <v>127.05</v>
      </c>
      <c r="G16" s="37"/>
      <c r="H16" s="37">
        <f t="shared" si="5"/>
        <v>433.65</v>
      </c>
      <c r="I16" s="37">
        <f t="shared" si="5"/>
        <v>363.3</v>
      </c>
      <c r="J16" s="37">
        <f t="shared" si="5"/>
        <v>477.75</v>
      </c>
      <c r="K16" s="37"/>
    </row>
    <row r="17" spans="1:12" x14ac:dyDescent="0.35">
      <c r="A17" s="13"/>
      <c r="B17" s="40" t="s">
        <v>41</v>
      </c>
      <c r="C17" s="37">
        <f>C14/40</f>
        <v>5</v>
      </c>
      <c r="D17" s="37">
        <f t="shared" ref="D17:J17" si="6">D14/40</f>
        <v>2.875</v>
      </c>
      <c r="E17" s="37">
        <f t="shared" si="6"/>
        <v>3.25</v>
      </c>
      <c r="F17" s="37">
        <f t="shared" si="6"/>
        <v>3.0249999999999999</v>
      </c>
      <c r="G17" s="37"/>
      <c r="H17" s="37">
        <f t="shared" si="6"/>
        <v>10.324999999999999</v>
      </c>
      <c r="I17" s="37">
        <f t="shared" si="6"/>
        <v>8.65</v>
      </c>
      <c r="J17" s="37">
        <f t="shared" si="6"/>
        <v>11.375</v>
      </c>
      <c r="K17" s="37"/>
      <c r="L17" s="36">
        <f>SUM(C17:J17)</f>
        <v>44.5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M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t="s">
        <v>38</v>
      </c>
    </row>
    <row r="2" spans="1:13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3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3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3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3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3" x14ac:dyDescent="0.35">
      <c r="A8" s="27"/>
      <c r="B8" s="10" t="s">
        <v>37</v>
      </c>
      <c r="C8" s="12">
        <v>52</v>
      </c>
      <c r="D8" s="12">
        <v>20</v>
      </c>
      <c r="E8" s="12">
        <v>40</v>
      </c>
      <c r="F8" s="12">
        <v>60</v>
      </c>
      <c r="G8" s="28">
        <f>SUM(D8:F8)/20</f>
        <v>6</v>
      </c>
      <c r="H8" s="12">
        <v>60</v>
      </c>
      <c r="I8" s="12">
        <v>60</v>
      </c>
      <c r="J8" s="12">
        <v>40</v>
      </c>
      <c r="K8" s="28">
        <f>SUM(H8:J8)/20</f>
        <v>8</v>
      </c>
      <c r="L8">
        <f>SUM(C8:F8,H8,I8,J8)/40</f>
        <v>8.3000000000000007</v>
      </c>
    </row>
    <row r="9" spans="1:13" x14ac:dyDescent="0.35">
      <c r="A9" s="27"/>
      <c r="B9" s="10" t="s">
        <v>10</v>
      </c>
      <c r="C9" s="12"/>
      <c r="D9" s="12">
        <v>20</v>
      </c>
      <c r="E9" s="12">
        <v>20</v>
      </c>
      <c r="F9" s="12">
        <v>0</v>
      </c>
      <c r="G9" s="28">
        <f>SUM(D9:F9)/20</f>
        <v>2</v>
      </c>
      <c r="H9" s="12">
        <v>145</v>
      </c>
      <c r="I9" s="12">
        <v>105</v>
      </c>
      <c r="J9" s="12">
        <v>116</v>
      </c>
      <c r="K9" s="28">
        <f>SUM(H9:J9)/20</f>
        <v>18.3</v>
      </c>
      <c r="L9">
        <f t="shared" ref="L9:L12" si="0">SUM(C9:F9,H9,I9,J9)/40</f>
        <v>10.15</v>
      </c>
    </row>
    <row r="10" spans="1:13" x14ac:dyDescent="0.35">
      <c r="A10" s="27"/>
      <c r="B10" s="10" t="s">
        <v>16</v>
      </c>
      <c r="C10" s="12">
        <v>50</v>
      </c>
      <c r="D10" s="12">
        <v>60</v>
      </c>
      <c r="E10" s="12">
        <v>60</v>
      </c>
      <c r="F10" s="12">
        <v>0</v>
      </c>
      <c r="G10" s="28">
        <f>SUM(D10:F10)/20</f>
        <v>6</v>
      </c>
      <c r="H10" s="12">
        <v>68</v>
      </c>
      <c r="I10" s="12">
        <v>66</v>
      </c>
      <c r="J10" s="12">
        <v>86</v>
      </c>
      <c r="K10" s="28">
        <f>SUM(H10:J10)/20</f>
        <v>11</v>
      </c>
      <c r="L10">
        <f t="shared" si="0"/>
        <v>9.75</v>
      </c>
    </row>
    <row r="11" spans="1:13" x14ac:dyDescent="0.35">
      <c r="A11" s="11"/>
      <c r="B11" s="11"/>
      <c r="C11" s="12"/>
      <c r="D11" s="12"/>
      <c r="E11" s="12"/>
      <c r="F11" s="12"/>
      <c r="G11" s="28">
        <f>SUM(D11:F11)/20</f>
        <v>0</v>
      </c>
      <c r="H11" s="12"/>
      <c r="I11" s="12"/>
      <c r="J11" s="12"/>
      <c r="K11" s="28">
        <f>SUM(H11:J11)/20</f>
        <v>0</v>
      </c>
      <c r="L11">
        <f t="shared" si="0"/>
        <v>0</v>
      </c>
    </row>
    <row r="12" spans="1:13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 t="s">
        <v>31</v>
      </c>
      <c r="C14" s="34">
        <f t="shared" ref="C14:K14" si="1">SUM(C8:C13)</f>
        <v>102</v>
      </c>
      <c r="D14" s="34">
        <f t="shared" si="1"/>
        <v>100</v>
      </c>
      <c r="E14" s="34">
        <f t="shared" si="1"/>
        <v>120</v>
      </c>
      <c r="F14" s="34">
        <f t="shared" si="1"/>
        <v>60</v>
      </c>
      <c r="G14" s="34">
        <f t="shared" si="1"/>
        <v>14</v>
      </c>
      <c r="H14" s="34">
        <f t="shared" si="1"/>
        <v>273</v>
      </c>
      <c r="I14" s="34">
        <f t="shared" si="1"/>
        <v>231</v>
      </c>
      <c r="J14" s="34">
        <f t="shared" si="1"/>
        <v>242</v>
      </c>
      <c r="K14" s="34">
        <f t="shared" si="1"/>
        <v>37.299999999999997</v>
      </c>
      <c r="L14" s="35">
        <f>C14+D14+E14+F14+H14+I14+J14</f>
        <v>1128</v>
      </c>
    </row>
    <row r="15" spans="1:13" x14ac:dyDescent="0.35">
      <c r="A15" s="13"/>
      <c r="B15" s="10" t="s">
        <v>40</v>
      </c>
      <c r="C15" s="30"/>
      <c r="D15" s="30">
        <f>D14/20</f>
        <v>5</v>
      </c>
      <c r="E15" s="30">
        <f t="shared" ref="E15:J15" si="2">E14/20</f>
        <v>6</v>
      </c>
      <c r="F15" s="30">
        <f t="shared" si="2"/>
        <v>3</v>
      </c>
      <c r="G15" s="30"/>
      <c r="H15" s="30">
        <f t="shared" si="2"/>
        <v>13.65</v>
      </c>
      <c r="I15" s="30">
        <f t="shared" si="2"/>
        <v>11.55</v>
      </c>
      <c r="J15" s="30">
        <f t="shared" si="2"/>
        <v>12.1</v>
      </c>
      <c r="K15" s="30"/>
    </row>
    <row r="16" spans="1:13" x14ac:dyDescent="0.35">
      <c r="A16" s="13"/>
      <c r="B16" s="10" t="s">
        <v>39</v>
      </c>
      <c r="C16" s="39">
        <f>C15+C14</f>
        <v>102</v>
      </c>
      <c r="D16" s="39">
        <f t="shared" ref="D16:J16" si="3">D15+D14</f>
        <v>105</v>
      </c>
      <c r="E16" s="39">
        <f t="shared" si="3"/>
        <v>126</v>
      </c>
      <c r="F16" s="39">
        <f t="shared" si="3"/>
        <v>63</v>
      </c>
      <c r="G16" s="39"/>
      <c r="H16" s="39">
        <f t="shared" si="3"/>
        <v>286.64999999999998</v>
      </c>
      <c r="I16" s="39">
        <f t="shared" si="3"/>
        <v>242.55</v>
      </c>
      <c r="J16" s="39">
        <f t="shared" si="3"/>
        <v>254.1</v>
      </c>
      <c r="K16" s="39"/>
    </row>
    <row r="17" spans="1:12" x14ac:dyDescent="0.35">
      <c r="A17" s="13"/>
      <c r="B17" s="10" t="s">
        <v>41</v>
      </c>
      <c r="C17" s="37">
        <f>C14/40</f>
        <v>2.5499999999999998</v>
      </c>
      <c r="D17" s="37">
        <f t="shared" ref="D17:J17" si="4">D14/40</f>
        <v>2.5</v>
      </c>
      <c r="E17" s="37">
        <f t="shared" si="4"/>
        <v>3</v>
      </c>
      <c r="F17" s="37">
        <f t="shared" si="4"/>
        <v>1.5</v>
      </c>
      <c r="G17" s="37"/>
      <c r="H17" s="37">
        <f t="shared" si="4"/>
        <v>6.8250000000000002</v>
      </c>
      <c r="I17" s="37">
        <f t="shared" si="4"/>
        <v>5.7750000000000004</v>
      </c>
      <c r="J17" s="37">
        <f t="shared" si="4"/>
        <v>6.05</v>
      </c>
      <c r="K17" s="37"/>
      <c r="L17" s="35">
        <f>SUM(C17:J17)</f>
        <v>28.2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T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7" width="5.81640625" bestFit="1" customWidth="1"/>
    <col min="8" max="9" width="4.36328125" bestFit="1" customWidth="1"/>
    <col min="10" max="10" width="3.90625" bestFit="1" customWidth="1"/>
    <col min="11" max="11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0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20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20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20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20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20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20" x14ac:dyDescent="0.35">
      <c r="A8" s="27"/>
      <c r="B8" s="10" t="s">
        <v>16</v>
      </c>
      <c r="C8" s="12">
        <v>40</v>
      </c>
      <c r="D8" s="12">
        <v>60</v>
      </c>
      <c r="E8" s="12">
        <v>100</v>
      </c>
      <c r="F8" s="12">
        <v>80</v>
      </c>
      <c r="G8" s="28">
        <f>SUM(D8:F8)/20</f>
        <v>12</v>
      </c>
      <c r="H8" s="12">
        <v>135</v>
      </c>
      <c r="I8" s="12">
        <v>110</v>
      </c>
      <c r="J8" s="12">
        <v>115</v>
      </c>
      <c r="K8" s="28">
        <f>SUM(H8:J8)/20</f>
        <v>18</v>
      </c>
      <c r="L8">
        <f>SUM(C8:F8,H8,I8,J8)/40</f>
        <v>16</v>
      </c>
      <c r="O8" s="44" t="s">
        <v>45</v>
      </c>
      <c r="P8" s="44" t="s">
        <v>46</v>
      </c>
      <c r="Q8" s="44" t="s">
        <v>47</v>
      </c>
      <c r="R8" s="44" t="s">
        <v>48</v>
      </c>
      <c r="S8" s="44" t="s">
        <v>49</v>
      </c>
      <c r="T8" s="44" t="s">
        <v>50</v>
      </c>
    </row>
    <row r="9" spans="1:20" x14ac:dyDescent="0.35">
      <c r="A9" s="27"/>
      <c r="B9" s="10" t="s">
        <v>11</v>
      </c>
      <c r="C9" s="12"/>
      <c r="D9" s="12">
        <v>27</v>
      </c>
      <c r="E9" s="12">
        <v>22</v>
      </c>
      <c r="F9" s="12">
        <v>27</v>
      </c>
      <c r="G9" s="28">
        <f t="shared" ref="G9:G11" si="0">SUM(D9:F9)/20</f>
        <v>3.8</v>
      </c>
      <c r="H9" s="12">
        <v>22</v>
      </c>
      <c r="I9" s="12">
        <v>52</v>
      </c>
      <c r="J9" s="12">
        <v>42</v>
      </c>
      <c r="K9" s="28">
        <f t="shared" ref="K9:K11" si="1">SUM(H9:J9)/20</f>
        <v>5.8</v>
      </c>
      <c r="L9">
        <f t="shared" ref="L9:L12" si="2">SUM(C9:F9,H9,I9,J9)/40</f>
        <v>4.8</v>
      </c>
      <c r="N9" s="45" t="s">
        <v>51</v>
      </c>
      <c r="O9" s="45">
        <v>80</v>
      </c>
      <c r="P9" s="45">
        <v>80</v>
      </c>
      <c r="Q9" s="45">
        <v>80</v>
      </c>
      <c r="R9" s="45">
        <v>80</v>
      </c>
      <c r="S9" s="45">
        <v>80</v>
      </c>
      <c r="T9" s="45">
        <v>80</v>
      </c>
    </row>
    <row r="10" spans="1:20" x14ac:dyDescent="0.35">
      <c r="A10" s="27"/>
      <c r="B10" s="10" t="s">
        <v>44</v>
      </c>
      <c r="C10" s="12"/>
      <c r="D10" s="12">
        <v>300</v>
      </c>
      <c r="E10" s="12">
        <v>300</v>
      </c>
      <c r="F10" s="12">
        <v>300</v>
      </c>
      <c r="G10" s="28">
        <f t="shared" si="0"/>
        <v>45</v>
      </c>
      <c r="H10" s="12">
        <v>300</v>
      </c>
      <c r="I10" s="12">
        <v>300</v>
      </c>
      <c r="J10" s="12">
        <v>300</v>
      </c>
      <c r="K10" s="28">
        <f t="shared" si="1"/>
        <v>45</v>
      </c>
      <c r="L10">
        <f t="shared" si="2"/>
        <v>45</v>
      </c>
      <c r="N10" s="45" t="s">
        <v>52</v>
      </c>
      <c r="O10" s="45">
        <v>20</v>
      </c>
      <c r="P10" s="45">
        <v>20</v>
      </c>
      <c r="Q10" s="45">
        <v>20</v>
      </c>
      <c r="R10" s="45">
        <v>20</v>
      </c>
      <c r="S10" s="45">
        <v>20</v>
      </c>
      <c r="T10" s="45">
        <v>20</v>
      </c>
    </row>
    <row r="11" spans="1:20" x14ac:dyDescent="0.35">
      <c r="A11" s="11"/>
      <c r="B11" s="11" t="s">
        <v>57</v>
      </c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45" t="s">
        <v>53</v>
      </c>
      <c r="O11" s="45">
        <v>40</v>
      </c>
      <c r="P11" s="45">
        <v>40</v>
      </c>
      <c r="Q11" s="45">
        <v>40</v>
      </c>
      <c r="R11" s="45">
        <v>40</v>
      </c>
      <c r="S11" s="45">
        <v>40</v>
      </c>
      <c r="T11" s="45">
        <v>40</v>
      </c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  <c r="N12" s="45" t="s">
        <v>54</v>
      </c>
      <c r="O12" s="45">
        <v>40</v>
      </c>
      <c r="P12" s="45">
        <v>40</v>
      </c>
      <c r="Q12" s="45">
        <v>40</v>
      </c>
      <c r="R12" s="45">
        <v>40</v>
      </c>
      <c r="S12" s="45">
        <v>40</v>
      </c>
      <c r="T12" s="45">
        <v>40</v>
      </c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43" t="s">
        <v>42</v>
      </c>
      <c r="N13" s="45" t="s">
        <v>55</v>
      </c>
      <c r="O13" s="45">
        <v>80</v>
      </c>
      <c r="P13" s="45">
        <v>80</v>
      </c>
      <c r="Q13" s="45">
        <v>80</v>
      </c>
      <c r="R13" s="45">
        <v>80</v>
      </c>
      <c r="S13" s="45">
        <v>80</v>
      </c>
      <c r="T13" s="45">
        <v>80</v>
      </c>
    </row>
    <row r="14" spans="1:20" x14ac:dyDescent="0.35">
      <c r="A14" s="13"/>
      <c r="B14" s="10" t="s">
        <v>31</v>
      </c>
      <c r="C14" s="14">
        <f t="shared" ref="C14:K14" si="3">SUM(C8:C13)</f>
        <v>40</v>
      </c>
      <c r="D14" s="14">
        <f t="shared" si="3"/>
        <v>387</v>
      </c>
      <c r="E14" s="14">
        <f t="shared" si="3"/>
        <v>422</v>
      </c>
      <c r="F14" s="14">
        <f t="shared" si="3"/>
        <v>407</v>
      </c>
      <c r="G14" s="14">
        <f t="shared" si="3"/>
        <v>60.8</v>
      </c>
      <c r="H14" s="14">
        <f t="shared" si="3"/>
        <v>457</v>
      </c>
      <c r="I14" s="14">
        <f t="shared" si="3"/>
        <v>462</v>
      </c>
      <c r="J14" s="14">
        <f t="shared" si="3"/>
        <v>457</v>
      </c>
      <c r="K14" s="14">
        <f t="shared" si="3"/>
        <v>68.8</v>
      </c>
      <c r="L14" s="36">
        <f>C14+D14+E14+F14+H14+I14+J14</f>
        <v>2632</v>
      </c>
      <c r="N14" s="45" t="s">
        <v>56</v>
      </c>
      <c r="O14" s="45">
        <v>40</v>
      </c>
      <c r="P14" s="45">
        <v>40</v>
      </c>
      <c r="Q14" s="45">
        <v>40</v>
      </c>
      <c r="R14" s="45">
        <v>40</v>
      </c>
      <c r="S14" s="45">
        <v>40</v>
      </c>
      <c r="T14" s="45">
        <v>40</v>
      </c>
    </row>
    <row r="15" spans="1:20" x14ac:dyDescent="0.35">
      <c r="A15" s="13"/>
      <c r="B15" s="10" t="s">
        <v>40</v>
      </c>
      <c r="C15" s="13"/>
      <c r="D15" s="13">
        <f>D14/20</f>
        <v>19.350000000000001</v>
      </c>
      <c r="E15" s="13">
        <f t="shared" ref="E15:J15" si="4">E14/20</f>
        <v>21.1</v>
      </c>
      <c r="F15" s="13">
        <f t="shared" si="4"/>
        <v>20.350000000000001</v>
      </c>
      <c r="G15" s="13"/>
      <c r="H15" s="13">
        <f t="shared" si="4"/>
        <v>22.85</v>
      </c>
      <c r="I15" s="13">
        <f t="shared" si="4"/>
        <v>23.1</v>
      </c>
      <c r="J15" s="13">
        <f t="shared" si="4"/>
        <v>22.85</v>
      </c>
      <c r="K15" s="13"/>
      <c r="N15" s="46" t="s">
        <v>31</v>
      </c>
      <c r="O15" s="46">
        <f>SUM(O9:O14)</f>
        <v>300</v>
      </c>
      <c r="P15" s="46">
        <f t="shared" ref="P15:T15" si="5">SUM(P9:P14)</f>
        <v>300</v>
      </c>
      <c r="Q15" s="46">
        <f t="shared" si="5"/>
        <v>300</v>
      </c>
      <c r="R15" s="46">
        <f t="shared" si="5"/>
        <v>300</v>
      </c>
      <c r="S15" s="46">
        <f t="shared" si="5"/>
        <v>300</v>
      </c>
      <c r="T15" s="46">
        <f t="shared" si="5"/>
        <v>300</v>
      </c>
    </row>
    <row r="16" spans="1:20" x14ac:dyDescent="0.35">
      <c r="A16" s="13"/>
      <c r="B16" s="10" t="s">
        <v>39</v>
      </c>
      <c r="C16" s="37">
        <f>C15+C14</f>
        <v>40</v>
      </c>
      <c r="D16" s="39">
        <f t="shared" ref="D16:J16" si="6">D15+D14</f>
        <v>406.35</v>
      </c>
      <c r="E16" s="39">
        <f t="shared" si="6"/>
        <v>443.1</v>
      </c>
      <c r="F16" s="39">
        <f t="shared" si="6"/>
        <v>427.35</v>
      </c>
      <c r="G16" s="39"/>
      <c r="H16" s="39">
        <f t="shared" si="6"/>
        <v>479.85</v>
      </c>
      <c r="I16" s="39">
        <f t="shared" si="6"/>
        <v>485.1</v>
      </c>
      <c r="J16" s="39">
        <f t="shared" si="6"/>
        <v>479.85</v>
      </c>
      <c r="K16" s="37"/>
      <c r="L16" s="43" t="s">
        <v>43</v>
      </c>
    </row>
    <row r="17" spans="1:12" x14ac:dyDescent="0.35">
      <c r="A17" s="13"/>
      <c r="B17" s="40" t="s">
        <v>41</v>
      </c>
      <c r="C17" s="37">
        <f>C14/40</f>
        <v>1</v>
      </c>
      <c r="D17" s="37">
        <f t="shared" ref="D17:J17" si="7">D14/40</f>
        <v>9.6750000000000007</v>
      </c>
      <c r="E17" s="37">
        <f t="shared" si="7"/>
        <v>10.55</v>
      </c>
      <c r="F17" s="37">
        <f t="shared" si="7"/>
        <v>10.175000000000001</v>
      </c>
      <c r="G17" s="37"/>
      <c r="H17" s="37">
        <f t="shared" si="7"/>
        <v>11.425000000000001</v>
      </c>
      <c r="I17" s="37">
        <f t="shared" si="7"/>
        <v>11.55</v>
      </c>
      <c r="J17" s="37">
        <f t="shared" si="7"/>
        <v>11.425000000000001</v>
      </c>
      <c r="K17" s="37"/>
      <c r="L17" s="36">
        <f>SUM(C17:J17)</f>
        <v>65.8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48"/>
      <c r="C8" s="29"/>
      <c r="D8" s="29"/>
      <c r="E8" s="29"/>
      <c r="F8" s="29"/>
      <c r="G8" s="28">
        <f>SUM(D8:F8)/20</f>
        <v>0</v>
      </c>
      <c r="H8" s="29"/>
      <c r="I8" s="29"/>
      <c r="J8" s="29"/>
      <c r="K8" s="28">
        <f>SUM(H8:J8)/20</f>
        <v>0</v>
      </c>
      <c r="L8">
        <f>SUM(C8:F8,H8,I8,J8)/40</f>
        <v>0</v>
      </c>
    </row>
    <row r="9" spans="1:12" x14ac:dyDescent="0.35">
      <c r="A9" s="27"/>
      <c r="B9" s="48"/>
      <c r="C9" s="29"/>
      <c r="D9" s="29"/>
      <c r="E9" s="29"/>
      <c r="F9" s="29"/>
      <c r="G9" s="28"/>
      <c r="H9" s="29"/>
      <c r="I9" s="29"/>
      <c r="J9" s="29"/>
      <c r="K9" s="28"/>
      <c r="L9">
        <f t="shared" ref="L9:L12" si="0">SUM(C9:F9,H9,I9,J9)/40</f>
        <v>0</v>
      </c>
    </row>
    <row r="10" spans="1:12" x14ac:dyDescent="0.35">
      <c r="A10" s="27"/>
      <c r="B10" s="48"/>
      <c r="C10" s="29"/>
      <c r="D10" s="29"/>
      <c r="E10" s="29"/>
      <c r="F10" s="29"/>
      <c r="G10" s="28"/>
      <c r="H10" s="29"/>
      <c r="I10" s="29"/>
      <c r="J10" s="29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47" t="s">
        <v>59</v>
      </c>
    </row>
    <row r="8" spans="1:12" x14ac:dyDescent="0.35">
      <c r="A8" s="27"/>
      <c r="B8" s="10" t="s">
        <v>32</v>
      </c>
      <c r="C8" s="12">
        <v>36</v>
      </c>
      <c r="D8" s="12">
        <v>12</v>
      </c>
      <c r="E8" s="12">
        <v>0</v>
      </c>
      <c r="F8" s="12">
        <v>0</v>
      </c>
      <c r="G8" s="28">
        <f>SUM(D8:F8)/20</f>
        <v>0.6</v>
      </c>
      <c r="H8" s="12">
        <v>27</v>
      </c>
      <c r="I8" s="12">
        <v>27</v>
      </c>
      <c r="J8" s="12">
        <v>27</v>
      </c>
      <c r="K8" s="28">
        <f>SUM(H8:J8)/20</f>
        <v>4.05</v>
      </c>
      <c r="L8">
        <f>SUM(C8:F8,H8,I8,J8)/40</f>
        <v>3.2250000000000001</v>
      </c>
    </row>
    <row r="9" spans="1:12" x14ac:dyDescent="0.35">
      <c r="A9" s="27"/>
      <c r="B9" s="10" t="s">
        <v>11</v>
      </c>
      <c r="C9" s="12"/>
      <c r="D9" s="12">
        <v>15</v>
      </c>
      <c r="E9" s="12">
        <v>10</v>
      </c>
      <c r="F9" s="12">
        <v>15</v>
      </c>
      <c r="G9" s="28">
        <f>SUM(D9:F9)/20</f>
        <v>2</v>
      </c>
      <c r="H9" s="12">
        <v>109</v>
      </c>
      <c r="I9" s="12">
        <v>51</v>
      </c>
      <c r="J9" s="12">
        <v>160</v>
      </c>
      <c r="K9" s="28">
        <f>SUM(H9:J9)/20</f>
        <v>16</v>
      </c>
      <c r="L9">
        <f t="shared" ref="L9:L12" si="0">SUM(C9:F9,H9,I9,J9)/40</f>
        <v>9</v>
      </c>
    </row>
    <row r="10" spans="1:12" x14ac:dyDescent="0.35">
      <c r="A10" s="27"/>
      <c r="B10" s="10"/>
      <c r="C10" s="12"/>
      <c r="D10" s="12"/>
      <c r="E10" s="12"/>
      <c r="F10" s="12"/>
      <c r="G10" s="28">
        <f>SUM(D10:F10)/20</f>
        <v>0</v>
      </c>
      <c r="H10" s="12"/>
      <c r="I10" s="12"/>
      <c r="J10" s="12"/>
      <c r="K10" s="28">
        <f>SUM(H10:J10)/20</f>
        <v>0</v>
      </c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36</v>
      </c>
      <c r="D14" s="14">
        <f t="shared" si="1"/>
        <v>27</v>
      </c>
      <c r="E14" s="14">
        <f t="shared" si="1"/>
        <v>10</v>
      </c>
      <c r="F14" s="14">
        <f t="shared" si="1"/>
        <v>15</v>
      </c>
      <c r="G14" s="14">
        <f t="shared" si="1"/>
        <v>2.6</v>
      </c>
      <c r="H14" s="14">
        <f t="shared" si="1"/>
        <v>136</v>
      </c>
      <c r="I14" s="14">
        <f t="shared" si="1"/>
        <v>78</v>
      </c>
      <c r="J14" s="14">
        <f t="shared" si="1"/>
        <v>187</v>
      </c>
      <c r="K14" s="14">
        <f t="shared" si="1"/>
        <v>20.05</v>
      </c>
      <c r="L14" s="36">
        <f>C14+D14+E14+F14+H14+I14+J14</f>
        <v>489</v>
      </c>
    </row>
    <row r="15" spans="1:12" x14ac:dyDescent="0.35">
      <c r="A15" s="13"/>
      <c r="B15" s="10" t="s">
        <v>40</v>
      </c>
      <c r="C15" s="13"/>
      <c r="D15" s="13">
        <f>D14/20</f>
        <v>1.35</v>
      </c>
      <c r="E15" s="13">
        <f t="shared" ref="E15:J15" si="2">E14/20</f>
        <v>0.5</v>
      </c>
      <c r="F15" s="13">
        <f t="shared" si="2"/>
        <v>0.75</v>
      </c>
      <c r="G15" s="13"/>
      <c r="H15" s="13">
        <f t="shared" si="2"/>
        <v>6.8</v>
      </c>
      <c r="I15" s="13">
        <f t="shared" si="2"/>
        <v>3.9</v>
      </c>
      <c r="J15" s="13">
        <f t="shared" si="2"/>
        <v>9.35</v>
      </c>
      <c r="K15" s="13"/>
    </row>
    <row r="16" spans="1:12" x14ac:dyDescent="0.35">
      <c r="A16" s="13"/>
      <c r="B16" s="10" t="s">
        <v>39</v>
      </c>
      <c r="C16" s="37">
        <f>C15+C14</f>
        <v>36</v>
      </c>
      <c r="D16" s="37">
        <f t="shared" ref="D16:J16" si="3">D15+D14</f>
        <v>28.35</v>
      </c>
      <c r="E16" s="37">
        <f t="shared" si="3"/>
        <v>10.5</v>
      </c>
      <c r="F16" s="37">
        <f t="shared" si="3"/>
        <v>15.75</v>
      </c>
      <c r="G16" s="37"/>
      <c r="H16" s="37">
        <f t="shared" si="3"/>
        <v>142.80000000000001</v>
      </c>
      <c r="I16" s="37">
        <f t="shared" si="3"/>
        <v>81.900000000000006</v>
      </c>
      <c r="J16" s="37">
        <f t="shared" si="3"/>
        <v>196.35</v>
      </c>
      <c r="K16" s="37"/>
    </row>
    <row r="17" spans="1:12" x14ac:dyDescent="0.35">
      <c r="A17" s="13"/>
      <c r="B17" s="40" t="s">
        <v>41</v>
      </c>
      <c r="C17" s="37">
        <f>C14/40</f>
        <v>0.9</v>
      </c>
      <c r="D17" s="37">
        <f t="shared" ref="D17:J17" si="4">D14/40</f>
        <v>0.67500000000000004</v>
      </c>
      <c r="E17" s="37">
        <f t="shared" si="4"/>
        <v>0.25</v>
      </c>
      <c r="F17" s="37">
        <f t="shared" si="4"/>
        <v>0.375</v>
      </c>
      <c r="G17" s="37"/>
      <c r="H17" s="37">
        <f t="shared" si="4"/>
        <v>3.4</v>
      </c>
      <c r="I17" s="37">
        <f t="shared" si="4"/>
        <v>1.95</v>
      </c>
      <c r="J17" s="37">
        <f t="shared" si="4"/>
        <v>4.6749999999999998</v>
      </c>
      <c r="K17" s="37"/>
      <c r="L17" s="36">
        <f>SUM(C17:J17)</f>
        <v>12.225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R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8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8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8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8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8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8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t="s">
        <v>58</v>
      </c>
      <c r="O7" s="41"/>
      <c r="P7" s="41" t="s">
        <v>58</v>
      </c>
      <c r="Q7" s="41" t="s">
        <v>59</v>
      </c>
    </row>
    <row r="8" spans="1:18" x14ac:dyDescent="0.35">
      <c r="A8" s="27"/>
      <c r="B8" s="10" t="s">
        <v>9</v>
      </c>
      <c r="C8" s="12">
        <v>144</v>
      </c>
      <c r="D8" s="12">
        <v>70</v>
      </c>
      <c r="E8" s="12">
        <v>70</v>
      </c>
      <c r="F8" s="12">
        <v>20</v>
      </c>
      <c r="G8" s="28">
        <f>SUM(D8:F8)/20</f>
        <v>8</v>
      </c>
      <c r="H8" s="12">
        <v>95</v>
      </c>
      <c r="I8" s="12">
        <v>70</v>
      </c>
      <c r="J8" s="12">
        <v>75</v>
      </c>
      <c r="K8" s="28">
        <f>SUM(H8:J8)/20</f>
        <v>12</v>
      </c>
      <c r="L8">
        <f>SUM(C8:F8,H8,I8,J8)/40</f>
        <v>13.6</v>
      </c>
      <c r="M8" s="49">
        <v>5</v>
      </c>
      <c r="O8" s="41" t="s">
        <v>9</v>
      </c>
      <c r="P8" s="41">
        <v>5</v>
      </c>
      <c r="Q8" s="41">
        <v>13.6</v>
      </c>
      <c r="R8" t="s">
        <v>62</v>
      </c>
    </row>
    <row r="9" spans="1:18" x14ac:dyDescent="0.35">
      <c r="A9" s="27"/>
      <c r="B9" s="10" t="s">
        <v>11</v>
      </c>
      <c r="C9" s="12"/>
      <c r="D9" s="12">
        <v>12</v>
      </c>
      <c r="E9" s="12">
        <v>12</v>
      </c>
      <c r="F9" s="12">
        <v>12</v>
      </c>
      <c r="G9" s="28">
        <f t="shared" ref="G9:G10" si="0">SUM(D9:F9)/20</f>
        <v>1.8</v>
      </c>
      <c r="H9" s="12">
        <v>14</v>
      </c>
      <c r="I9" s="12">
        <v>27</v>
      </c>
      <c r="J9" s="12">
        <v>74</v>
      </c>
      <c r="K9" s="28">
        <f t="shared" ref="K9:K10" si="1">SUM(H9:J9)/20</f>
        <v>5.75</v>
      </c>
      <c r="L9">
        <f t="shared" ref="L9:L12" si="2">SUM(C9:F9,H9,I9,J9)/40</f>
        <v>3.7749999999999999</v>
      </c>
      <c r="M9" s="49">
        <v>9</v>
      </c>
      <c r="O9" s="41" t="s">
        <v>11</v>
      </c>
      <c r="P9" s="41">
        <v>5</v>
      </c>
      <c r="Q9" s="41">
        <v>8.9</v>
      </c>
      <c r="R9" t="s">
        <v>62</v>
      </c>
    </row>
    <row r="10" spans="1:18" x14ac:dyDescent="0.35">
      <c r="A10" s="27"/>
      <c r="B10" s="10" t="s">
        <v>60</v>
      </c>
      <c r="C10" s="12">
        <v>24</v>
      </c>
      <c r="D10" s="12">
        <v>66</v>
      </c>
      <c r="E10" s="12">
        <v>66</v>
      </c>
      <c r="F10" s="12">
        <v>40</v>
      </c>
      <c r="G10" s="28">
        <f t="shared" si="0"/>
        <v>8.6</v>
      </c>
      <c r="H10" s="12">
        <v>8</v>
      </c>
      <c r="I10" s="12">
        <v>5</v>
      </c>
      <c r="J10" s="12">
        <v>7</v>
      </c>
      <c r="K10" s="28">
        <f t="shared" si="1"/>
        <v>1</v>
      </c>
      <c r="L10">
        <f t="shared" si="2"/>
        <v>5.4</v>
      </c>
      <c r="M10" s="49">
        <v>6</v>
      </c>
      <c r="O10" s="41" t="s">
        <v>60</v>
      </c>
      <c r="P10" s="41">
        <v>3</v>
      </c>
      <c r="Q10" s="41">
        <v>7.5</v>
      </c>
      <c r="R10" t="s">
        <v>62</v>
      </c>
    </row>
    <row r="11" spans="1:18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8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8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8" x14ac:dyDescent="0.35">
      <c r="A14" s="13"/>
      <c r="B14" s="10"/>
      <c r="C14" s="14">
        <f t="shared" ref="C14:K14" si="3">SUM(C8:C13)</f>
        <v>168</v>
      </c>
      <c r="D14" s="14">
        <f t="shared" si="3"/>
        <v>148</v>
      </c>
      <c r="E14" s="14">
        <f t="shared" si="3"/>
        <v>148</v>
      </c>
      <c r="F14" s="14">
        <f t="shared" si="3"/>
        <v>72</v>
      </c>
      <c r="G14" s="14">
        <f t="shared" si="3"/>
        <v>18.399999999999999</v>
      </c>
      <c r="H14" s="14">
        <f t="shared" si="3"/>
        <v>117</v>
      </c>
      <c r="I14" s="14">
        <f t="shared" si="3"/>
        <v>102</v>
      </c>
      <c r="J14" s="14">
        <f t="shared" si="3"/>
        <v>156</v>
      </c>
      <c r="K14" s="14">
        <f t="shared" si="3"/>
        <v>18.75</v>
      </c>
      <c r="L14" s="36">
        <f>C14+D14+E14+F14+H14+I14+J14</f>
        <v>911</v>
      </c>
    </row>
    <row r="15" spans="1:18" x14ac:dyDescent="0.35">
      <c r="A15" s="13"/>
      <c r="B15" s="10" t="s">
        <v>40</v>
      </c>
      <c r="C15" s="13"/>
      <c r="D15" s="13">
        <f>D14/20</f>
        <v>7.4</v>
      </c>
      <c r="E15" s="13">
        <f t="shared" ref="E15:J15" si="4">E14/20</f>
        <v>7.4</v>
      </c>
      <c r="F15" s="13">
        <f t="shared" si="4"/>
        <v>3.6</v>
      </c>
      <c r="G15" s="13"/>
      <c r="H15" s="13">
        <f t="shared" si="4"/>
        <v>5.85</v>
      </c>
      <c r="I15" s="13">
        <f t="shared" si="4"/>
        <v>5.0999999999999996</v>
      </c>
      <c r="J15" s="13">
        <f t="shared" si="4"/>
        <v>7.8</v>
      </c>
      <c r="K15" s="13"/>
    </row>
    <row r="16" spans="1:18" x14ac:dyDescent="0.35">
      <c r="A16" s="13"/>
      <c r="B16" s="10" t="s">
        <v>39</v>
      </c>
      <c r="C16" s="37">
        <f>C15+C14</f>
        <v>168</v>
      </c>
      <c r="D16" s="37">
        <f t="shared" ref="D16:J16" si="5">D15+D14</f>
        <v>155.4</v>
      </c>
      <c r="E16" s="37">
        <f t="shared" si="5"/>
        <v>155.4</v>
      </c>
      <c r="F16" s="37">
        <f t="shared" si="5"/>
        <v>75.599999999999994</v>
      </c>
      <c r="G16" s="37"/>
      <c r="H16" s="37">
        <f t="shared" si="5"/>
        <v>122.85</v>
      </c>
      <c r="I16" s="37">
        <f t="shared" si="5"/>
        <v>107.1</v>
      </c>
      <c r="J16" s="37">
        <f t="shared" si="5"/>
        <v>163.80000000000001</v>
      </c>
      <c r="K16" s="37"/>
    </row>
    <row r="17" spans="1:12" x14ac:dyDescent="0.35">
      <c r="A17" s="13"/>
      <c r="B17" s="40" t="s">
        <v>41</v>
      </c>
      <c r="C17" s="37">
        <f>C14/40</f>
        <v>4.2</v>
      </c>
      <c r="D17" s="37">
        <f t="shared" ref="D17:J17" si="6">D14/40</f>
        <v>3.7</v>
      </c>
      <c r="E17" s="37">
        <f t="shared" si="6"/>
        <v>3.7</v>
      </c>
      <c r="F17" s="37">
        <f t="shared" si="6"/>
        <v>1.8</v>
      </c>
      <c r="G17" s="37"/>
      <c r="H17" s="37">
        <f t="shared" si="6"/>
        <v>2.9249999999999998</v>
      </c>
      <c r="I17" s="37">
        <f t="shared" si="6"/>
        <v>2.5499999999999998</v>
      </c>
      <c r="J17" s="37">
        <f t="shared" si="6"/>
        <v>3.9</v>
      </c>
      <c r="K17" s="37"/>
      <c r="L17" s="36">
        <f>SUM(C17:J17)</f>
        <v>22.775000000000002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S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9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9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9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9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9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9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  <c r="R6" t="s">
        <v>63</v>
      </c>
      <c r="S6" t="s">
        <v>64</v>
      </c>
    </row>
    <row r="7" spans="1:19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50" t="s">
        <v>59</v>
      </c>
      <c r="M7" s="50" t="s">
        <v>58</v>
      </c>
    </row>
    <row r="8" spans="1:19" x14ac:dyDescent="0.35">
      <c r="A8" s="27"/>
      <c r="B8" s="10" t="s">
        <v>32</v>
      </c>
      <c r="C8" s="12">
        <v>24</v>
      </c>
      <c r="D8" s="12">
        <v>54</v>
      </c>
      <c r="E8" s="12">
        <v>25</v>
      </c>
      <c r="F8" s="12">
        <v>25</v>
      </c>
      <c r="G8" s="28">
        <f>SUM(D8:F8)/20</f>
        <v>5.2</v>
      </c>
      <c r="H8" s="12">
        <v>96</v>
      </c>
      <c r="I8" s="12">
        <v>61</v>
      </c>
      <c r="J8" s="12">
        <v>101</v>
      </c>
      <c r="K8" s="28">
        <f>SUM(H8:J8)/20</f>
        <v>12.9</v>
      </c>
      <c r="L8" s="51">
        <f>SUM(C8:F8,H8,I8,J8)/40</f>
        <v>9.65</v>
      </c>
      <c r="M8" s="51">
        <v>7</v>
      </c>
      <c r="N8" t="s">
        <v>62</v>
      </c>
      <c r="Q8" t="s">
        <v>61</v>
      </c>
    </row>
    <row r="9" spans="1:19" x14ac:dyDescent="0.35">
      <c r="A9" s="27"/>
      <c r="B9" s="10" t="s">
        <v>9</v>
      </c>
      <c r="C9" s="12">
        <v>114</v>
      </c>
      <c r="D9" s="12">
        <v>40</v>
      </c>
      <c r="E9" s="12">
        <v>45</v>
      </c>
      <c r="F9" s="12">
        <v>45</v>
      </c>
      <c r="G9" s="28">
        <f t="shared" ref="G9:G10" si="0">SUM(D9:F9)/20</f>
        <v>6.5</v>
      </c>
      <c r="H9" s="12">
        <v>20</v>
      </c>
      <c r="I9" s="12">
        <v>10</v>
      </c>
      <c r="J9" s="12">
        <v>10</v>
      </c>
      <c r="K9" s="28">
        <f t="shared" ref="K9:K10" si="1">SUM(H9:J9)/20</f>
        <v>2</v>
      </c>
      <c r="L9" s="51">
        <f t="shared" ref="L9:L12" si="2">SUM(C9:F9,H9,I9,J9)/40</f>
        <v>7.1</v>
      </c>
      <c r="M9" s="51">
        <v>9</v>
      </c>
      <c r="N9" t="s">
        <v>62</v>
      </c>
    </row>
    <row r="10" spans="1:19" x14ac:dyDescent="0.35">
      <c r="A10" s="27"/>
      <c r="B10" s="10" t="s">
        <v>16</v>
      </c>
      <c r="C10" s="12">
        <v>120</v>
      </c>
      <c r="D10" s="12">
        <v>220</v>
      </c>
      <c r="E10" s="12">
        <v>240</v>
      </c>
      <c r="F10" s="12">
        <v>160</v>
      </c>
      <c r="G10" s="28">
        <f t="shared" si="0"/>
        <v>31</v>
      </c>
      <c r="H10" s="12">
        <v>295</v>
      </c>
      <c r="I10" s="12">
        <v>250</v>
      </c>
      <c r="J10" s="12">
        <v>415</v>
      </c>
      <c r="K10" s="28">
        <f t="shared" si="1"/>
        <v>48</v>
      </c>
      <c r="L10" s="51">
        <f t="shared" si="2"/>
        <v>42.5</v>
      </c>
      <c r="M10" s="51">
        <v>17</v>
      </c>
      <c r="N10" t="s">
        <v>62</v>
      </c>
    </row>
    <row r="11" spans="1:19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41">
        <f t="shared" si="2"/>
        <v>0</v>
      </c>
      <c r="M11" s="41"/>
    </row>
    <row r="12" spans="1:19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41">
        <f t="shared" si="2"/>
        <v>0</v>
      </c>
      <c r="M12" s="41"/>
    </row>
    <row r="13" spans="1:19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41"/>
      <c r="M13" s="41"/>
    </row>
    <row r="14" spans="1:19" x14ac:dyDescent="0.35">
      <c r="A14" s="13"/>
      <c r="B14" s="10"/>
      <c r="C14" s="14">
        <f t="shared" ref="C14:K14" si="3">SUM(C8:C13)</f>
        <v>258</v>
      </c>
      <c r="D14" s="14">
        <f t="shared" si="3"/>
        <v>314</v>
      </c>
      <c r="E14" s="14">
        <f t="shared" si="3"/>
        <v>310</v>
      </c>
      <c r="F14" s="14">
        <f t="shared" si="3"/>
        <v>230</v>
      </c>
      <c r="G14" s="14">
        <f t="shared" si="3"/>
        <v>42.7</v>
      </c>
      <c r="H14" s="14">
        <f t="shared" si="3"/>
        <v>411</v>
      </c>
      <c r="I14" s="14">
        <f t="shared" si="3"/>
        <v>321</v>
      </c>
      <c r="J14" s="14">
        <f t="shared" si="3"/>
        <v>526</v>
      </c>
      <c r="K14" s="14">
        <f t="shared" si="3"/>
        <v>62.9</v>
      </c>
      <c r="L14" s="36">
        <f>C14+D14+E14+F14+H14+I14+J14</f>
        <v>2370</v>
      </c>
    </row>
    <row r="15" spans="1:19" x14ac:dyDescent="0.35">
      <c r="A15" s="13"/>
      <c r="B15" s="10" t="s">
        <v>40</v>
      </c>
      <c r="C15" s="13"/>
      <c r="D15" s="13">
        <f>D14/20</f>
        <v>15.7</v>
      </c>
      <c r="E15" s="13">
        <f t="shared" ref="E15:J15" si="4">E14/20</f>
        <v>15.5</v>
      </c>
      <c r="F15" s="13">
        <f t="shared" si="4"/>
        <v>11.5</v>
      </c>
      <c r="G15" s="13"/>
      <c r="H15" s="13">
        <f t="shared" si="4"/>
        <v>20.55</v>
      </c>
      <c r="I15" s="13">
        <f t="shared" si="4"/>
        <v>16.05</v>
      </c>
      <c r="J15" s="13">
        <f t="shared" si="4"/>
        <v>26.3</v>
      </c>
      <c r="K15" s="13"/>
    </row>
    <row r="16" spans="1:19" x14ac:dyDescent="0.35">
      <c r="A16" s="13"/>
      <c r="B16" s="10" t="s">
        <v>39</v>
      </c>
      <c r="C16" s="37">
        <f>C15+C14</f>
        <v>258</v>
      </c>
      <c r="D16" s="37">
        <f t="shared" ref="D16:J16" si="5">D15+D14</f>
        <v>329.7</v>
      </c>
      <c r="E16" s="37">
        <f t="shared" si="5"/>
        <v>325.5</v>
      </c>
      <c r="F16" s="37">
        <f t="shared" si="5"/>
        <v>241.5</v>
      </c>
      <c r="G16" s="37"/>
      <c r="H16" s="37">
        <f t="shared" si="5"/>
        <v>431.55</v>
      </c>
      <c r="I16" s="37">
        <f t="shared" si="5"/>
        <v>337.05</v>
      </c>
      <c r="J16" s="37">
        <f t="shared" si="5"/>
        <v>552.29999999999995</v>
      </c>
      <c r="K16" s="37"/>
    </row>
    <row r="17" spans="1:12" x14ac:dyDescent="0.35">
      <c r="A17" s="13"/>
      <c r="B17" s="40" t="s">
        <v>41</v>
      </c>
      <c r="C17" s="37">
        <f>C14/40</f>
        <v>6.45</v>
      </c>
      <c r="D17" s="37">
        <f t="shared" ref="D17:J17" si="6">D14/40</f>
        <v>7.85</v>
      </c>
      <c r="E17" s="37">
        <f t="shared" si="6"/>
        <v>7.75</v>
      </c>
      <c r="F17" s="37">
        <f t="shared" si="6"/>
        <v>5.75</v>
      </c>
      <c r="G17" s="37"/>
      <c r="H17" s="37">
        <f t="shared" si="6"/>
        <v>10.275</v>
      </c>
      <c r="I17" s="37">
        <f t="shared" si="6"/>
        <v>8.0250000000000004</v>
      </c>
      <c r="J17" s="37">
        <f t="shared" si="6"/>
        <v>13.15</v>
      </c>
      <c r="K17" s="37"/>
      <c r="L17" s="36">
        <f>SUM(C17:J17)</f>
        <v>59.25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M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3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3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3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3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3" x14ac:dyDescent="0.35">
      <c r="A8" s="27"/>
      <c r="B8" s="10" t="s">
        <v>32</v>
      </c>
      <c r="C8" s="12">
        <v>64</v>
      </c>
      <c r="D8" s="12">
        <v>0</v>
      </c>
      <c r="E8" s="12">
        <v>0</v>
      </c>
      <c r="F8" s="12">
        <v>0</v>
      </c>
      <c r="G8" s="28">
        <f>SUM(D8:F8)/20</f>
        <v>0</v>
      </c>
      <c r="H8" s="12">
        <v>60</v>
      </c>
      <c r="I8" s="12">
        <v>40</v>
      </c>
      <c r="J8" s="12">
        <v>60</v>
      </c>
      <c r="K8" s="28">
        <f>SUM(H8:J8)/20</f>
        <v>8</v>
      </c>
      <c r="L8">
        <f>SUM(C8:F8,H8,I8,J8)/40</f>
        <v>5.6</v>
      </c>
      <c r="M8" t="s">
        <v>67</v>
      </c>
    </row>
    <row r="9" spans="1:13" x14ac:dyDescent="0.35">
      <c r="A9" s="27"/>
      <c r="B9" s="10" t="s">
        <v>11</v>
      </c>
      <c r="C9" s="12">
        <v>100</v>
      </c>
      <c r="D9" s="12">
        <v>67</v>
      </c>
      <c r="E9" s="12">
        <v>57</v>
      </c>
      <c r="F9" s="12">
        <v>54</v>
      </c>
      <c r="G9" s="28">
        <f t="shared" ref="G9:G12" si="0">SUM(D9:F9)/20</f>
        <v>8.9</v>
      </c>
      <c r="H9" s="12">
        <v>132</v>
      </c>
      <c r="I9" s="12">
        <v>112</v>
      </c>
      <c r="J9" s="12">
        <v>126</v>
      </c>
      <c r="K9" s="28">
        <f t="shared" ref="K9:K12" si="1">SUM(H9:J9)/20</f>
        <v>18.5</v>
      </c>
      <c r="L9">
        <f t="shared" ref="L9:L12" si="2">SUM(C9:F9,H9,I9,J9)/40</f>
        <v>16.2</v>
      </c>
      <c r="M9" t="s">
        <v>67</v>
      </c>
    </row>
    <row r="10" spans="1:13" x14ac:dyDescent="0.35">
      <c r="A10" s="27"/>
      <c r="B10" s="10" t="s">
        <v>9</v>
      </c>
      <c r="C10" s="12">
        <v>90</v>
      </c>
      <c r="D10" s="12">
        <v>196</v>
      </c>
      <c r="E10" s="12">
        <v>193</v>
      </c>
      <c r="F10" s="12">
        <v>154</v>
      </c>
      <c r="G10" s="28">
        <f t="shared" si="0"/>
        <v>27.15</v>
      </c>
      <c r="H10" s="12">
        <v>170</v>
      </c>
      <c r="I10" s="12">
        <v>145</v>
      </c>
      <c r="J10" s="12">
        <v>145</v>
      </c>
      <c r="K10" s="28">
        <f t="shared" si="1"/>
        <v>23</v>
      </c>
      <c r="L10">
        <f t="shared" si="2"/>
        <v>27.324999999999999</v>
      </c>
      <c r="M10" t="s">
        <v>67</v>
      </c>
    </row>
    <row r="11" spans="1:13" x14ac:dyDescent="0.35">
      <c r="A11" s="11"/>
      <c r="B11" s="11" t="s">
        <v>65</v>
      </c>
      <c r="C11" s="12"/>
      <c r="D11" s="12">
        <v>240</v>
      </c>
      <c r="E11" s="12">
        <v>520</v>
      </c>
      <c r="F11" s="12">
        <v>480</v>
      </c>
      <c r="G11" s="28">
        <f t="shared" si="0"/>
        <v>62</v>
      </c>
      <c r="H11" s="12">
        <v>440</v>
      </c>
      <c r="I11" s="12">
        <v>680</v>
      </c>
      <c r="J11" s="12">
        <v>680</v>
      </c>
      <c r="K11" s="28">
        <f t="shared" si="1"/>
        <v>90</v>
      </c>
      <c r="L11">
        <f t="shared" si="2"/>
        <v>76</v>
      </c>
      <c r="M11" t="s">
        <v>67</v>
      </c>
    </row>
    <row r="12" spans="1:13" x14ac:dyDescent="0.35">
      <c r="A12" s="11"/>
      <c r="B12" s="11" t="s">
        <v>66</v>
      </c>
      <c r="C12" s="12"/>
      <c r="D12" s="12">
        <v>40</v>
      </c>
      <c r="E12" s="12">
        <v>80</v>
      </c>
      <c r="F12" s="12">
        <v>120</v>
      </c>
      <c r="G12" s="28">
        <f t="shared" si="0"/>
        <v>12</v>
      </c>
      <c r="H12" s="12">
        <v>80</v>
      </c>
      <c r="I12" s="12">
        <v>80</v>
      </c>
      <c r="J12" s="12">
        <v>80</v>
      </c>
      <c r="K12" s="28">
        <f t="shared" si="1"/>
        <v>12</v>
      </c>
      <c r="L12">
        <f t="shared" si="2"/>
        <v>12</v>
      </c>
      <c r="M12" t="s">
        <v>67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254</v>
      </c>
      <c r="D14" s="14">
        <f t="shared" si="3"/>
        <v>543</v>
      </c>
      <c r="E14" s="14">
        <f t="shared" si="3"/>
        <v>850</v>
      </c>
      <c r="F14" s="14">
        <f t="shared" si="3"/>
        <v>808</v>
      </c>
      <c r="G14" s="14">
        <f t="shared" si="3"/>
        <v>110.05</v>
      </c>
      <c r="H14" s="14">
        <f t="shared" si="3"/>
        <v>882</v>
      </c>
      <c r="I14" s="14">
        <f t="shared" si="3"/>
        <v>1057</v>
      </c>
      <c r="J14" s="14">
        <f t="shared" si="3"/>
        <v>1091</v>
      </c>
      <c r="K14" s="14">
        <f t="shared" si="3"/>
        <v>151.5</v>
      </c>
      <c r="L14" s="36">
        <f>C14+D14+E14+F14+H14+I14+J14</f>
        <v>5485</v>
      </c>
    </row>
    <row r="15" spans="1:13" x14ac:dyDescent="0.35">
      <c r="A15" s="13"/>
      <c r="B15" s="10" t="s">
        <v>40</v>
      </c>
      <c r="C15" s="13"/>
      <c r="D15" s="13">
        <f>D14/20</f>
        <v>27.15</v>
      </c>
      <c r="E15" s="13">
        <f t="shared" ref="E15:J15" si="4">E14/20</f>
        <v>42.5</v>
      </c>
      <c r="F15" s="13">
        <f t="shared" si="4"/>
        <v>40.4</v>
      </c>
      <c r="G15" s="13"/>
      <c r="H15" s="13">
        <f t="shared" si="4"/>
        <v>44.1</v>
      </c>
      <c r="I15" s="13">
        <f t="shared" si="4"/>
        <v>52.85</v>
      </c>
      <c r="J15" s="13">
        <f t="shared" si="4"/>
        <v>54.55</v>
      </c>
      <c r="K15" s="13"/>
      <c r="M15" t="s">
        <v>61</v>
      </c>
    </row>
    <row r="16" spans="1:13" x14ac:dyDescent="0.35">
      <c r="A16" s="13"/>
      <c r="B16" s="10" t="s">
        <v>39</v>
      </c>
      <c r="C16" s="37">
        <f>C15+C14</f>
        <v>254</v>
      </c>
      <c r="D16" s="37">
        <f t="shared" ref="D16:J16" si="5">D15+D14</f>
        <v>570.15</v>
      </c>
      <c r="E16" s="37">
        <f t="shared" si="5"/>
        <v>892.5</v>
      </c>
      <c r="F16" s="37">
        <f t="shared" si="5"/>
        <v>848.4</v>
      </c>
      <c r="G16" s="37"/>
      <c r="H16" s="37">
        <f t="shared" si="5"/>
        <v>926.1</v>
      </c>
      <c r="I16" s="37">
        <f t="shared" si="5"/>
        <v>1109.8499999999999</v>
      </c>
      <c r="J16" s="37">
        <f t="shared" si="5"/>
        <v>1145.55</v>
      </c>
      <c r="K16" s="37"/>
    </row>
    <row r="17" spans="1:12" x14ac:dyDescent="0.35">
      <c r="A17" s="13"/>
      <c r="B17" s="40" t="s">
        <v>41</v>
      </c>
      <c r="C17" s="37">
        <f>C14/40</f>
        <v>6.35</v>
      </c>
      <c r="D17" s="37">
        <f t="shared" ref="D17:J17" si="6">D14/40</f>
        <v>13.574999999999999</v>
      </c>
      <c r="E17" s="37">
        <f t="shared" si="6"/>
        <v>21.25</v>
      </c>
      <c r="F17" s="37">
        <f t="shared" si="6"/>
        <v>20.2</v>
      </c>
      <c r="G17" s="37"/>
      <c r="H17" s="37">
        <f t="shared" si="6"/>
        <v>22.05</v>
      </c>
      <c r="I17" s="37">
        <f t="shared" si="6"/>
        <v>26.425000000000001</v>
      </c>
      <c r="J17" s="37">
        <f t="shared" si="6"/>
        <v>27.274999999999999</v>
      </c>
      <c r="K17" s="37"/>
      <c r="L17" s="36">
        <f>SUM(C17:J17)</f>
        <v>137.125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M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3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3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3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3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s="49"/>
    </row>
    <row r="8" spans="1:13" x14ac:dyDescent="0.35">
      <c r="A8" s="27"/>
      <c r="B8" s="10" t="s">
        <v>32</v>
      </c>
      <c r="C8" s="12"/>
      <c r="D8" s="12">
        <v>25</v>
      </c>
      <c r="E8" s="12">
        <v>10</v>
      </c>
      <c r="F8" s="12">
        <v>25</v>
      </c>
      <c r="G8" s="28">
        <f>SUM(D8:F8)/20</f>
        <v>3</v>
      </c>
      <c r="H8" s="12"/>
      <c r="I8" s="12"/>
      <c r="J8" s="12"/>
      <c r="K8" s="28">
        <f>SUM(H8:J8)/20</f>
        <v>0</v>
      </c>
      <c r="L8">
        <f>SUM(C8:F8,H8,I8,J8)/40</f>
        <v>1.5</v>
      </c>
      <c r="M8" t="s">
        <v>69</v>
      </c>
    </row>
    <row r="9" spans="1:13" x14ac:dyDescent="0.35">
      <c r="A9" s="27"/>
      <c r="B9" s="10" t="s">
        <v>34</v>
      </c>
      <c r="C9" s="12">
        <v>12</v>
      </c>
      <c r="D9" s="12">
        <v>46</v>
      </c>
      <c r="E9" s="12">
        <v>86</v>
      </c>
      <c r="F9" s="12">
        <v>46</v>
      </c>
      <c r="G9" s="28">
        <f t="shared" ref="G9:G10" si="0">SUM(D9:F9)/20</f>
        <v>8.9</v>
      </c>
      <c r="H9" s="12">
        <v>116</v>
      </c>
      <c r="I9" s="12">
        <v>66</v>
      </c>
      <c r="J9" s="12">
        <v>76</v>
      </c>
      <c r="K9" s="28">
        <f t="shared" ref="K9:K10" si="1">SUM(H9:J9)/20</f>
        <v>12.9</v>
      </c>
      <c r="L9">
        <f t="shared" ref="L9:L12" si="2">SUM(C9:F9,H9,I9,J9)/40</f>
        <v>11.2</v>
      </c>
      <c r="M9" t="s">
        <v>69</v>
      </c>
    </row>
    <row r="10" spans="1:13" x14ac:dyDescent="0.35">
      <c r="A10" s="27"/>
      <c r="B10" s="10" t="s">
        <v>70</v>
      </c>
      <c r="C10" s="12"/>
      <c r="D10" s="12"/>
      <c r="E10" s="12"/>
      <c r="F10" s="12"/>
      <c r="G10" s="28">
        <f t="shared" si="0"/>
        <v>0</v>
      </c>
      <c r="H10" s="12">
        <v>800</v>
      </c>
      <c r="I10" s="12">
        <v>400</v>
      </c>
      <c r="J10" s="12">
        <v>800</v>
      </c>
      <c r="K10" s="28">
        <f t="shared" si="1"/>
        <v>100</v>
      </c>
      <c r="L10">
        <f t="shared" si="2"/>
        <v>50</v>
      </c>
      <c r="M10" t="s">
        <v>69</v>
      </c>
    </row>
    <row r="11" spans="1:13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2"/>
        <v>0</v>
      </c>
    </row>
    <row r="12" spans="1:13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2"/>
        <v>0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12</v>
      </c>
      <c r="D14" s="14">
        <f t="shared" si="3"/>
        <v>71</v>
      </c>
      <c r="E14" s="14">
        <f t="shared" si="3"/>
        <v>96</v>
      </c>
      <c r="F14" s="14">
        <f t="shared" si="3"/>
        <v>71</v>
      </c>
      <c r="G14" s="14">
        <f t="shared" si="3"/>
        <v>11.9</v>
      </c>
      <c r="H14" s="14">
        <f t="shared" si="3"/>
        <v>916</v>
      </c>
      <c r="I14" s="14">
        <f t="shared" si="3"/>
        <v>466</v>
      </c>
      <c r="J14" s="14">
        <f t="shared" si="3"/>
        <v>876</v>
      </c>
      <c r="K14" s="14">
        <f t="shared" si="3"/>
        <v>112.9</v>
      </c>
      <c r="L14" s="36">
        <f>C14+D14+E14+F14+H14+I14+J14</f>
        <v>2508</v>
      </c>
    </row>
    <row r="15" spans="1:13" x14ac:dyDescent="0.35">
      <c r="A15" s="13"/>
      <c r="B15" s="10" t="s">
        <v>40</v>
      </c>
      <c r="C15" s="13"/>
      <c r="D15" s="13">
        <f>D14/20</f>
        <v>3.55</v>
      </c>
      <c r="E15" s="13">
        <f t="shared" ref="E15:J15" si="4">E14/20</f>
        <v>4.8</v>
      </c>
      <c r="F15" s="13">
        <f t="shared" si="4"/>
        <v>3.55</v>
      </c>
      <c r="G15" s="13"/>
      <c r="H15" s="13">
        <f t="shared" si="4"/>
        <v>45.8</v>
      </c>
      <c r="I15" s="13">
        <f t="shared" si="4"/>
        <v>23.3</v>
      </c>
      <c r="J15" s="13">
        <f t="shared" si="4"/>
        <v>43.8</v>
      </c>
      <c r="K15" s="13"/>
    </row>
    <row r="16" spans="1:13" x14ac:dyDescent="0.35">
      <c r="A16" s="13"/>
      <c r="B16" s="10" t="s">
        <v>39</v>
      </c>
      <c r="C16" s="37">
        <f>C15+C14</f>
        <v>12</v>
      </c>
      <c r="D16" s="37">
        <f t="shared" ref="D16:J16" si="5">D15+D14</f>
        <v>74.55</v>
      </c>
      <c r="E16" s="37">
        <f t="shared" si="5"/>
        <v>100.8</v>
      </c>
      <c r="F16" s="37">
        <f t="shared" si="5"/>
        <v>74.55</v>
      </c>
      <c r="G16" s="37"/>
      <c r="H16" s="37">
        <f t="shared" si="5"/>
        <v>961.8</v>
      </c>
      <c r="I16" s="37">
        <f t="shared" si="5"/>
        <v>489.3</v>
      </c>
      <c r="J16" s="37">
        <f t="shared" si="5"/>
        <v>919.8</v>
      </c>
      <c r="K16" s="37"/>
    </row>
    <row r="17" spans="1:12" x14ac:dyDescent="0.35">
      <c r="A17" s="13"/>
      <c r="B17" s="40" t="s">
        <v>41</v>
      </c>
      <c r="C17" s="37">
        <f>C14/40</f>
        <v>0.3</v>
      </c>
      <c r="D17" s="37">
        <f t="shared" ref="D17:J17" si="6">D14/40</f>
        <v>1.7749999999999999</v>
      </c>
      <c r="E17" s="37">
        <f t="shared" si="6"/>
        <v>2.4</v>
      </c>
      <c r="F17" s="37">
        <f t="shared" si="6"/>
        <v>1.7749999999999999</v>
      </c>
      <c r="G17" s="37"/>
      <c r="H17" s="37">
        <f t="shared" si="6"/>
        <v>22.9</v>
      </c>
      <c r="I17" s="37">
        <f t="shared" si="6"/>
        <v>11.65</v>
      </c>
      <c r="J17" s="37">
        <f t="shared" si="6"/>
        <v>21.9</v>
      </c>
      <c r="K17" s="37"/>
      <c r="L17" s="36">
        <f>SUM(C17:J17)</f>
        <v>62.699999999999996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M19"/>
  <sheetViews>
    <sheetView workbookViewId="0">
      <selection activeCell="Q14" sqref="Q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3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3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3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3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s="49" t="s">
        <v>58</v>
      </c>
    </row>
    <row r="8" spans="1:13" x14ac:dyDescent="0.35">
      <c r="A8" s="27"/>
      <c r="B8" s="10" t="s">
        <v>16</v>
      </c>
      <c r="C8" s="12">
        <v>200</v>
      </c>
      <c r="D8" s="12">
        <v>60</v>
      </c>
      <c r="E8" s="12">
        <v>60</v>
      </c>
      <c r="F8" s="12"/>
      <c r="G8" s="28">
        <f>SUM(D8:F8)/20</f>
        <v>6</v>
      </c>
      <c r="H8" s="12">
        <v>80</v>
      </c>
      <c r="I8" s="12">
        <v>80</v>
      </c>
      <c r="J8" s="12">
        <v>150</v>
      </c>
      <c r="K8" s="28">
        <f>SUM(H8:J8)/20</f>
        <v>15.5</v>
      </c>
      <c r="L8">
        <f>SUM(C8:F8,H8,I8,J8)/40</f>
        <v>15.75</v>
      </c>
      <c r="M8" s="49" t="s">
        <v>62</v>
      </c>
    </row>
    <row r="9" spans="1:13" x14ac:dyDescent="0.35">
      <c r="A9" s="27"/>
      <c r="B9" s="10" t="s">
        <v>68</v>
      </c>
      <c r="C9" s="12">
        <v>212</v>
      </c>
      <c r="D9" s="12">
        <v>32</v>
      </c>
      <c r="E9" s="12">
        <v>32</v>
      </c>
      <c r="F9" s="12">
        <v>12</v>
      </c>
      <c r="G9" s="28">
        <f t="shared" ref="G9:G13" si="0">SUM(D9:F9)/20</f>
        <v>3.8</v>
      </c>
      <c r="H9" s="12">
        <v>66</v>
      </c>
      <c r="I9" s="12">
        <v>36</v>
      </c>
      <c r="J9" s="12">
        <v>37</v>
      </c>
      <c r="K9" s="28">
        <f t="shared" ref="K9:K13" si="1">SUM(H9:J9)/20</f>
        <v>6.95</v>
      </c>
      <c r="L9">
        <f t="shared" ref="L9:L13" si="2">SUM(C9:F9,H9,I9,J9)/40</f>
        <v>10.675000000000001</v>
      </c>
      <c r="M9" s="49" t="s">
        <v>62</v>
      </c>
    </row>
    <row r="10" spans="1:13" x14ac:dyDescent="0.35">
      <c r="A10" s="27"/>
      <c r="B10" s="10" t="s">
        <v>34</v>
      </c>
      <c r="C10" s="12">
        <v>80</v>
      </c>
      <c r="D10" s="12">
        <v>15</v>
      </c>
      <c r="E10" s="12">
        <v>10</v>
      </c>
      <c r="F10" s="12">
        <v>15</v>
      </c>
      <c r="G10" s="28">
        <f t="shared" si="0"/>
        <v>2</v>
      </c>
      <c r="H10" s="12">
        <v>80</v>
      </c>
      <c r="I10" s="12">
        <v>80</v>
      </c>
      <c r="J10" s="12">
        <v>80</v>
      </c>
      <c r="K10" s="28">
        <f t="shared" si="1"/>
        <v>12</v>
      </c>
      <c r="L10">
        <f t="shared" si="2"/>
        <v>9</v>
      </c>
      <c r="M10" s="49" t="s">
        <v>62</v>
      </c>
    </row>
    <row r="11" spans="1:13" x14ac:dyDescent="0.35">
      <c r="A11" s="11"/>
      <c r="B11" s="11" t="s">
        <v>32</v>
      </c>
      <c r="C11" s="12">
        <v>12</v>
      </c>
      <c r="D11" s="12">
        <v>6</v>
      </c>
      <c r="E11" s="12">
        <v>6</v>
      </c>
      <c r="F11" s="12">
        <v>6</v>
      </c>
      <c r="G11" s="28">
        <f t="shared" si="0"/>
        <v>0.9</v>
      </c>
      <c r="H11" s="12">
        <v>115</v>
      </c>
      <c r="I11" s="12">
        <v>50</v>
      </c>
      <c r="J11" s="12">
        <v>115</v>
      </c>
      <c r="K11" s="28">
        <f t="shared" si="1"/>
        <v>14</v>
      </c>
      <c r="L11">
        <f t="shared" si="2"/>
        <v>7.75</v>
      </c>
      <c r="M11" s="42" t="s">
        <v>62</v>
      </c>
    </row>
    <row r="12" spans="1:13" x14ac:dyDescent="0.35">
      <c r="A12" s="11"/>
      <c r="B12" s="11" t="s">
        <v>9</v>
      </c>
      <c r="C12" s="12"/>
      <c r="D12" s="12">
        <v>54</v>
      </c>
      <c r="E12" s="12">
        <v>57</v>
      </c>
      <c r="F12" s="12">
        <v>75</v>
      </c>
      <c r="G12" s="28">
        <f t="shared" si="0"/>
        <v>9.3000000000000007</v>
      </c>
      <c r="H12" s="12">
        <v>27</v>
      </c>
      <c r="I12" s="12">
        <v>23</v>
      </c>
      <c r="J12" s="12">
        <v>28</v>
      </c>
      <c r="K12" s="28">
        <f t="shared" si="1"/>
        <v>3.9</v>
      </c>
      <c r="L12">
        <f t="shared" si="2"/>
        <v>6.6</v>
      </c>
      <c r="M12" s="42" t="s">
        <v>62</v>
      </c>
    </row>
    <row r="13" spans="1:13" x14ac:dyDescent="0.35">
      <c r="A13" s="11"/>
      <c r="B13" s="11" t="s">
        <v>74</v>
      </c>
      <c r="C13" s="12"/>
      <c r="D13" s="12">
        <v>314</v>
      </c>
      <c r="E13" s="12">
        <v>353</v>
      </c>
      <c r="F13" s="12">
        <v>388</v>
      </c>
      <c r="G13" s="12">
        <f t="shared" si="0"/>
        <v>52.75</v>
      </c>
      <c r="H13" s="12">
        <v>350</v>
      </c>
      <c r="I13" s="12">
        <v>311</v>
      </c>
      <c r="J13" s="12">
        <v>396</v>
      </c>
      <c r="K13" s="12">
        <f t="shared" si="1"/>
        <v>52.85</v>
      </c>
      <c r="L13">
        <f t="shared" si="2"/>
        <v>52.8</v>
      </c>
      <c r="M13" s="42" t="s">
        <v>62</v>
      </c>
    </row>
    <row r="14" spans="1:13" x14ac:dyDescent="0.35">
      <c r="A14" s="13"/>
      <c r="B14" s="10"/>
      <c r="C14" s="14">
        <f t="shared" ref="C14:K14" si="3">SUM(C8:C13)</f>
        <v>504</v>
      </c>
      <c r="D14" s="14">
        <f t="shared" si="3"/>
        <v>481</v>
      </c>
      <c r="E14" s="14">
        <f t="shared" si="3"/>
        <v>518</v>
      </c>
      <c r="F14" s="14">
        <f t="shared" si="3"/>
        <v>496</v>
      </c>
      <c r="G14" s="14">
        <f t="shared" si="3"/>
        <v>74.75</v>
      </c>
      <c r="H14" s="14">
        <f t="shared" si="3"/>
        <v>718</v>
      </c>
      <c r="I14" s="14">
        <f t="shared" si="3"/>
        <v>580</v>
      </c>
      <c r="J14" s="14">
        <f t="shared" si="3"/>
        <v>806</v>
      </c>
      <c r="K14" s="14">
        <f t="shared" si="3"/>
        <v>105.2</v>
      </c>
      <c r="L14" s="36">
        <f>C14+D14+E14+F14+H14+I14+J14</f>
        <v>4103</v>
      </c>
    </row>
    <row r="15" spans="1:13" x14ac:dyDescent="0.35">
      <c r="A15" s="13"/>
      <c r="B15" s="10" t="s">
        <v>40</v>
      </c>
      <c r="C15" s="13"/>
      <c r="D15" s="13">
        <f>D14/20</f>
        <v>24.05</v>
      </c>
      <c r="E15" s="13">
        <f t="shared" ref="E15:J15" si="4">E14/20</f>
        <v>25.9</v>
      </c>
      <c r="F15" s="13">
        <f t="shared" si="4"/>
        <v>24.8</v>
      </c>
      <c r="G15" s="13"/>
      <c r="H15" s="13">
        <f t="shared" si="4"/>
        <v>35.9</v>
      </c>
      <c r="I15" s="13">
        <f t="shared" si="4"/>
        <v>29</v>
      </c>
      <c r="J15" s="13">
        <f t="shared" si="4"/>
        <v>40.299999999999997</v>
      </c>
      <c r="K15" s="13"/>
    </row>
    <row r="16" spans="1:13" x14ac:dyDescent="0.35">
      <c r="A16" s="13"/>
      <c r="B16" s="10" t="s">
        <v>39</v>
      </c>
      <c r="C16" s="37">
        <f>C15+C14</f>
        <v>504</v>
      </c>
      <c r="D16" s="37">
        <f t="shared" ref="D16:J16" si="5">D15+D14</f>
        <v>505.05</v>
      </c>
      <c r="E16" s="37">
        <f t="shared" si="5"/>
        <v>543.9</v>
      </c>
      <c r="F16" s="37">
        <f t="shared" si="5"/>
        <v>520.79999999999995</v>
      </c>
      <c r="G16" s="37"/>
      <c r="H16" s="37">
        <f t="shared" si="5"/>
        <v>753.9</v>
      </c>
      <c r="I16" s="37">
        <f t="shared" si="5"/>
        <v>609</v>
      </c>
      <c r="J16" s="37">
        <f t="shared" si="5"/>
        <v>846.3</v>
      </c>
      <c r="K16" s="37"/>
    </row>
    <row r="17" spans="1:12" x14ac:dyDescent="0.35">
      <c r="A17" s="13"/>
      <c r="B17" s="40" t="s">
        <v>41</v>
      </c>
      <c r="C17" s="37">
        <f>C14/40</f>
        <v>12.6</v>
      </c>
      <c r="D17" s="37">
        <f t="shared" ref="D17:J17" si="6">D14/40</f>
        <v>12.025</v>
      </c>
      <c r="E17" s="37">
        <f t="shared" si="6"/>
        <v>12.95</v>
      </c>
      <c r="F17" s="37">
        <f t="shared" si="6"/>
        <v>12.4</v>
      </c>
      <c r="G17" s="37"/>
      <c r="H17" s="37">
        <f t="shared" si="6"/>
        <v>17.95</v>
      </c>
      <c r="I17" s="37">
        <f t="shared" si="6"/>
        <v>14.5</v>
      </c>
      <c r="J17" s="37">
        <f t="shared" si="6"/>
        <v>20.149999999999999</v>
      </c>
      <c r="K17" s="37"/>
      <c r="L17" s="36">
        <f>SUM(C17:J17)</f>
        <v>102.57499999999999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48"/>
      <c r="C8" s="29"/>
      <c r="D8" s="29"/>
      <c r="E8" s="29"/>
      <c r="F8" s="29"/>
      <c r="G8" s="28">
        <f>SUM(D8:F8)/20</f>
        <v>0</v>
      </c>
      <c r="H8" s="29"/>
      <c r="I8" s="29"/>
      <c r="J8" s="29"/>
      <c r="K8" s="28">
        <f>SUM(H8:J8)/20</f>
        <v>0</v>
      </c>
      <c r="L8">
        <f>SUM(C8:F8,H8,I8,J8)/40</f>
        <v>0</v>
      </c>
    </row>
    <row r="9" spans="1:12" x14ac:dyDescent="0.35">
      <c r="A9" s="27"/>
      <c r="B9" s="48"/>
      <c r="C9" s="29"/>
      <c r="D9" s="29"/>
      <c r="E9" s="29"/>
      <c r="F9" s="29"/>
      <c r="G9" s="28"/>
      <c r="H9" s="29"/>
      <c r="I9" s="29"/>
      <c r="J9" s="29"/>
      <c r="K9" s="28"/>
      <c r="L9">
        <f t="shared" ref="L9:L12" si="0">SUM(C9:F9,H9,I9,J9)/40</f>
        <v>0</v>
      </c>
    </row>
    <row r="10" spans="1:12" x14ac:dyDescent="0.35">
      <c r="A10" s="27"/>
      <c r="B10" s="48"/>
      <c r="C10" s="29"/>
      <c r="D10" s="29"/>
      <c r="E10" s="29"/>
      <c r="F10" s="29"/>
      <c r="G10" s="28"/>
      <c r="H10" s="29"/>
      <c r="I10" s="29"/>
      <c r="J10" s="29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M19"/>
  <sheetViews>
    <sheetView workbookViewId="0">
      <selection activeCell="L10" sqref="L10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3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3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3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3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3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52" t="s">
        <v>59</v>
      </c>
      <c r="M7" s="52" t="s">
        <v>58</v>
      </c>
    </row>
    <row r="8" spans="1:13" x14ac:dyDescent="0.35">
      <c r="A8" s="27"/>
      <c r="B8" s="10" t="s">
        <v>71</v>
      </c>
      <c r="C8" s="12"/>
      <c r="D8" s="12">
        <v>118</v>
      </c>
      <c r="E8" s="12">
        <v>124</v>
      </c>
      <c r="F8" s="12">
        <v>104</v>
      </c>
      <c r="G8" s="28">
        <f>SUM(D8:F8)/20</f>
        <v>17.3</v>
      </c>
      <c r="H8" s="12">
        <v>115</v>
      </c>
      <c r="I8" s="12">
        <v>120</v>
      </c>
      <c r="J8" s="12">
        <v>110</v>
      </c>
      <c r="K8" s="28">
        <f>SUM(H8:J8)/20</f>
        <v>17.25</v>
      </c>
      <c r="L8">
        <f>SUM(C8:F8,H8,I8,J8)/40</f>
        <v>17.274999999999999</v>
      </c>
      <c r="M8" s="52">
        <v>6</v>
      </c>
    </row>
    <row r="9" spans="1:13" x14ac:dyDescent="0.35">
      <c r="A9" s="27"/>
      <c r="B9" s="10" t="s">
        <v>34</v>
      </c>
      <c r="C9" s="12">
        <v>40</v>
      </c>
      <c r="D9" s="12">
        <v>50</v>
      </c>
      <c r="E9" s="12">
        <v>40</v>
      </c>
      <c r="F9" s="12">
        <v>50</v>
      </c>
      <c r="G9" s="28">
        <f t="shared" ref="G9:G12" si="0">SUM(D9:F9)/20</f>
        <v>7</v>
      </c>
      <c r="H9" s="12">
        <v>110</v>
      </c>
      <c r="I9" s="12">
        <v>100</v>
      </c>
      <c r="J9" s="12">
        <v>90</v>
      </c>
      <c r="K9" s="28">
        <f t="shared" ref="K9:K12" si="1">SUM(H9:J9)/20</f>
        <v>15</v>
      </c>
      <c r="L9">
        <f t="shared" ref="L9:L12" si="2">SUM(C9:F9,H9,I9,J9)/40</f>
        <v>12</v>
      </c>
      <c r="M9" s="52">
        <v>8</v>
      </c>
    </row>
    <row r="10" spans="1:13" x14ac:dyDescent="0.35">
      <c r="A10" s="27"/>
      <c r="B10" s="10" t="s">
        <v>32</v>
      </c>
      <c r="C10" s="12"/>
      <c r="D10" s="12">
        <v>135</v>
      </c>
      <c r="E10" s="12">
        <v>130</v>
      </c>
      <c r="F10" s="12">
        <v>147</v>
      </c>
      <c r="G10" s="28">
        <f t="shared" si="0"/>
        <v>20.6</v>
      </c>
      <c r="H10" s="12">
        <v>126</v>
      </c>
      <c r="I10" s="12">
        <v>80</v>
      </c>
      <c r="J10" s="12">
        <v>86</v>
      </c>
      <c r="K10" s="28">
        <f t="shared" si="1"/>
        <v>14.6</v>
      </c>
      <c r="L10">
        <f t="shared" si="2"/>
        <v>17.600000000000001</v>
      </c>
      <c r="M10" s="52">
        <v>3</v>
      </c>
    </row>
    <row r="11" spans="1:13" x14ac:dyDescent="0.35">
      <c r="A11" s="11"/>
      <c r="B11" s="10" t="s">
        <v>70</v>
      </c>
      <c r="C11" s="12">
        <v>130</v>
      </c>
      <c r="D11" s="12">
        <v>40</v>
      </c>
      <c r="E11" s="12">
        <v>46</v>
      </c>
      <c r="F11" s="12">
        <v>80</v>
      </c>
      <c r="G11" s="28">
        <f t="shared" si="0"/>
        <v>8.3000000000000007</v>
      </c>
      <c r="H11" s="12">
        <v>55</v>
      </c>
      <c r="I11" s="12">
        <v>50</v>
      </c>
      <c r="J11" s="12">
        <v>55</v>
      </c>
      <c r="K11" s="28">
        <f t="shared" si="1"/>
        <v>8</v>
      </c>
      <c r="L11">
        <f t="shared" si="2"/>
        <v>11.4</v>
      </c>
      <c r="M11" s="52">
        <v>8</v>
      </c>
    </row>
    <row r="12" spans="1:13" x14ac:dyDescent="0.35">
      <c r="A12" s="11"/>
      <c r="B12" s="10" t="s">
        <v>15</v>
      </c>
      <c r="C12" s="12">
        <v>60</v>
      </c>
      <c r="D12" s="12">
        <v>20</v>
      </c>
      <c r="E12" s="12">
        <v>20</v>
      </c>
      <c r="F12" s="12">
        <v>20</v>
      </c>
      <c r="G12" s="28">
        <f t="shared" si="0"/>
        <v>3</v>
      </c>
      <c r="H12" s="12">
        <v>13</v>
      </c>
      <c r="I12" s="12">
        <v>13</v>
      </c>
      <c r="J12" s="12">
        <v>14</v>
      </c>
      <c r="K12" s="28">
        <f t="shared" si="1"/>
        <v>2</v>
      </c>
      <c r="L12">
        <f t="shared" si="2"/>
        <v>4</v>
      </c>
      <c r="M12" s="52">
        <v>4</v>
      </c>
    </row>
    <row r="13" spans="1:1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3" x14ac:dyDescent="0.35">
      <c r="A14" s="13"/>
      <c r="B14" s="10"/>
      <c r="C14" s="14">
        <f t="shared" ref="C14:K14" si="3">SUM(C8:C13)</f>
        <v>230</v>
      </c>
      <c r="D14" s="14">
        <f t="shared" si="3"/>
        <v>363</v>
      </c>
      <c r="E14" s="14">
        <f t="shared" si="3"/>
        <v>360</v>
      </c>
      <c r="F14" s="14">
        <f t="shared" si="3"/>
        <v>401</v>
      </c>
      <c r="G14" s="14">
        <f t="shared" si="3"/>
        <v>56.2</v>
      </c>
      <c r="H14" s="14">
        <f t="shared" si="3"/>
        <v>419</v>
      </c>
      <c r="I14" s="14">
        <f t="shared" si="3"/>
        <v>363</v>
      </c>
      <c r="J14" s="14">
        <f t="shared" si="3"/>
        <v>355</v>
      </c>
      <c r="K14" s="14">
        <f t="shared" si="3"/>
        <v>56.85</v>
      </c>
      <c r="L14" s="36">
        <f>C14+D14+E14+F14+H14+I14+J14</f>
        <v>2491</v>
      </c>
    </row>
    <row r="15" spans="1:13" x14ac:dyDescent="0.35">
      <c r="A15" s="13"/>
      <c r="B15" s="10" t="s">
        <v>40</v>
      </c>
      <c r="C15" s="13"/>
      <c r="D15" s="13">
        <f>D14/20</f>
        <v>18.149999999999999</v>
      </c>
      <c r="E15" s="13">
        <f t="shared" ref="E15:J15" si="4">E14/20</f>
        <v>18</v>
      </c>
      <c r="F15" s="13">
        <f t="shared" si="4"/>
        <v>20.05</v>
      </c>
      <c r="G15" s="13"/>
      <c r="H15" s="13">
        <f t="shared" si="4"/>
        <v>20.95</v>
      </c>
      <c r="I15" s="13">
        <f t="shared" si="4"/>
        <v>18.149999999999999</v>
      </c>
      <c r="J15" s="13">
        <f t="shared" si="4"/>
        <v>17.75</v>
      </c>
      <c r="K15" s="13"/>
    </row>
    <row r="16" spans="1:13" x14ac:dyDescent="0.35">
      <c r="A16" s="13"/>
      <c r="B16" s="10" t="s">
        <v>39</v>
      </c>
      <c r="C16" s="37">
        <f>C15+C14</f>
        <v>230</v>
      </c>
      <c r="D16" s="37">
        <f t="shared" ref="D16:J16" si="5">D15+D14</f>
        <v>381.15</v>
      </c>
      <c r="E16" s="37">
        <f t="shared" si="5"/>
        <v>378</v>
      </c>
      <c r="F16" s="37">
        <f t="shared" si="5"/>
        <v>421.05</v>
      </c>
      <c r="G16" s="37"/>
      <c r="H16" s="37">
        <f t="shared" si="5"/>
        <v>439.95</v>
      </c>
      <c r="I16" s="37">
        <f t="shared" si="5"/>
        <v>381.15</v>
      </c>
      <c r="J16" s="37">
        <f t="shared" si="5"/>
        <v>372.75</v>
      </c>
      <c r="K16" s="37"/>
    </row>
    <row r="17" spans="1:12" x14ac:dyDescent="0.35">
      <c r="A17" s="13"/>
      <c r="B17" s="40" t="s">
        <v>41</v>
      </c>
      <c r="C17" s="37">
        <f>C14/40</f>
        <v>5.75</v>
      </c>
      <c r="D17" s="37">
        <f t="shared" ref="D17:J17" si="6">D14/40</f>
        <v>9.0749999999999993</v>
      </c>
      <c r="E17" s="37">
        <f t="shared" si="6"/>
        <v>9</v>
      </c>
      <c r="F17" s="37">
        <f t="shared" si="6"/>
        <v>10.025</v>
      </c>
      <c r="G17" s="37"/>
      <c r="H17" s="37">
        <f t="shared" si="6"/>
        <v>10.475</v>
      </c>
      <c r="I17" s="37">
        <f t="shared" si="6"/>
        <v>9.0749999999999993</v>
      </c>
      <c r="J17" s="37">
        <f t="shared" si="6"/>
        <v>8.875</v>
      </c>
      <c r="K17" s="37"/>
      <c r="L17" s="36">
        <f>SUM(C17:J17)</f>
        <v>62.275000000000006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X19"/>
  <sheetViews>
    <sheetView workbookViewId="0">
      <selection activeCell="O16" sqref="O1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24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24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  <c r="S4" t="s">
        <v>75</v>
      </c>
    </row>
    <row r="5" spans="1:24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24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  <c r="P6" s="45">
        <v>60</v>
      </c>
      <c r="Q6" s="45">
        <v>70</v>
      </c>
      <c r="R6" s="45">
        <v>70</v>
      </c>
      <c r="S6" s="45">
        <v>70</v>
      </c>
      <c r="T6" s="45">
        <v>120</v>
      </c>
      <c r="U6" s="45">
        <v>120</v>
      </c>
      <c r="V6" s="45">
        <v>120</v>
      </c>
      <c r="W6" t="s">
        <v>77</v>
      </c>
      <c r="X6" t="s">
        <v>59</v>
      </c>
    </row>
    <row r="7" spans="1:24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43" t="s">
        <v>59</v>
      </c>
      <c r="M7" s="49" t="s">
        <v>58</v>
      </c>
      <c r="P7" s="41" t="s">
        <v>6</v>
      </c>
      <c r="Q7" s="41" t="s">
        <v>14</v>
      </c>
      <c r="R7" s="41" t="s">
        <v>12</v>
      </c>
      <c r="S7" s="41" t="s">
        <v>13</v>
      </c>
      <c r="T7" s="41" t="s">
        <v>14</v>
      </c>
      <c r="U7" s="41" t="s">
        <v>7</v>
      </c>
      <c r="V7" s="41" t="s">
        <v>13</v>
      </c>
    </row>
    <row r="8" spans="1:24" x14ac:dyDescent="0.35">
      <c r="A8" s="27"/>
      <c r="B8" s="10" t="s">
        <v>71</v>
      </c>
      <c r="C8" s="12">
        <v>40</v>
      </c>
      <c r="D8" s="12">
        <v>0</v>
      </c>
      <c r="E8" s="12">
        <v>0</v>
      </c>
      <c r="F8" s="12">
        <v>0</v>
      </c>
      <c r="G8" s="28">
        <f>SUM(D8:F8)/20</f>
        <v>0</v>
      </c>
      <c r="H8" s="12">
        <v>82</v>
      </c>
      <c r="I8" s="12">
        <v>82</v>
      </c>
      <c r="J8" s="12">
        <v>76</v>
      </c>
      <c r="K8" s="28">
        <f>SUM(H8:J8)/20</f>
        <v>12</v>
      </c>
      <c r="L8" s="53">
        <f>SUM(C8:F8,H8,I8,J8)/40</f>
        <v>7</v>
      </c>
      <c r="M8" s="49">
        <v>4</v>
      </c>
      <c r="O8" t="s">
        <v>71</v>
      </c>
      <c r="P8" s="41">
        <v>60</v>
      </c>
      <c r="Q8" s="41">
        <v>21</v>
      </c>
      <c r="R8" s="41">
        <v>21</v>
      </c>
      <c r="S8" s="41">
        <v>19</v>
      </c>
      <c r="T8" s="41">
        <v>82</v>
      </c>
      <c r="U8" s="41">
        <v>82</v>
      </c>
      <c r="V8" s="41">
        <v>76</v>
      </c>
      <c r="W8">
        <f>SUM(P8:V8)</f>
        <v>361</v>
      </c>
      <c r="X8">
        <f>W8/40</f>
        <v>9.0250000000000004</v>
      </c>
    </row>
    <row r="9" spans="1:24" x14ac:dyDescent="0.35">
      <c r="A9" s="27"/>
      <c r="B9" s="10" t="s">
        <v>32</v>
      </c>
      <c r="C9" s="12">
        <v>20</v>
      </c>
      <c r="D9" s="12">
        <v>100</v>
      </c>
      <c r="E9" s="12">
        <v>60</v>
      </c>
      <c r="F9" s="12">
        <v>100</v>
      </c>
      <c r="G9" s="28">
        <f t="shared" ref="G9:G12" si="0">SUM(D9:F9)/20</f>
        <v>13</v>
      </c>
      <c r="H9" s="12">
        <v>40</v>
      </c>
      <c r="I9" s="12">
        <v>40</v>
      </c>
      <c r="J9" s="12">
        <v>80</v>
      </c>
      <c r="K9" s="28">
        <f t="shared" ref="K9:K12" si="1">SUM(H9:J9)/20</f>
        <v>8</v>
      </c>
      <c r="L9" s="53">
        <f t="shared" ref="L9:L12" si="2">SUM(C9:F9,H9,I9,J9)/40</f>
        <v>11</v>
      </c>
      <c r="M9" s="49">
        <v>3</v>
      </c>
      <c r="O9" t="s">
        <v>32</v>
      </c>
      <c r="P9" s="41">
        <v>60</v>
      </c>
      <c r="Q9" s="41">
        <v>100</v>
      </c>
      <c r="R9" s="41">
        <v>60</v>
      </c>
      <c r="S9" s="41">
        <v>100</v>
      </c>
      <c r="T9" s="41">
        <v>40</v>
      </c>
      <c r="U9" s="41">
        <v>40</v>
      </c>
      <c r="V9" s="41">
        <v>80</v>
      </c>
      <c r="W9">
        <f t="shared" ref="W9:W12" si="3">SUM(P9:V9)</f>
        <v>480</v>
      </c>
      <c r="X9">
        <f t="shared" ref="X9:X12" si="4">W9/40</f>
        <v>12</v>
      </c>
    </row>
    <row r="10" spans="1:24" x14ac:dyDescent="0.35">
      <c r="A10" s="27"/>
      <c r="B10" s="10" t="s">
        <v>16</v>
      </c>
      <c r="C10" s="12">
        <v>120</v>
      </c>
      <c r="D10" s="12">
        <v>105</v>
      </c>
      <c r="E10" s="12">
        <v>65</v>
      </c>
      <c r="F10" s="12">
        <v>10</v>
      </c>
      <c r="G10" s="28">
        <f t="shared" si="0"/>
        <v>9</v>
      </c>
      <c r="H10" s="12">
        <v>70</v>
      </c>
      <c r="I10" s="12">
        <v>50</v>
      </c>
      <c r="J10" s="12">
        <v>80</v>
      </c>
      <c r="K10" s="28">
        <f t="shared" si="1"/>
        <v>10</v>
      </c>
      <c r="L10" s="53">
        <f t="shared" si="2"/>
        <v>12.5</v>
      </c>
      <c r="M10" s="49">
        <v>8</v>
      </c>
      <c r="O10" t="s">
        <v>16</v>
      </c>
      <c r="P10" s="41">
        <v>120</v>
      </c>
      <c r="Q10" s="41">
        <v>105</v>
      </c>
      <c r="R10" s="41">
        <v>65</v>
      </c>
      <c r="S10" s="41">
        <v>10</v>
      </c>
      <c r="T10" s="41">
        <v>70</v>
      </c>
      <c r="U10" s="41">
        <v>50</v>
      </c>
      <c r="V10" s="41">
        <v>80</v>
      </c>
      <c r="W10">
        <f t="shared" si="3"/>
        <v>500</v>
      </c>
      <c r="X10">
        <f t="shared" si="4"/>
        <v>12.5</v>
      </c>
    </row>
    <row r="11" spans="1:24" x14ac:dyDescent="0.35">
      <c r="A11" s="11"/>
      <c r="B11" s="11" t="s">
        <v>9</v>
      </c>
      <c r="C11" s="12"/>
      <c r="D11" s="12">
        <v>120</v>
      </c>
      <c r="E11" s="12">
        <v>120</v>
      </c>
      <c r="F11" s="12">
        <v>80</v>
      </c>
      <c r="G11" s="28">
        <f t="shared" si="0"/>
        <v>16</v>
      </c>
      <c r="H11" s="12">
        <v>133</v>
      </c>
      <c r="I11" s="12">
        <v>133</v>
      </c>
      <c r="J11" s="12">
        <v>94</v>
      </c>
      <c r="K11" s="28">
        <f t="shared" si="1"/>
        <v>18</v>
      </c>
      <c r="L11" s="53">
        <f t="shared" si="2"/>
        <v>17</v>
      </c>
      <c r="M11" s="42">
        <v>2</v>
      </c>
      <c r="O11" t="s">
        <v>9</v>
      </c>
      <c r="P11" s="41"/>
      <c r="Q11" s="41">
        <v>120</v>
      </c>
      <c r="R11" s="41">
        <v>120</v>
      </c>
      <c r="S11" s="41">
        <v>80</v>
      </c>
      <c r="T11" s="41">
        <v>133</v>
      </c>
      <c r="U11" s="41">
        <v>143</v>
      </c>
      <c r="V11" s="41">
        <v>124</v>
      </c>
      <c r="W11">
        <f t="shared" si="3"/>
        <v>720</v>
      </c>
      <c r="X11">
        <f t="shared" si="4"/>
        <v>18</v>
      </c>
    </row>
    <row r="12" spans="1:24" x14ac:dyDescent="0.35">
      <c r="A12" s="11"/>
      <c r="B12" s="11" t="s">
        <v>34</v>
      </c>
      <c r="C12" s="12"/>
      <c r="D12" s="12">
        <v>0</v>
      </c>
      <c r="E12" s="12">
        <v>0</v>
      </c>
      <c r="F12" s="12">
        <v>0</v>
      </c>
      <c r="G12" s="28">
        <f t="shared" si="0"/>
        <v>0</v>
      </c>
      <c r="H12" s="12">
        <v>0</v>
      </c>
      <c r="I12" s="12">
        <v>24</v>
      </c>
      <c r="J12" s="12">
        <v>40</v>
      </c>
      <c r="K12" s="28">
        <f t="shared" si="1"/>
        <v>3.2</v>
      </c>
      <c r="L12" s="53">
        <f t="shared" si="2"/>
        <v>1.6</v>
      </c>
      <c r="M12" s="42">
        <v>2</v>
      </c>
      <c r="O12" t="s">
        <v>34</v>
      </c>
      <c r="P12" s="41">
        <v>0</v>
      </c>
      <c r="Q12" s="41">
        <v>0</v>
      </c>
      <c r="R12" s="41">
        <v>10</v>
      </c>
      <c r="S12" s="41">
        <v>10</v>
      </c>
      <c r="T12" s="41">
        <v>0</v>
      </c>
      <c r="U12" s="41">
        <v>34</v>
      </c>
      <c r="V12" s="41">
        <v>74</v>
      </c>
      <c r="W12">
        <f t="shared" si="3"/>
        <v>128</v>
      </c>
      <c r="X12">
        <f t="shared" si="4"/>
        <v>3.2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24" x14ac:dyDescent="0.35">
      <c r="A14" s="13"/>
      <c r="B14" s="10"/>
      <c r="C14" s="14">
        <f t="shared" ref="C14:K14" si="5">SUM(C8:C13)</f>
        <v>180</v>
      </c>
      <c r="D14" s="14">
        <f t="shared" si="5"/>
        <v>325</v>
      </c>
      <c r="E14" s="14">
        <f t="shared" si="5"/>
        <v>245</v>
      </c>
      <c r="F14" s="14">
        <f t="shared" si="5"/>
        <v>190</v>
      </c>
      <c r="G14" s="14">
        <f t="shared" si="5"/>
        <v>38</v>
      </c>
      <c r="H14" s="14">
        <f t="shared" si="5"/>
        <v>325</v>
      </c>
      <c r="I14" s="14">
        <f t="shared" si="5"/>
        <v>329</v>
      </c>
      <c r="J14" s="14">
        <f t="shared" si="5"/>
        <v>370</v>
      </c>
      <c r="K14" s="14">
        <f t="shared" si="5"/>
        <v>51.2</v>
      </c>
      <c r="L14" s="36">
        <f>C14+D14+E14+F14+H14+I14+J14</f>
        <v>1964</v>
      </c>
    </row>
    <row r="15" spans="1:24" x14ac:dyDescent="0.35">
      <c r="A15" s="13"/>
      <c r="B15" s="10" t="s">
        <v>40</v>
      </c>
      <c r="C15" s="13"/>
      <c r="D15" s="13">
        <f>D14/20</f>
        <v>16.25</v>
      </c>
      <c r="E15" s="13">
        <f t="shared" ref="E15:J15" si="6">E14/20</f>
        <v>12.25</v>
      </c>
      <c r="F15" s="13">
        <f t="shared" si="6"/>
        <v>9.5</v>
      </c>
      <c r="G15" s="13"/>
      <c r="H15" s="13">
        <f t="shared" si="6"/>
        <v>16.25</v>
      </c>
      <c r="I15" s="13">
        <f t="shared" si="6"/>
        <v>16.45</v>
      </c>
      <c r="J15" s="13">
        <f t="shared" si="6"/>
        <v>18.5</v>
      </c>
      <c r="K15" s="13"/>
    </row>
    <row r="16" spans="1:24" x14ac:dyDescent="0.35">
      <c r="A16" s="13"/>
      <c r="B16" s="10" t="s">
        <v>39</v>
      </c>
      <c r="C16" s="37">
        <f>C15+C14</f>
        <v>180</v>
      </c>
      <c r="D16" s="37">
        <f t="shared" ref="D16:J16" si="7">D15+D14</f>
        <v>341.25</v>
      </c>
      <c r="E16" s="37">
        <f t="shared" si="7"/>
        <v>257.25</v>
      </c>
      <c r="F16" s="37">
        <f t="shared" si="7"/>
        <v>199.5</v>
      </c>
      <c r="G16" s="37"/>
      <c r="H16" s="37">
        <f t="shared" si="7"/>
        <v>341.25</v>
      </c>
      <c r="I16" s="37">
        <f t="shared" si="7"/>
        <v>345.45</v>
      </c>
      <c r="J16" s="37">
        <f t="shared" si="7"/>
        <v>388.5</v>
      </c>
      <c r="K16" s="37"/>
    </row>
    <row r="17" spans="1:12" x14ac:dyDescent="0.35">
      <c r="A17" s="13"/>
      <c r="B17" s="40" t="s">
        <v>41</v>
      </c>
      <c r="C17" s="37">
        <f>C14/40</f>
        <v>4.5</v>
      </c>
      <c r="D17" s="37">
        <f t="shared" ref="D17:J17" si="8">D14/40</f>
        <v>8.125</v>
      </c>
      <c r="E17" s="37">
        <f t="shared" si="8"/>
        <v>6.125</v>
      </c>
      <c r="F17" s="37">
        <f t="shared" si="8"/>
        <v>4.75</v>
      </c>
      <c r="G17" s="37"/>
      <c r="H17" s="37">
        <f t="shared" si="8"/>
        <v>8.125</v>
      </c>
      <c r="I17" s="37">
        <f t="shared" si="8"/>
        <v>8.2249999999999996</v>
      </c>
      <c r="J17" s="37">
        <f t="shared" si="8"/>
        <v>9.25</v>
      </c>
      <c r="K17" s="37"/>
      <c r="L17" s="36">
        <f>SUM(C17:J17)</f>
        <v>49.1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AA19"/>
  <sheetViews>
    <sheetView workbookViewId="0">
      <selection activeCell="T17" sqref="T17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5" max="15" width="3.54296875" bestFit="1" customWidth="1"/>
    <col min="16" max="16" width="5.81640625" bestFit="1" customWidth="1"/>
    <col min="17" max="17" width="4" bestFit="1" customWidth="1"/>
    <col min="18" max="18" width="3.90625" bestFit="1" customWidth="1"/>
    <col min="19" max="19" width="3.26953125" bestFit="1" customWidth="1"/>
    <col min="20" max="20" width="3.08984375" bestFit="1" customWidth="1"/>
    <col min="21" max="21" width="5.81640625" bestFit="1" customWidth="1"/>
    <col min="22" max="22" width="3.90625" bestFit="1" customWidth="1"/>
    <col min="23" max="23" width="3.6328125" bestFit="1" customWidth="1"/>
    <col min="24" max="24" width="3.08984375" bestFit="1" customWidth="1"/>
    <col min="25" max="26" width="5.81640625" bestFit="1" customWidth="1"/>
  </cols>
  <sheetData>
    <row r="1" spans="1:27" ht="15" thickBot="1" x14ac:dyDescent="0.4">
      <c r="A1" s="1"/>
      <c r="B1" s="1"/>
      <c r="C1" s="1"/>
      <c r="D1" s="1"/>
      <c r="E1" s="1" t="s">
        <v>75</v>
      </c>
      <c r="F1" s="1"/>
      <c r="G1" s="1"/>
      <c r="H1" s="1"/>
      <c r="I1" s="1"/>
      <c r="J1" s="1"/>
      <c r="K1" s="1"/>
      <c r="U1" t="s">
        <v>78</v>
      </c>
    </row>
    <row r="2" spans="1:27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27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27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27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27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  <c r="O6" s="1"/>
      <c r="P6" s="2"/>
      <c r="Q6" s="3" t="s">
        <v>1</v>
      </c>
      <c r="R6" s="64" t="s">
        <v>2</v>
      </c>
      <c r="S6" s="65"/>
      <c r="T6" s="65"/>
      <c r="U6" s="66"/>
      <c r="V6" s="65" t="s">
        <v>3</v>
      </c>
      <c r="W6" s="65"/>
      <c r="X6" s="65"/>
      <c r="Y6" s="66"/>
    </row>
    <row r="7" spans="1:27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41" t="s">
        <v>59</v>
      </c>
      <c r="M7" s="12" t="s">
        <v>58</v>
      </c>
      <c r="O7" s="10" t="s">
        <v>4</v>
      </c>
      <c r="P7" s="10" t="s">
        <v>5</v>
      </c>
      <c r="Q7" s="38" t="s">
        <v>6</v>
      </c>
      <c r="R7" s="12" t="s">
        <v>14</v>
      </c>
      <c r="S7" s="12" t="s">
        <v>12</v>
      </c>
      <c r="T7" s="12" t="s">
        <v>13</v>
      </c>
      <c r="U7" s="12" t="s">
        <v>8</v>
      </c>
      <c r="V7" s="12" t="s">
        <v>14</v>
      </c>
      <c r="W7" s="12" t="s">
        <v>7</v>
      </c>
      <c r="X7" s="12" t="s">
        <v>13</v>
      </c>
      <c r="Y7" s="12" t="s">
        <v>8</v>
      </c>
      <c r="Z7" t="s">
        <v>59</v>
      </c>
      <c r="AA7" s="49" t="s">
        <v>58</v>
      </c>
    </row>
    <row r="8" spans="1:27" x14ac:dyDescent="0.35">
      <c r="A8" s="27"/>
      <c r="B8" s="10" t="s">
        <v>76</v>
      </c>
      <c r="C8" s="12">
        <v>118</v>
      </c>
      <c r="D8" s="12"/>
      <c r="E8" s="12"/>
      <c r="F8" s="12"/>
      <c r="G8" s="28">
        <f>SUM(D8:F8)/20</f>
        <v>0</v>
      </c>
      <c r="H8" s="12">
        <v>30</v>
      </c>
      <c r="I8" s="12">
        <v>10</v>
      </c>
      <c r="J8" s="12">
        <v>44</v>
      </c>
      <c r="K8" s="28">
        <f>SUM(H8:J8)/20</f>
        <v>4.2</v>
      </c>
      <c r="L8" s="54">
        <f>SUM(C8:F8,H8,I8,J8)/40</f>
        <v>5.05</v>
      </c>
      <c r="M8" s="51">
        <v>6</v>
      </c>
      <c r="O8" s="27"/>
      <c r="P8" s="10" t="s">
        <v>76</v>
      </c>
      <c r="Q8" s="12">
        <v>72</v>
      </c>
      <c r="R8" s="12"/>
      <c r="S8" s="12"/>
      <c r="T8" s="12"/>
      <c r="U8" s="28">
        <f>SUM(R8:T8)/20</f>
        <v>0</v>
      </c>
      <c r="V8" s="12">
        <v>30</v>
      </c>
      <c r="W8" s="12">
        <v>10</v>
      </c>
      <c r="X8" s="12">
        <v>26</v>
      </c>
      <c r="Y8" s="28">
        <f>SUM(V8:X8)/20</f>
        <v>3.3</v>
      </c>
      <c r="Z8">
        <f>SUM(Q8:T8,V8,W8,X8)/40</f>
        <v>3.45</v>
      </c>
      <c r="AA8" s="49">
        <v>3</v>
      </c>
    </row>
    <row r="9" spans="1:27" x14ac:dyDescent="0.35">
      <c r="A9" s="27"/>
      <c r="B9" s="10" t="s">
        <v>34</v>
      </c>
      <c r="C9" s="12"/>
      <c r="D9" s="12">
        <v>30</v>
      </c>
      <c r="E9" s="12">
        <v>20</v>
      </c>
      <c r="F9" s="12">
        <v>0</v>
      </c>
      <c r="G9" s="28">
        <f t="shared" ref="G9:G12" si="0">SUM(D9:F9)/20</f>
        <v>2.5</v>
      </c>
      <c r="H9" s="12">
        <v>83</v>
      </c>
      <c r="I9" s="12">
        <v>66</v>
      </c>
      <c r="J9" s="12">
        <v>95</v>
      </c>
      <c r="K9" s="28">
        <f t="shared" ref="K9:K12" si="1">SUM(H9:J9)/20</f>
        <v>12.2</v>
      </c>
      <c r="L9" s="54">
        <f t="shared" ref="L9:L12" si="2">SUM(C9:F9,H9,I9,J9)/40</f>
        <v>7.35</v>
      </c>
      <c r="M9" s="51">
        <v>6</v>
      </c>
      <c r="O9" s="27"/>
      <c r="P9" s="10" t="s">
        <v>34</v>
      </c>
      <c r="Q9" s="12">
        <v>0</v>
      </c>
      <c r="R9" s="12">
        <v>0</v>
      </c>
      <c r="S9" s="12">
        <v>0</v>
      </c>
      <c r="T9" s="12">
        <v>0</v>
      </c>
      <c r="U9" s="28">
        <f t="shared" ref="U9:U12" si="3">SUM(R9:T9)/20</f>
        <v>0</v>
      </c>
      <c r="V9" s="12">
        <v>0</v>
      </c>
      <c r="W9" s="12">
        <v>0</v>
      </c>
      <c r="X9" s="12">
        <v>0</v>
      </c>
      <c r="Y9" s="28">
        <f t="shared" ref="Y9:Y12" si="4">SUM(V9:X9)/20</f>
        <v>0</v>
      </c>
      <c r="Z9">
        <f t="shared" ref="Z9:Z12" si="5">SUM(Q9:T9,V9,W9,X9)/40</f>
        <v>0</v>
      </c>
      <c r="AA9" s="49">
        <v>0</v>
      </c>
    </row>
    <row r="10" spans="1:27" x14ac:dyDescent="0.35">
      <c r="A10" s="27"/>
      <c r="B10" s="10" t="s">
        <v>9</v>
      </c>
      <c r="C10" s="12">
        <v>90</v>
      </c>
      <c r="D10" s="12">
        <v>55</v>
      </c>
      <c r="E10" s="12">
        <v>45</v>
      </c>
      <c r="F10" s="12">
        <v>0</v>
      </c>
      <c r="G10" s="28">
        <f t="shared" si="0"/>
        <v>5</v>
      </c>
      <c r="H10" s="12">
        <v>39</v>
      </c>
      <c r="I10" s="12">
        <v>18</v>
      </c>
      <c r="J10" s="12">
        <v>53</v>
      </c>
      <c r="K10" s="28">
        <f t="shared" si="1"/>
        <v>5.5</v>
      </c>
      <c r="L10" s="54">
        <f t="shared" si="2"/>
        <v>7.5</v>
      </c>
      <c r="M10" s="51">
        <v>7</v>
      </c>
      <c r="O10" s="27"/>
      <c r="P10" s="10" t="s">
        <v>9</v>
      </c>
      <c r="Q10" s="12">
        <v>90</v>
      </c>
      <c r="R10" s="12">
        <v>40</v>
      </c>
      <c r="S10" s="12">
        <v>40</v>
      </c>
      <c r="T10" s="12">
        <v>0</v>
      </c>
      <c r="U10" s="28">
        <f t="shared" si="3"/>
        <v>4</v>
      </c>
      <c r="V10" s="12">
        <v>34</v>
      </c>
      <c r="W10" s="12">
        <v>13</v>
      </c>
      <c r="X10" s="12">
        <v>43</v>
      </c>
      <c r="Y10" s="28">
        <f t="shared" si="4"/>
        <v>4.5</v>
      </c>
      <c r="Z10">
        <f t="shared" si="5"/>
        <v>6.5</v>
      </c>
      <c r="AA10" s="49">
        <v>5</v>
      </c>
    </row>
    <row r="11" spans="1:27" x14ac:dyDescent="0.35">
      <c r="A11" s="11"/>
      <c r="B11" s="11" t="s">
        <v>71</v>
      </c>
      <c r="C11" s="12">
        <v>120</v>
      </c>
      <c r="D11" s="12">
        <v>60</v>
      </c>
      <c r="E11" s="12">
        <v>120</v>
      </c>
      <c r="F11" s="12">
        <v>0</v>
      </c>
      <c r="G11" s="28">
        <f t="shared" si="0"/>
        <v>9</v>
      </c>
      <c r="H11" s="12">
        <v>122</v>
      </c>
      <c r="I11" s="12">
        <v>112</v>
      </c>
      <c r="J11" s="12">
        <v>112</v>
      </c>
      <c r="K11" s="28">
        <f t="shared" si="1"/>
        <v>17.3</v>
      </c>
      <c r="L11" s="54">
        <f t="shared" si="2"/>
        <v>16.149999999999999</v>
      </c>
      <c r="M11" s="51">
        <v>6</v>
      </c>
      <c r="O11" s="11"/>
      <c r="P11" s="11" t="s">
        <v>71</v>
      </c>
      <c r="Q11" s="12">
        <v>40</v>
      </c>
      <c r="R11" s="12">
        <v>20</v>
      </c>
      <c r="S11" s="12">
        <v>40</v>
      </c>
      <c r="T11" s="12">
        <v>0</v>
      </c>
      <c r="U11" s="28">
        <f t="shared" si="3"/>
        <v>3</v>
      </c>
      <c r="V11" s="12">
        <v>80</v>
      </c>
      <c r="W11" s="12">
        <v>70</v>
      </c>
      <c r="X11" s="12">
        <v>70</v>
      </c>
      <c r="Y11" s="28">
        <f t="shared" si="4"/>
        <v>11</v>
      </c>
      <c r="Z11">
        <f t="shared" si="5"/>
        <v>8</v>
      </c>
      <c r="AA11" s="42">
        <v>3</v>
      </c>
    </row>
    <row r="12" spans="1:27" x14ac:dyDescent="0.35">
      <c r="A12" s="11"/>
      <c r="B12" s="11" t="s">
        <v>70</v>
      </c>
      <c r="C12" s="12">
        <v>70</v>
      </c>
      <c r="D12" s="12">
        <v>10</v>
      </c>
      <c r="E12" s="12">
        <v>10</v>
      </c>
      <c r="F12" s="12">
        <v>0</v>
      </c>
      <c r="G12" s="28">
        <f t="shared" si="0"/>
        <v>1</v>
      </c>
      <c r="H12" s="12">
        <v>70</v>
      </c>
      <c r="I12" s="12">
        <v>80</v>
      </c>
      <c r="J12" s="12">
        <v>150</v>
      </c>
      <c r="K12" s="28">
        <f t="shared" si="1"/>
        <v>15</v>
      </c>
      <c r="L12" s="54">
        <f t="shared" si="2"/>
        <v>9.75</v>
      </c>
      <c r="M12" s="51">
        <v>11</v>
      </c>
      <c r="O12" s="11"/>
      <c r="P12" s="11" t="s">
        <v>70</v>
      </c>
      <c r="Q12" s="12">
        <v>60</v>
      </c>
      <c r="R12" s="12">
        <v>10</v>
      </c>
      <c r="S12" s="12">
        <v>10</v>
      </c>
      <c r="T12" s="12">
        <v>0</v>
      </c>
      <c r="U12" s="28">
        <f t="shared" si="3"/>
        <v>1</v>
      </c>
      <c r="V12" s="12">
        <v>70</v>
      </c>
      <c r="W12" s="12">
        <v>40</v>
      </c>
      <c r="X12" s="12">
        <v>110</v>
      </c>
      <c r="Y12" s="28">
        <f t="shared" si="4"/>
        <v>11</v>
      </c>
      <c r="Z12">
        <f t="shared" si="5"/>
        <v>7.5</v>
      </c>
      <c r="AA12" s="42">
        <v>9</v>
      </c>
    </row>
    <row r="13" spans="1:27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27" x14ac:dyDescent="0.35">
      <c r="A14" s="13"/>
      <c r="B14" s="10"/>
      <c r="C14" s="14">
        <f t="shared" ref="C14:K14" si="6">SUM(C8:C13)</f>
        <v>398</v>
      </c>
      <c r="D14" s="14">
        <f t="shared" si="6"/>
        <v>155</v>
      </c>
      <c r="E14" s="14">
        <f t="shared" si="6"/>
        <v>195</v>
      </c>
      <c r="F14" s="14">
        <f t="shared" si="6"/>
        <v>0</v>
      </c>
      <c r="G14" s="14">
        <f t="shared" si="6"/>
        <v>17.5</v>
      </c>
      <c r="H14" s="14">
        <f t="shared" si="6"/>
        <v>344</v>
      </c>
      <c r="I14" s="14">
        <f t="shared" si="6"/>
        <v>286</v>
      </c>
      <c r="J14" s="14">
        <f t="shared" si="6"/>
        <v>454</v>
      </c>
      <c r="K14" s="14">
        <f t="shared" si="6"/>
        <v>54.2</v>
      </c>
      <c r="L14" s="36">
        <f>C14+D14+E14+F14+H14+I14+J14</f>
        <v>1832</v>
      </c>
    </row>
    <row r="15" spans="1:27" x14ac:dyDescent="0.35">
      <c r="A15" s="13"/>
      <c r="B15" s="10" t="s">
        <v>40</v>
      </c>
      <c r="C15" s="13"/>
      <c r="D15" s="13">
        <f>D14/20</f>
        <v>7.75</v>
      </c>
      <c r="E15" s="13">
        <f t="shared" ref="E15:J15" si="7">E14/20</f>
        <v>9.75</v>
      </c>
      <c r="F15" s="13">
        <f t="shared" si="7"/>
        <v>0</v>
      </c>
      <c r="G15" s="13"/>
      <c r="H15" s="13">
        <f t="shared" si="7"/>
        <v>17.2</v>
      </c>
      <c r="I15" s="13">
        <f t="shared" si="7"/>
        <v>14.3</v>
      </c>
      <c r="J15" s="13">
        <f t="shared" si="7"/>
        <v>22.7</v>
      </c>
      <c r="K15" s="13"/>
    </row>
    <row r="16" spans="1:27" x14ac:dyDescent="0.35">
      <c r="A16" s="13"/>
      <c r="B16" s="10" t="s">
        <v>39</v>
      </c>
      <c r="C16" s="37">
        <f>C15+C14</f>
        <v>398</v>
      </c>
      <c r="D16" s="37">
        <f t="shared" ref="D16:J16" si="8">D15+D14</f>
        <v>162.75</v>
      </c>
      <c r="E16" s="37">
        <f t="shared" si="8"/>
        <v>204.75</v>
      </c>
      <c r="F16" s="37">
        <f t="shared" si="8"/>
        <v>0</v>
      </c>
      <c r="G16" s="37"/>
      <c r="H16" s="37">
        <f t="shared" si="8"/>
        <v>361.2</v>
      </c>
      <c r="I16" s="37">
        <f t="shared" si="8"/>
        <v>300.3</v>
      </c>
      <c r="J16" s="37">
        <f t="shared" si="8"/>
        <v>476.7</v>
      </c>
      <c r="K16" s="37"/>
    </row>
    <row r="17" spans="1:12" x14ac:dyDescent="0.35">
      <c r="A17" s="13"/>
      <c r="B17" s="40" t="s">
        <v>41</v>
      </c>
      <c r="C17" s="37">
        <f>C14/40</f>
        <v>9.9499999999999993</v>
      </c>
      <c r="D17" s="37">
        <f t="shared" ref="D17:J17" si="9">D14/40</f>
        <v>3.875</v>
      </c>
      <c r="E17" s="37">
        <f t="shared" si="9"/>
        <v>4.875</v>
      </c>
      <c r="F17" s="37">
        <f t="shared" si="9"/>
        <v>0</v>
      </c>
      <c r="G17" s="37"/>
      <c r="H17" s="37">
        <f t="shared" si="9"/>
        <v>8.6</v>
      </c>
      <c r="I17" s="37">
        <f t="shared" si="9"/>
        <v>7.15</v>
      </c>
      <c r="J17" s="37">
        <f t="shared" si="9"/>
        <v>11.35</v>
      </c>
      <c r="K17" s="37"/>
      <c r="L17" s="36">
        <f>SUM(C17:J17)</f>
        <v>45.8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5">
    <mergeCell ref="B2:K5"/>
    <mergeCell ref="D6:G6"/>
    <mergeCell ref="H6:K6"/>
    <mergeCell ref="R6:U6"/>
    <mergeCell ref="V6:Y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L19"/>
  <sheetViews>
    <sheetView workbookViewId="0">
      <selection activeCell="S17" sqref="S17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AA19"/>
  <sheetViews>
    <sheetView workbookViewId="0">
      <selection activeCell="O1" sqref="O1:AA18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5" max="15" width="4.26953125" bestFit="1" customWidth="1"/>
    <col min="16" max="16" width="6.453125" bestFit="1" customWidth="1"/>
    <col min="17" max="17" width="3.90625" bestFit="1" customWidth="1"/>
    <col min="18" max="18" width="4.6328125" customWidth="1"/>
    <col min="19" max="19" width="3.08984375" bestFit="1" customWidth="1"/>
    <col min="20" max="20" width="3.90625" bestFit="1" customWidth="1"/>
    <col min="21" max="21" width="3.6328125" bestFit="1" customWidth="1"/>
    <col min="22" max="22" width="3.08984375" bestFit="1" customWidth="1"/>
  </cols>
  <sheetData>
    <row r="1" spans="1:27" ht="15" thickBot="1" x14ac:dyDescent="0.4">
      <c r="A1" s="1"/>
      <c r="B1" s="1"/>
      <c r="C1" s="1"/>
      <c r="D1" s="1"/>
      <c r="E1" s="1"/>
      <c r="F1" s="52"/>
      <c r="G1" s="1"/>
      <c r="H1" s="1"/>
      <c r="I1" s="1"/>
      <c r="J1" s="1"/>
      <c r="K1" s="1"/>
      <c r="Q1" s="67"/>
      <c r="R1" s="67"/>
    </row>
    <row r="2" spans="1:27" x14ac:dyDescent="0.35">
      <c r="A2" s="1"/>
      <c r="B2" s="55" t="s">
        <v>75</v>
      </c>
      <c r="C2" s="56"/>
      <c r="D2" s="56"/>
      <c r="E2" s="56"/>
      <c r="F2" s="56"/>
      <c r="G2" s="56"/>
      <c r="H2" s="56"/>
      <c r="I2" s="56"/>
      <c r="J2" s="56"/>
      <c r="K2" s="57"/>
      <c r="O2" s="1"/>
      <c r="P2" s="55" t="s">
        <v>79</v>
      </c>
      <c r="Q2" s="56"/>
      <c r="R2" s="56"/>
      <c r="S2" s="56"/>
      <c r="T2" s="56"/>
      <c r="U2" s="56"/>
      <c r="V2" s="56"/>
      <c r="W2" s="56"/>
      <c r="X2" s="56"/>
      <c r="Y2" s="57"/>
    </row>
    <row r="3" spans="1:27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  <c r="O3" s="1"/>
      <c r="P3" s="58"/>
      <c r="Q3" s="59"/>
      <c r="R3" s="59"/>
      <c r="S3" s="59"/>
      <c r="T3" s="59"/>
      <c r="U3" s="59"/>
      <c r="V3" s="59"/>
      <c r="W3" s="59"/>
      <c r="X3" s="59"/>
      <c r="Y3" s="60"/>
    </row>
    <row r="4" spans="1:27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  <c r="O4" s="1"/>
      <c r="P4" s="58"/>
      <c r="Q4" s="59"/>
      <c r="R4" s="59"/>
      <c r="S4" s="59"/>
      <c r="T4" s="59"/>
      <c r="U4" s="59"/>
      <c r="V4" s="59"/>
      <c r="W4" s="59"/>
      <c r="X4" s="59"/>
      <c r="Y4" s="60"/>
    </row>
    <row r="5" spans="1:27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  <c r="O5" s="1"/>
      <c r="P5" s="61"/>
      <c r="Q5" s="62"/>
      <c r="R5" s="62"/>
      <c r="S5" s="62"/>
      <c r="T5" s="62"/>
      <c r="U5" s="62"/>
      <c r="V5" s="62"/>
      <c r="W5" s="62"/>
      <c r="X5" s="62"/>
      <c r="Y5" s="63"/>
    </row>
    <row r="6" spans="1:27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  <c r="O6" s="1"/>
      <c r="P6" s="2"/>
      <c r="Q6" s="3" t="s">
        <v>1</v>
      </c>
      <c r="R6" s="64" t="s">
        <v>2</v>
      </c>
      <c r="S6" s="65"/>
      <c r="T6" s="65"/>
      <c r="U6" s="66"/>
      <c r="V6" s="65" t="s">
        <v>3</v>
      </c>
      <c r="W6" s="65"/>
      <c r="X6" s="65"/>
      <c r="Y6" s="66"/>
    </row>
    <row r="7" spans="1:27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  <c r="M7" s="49" t="s">
        <v>58</v>
      </c>
      <c r="O7" s="10" t="s">
        <v>4</v>
      </c>
      <c r="P7" s="10" t="s">
        <v>5</v>
      </c>
      <c r="Q7" s="38" t="s">
        <v>6</v>
      </c>
      <c r="R7" s="12" t="s">
        <v>14</v>
      </c>
      <c r="S7" s="12" t="s">
        <v>12</v>
      </c>
      <c r="T7" s="12" t="s">
        <v>13</v>
      </c>
      <c r="U7" s="12" t="s">
        <v>8</v>
      </c>
      <c r="V7" s="12" t="s">
        <v>14</v>
      </c>
      <c r="W7" s="12" t="s">
        <v>7</v>
      </c>
      <c r="X7" s="12" t="s">
        <v>13</v>
      </c>
      <c r="Y7" s="12" t="s">
        <v>8</v>
      </c>
      <c r="Z7" t="s">
        <v>59</v>
      </c>
      <c r="AA7" s="49" t="s">
        <v>58</v>
      </c>
    </row>
    <row r="8" spans="1:27" x14ac:dyDescent="0.35">
      <c r="A8" s="27"/>
      <c r="B8" s="10" t="s">
        <v>16</v>
      </c>
      <c r="C8" s="12">
        <v>190</v>
      </c>
      <c r="D8" s="12">
        <v>80</v>
      </c>
      <c r="E8" s="12">
        <v>40</v>
      </c>
      <c r="F8" s="12">
        <v>0</v>
      </c>
      <c r="G8" s="28">
        <f>SUM(D8:F8)/20</f>
        <v>6</v>
      </c>
      <c r="H8" s="12">
        <v>106</v>
      </c>
      <c r="I8" s="12">
        <v>16</v>
      </c>
      <c r="J8" s="12">
        <v>138</v>
      </c>
      <c r="K8" s="28">
        <f>SUM(H8:J8)/20</f>
        <v>13</v>
      </c>
      <c r="L8">
        <f>SUM(C8:F8,H8,I8,J8)/40</f>
        <v>14.25</v>
      </c>
      <c r="M8" s="49">
        <v>7</v>
      </c>
      <c r="O8" s="27"/>
      <c r="P8" s="10" t="s">
        <v>16</v>
      </c>
      <c r="Q8" s="12">
        <v>40</v>
      </c>
      <c r="R8" s="12">
        <v>0</v>
      </c>
      <c r="S8" s="12">
        <v>40</v>
      </c>
      <c r="T8" s="12">
        <v>0</v>
      </c>
      <c r="U8" s="28">
        <f>SUM(R8:T8)/20</f>
        <v>2</v>
      </c>
      <c r="V8" s="12">
        <v>60</v>
      </c>
      <c r="W8" s="12">
        <v>10</v>
      </c>
      <c r="X8" s="12">
        <v>10</v>
      </c>
      <c r="Y8" s="28">
        <f>SUM(V8:X8)/20</f>
        <v>4</v>
      </c>
      <c r="Z8">
        <f>SUM(Q8:T8,V8,W8,X8)/40</f>
        <v>4</v>
      </c>
      <c r="AA8" s="49">
        <v>2</v>
      </c>
    </row>
    <row r="9" spans="1:27" x14ac:dyDescent="0.35">
      <c r="A9" s="27"/>
      <c r="B9" s="10" t="s">
        <v>68</v>
      </c>
      <c r="C9" s="12"/>
      <c r="D9" s="12">
        <v>60</v>
      </c>
      <c r="E9" s="12">
        <v>100</v>
      </c>
      <c r="F9" s="12"/>
      <c r="G9" s="28">
        <f t="shared" ref="G9:G12" si="0">SUM(D9:F9)/20</f>
        <v>8</v>
      </c>
      <c r="H9" s="12">
        <v>247</v>
      </c>
      <c r="I9" s="12">
        <v>247</v>
      </c>
      <c r="J9" s="12">
        <v>258</v>
      </c>
      <c r="K9" s="28">
        <f t="shared" ref="K9:K12" si="1">SUM(H9:J9)/20</f>
        <v>37.6</v>
      </c>
      <c r="L9">
        <f t="shared" ref="L9:L12" si="2">SUM(C9:F9,H9,I9,J9)/40</f>
        <v>22.8</v>
      </c>
      <c r="M9" s="49">
        <v>8</v>
      </c>
      <c r="O9" s="27"/>
      <c r="P9" s="10" t="s">
        <v>68</v>
      </c>
      <c r="Q9" s="12"/>
      <c r="R9" s="12">
        <v>60</v>
      </c>
      <c r="S9" s="12">
        <v>60</v>
      </c>
      <c r="T9" s="12">
        <v>0</v>
      </c>
      <c r="U9" s="28">
        <f t="shared" ref="U9:U12" si="3">SUM(R9:T9)/20</f>
        <v>6</v>
      </c>
      <c r="V9" s="12">
        <v>247</v>
      </c>
      <c r="W9" s="12">
        <v>247</v>
      </c>
      <c r="X9" s="12">
        <v>258</v>
      </c>
      <c r="Y9" s="28">
        <f t="shared" ref="Y9:Y12" si="4">SUM(V9:X9)/20</f>
        <v>37.6</v>
      </c>
      <c r="Z9">
        <f t="shared" ref="Z9:Z12" si="5">SUM(Q9:T9,V9,W9,X9)/40</f>
        <v>21.8</v>
      </c>
      <c r="AA9" s="49">
        <v>8</v>
      </c>
    </row>
    <row r="10" spans="1:27" x14ac:dyDescent="0.35">
      <c r="A10" s="27"/>
      <c r="B10" s="10" t="s">
        <v>11</v>
      </c>
      <c r="C10" s="12"/>
      <c r="D10" s="12">
        <v>20</v>
      </c>
      <c r="E10" s="12">
        <v>40</v>
      </c>
      <c r="F10" s="12">
        <v>0</v>
      </c>
      <c r="G10" s="28">
        <f t="shared" si="0"/>
        <v>3</v>
      </c>
      <c r="H10" s="12">
        <v>70</v>
      </c>
      <c r="I10" s="12">
        <v>55</v>
      </c>
      <c r="J10" s="12">
        <v>75</v>
      </c>
      <c r="K10" s="28">
        <f t="shared" si="1"/>
        <v>10</v>
      </c>
      <c r="L10">
        <f t="shared" si="2"/>
        <v>6.5</v>
      </c>
      <c r="M10" s="49">
        <v>4</v>
      </c>
      <c r="O10" s="27"/>
      <c r="P10" s="10" t="s">
        <v>11</v>
      </c>
      <c r="Q10" s="12"/>
      <c r="R10" s="12"/>
      <c r="S10" s="12"/>
      <c r="T10" s="12"/>
      <c r="U10" s="28">
        <f t="shared" si="3"/>
        <v>0</v>
      </c>
      <c r="V10" s="12"/>
      <c r="W10" s="12"/>
      <c r="X10" s="12"/>
      <c r="Y10" s="28">
        <f t="shared" si="4"/>
        <v>0</v>
      </c>
      <c r="Z10">
        <f t="shared" si="5"/>
        <v>0</v>
      </c>
      <c r="AA10" s="49"/>
    </row>
    <row r="11" spans="1:27" x14ac:dyDescent="0.35">
      <c r="A11" s="11"/>
      <c r="B11" s="11" t="s">
        <v>15</v>
      </c>
      <c r="C11" s="12">
        <v>60</v>
      </c>
      <c r="D11" s="12">
        <v>20</v>
      </c>
      <c r="E11" s="12">
        <v>20</v>
      </c>
      <c r="F11" s="12">
        <v>0</v>
      </c>
      <c r="G11" s="28">
        <f t="shared" si="0"/>
        <v>2</v>
      </c>
      <c r="H11" s="12">
        <v>16</v>
      </c>
      <c r="I11" s="12">
        <v>40</v>
      </c>
      <c r="J11" s="12">
        <v>72</v>
      </c>
      <c r="K11" s="28">
        <f t="shared" si="1"/>
        <v>6.4</v>
      </c>
      <c r="L11">
        <f t="shared" si="2"/>
        <v>5.7</v>
      </c>
      <c r="M11" s="42">
        <v>5</v>
      </c>
      <c r="O11" s="11"/>
      <c r="P11" s="11" t="s">
        <v>15</v>
      </c>
      <c r="Q11" s="12">
        <v>60</v>
      </c>
      <c r="R11" s="12">
        <v>0</v>
      </c>
      <c r="S11" s="12">
        <v>0</v>
      </c>
      <c r="T11" s="12">
        <v>0</v>
      </c>
      <c r="U11" s="28">
        <f t="shared" si="3"/>
        <v>0</v>
      </c>
      <c r="V11" s="12">
        <v>16</v>
      </c>
      <c r="W11" s="12">
        <v>40</v>
      </c>
      <c r="X11" s="12">
        <v>72</v>
      </c>
      <c r="Y11" s="28">
        <f t="shared" si="4"/>
        <v>6.4</v>
      </c>
      <c r="Z11">
        <f t="shared" si="5"/>
        <v>4.7</v>
      </c>
      <c r="AA11" s="42">
        <v>3</v>
      </c>
    </row>
    <row r="12" spans="1:27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O12" s="11"/>
      <c r="P12" s="11"/>
      <c r="Q12" s="12"/>
      <c r="R12" s="12"/>
      <c r="S12" s="12"/>
      <c r="T12" s="12"/>
      <c r="U12" s="28">
        <f t="shared" si="3"/>
        <v>0</v>
      </c>
      <c r="V12" s="12"/>
      <c r="W12" s="12"/>
      <c r="X12" s="12"/>
      <c r="Y12" s="28">
        <f t="shared" si="4"/>
        <v>0</v>
      </c>
      <c r="Z12">
        <f t="shared" si="5"/>
        <v>0</v>
      </c>
    </row>
    <row r="13" spans="1:27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</row>
    <row r="14" spans="1:27" x14ac:dyDescent="0.35">
      <c r="A14" s="13"/>
      <c r="B14" s="10"/>
      <c r="C14" s="14">
        <f t="shared" ref="C14:K14" si="6">SUM(C8:C13)</f>
        <v>250</v>
      </c>
      <c r="D14" s="14">
        <f t="shared" si="6"/>
        <v>180</v>
      </c>
      <c r="E14" s="14">
        <f t="shared" si="6"/>
        <v>200</v>
      </c>
      <c r="F14" s="14">
        <f t="shared" si="6"/>
        <v>0</v>
      </c>
      <c r="G14" s="14">
        <f t="shared" si="6"/>
        <v>19</v>
      </c>
      <c r="H14" s="14">
        <f t="shared" si="6"/>
        <v>439</v>
      </c>
      <c r="I14" s="14">
        <f t="shared" si="6"/>
        <v>358</v>
      </c>
      <c r="J14" s="14">
        <f t="shared" si="6"/>
        <v>543</v>
      </c>
      <c r="K14" s="14">
        <f t="shared" si="6"/>
        <v>67</v>
      </c>
      <c r="L14" s="36">
        <f>C14+D14+E14+F14+H14+I14+J14</f>
        <v>1970</v>
      </c>
      <c r="O14" s="13"/>
      <c r="P14" s="10"/>
      <c r="Q14" s="14">
        <f t="shared" ref="Q14:Y14" si="7">SUM(Q8:Q13)</f>
        <v>100</v>
      </c>
      <c r="R14" s="14">
        <f t="shared" si="7"/>
        <v>60</v>
      </c>
      <c r="S14" s="14">
        <f t="shared" si="7"/>
        <v>100</v>
      </c>
      <c r="T14" s="14">
        <f t="shared" si="7"/>
        <v>0</v>
      </c>
      <c r="U14" s="14">
        <f t="shared" si="7"/>
        <v>8</v>
      </c>
      <c r="V14" s="14">
        <f t="shared" si="7"/>
        <v>323</v>
      </c>
      <c r="W14" s="14">
        <f t="shared" si="7"/>
        <v>297</v>
      </c>
      <c r="X14" s="14">
        <f t="shared" si="7"/>
        <v>340</v>
      </c>
      <c r="Y14" s="14">
        <f t="shared" si="7"/>
        <v>48</v>
      </c>
      <c r="Z14" s="36">
        <f>Q14+R14+S14+T14+V14+W14+X14</f>
        <v>1220</v>
      </c>
    </row>
    <row r="15" spans="1:27" x14ac:dyDescent="0.35">
      <c r="A15" s="13"/>
      <c r="B15" s="10" t="s">
        <v>40</v>
      </c>
      <c r="C15" s="13"/>
      <c r="D15" s="13">
        <f>D14/20</f>
        <v>9</v>
      </c>
      <c r="E15" s="13">
        <f t="shared" ref="E15:J15" si="8">E14/20</f>
        <v>10</v>
      </c>
      <c r="F15" s="13">
        <f t="shared" si="8"/>
        <v>0</v>
      </c>
      <c r="G15" s="13"/>
      <c r="H15" s="13">
        <f t="shared" si="8"/>
        <v>21.95</v>
      </c>
      <c r="I15" s="13">
        <f t="shared" si="8"/>
        <v>17.899999999999999</v>
      </c>
      <c r="J15" s="13">
        <f t="shared" si="8"/>
        <v>27.15</v>
      </c>
      <c r="K15" s="13"/>
      <c r="O15" s="13"/>
      <c r="P15" s="10" t="s">
        <v>40</v>
      </c>
      <c r="Q15" s="13"/>
      <c r="R15" s="13">
        <f>R14/20</f>
        <v>3</v>
      </c>
      <c r="S15" s="13">
        <f t="shared" ref="S15:T15" si="9">S14/20</f>
        <v>5</v>
      </c>
      <c r="T15" s="13">
        <f t="shared" si="9"/>
        <v>0</v>
      </c>
      <c r="U15" s="13"/>
      <c r="V15" s="13">
        <f t="shared" ref="V15:X15" si="10">V14/20</f>
        <v>16.149999999999999</v>
      </c>
      <c r="W15" s="13">
        <f t="shared" si="10"/>
        <v>14.85</v>
      </c>
      <c r="X15" s="13">
        <f t="shared" si="10"/>
        <v>17</v>
      </c>
      <c r="Y15" s="13"/>
    </row>
    <row r="16" spans="1:27" x14ac:dyDescent="0.35">
      <c r="A16" s="13"/>
      <c r="B16" s="10" t="s">
        <v>39</v>
      </c>
      <c r="C16" s="37">
        <f>C15+C14</f>
        <v>250</v>
      </c>
      <c r="D16" s="37">
        <f t="shared" ref="D16:J16" si="11">D15+D14</f>
        <v>189</v>
      </c>
      <c r="E16" s="37">
        <f t="shared" si="11"/>
        <v>210</v>
      </c>
      <c r="F16" s="37">
        <f t="shared" si="11"/>
        <v>0</v>
      </c>
      <c r="G16" s="37"/>
      <c r="H16" s="37">
        <f t="shared" si="11"/>
        <v>460.95</v>
      </c>
      <c r="I16" s="37">
        <f t="shared" si="11"/>
        <v>375.9</v>
      </c>
      <c r="J16" s="37">
        <f t="shared" si="11"/>
        <v>570.15</v>
      </c>
      <c r="K16" s="37"/>
      <c r="O16" s="13"/>
      <c r="P16" s="10" t="s">
        <v>39</v>
      </c>
      <c r="Q16" s="37">
        <f>Q15+Q14</f>
        <v>100</v>
      </c>
      <c r="R16" s="37">
        <f t="shared" ref="R16:T16" si="12">R15+R14</f>
        <v>63</v>
      </c>
      <c r="S16" s="37">
        <f t="shared" si="12"/>
        <v>105</v>
      </c>
      <c r="T16" s="37">
        <f t="shared" si="12"/>
        <v>0</v>
      </c>
      <c r="U16" s="37"/>
      <c r="V16" s="37">
        <f t="shared" ref="V16:X16" si="13">V15+V14</f>
        <v>339.15</v>
      </c>
      <c r="W16" s="37">
        <f t="shared" si="13"/>
        <v>311.85000000000002</v>
      </c>
      <c r="X16" s="37">
        <f t="shared" si="13"/>
        <v>357</v>
      </c>
      <c r="Y16" s="37"/>
    </row>
    <row r="17" spans="1:26" x14ac:dyDescent="0.35">
      <c r="A17" s="13"/>
      <c r="B17" s="40" t="s">
        <v>41</v>
      </c>
      <c r="C17" s="37">
        <f>C14/40</f>
        <v>6.25</v>
      </c>
      <c r="D17" s="37">
        <f t="shared" ref="D17:J17" si="14">D14/40</f>
        <v>4.5</v>
      </c>
      <c r="E17" s="37">
        <f t="shared" si="14"/>
        <v>5</v>
      </c>
      <c r="F17" s="37">
        <f t="shared" si="14"/>
        <v>0</v>
      </c>
      <c r="G17" s="37"/>
      <c r="H17" s="37">
        <f t="shared" si="14"/>
        <v>10.975</v>
      </c>
      <c r="I17" s="37">
        <f t="shared" si="14"/>
        <v>8.9499999999999993</v>
      </c>
      <c r="J17" s="37">
        <f t="shared" si="14"/>
        <v>13.574999999999999</v>
      </c>
      <c r="K17" s="37"/>
      <c r="L17" s="36">
        <f>SUM(C17:J17)</f>
        <v>49.25</v>
      </c>
      <c r="O17" s="13"/>
      <c r="P17" s="40" t="s">
        <v>41</v>
      </c>
      <c r="Q17" s="37">
        <f>Q14/40</f>
        <v>2.5</v>
      </c>
      <c r="R17" s="37">
        <f t="shared" ref="R17:T17" si="15">R14/40</f>
        <v>1.5</v>
      </c>
      <c r="S17" s="37">
        <f t="shared" si="15"/>
        <v>2.5</v>
      </c>
      <c r="T17" s="37">
        <f t="shared" si="15"/>
        <v>0</v>
      </c>
      <c r="U17" s="37"/>
      <c r="V17" s="37">
        <f t="shared" ref="V17:X17" si="16">V14/40</f>
        <v>8.0749999999999993</v>
      </c>
      <c r="W17" s="37">
        <f t="shared" si="16"/>
        <v>7.4249999999999998</v>
      </c>
      <c r="X17" s="37">
        <f t="shared" si="16"/>
        <v>8.5</v>
      </c>
      <c r="Y17" s="37"/>
      <c r="Z17" s="36">
        <f>SUM(Q17:X17)</f>
        <v>30.5</v>
      </c>
    </row>
    <row r="18" spans="1:26" x14ac:dyDescent="0.35">
      <c r="C18" s="32"/>
    </row>
    <row r="19" spans="1:26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7">
    <mergeCell ref="Q1:R1"/>
    <mergeCell ref="P2:Y5"/>
    <mergeCell ref="R6:U6"/>
    <mergeCell ref="V6:Y6"/>
    <mergeCell ref="B2:K5"/>
    <mergeCell ref="D6:G6"/>
    <mergeCell ref="H6:K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AA19"/>
  <sheetViews>
    <sheetView tabSelected="1" workbookViewId="0">
      <selection activeCell="N5" sqref="N5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6" max="16" width="6.453125" bestFit="1" customWidth="1"/>
    <col min="17" max="17" width="4" bestFit="1" customWidth="1"/>
    <col min="18" max="18" width="3.90625" bestFit="1" customWidth="1"/>
    <col min="19" max="19" width="3.26953125" bestFit="1" customWidth="1"/>
    <col min="20" max="20" width="3.08984375" bestFit="1" customWidth="1"/>
    <col min="22" max="23" width="5" bestFit="1" customWidth="1"/>
    <col min="24" max="24" width="3.08984375" bestFit="1" customWidth="1"/>
    <col min="25" max="25" width="5.81640625" bestFit="1" customWidth="1"/>
  </cols>
  <sheetData>
    <row r="1" spans="1:27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7" ht="15" thickBot="1" x14ac:dyDescent="0.4">
      <c r="A2" s="1"/>
      <c r="B2" s="55" t="s">
        <v>75</v>
      </c>
      <c r="C2" s="56"/>
      <c r="D2" s="56"/>
      <c r="E2" s="56"/>
      <c r="F2" s="56"/>
      <c r="G2" s="56"/>
      <c r="H2" s="56"/>
      <c r="I2" s="56"/>
      <c r="J2" s="56"/>
      <c r="K2" s="57"/>
      <c r="Q2" s="71"/>
      <c r="R2" s="71"/>
    </row>
    <row r="3" spans="1:27" ht="14.5" customHeight="1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  <c r="O3" s="1"/>
      <c r="P3" s="55" t="s">
        <v>79</v>
      </c>
      <c r="Q3" s="56"/>
      <c r="R3" s="56"/>
      <c r="S3" s="56"/>
      <c r="T3" s="56"/>
      <c r="U3" s="56"/>
      <c r="V3" s="56"/>
      <c r="W3" s="56"/>
      <c r="X3" s="56"/>
      <c r="Y3" s="57"/>
    </row>
    <row r="4" spans="1:27" ht="14.5" customHeight="1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  <c r="O4" s="1"/>
      <c r="P4" s="58"/>
      <c r="Q4" s="59"/>
      <c r="R4" s="59"/>
      <c r="S4" s="59"/>
      <c r="T4" s="59"/>
      <c r="U4" s="59"/>
      <c r="V4" s="59"/>
      <c r="W4" s="59"/>
      <c r="X4" s="59"/>
      <c r="Y4" s="60"/>
    </row>
    <row r="5" spans="1:27" ht="15" customHeight="1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  <c r="O5" s="1"/>
      <c r="P5" s="58"/>
      <c r="Q5" s="59"/>
      <c r="R5" s="59"/>
      <c r="S5" s="59"/>
      <c r="T5" s="59"/>
      <c r="U5" s="59"/>
      <c r="V5" s="59"/>
      <c r="W5" s="59"/>
      <c r="X5" s="59"/>
      <c r="Y5" s="60"/>
    </row>
    <row r="6" spans="1:27" ht="15" customHeight="1" thickBot="1" x14ac:dyDescent="0.4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  <c r="O6" s="1"/>
      <c r="P6" s="61"/>
      <c r="Q6" s="62"/>
      <c r="R6" s="62"/>
      <c r="S6" s="62"/>
      <c r="T6" s="62"/>
      <c r="U6" s="62"/>
      <c r="V6" s="62"/>
      <c r="W6" s="62"/>
      <c r="X6" s="62"/>
      <c r="Y6" s="63"/>
    </row>
    <row r="7" spans="1:27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s="53" t="s">
        <v>59</v>
      </c>
      <c r="M7" s="49" t="s">
        <v>80</v>
      </c>
      <c r="O7" s="1"/>
      <c r="P7" s="2"/>
      <c r="Q7" s="3" t="s">
        <v>1</v>
      </c>
      <c r="R7" s="68" t="s">
        <v>2</v>
      </c>
      <c r="S7" s="69"/>
      <c r="T7" s="69"/>
      <c r="U7" s="70"/>
      <c r="V7" s="68" t="s">
        <v>3</v>
      </c>
      <c r="W7" s="69"/>
      <c r="X7" s="69"/>
      <c r="Y7" s="70"/>
    </row>
    <row r="8" spans="1:27" x14ac:dyDescent="0.35">
      <c r="A8" s="27"/>
      <c r="B8" s="10" t="s">
        <v>60</v>
      </c>
      <c r="C8" s="12">
        <v>48</v>
      </c>
      <c r="D8" s="12"/>
      <c r="E8" s="12"/>
      <c r="F8" s="12"/>
      <c r="G8" s="28">
        <f>SUM(D8:F8)/20</f>
        <v>0</v>
      </c>
      <c r="H8" s="12">
        <v>19</v>
      </c>
      <c r="I8" s="12">
        <v>7</v>
      </c>
      <c r="J8" s="12">
        <v>31</v>
      </c>
      <c r="K8" s="28">
        <f>SUM(H8:J8)/20</f>
        <v>2.85</v>
      </c>
      <c r="L8" s="53">
        <f>SUM(C8:F8,H8,I8,J8)/40</f>
        <v>2.625</v>
      </c>
      <c r="M8" s="53">
        <v>4</v>
      </c>
      <c r="O8" s="10" t="s">
        <v>4</v>
      </c>
      <c r="P8" s="10" t="s">
        <v>5</v>
      </c>
      <c r="Q8" s="38" t="s">
        <v>6</v>
      </c>
      <c r="R8" s="12" t="s">
        <v>14</v>
      </c>
      <c r="S8" s="12" t="s">
        <v>12</v>
      </c>
      <c r="T8" s="12" t="s">
        <v>13</v>
      </c>
      <c r="U8" s="12" t="s">
        <v>8</v>
      </c>
      <c r="V8" s="12" t="s">
        <v>14</v>
      </c>
      <c r="W8" s="12" t="s">
        <v>7</v>
      </c>
      <c r="X8" s="12" t="s">
        <v>13</v>
      </c>
      <c r="Y8" s="12" t="s">
        <v>8</v>
      </c>
      <c r="Z8" t="s">
        <v>59</v>
      </c>
      <c r="AA8" s="49" t="s">
        <v>58</v>
      </c>
    </row>
    <row r="9" spans="1:27" x14ac:dyDescent="0.35">
      <c r="A9" s="27"/>
      <c r="B9" s="10" t="s">
        <v>11</v>
      </c>
      <c r="C9" s="12">
        <v>36</v>
      </c>
      <c r="D9" s="12">
        <v>26</v>
      </c>
      <c r="E9" s="12">
        <v>26</v>
      </c>
      <c r="F9" s="12">
        <v>0</v>
      </c>
      <c r="G9" s="28">
        <f t="shared" ref="G9:G12" si="0">SUM(D9:F9)/20</f>
        <v>2.6</v>
      </c>
      <c r="H9" s="12">
        <v>169</v>
      </c>
      <c r="I9" s="12">
        <v>64</v>
      </c>
      <c r="J9" s="12">
        <v>129</v>
      </c>
      <c r="K9" s="28">
        <f t="shared" ref="K9:K12" si="1">SUM(H9:J9)/20</f>
        <v>18.100000000000001</v>
      </c>
      <c r="L9" s="53">
        <f t="shared" ref="L9:L12" si="2">SUM(C9:F9,H9,I9,J9)/40</f>
        <v>11.25</v>
      </c>
      <c r="M9" s="53">
        <v>8</v>
      </c>
      <c r="O9" s="27"/>
      <c r="P9" s="10" t="s">
        <v>34</v>
      </c>
      <c r="Q9" s="12"/>
      <c r="R9" s="12">
        <v>20</v>
      </c>
      <c r="S9" s="12">
        <v>20</v>
      </c>
      <c r="T9" s="12">
        <v>0</v>
      </c>
      <c r="U9" s="28">
        <f>SUM(R9:T9)/20</f>
        <v>2</v>
      </c>
      <c r="V9" s="12">
        <v>155</v>
      </c>
      <c r="W9" s="12">
        <v>50</v>
      </c>
      <c r="X9" s="12">
        <v>115</v>
      </c>
      <c r="Y9" s="28">
        <f>SUM(V9:X9)/20</f>
        <v>16</v>
      </c>
      <c r="Z9">
        <f>SUM(Q9:T9,V9,W9,X9)/40</f>
        <v>9</v>
      </c>
      <c r="AA9" s="49">
        <v>4</v>
      </c>
    </row>
    <row r="10" spans="1:27" x14ac:dyDescent="0.35">
      <c r="A10" s="27"/>
      <c r="B10" s="10" t="s">
        <v>71</v>
      </c>
      <c r="C10" s="12">
        <v>352</v>
      </c>
      <c r="D10" s="12">
        <v>35</v>
      </c>
      <c r="E10" s="12">
        <v>35</v>
      </c>
      <c r="F10" s="12">
        <v>0</v>
      </c>
      <c r="G10" s="28">
        <f t="shared" si="0"/>
        <v>3.5</v>
      </c>
      <c r="H10" s="12">
        <v>20</v>
      </c>
      <c r="I10" s="12">
        <v>20</v>
      </c>
      <c r="J10" s="12">
        <v>20</v>
      </c>
      <c r="K10" s="28">
        <f t="shared" si="1"/>
        <v>3</v>
      </c>
      <c r="L10" s="53">
        <f t="shared" si="2"/>
        <v>12.05</v>
      </c>
      <c r="M10" s="53">
        <v>10</v>
      </c>
      <c r="O10" s="27"/>
      <c r="P10" s="10" t="s">
        <v>71</v>
      </c>
      <c r="Q10" s="12">
        <v>152</v>
      </c>
      <c r="R10" s="12">
        <v>15</v>
      </c>
      <c r="S10" s="12">
        <v>15</v>
      </c>
      <c r="T10" s="12">
        <v>0</v>
      </c>
      <c r="U10" s="28">
        <f t="shared" ref="U10:U13" si="3">SUM(R10:T10)/20</f>
        <v>1.5</v>
      </c>
      <c r="V10" s="12"/>
      <c r="W10" s="12"/>
      <c r="X10" s="12"/>
      <c r="Y10" s="28">
        <f t="shared" ref="Y10:Y13" si="4">SUM(V10:X10)/20</f>
        <v>0</v>
      </c>
      <c r="Z10">
        <f t="shared" ref="Z10:Z13" si="5">SUM(Q10:T10,V10,W10,X10)/40</f>
        <v>4.55</v>
      </c>
      <c r="AA10" s="49">
        <v>6</v>
      </c>
    </row>
    <row r="11" spans="1:27" x14ac:dyDescent="0.35">
      <c r="A11" s="11"/>
      <c r="B11" s="11" t="s">
        <v>16</v>
      </c>
      <c r="C11" s="12">
        <v>340</v>
      </c>
      <c r="D11" s="12">
        <v>106</v>
      </c>
      <c r="E11" s="12">
        <v>106</v>
      </c>
      <c r="F11" s="12">
        <v>0</v>
      </c>
      <c r="G11" s="28">
        <f t="shared" si="0"/>
        <v>10.6</v>
      </c>
      <c r="H11" s="12">
        <v>111</v>
      </c>
      <c r="I11" s="12">
        <v>96</v>
      </c>
      <c r="J11" s="12">
        <v>133</v>
      </c>
      <c r="K11" s="28">
        <f t="shared" si="1"/>
        <v>17</v>
      </c>
      <c r="L11" s="53">
        <f t="shared" si="2"/>
        <v>22.3</v>
      </c>
      <c r="M11" s="53">
        <v>20</v>
      </c>
      <c r="O11" s="27"/>
      <c r="P11" s="10" t="s">
        <v>70</v>
      </c>
      <c r="Q11" s="12">
        <v>260</v>
      </c>
      <c r="R11" s="12">
        <v>96</v>
      </c>
      <c r="S11" s="12">
        <v>96</v>
      </c>
      <c r="T11" s="12">
        <v>0</v>
      </c>
      <c r="U11" s="28">
        <f t="shared" si="3"/>
        <v>9.6</v>
      </c>
      <c r="V11" s="12">
        <v>81</v>
      </c>
      <c r="W11" s="12">
        <v>76</v>
      </c>
      <c r="X11" s="12">
        <v>103</v>
      </c>
      <c r="Y11" s="28">
        <f t="shared" si="4"/>
        <v>13</v>
      </c>
      <c r="Z11">
        <f t="shared" si="5"/>
        <v>17.8</v>
      </c>
      <c r="AA11" s="49">
        <v>17</v>
      </c>
    </row>
    <row r="12" spans="1:27" x14ac:dyDescent="0.35">
      <c r="A12" s="11"/>
      <c r="B12" s="11" t="s">
        <v>9</v>
      </c>
      <c r="C12" s="12">
        <v>22</v>
      </c>
      <c r="D12" s="12">
        <v>50</v>
      </c>
      <c r="E12" s="12">
        <v>30</v>
      </c>
      <c r="F12" s="12">
        <v>0</v>
      </c>
      <c r="G12" s="28">
        <f t="shared" si="0"/>
        <v>4</v>
      </c>
      <c r="H12" s="12">
        <v>10</v>
      </c>
      <c r="I12" s="12">
        <v>10</v>
      </c>
      <c r="J12" s="12">
        <v>30</v>
      </c>
      <c r="K12" s="28">
        <f t="shared" si="1"/>
        <v>2.5</v>
      </c>
      <c r="L12" s="53">
        <f t="shared" si="2"/>
        <v>3.8</v>
      </c>
      <c r="M12" s="53">
        <v>5</v>
      </c>
      <c r="O12" s="11"/>
      <c r="P12" s="11" t="s">
        <v>15</v>
      </c>
      <c r="Q12" s="12"/>
      <c r="R12" s="12">
        <v>30</v>
      </c>
      <c r="S12" s="12">
        <v>30</v>
      </c>
      <c r="T12" s="12">
        <v>0</v>
      </c>
      <c r="U12" s="28">
        <f t="shared" si="3"/>
        <v>3</v>
      </c>
      <c r="V12" s="12">
        <v>10</v>
      </c>
      <c r="W12" s="12">
        <v>10</v>
      </c>
      <c r="X12" s="12">
        <v>30</v>
      </c>
      <c r="Y12" s="28">
        <f t="shared" si="4"/>
        <v>2.5</v>
      </c>
      <c r="Z12">
        <f t="shared" si="5"/>
        <v>2.75</v>
      </c>
      <c r="AA12" s="42">
        <v>3</v>
      </c>
    </row>
    <row r="13" spans="1:27" x14ac:dyDescent="0.35">
      <c r="A13" s="11"/>
      <c r="B13" s="11"/>
      <c r="C13" s="12"/>
      <c r="D13" s="12"/>
      <c r="E13" s="12">
        <v>0</v>
      </c>
      <c r="F13" s="12"/>
      <c r="G13" s="12"/>
      <c r="H13" s="12"/>
      <c r="I13" s="12"/>
      <c r="J13" s="12"/>
      <c r="K13" s="12"/>
      <c r="O13" s="11"/>
      <c r="P13" s="11"/>
      <c r="Q13" s="12"/>
      <c r="R13" s="12"/>
      <c r="S13" s="12"/>
      <c r="T13" s="12"/>
      <c r="U13" s="28">
        <f t="shared" si="3"/>
        <v>0</v>
      </c>
      <c r="V13" s="12"/>
      <c r="W13" s="12"/>
      <c r="X13" s="12"/>
      <c r="Y13" s="28">
        <f t="shared" si="4"/>
        <v>0</v>
      </c>
      <c r="Z13">
        <f t="shared" si="5"/>
        <v>0</v>
      </c>
    </row>
    <row r="14" spans="1:27" x14ac:dyDescent="0.35">
      <c r="A14" s="13"/>
      <c r="B14" s="10"/>
      <c r="C14" s="14">
        <f t="shared" ref="C14:K14" si="6">SUM(C8:C13)</f>
        <v>798</v>
      </c>
      <c r="D14" s="14">
        <f t="shared" si="6"/>
        <v>217</v>
      </c>
      <c r="E14" s="14">
        <f t="shared" si="6"/>
        <v>197</v>
      </c>
      <c r="F14" s="14">
        <f t="shared" si="6"/>
        <v>0</v>
      </c>
      <c r="G14" s="14">
        <f t="shared" si="6"/>
        <v>20.7</v>
      </c>
      <c r="H14" s="14">
        <f t="shared" si="6"/>
        <v>329</v>
      </c>
      <c r="I14" s="14">
        <f t="shared" si="6"/>
        <v>197</v>
      </c>
      <c r="J14" s="14">
        <f t="shared" si="6"/>
        <v>343</v>
      </c>
      <c r="K14" s="14">
        <f t="shared" si="6"/>
        <v>43.45</v>
      </c>
      <c r="L14" s="36">
        <f>C14+D14+E14+F14+H14+I14+J14</f>
        <v>2081</v>
      </c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</row>
    <row r="15" spans="1:27" x14ac:dyDescent="0.35">
      <c r="A15" s="13"/>
      <c r="B15" s="10" t="s">
        <v>40</v>
      </c>
      <c r="C15" s="13"/>
      <c r="D15" s="13">
        <f>D14/20</f>
        <v>10.85</v>
      </c>
      <c r="E15" s="13">
        <f t="shared" ref="E15:J15" si="7">E14/20</f>
        <v>9.85</v>
      </c>
      <c r="F15" s="13">
        <f t="shared" si="7"/>
        <v>0</v>
      </c>
      <c r="G15" s="13"/>
      <c r="H15" s="13">
        <f t="shared" si="7"/>
        <v>16.45</v>
      </c>
      <c r="I15" s="13">
        <f t="shared" si="7"/>
        <v>9.85</v>
      </c>
      <c r="J15" s="13">
        <f t="shared" si="7"/>
        <v>17.149999999999999</v>
      </c>
      <c r="K15" s="13"/>
      <c r="O15" s="13"/>
      <c r="P15" s="10"/>
      <c r="Q15" s="14">
        <f t="shared" ref="Q15:Y15" si="8">SUM(Q9:Q14)</f>
        <v>412</v>
      </c>
      <c r="R15" s="14">
        <f t="shared" si="8"/>
        <v>161</v>
      </c>
      <c r="S15" s="14">
        <f t="shared" si="8"/>
        <v>161</v>
      </c>
      <c r="T15" s="14">
        <f t="shared" si="8"/>
        <v>0</v>
      </c>
      <c r="U15" s="14">
        <f t="shared" si="8"/>
        <v>16.100000000000001</v>
      </c>
      <c r="V15" s="14">
        <f t="shared" si="8"/>
        <v>246</v>
      </c>
      <c r="W15" s="14">
        <f t="shared" si="8"/>
        <v>136</v>
      </c>
      <c r="X15" s="14">
        <f t="shared" si="8"/>
        <v>248</v>
      </c>
      <c r="Y15" s="14">
        <f t="shared" si="8"/>
        <v>31.5</v>
      </c>
      <c r="Z15" s="36">
        <f>Q15+R15+S15+T15+V15+W15+X15</f>
        <v>1364</v>
      </c>
    </row>
    <row r="16" spans="1:27" x14ac:dyDescent="0.35">
      <c r="A16" s="13"/>
      <c r="B16" s="10" t="s">
        <v>39</v>
      </c>
      <c r="C16" s="37">
        <f>C15+C14</f>
        <v>798</v>
      </c>
      <c r="D16" s="37">
        <f t="shared" ref="D16:J16" si="9">D15+D14</f>
        <v>227.85</v>
      </c>
      <c r="E16" s="37">
        <f t="shared" si="9"/>
        <v>206.85</v>
      </c>
      <c r="F16" s="37">
        <f t="shared" si="9"/>
        <v>0</v>
      </c>
      <c r="G16" s="37"/>
      <c r="H16" s="37">
        <f t="shared" si="9"/>
        <v>345.45</v>
      </c>
      <c r="I16" s="37">
        <f t="shared" si="9"/>
        <v>206.85</v>
      </c>
      <c r="J16" s="37">
        <f t="shared" si="9"/>
        <v>360.15</v>
      </c>
      <c r="K16" s="37"/>
      <c r="O16" s="13"/>
      <c r="P16" s="10" t="s">
        <v>40</v>
      </c>
      <c r="Q16" s="13"/>
      <c r="R16" s="13">
        <f>R15/20</f>
        <v>8.0500000000000007</v>
      </c>
      <c r="S16" s="13">
        <f t="shared" ref="S16:T16" si="10">S15/20</f>
        <v>8.0500000000000007</v>
      </c>
      <c r="T16" s="13">
        <f t="shared" si="10"/>
        <v>0</v>
      </c>
      <c r="U16" s="13"/>
      <c r="V16" s="13">
        <f t="shared" ref="V16:X16" si="11">V15/20</f>
        <v>12.3</v>
      </c>
      <c r="W16" s="13">
        <f t="shared" si="11"/>
        <v>6.8</v>
      </c>
      <c r="X16" s="13">
        <f t="shared" si="11"/>
        <v>12.4</v>
      </c>
      <c r="Y16" s="13"/>
    </row>
    <row r="17" spans="1:26" x14ac:dyDescent="0.35">
      <c r="A17" s="13"/>
      <c r="B17" s="40" t="s">
        <v>41</v>
      </c>
      <c r="C17" s="37">
        <f>C14/40</f>
        <v>19.95</v>
      </c>
      <c r="D17" s="37">
        <f t="shared" ref="D17:J17" si="12">D14/40</f>
        <v>5.4249999999999998</v>
      </c>
      <c r="E17" s="37">
        <f t="shared" si="12"/>
        <v>4.9249999999999998</v>
      </c>
      <c r="F17" s="37">
        <f t="shared" si="12"/>
        <v>0</v>
      </c>
      <c r="G17" s="37"/>
      <c r="H17" s="37">
        <f t="shared" si="12"/>
        <v>8.2249999999999996</v>
      </c>
      <c r="I17" s="37">
        <f t="shared" si="12"/>
        <v>4.9249999999999998</v>
      </c>
      <c r="J17" s="37">
        <f t="shared" si="12"/>
        <v>8.5749999999999993</v>
      </c>
      <c r="K17" s="37"/>
      <c r="L17" s="36">
        <f>SUM(C17:J17)</f>
        <v>52.024999999999991</v>
      </c>
      <c r="O17" s="13"/>
      <c r="P17" s="10" t="s">
        <v>39</v>
      </c>
      <c r="Q17" s="37">
        <f>Q16+Q15</f>
        <v>412</v>
      </c>
      <c r="R17" s="37">
        <f t="shared" ref="R17:T17" si="13">R16+R15</f>
        <v>169.05</v>
      </c>
      <c r="S17" s="37">
        <f t="shared" si="13"/>
        <v>169.05</v>
      </c>
      <c r="T17" s="37">
        <f t="shared" si="13"/>
        <v>0</v>
      </c>
      <c r="U17" s="37"/>
      <c r="V17" s="37">
        <f t="shared" ref="V17:X17" si="14">V16+V15</f>
        <v>258.3</v>
      </c>
      <c r="W17" s="37">
        <f t="shared" si="14"/>
        <v>142.80000000000001</v>
      </c>
      <c r="X17" s="37">
        <f t="shared" si="14"/>
        <v>260.39999999999998</v>
      </c>
      <c r="Y17" s="37"/>
    </row>
    <row r="18" spans="1:26" x14ac:dyDescent="0.35">
      <c r="C18" s="32"/>
      <c r="O18" s="13"/>
      <c r="P18" s="40" t="s">
        <v>41</v>
      </c>
      <c r="Q18" s="37">
        <f>Q15/40</f>
        <v>10.3</v>
      </c>
      <c r="R18" s="37">
        <f t="shared" ref="R18:T18" si="15">R15/40</f>
        <v>4.0250000000000004</v>
      </c>
      <c r="S18" s="37">
        <f t="shared" si="15"/>
        <v>4.0250000000000004</v>
      </c>
      <c r="T18" s="37">
        <f t="shared" si="15"/>
        <v>0</v>
      </c>
      <c r="U18" s="37"/>
      <c r="V18" s="37">
        <f t="shared" ref="V18:X18" si="16">V15/40</f>
        <v>6.15</v>
      </c>
      <c r="W18" s="37">
        <f t="shared" si="16"/>
        <v>3.4</v>
      </c>
      <c r="X18" s="37">
        <f t="shared" si="16"/>
        <v>6.2</v>
      </c>
      <c r="Y18" s="37"/>
      <c r="Z18" s="36">
        <f>SUM(Q18:X18)</f>
        <v>34.1</v>
      </c>
    </row>
    <row r="19" spans="1:26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7">
    <mergeCell ref="R7:U7"/>
    <mergeCell ref="V7:Y7"/>
    <mergeCell ref="P3:Y6"/>
    <mergeCell ref="Q2:R2"/>
    <mergeCell ref="B2:K5"/>
    <mergeCell ref="D6:G6"/>
    <mergeCell ref="H6:K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L19"/>
  <sheetViews>
    <sheetView workbookViewId="0">
      <selection activeCell="L11" sqref="L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L19"/>
  <sheetViews>
    <sheetView workbookViewId="0">
      <selection activeCell="L11" sqref="L11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5.81640625" bestFit="1" customWidth="1"/>
    <col min="8" max="8" width="3.90625" bestFit="1" customWidth="1"/>
    <col min="9" max="9" width="3.6328125" bestFit="1" customWidth="1"/>
    <col min="10" max="10" width="3.08984375" bestFit="1" customWidth="1"/>
    <col min="11" max="11" width="5.81640625" bestFit="1" customWidth="1"/>
  </cols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7"/>
    </row>
    <row r="3" spans="1:12" x14ac:dyDescent="0.35">
      <c r="A3" s="1"/>
      <c r="B3" s="58"/>
      <c r="C3" s="59"/>
      <c r="D3" s="59"/>
      <c r="E3" s="59"/>
      <c r="F3" s="59"/>
      <c r="G3" s="59"/>
      <c r="H3" s="59"/>
      <c r="I3" s="59"/>
      <c r="J3" s="59"/>
      <c r="K3" s="60"/>
    </row>
    <row r="4" spans="1:12" x14ac:dyDescent="0.35">
      <c r="A4" s="1"/>
      <c r="B4" s="58"/>
      <c r="C4" s="59"/>
      <c r="D4" s="59"/>
      <c r="E4" s="59"/>
      <c r="F4" s="59"/>
      <c r="G4" s="59"/>
      <c r="H4" s="59"/>
      <c r="I4" s="59"/>
      <c r="J4" s="59"/>
      <c r="K4" s="60"/>
    </row>
    <row r="5" spans="1:12" ht="15" thickBot="1" x14ac:dyDescent="0.4">
      <c r="A5" s="1"/>
      <c r="B5" s="61"/>
      <c r="C5" s="62"/>
      <c r="D5" s="62"/>
      <c r="E5" s="62"/>
      <c r="F5" s="62"/>
      <c r="G5" s="62"/>
      <c r="H5" s="62"/>
      <c r="I5" s="62"/>
      <c r="J5" s="62"/>
      <c r="K5" s="63"/>
    </row>
    <row r="6" spans="1:12" x14ac:dyDescent="0.35">
      <c r="A6" s="1"/>
      <c r="B6" s="2"/>
      <c r="C6" s="3" t="s">
        <v>1</v>
      </c>
      <c r="D6" s="64" t="s">
        <v>2</v>
      </c>
      <c r="E6" s="65"/>
      <c r="F6" s="65"/>
      <c r="G6" s="66"/>
      <c r="H6" s="65" t="s">
        <v>3</v>
      </c>
      <c r="I6" s="65"/>
      <c r="J6" s="65"/>
      <c r="K6" s="66"/>
    </row>
    <row r="7" spans="1:12" x14ac:dyDescent="0.35">
      <c r="A7" s="10" t="s">
        <v>4</v>
      </c>
      <c r="B7" s="10" t="s">
        <v>5</v>
      </c>
      <c r="C7" s="38" t="s">
        <v>6</v>
      </c>
      <c r="D7" s="12" t="s">
        <v>14</v>
      </c>
      <c r="E7" s="12" t="s">
        <v>12</v>
      </c>
      <c r="F7" s="12" t="s">
        <v>13</v>
      </c>
      <c r="G7" s="12" t="s">
        <v>8</v>
      </c>
      <c r="H7" s="12" t="s">
        <v>14</v>
      </c>
      <c r="I7" s="12" t="s">
        <v>7</v>
      </c>
      <c r="J7" s="12" t="s">
        <v>13</v>
      </c>
      <c r="K7" s="12" t="s">
        <v>8</v>
      </c>
      <c r="L7" t="s">
        <v>59</v>
      </c>
    </row>
    <row r="8" spans="1:12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</row>
    <row r="9" spans="1:12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  <c r="L9">
        <f t="shared" ref="L9:L12" si="0">SUM(C9:F9,H9,I9,J9)/40</f>
        <v>0</v>
      </c>
    </row>
    <row r="10" spans="1:12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  <c r="L10">
        <f t="shared" si="0"/>
        <v>0</v>
      </c>
    </row>
    <row r="11" spans="1:12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>
        <f t="shared" si="0"/>
        <v>0</v>
      </c>
    </row>
    <row r="12" spans="1:12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>
        <f t="shared" si="0"/>
        <v>0</v>
      </c>
    </row>
    <row r="13" spans="1:12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2" x14ac:dyDescent="0.35">
      <c r="A14" s="13"/>
      <c r="B14" s="10"/>
      <c r="C14" s="14">
        <f t="shared" ref="C14:K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36">
        <f>C14+D14+E14+F14+H14+I14+J14</f>
        <v>0</v>
      </c>
    </row>
    <row r="15" spans="1:12" x14ac:dyDescent="0.35">
      <c r="A15" s="13"/>
      <c r="B15" s="10" t="s">
        <v>40</v>
      </c>
      <c r="C15" s="13"/>
      <c r="D15" s="13">
        <f>D14/20</f>
        <v>0</v>
      </c>
      <c r="E15" s="13">
        <f t="shared" ref="E15:J15" si="2">E14/20</f>
        <v>0</v>
      </c>
      <c r="F15" s="13">
        <f t="shared" si="2"/>
        <v>0</v>
      </c>
      <c r="G15" s="13"/>
      <c r="H15" s="13">
        <f t="shared" si="2"/>
        <v>0</v>
      </c>
      <c r="I15" s="13">
        <f t="shared" si="2"/>
        <v>0</v>
      </c>
      <c r="J15" s="13">
        <f t="shared" si="2"/>
        <v>0</v>
      </c>
      <c r="K15" s="13"/>
    </row>
    <row r="16" spans="1:12" x14ac:dyDescent="0.35">
      <c r="A16" s="13"/>
      <c r="B16" s="10" t="s">
        <v>39</v>
      </c>
      <c r="C16" s="37">
        <f>C15+C14</f>
        <v>0</v>
      </c>
      <c r="D16" s="37">
        <f t="shared" ref="D16:J16" si="3">D15+D14</f>
        <v>0</v>
      </c>
      <c r="E16" s="37">
        <f t="shared" si="3"/>
        <v>0</v>
      </c>
      <c r="F16" s="37">
        <f t="shared" si="3"/>
        <v>0</v>
      </c>
      <c r="G16" s="37"/>
      <c r="H16" s="37">
        <f t="shared" si="3"/>
        <v>0</v>
      </c>
      <c r="I16" s="37">
        <f t="shared" si="3"/>
        <v>0</v>
      </c>
      <c r="J16" s="37">
        <f t="shared" si="3"/>
        <v>0</v>
      </c>
      <c r="K16" s="37"/>
    </row>
    <row r="17" spans="1:12" x14ac:dyDescent="0.35">
      <c r="A17" s="13"/>
      <c r="B17" s="40" t="s">
        <v>41</v>
      </c>
      <c r="C17" s="37">
        <f>C14/40</f>
        <v>0</v>
      </c>
      <c r="D17" s="37">
        <f t="shared" ref="D17:J17" si="4">D14/40</f>
        <v>0</v>
      </c>
      <c r="E17" s="37">
        <f t="shared" si="4"/>
        <v>0</v>
      </c>
      <c r="F17" s="37">
        <f t="shared" si="4"/>
        <v>0</v>
      </c>
      <c r="G17" s="37"/>
      <c r="H17" s="37">
        <f t="shared" si="4"/>
        <v>0</v>
      </c>
      <c r="I17" s="37">
        <f t="shared" si="4"/>
        <v>0</v>
      </c>
      <c r="J17" s="37">
        <f t="shared" si="4"/>
        <v>0</v>
      </c>
      <c r="K17" s="37"/>
      <c r="L17" s="36">
        <f>SUM(C17:J17)</f>
        <v>0</v>
      </c>
    </row>
    <row r="18" spans="1:12" x14ac:dyDescent="0.35">
      <c r="C18" s="32"/>
    </row>
    <row r="19" spans="1:1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2026-06-09T05:45:07Z</dcterms:created>
  <dcterms:modified xsi:type="dcterms:W3CDTF">2026-06-30T13:25:29Z</dcterms:modified>
</cp:coreProperties>
</file>