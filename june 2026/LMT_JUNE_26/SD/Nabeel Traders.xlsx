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D722E22-21B8-4A26-8383-60F495372799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26" i="16" l="1"/>
  <c r="H26" i="17"/>
  <c r="H17" i="16"/>
  <c r="H18" i="16"/>
  <c r="H19" i="16"/>
  <c r="H20" i="16"/>
  <c r="H21" i="16"/>
  <c r="H16" i="16"/>
  <c r="J25" i="16"/>
  <c r="J17" i="16"/>
  <c r="J18" i="16"/>
  <c r="J19" i="16"/>
  <c r="J20" i="16"/>
  <c r="J21" i="16"/>
  <c r="J16" i="16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M21" i="35" s="1"/>
  <c r="K22" i="35"/>
  <c r="L22" i="35"/>
  <c r="M22" i="35"/>
  <c r="K23" i="35"/>
  <c r="L23" i="35"/>
  <c r="M23" i="35" s="1"/>
  <c r="K24" i="35"/>
  <c r="M24" i="35" s="1"/>
  <c r="L24" i="35"/>
  <c r="K17" i="34"/>
  <c r="K18" i="34"/>
  <c r="K19" i="34"/>
  <c r="K21" i="34"/>
  <c r="K22" i="34"/>
  <c r="L22" i="34"/>
  <c r="K23" i="34"/>
  <c r="M23" i="34"/>
  <c r="L23" i="34"/>
  <c r="K24" i="34"/>
  <c r="K21" i="33"/>
  <c r="K22" i="33"/>
  <c r="M22" i="33" s="1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M17" i="31"/>
  <c r="K21" i="31"/>
  <c r="K22" i="31"/>
  <c r="L22" i="31"/>
  <c r="M22" i="31" s="1"/>
  <c r="K24" i="31"/>
  <c r="L24" i="31"/>
  <c r="M24" i="31" s="1"/>
  <c r="K16" i="31"/>
  <c r="K18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M22" i="29" s="1"/>
  <c r="L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N19" i="34" s="1"/>
  <c r="O19" i="34" s="1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I17" i="17"/>
  <c r="I18" i="17"/>
  <c r="I19" i="17"/>
  <c r="I20" i="17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0" i="17" l="1"/>
  <c r="L20" i="17"/>
  <c r="K19" i="17"/>
  <c r="L19" i="17"/>
  <c r="K18" i="17"/>
  <c r="L18" i="17"/>
  <c r="K17" i="17"/>
  <c r="L17" i="17"/>
  <c r="K16" i="17"/>
  <c r="L16" i="17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4" i="15"/>
  <c r="I16" i="16"/>
  <c r="I17" i="16"/>
  <c r="L17" i="16" s="1"/>
  <c r="I18" i="16"/>
  <c r="I19" i="16"/>
  <c r="L19" i="16" s="1"/>
  <c r="I20" i="16"/>
  <c r="I21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K18" i="16" l="1"/>
  <c r="L18" i="16"/>
  <c r="L18" i="15" s="1"/>
  <c r="K20" i="16"/>
  <c r="K20" i="15" s="1"/>
  <c r="L20" i="16"/>
  <c r="L20" i="15" s="1"/>
  <c r="K16" i="16"/>
  <c r="K16" i="15" s="1"/>
  <c r="L16" i="16"/>
  <c r="L16" i="15" s="1"/>
  <c r="L21" i="16"/>
  <c r="L21" i="15" s="1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5" i="21"/>
  <c r="P29" i="21" s="1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K17" i="16"/>
  <c r="K17" i="15" s="1"/>
  <c r="P23" i="22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O16" i="16" s="1"/>
  <c r="M16" i="15"/>
  <c r="M18" i="15"/>
  <c r="M21" i="15"/>
  <c r="N16" i="18"/>
  <c r="N16" i="15" s="1"/>
  <c r="M18" i="16"/>
  <c r="N18" i="16" s="1"/>
  <c r="O18" i="16" s="1"/>
  <c r="O18" i="15" s="1"/>
  <c r="P31" i="21"/>
  <c r="P33" i="21" s="1"/>
  <c r="P34" i="21" s="1"/>
  <c r="P35" i="21" s="1"/>
  <c r="U19" i="15" s="1"/>
  <c r="M17" i="15"/>
  <c r="P31" i="17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N18" i="15" l="1"/>
  <c r="P18" i="15" s="1"/>
  <c r="N25" i="18"/>
  <c r="P32" i="18" s="1"/>
  <c r="P33" i="18" s="1"/>
  <c r="N20" i="15"/>
  <c r="P20" i="15" s="1"/>
  <c r="P33" i="17"/>
  <c r="P25" i="23"/>
  <c r="P24" i="16"/>
  <c r="N17" i="15"/>
  <c r="P17" i="15" s="1"/>
  <c r="P20" i="16"/>
  <c r="P17" i="16"/>
  <c r="N21" i="15"/>
  <c r="P21" i="15" s="1"/>
  <c r="P18" i="16"/>
  <c r="P21" i="16"/>
  <c r="P24" i="15"/>
  <c r="O16" i="15"/>
  <c r="P16" i="15" s="1"/>
  <c r="O19" i="16"/>
  <c r="N19" i="15"/>
  <c r="O23" i="16"/>
  <c r="O23" i="15" s="1"/>
  <c r="N23" i="15"/>
  <c r="P25" i="19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3" i="15" l="1"/>
  <c r="P23" i="16"/>
  <c r="P19" i="16"/>
  <c r="O19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19" i="15" l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  <c r="H25" i="16" l="1"/>
  <c r="G25" i="16"/>
  <c r="I22" i="16" l="1"/>
  <c r="H22" i="15"/>
  <c r="L22" i="16"/>
  <c r="I22" i="15" l="1"/>
  <c r="I25" i="15" s="1"/>
  <c r="P32" i="15" s="1"/>
  <c r="H25" i="15"/>
  <c r="C25" i="15" s="1"/>
  <c r="I25" i="16"/>
  <c r="P28" i="16" s="1"/>
  <c r="K22" i="16"/>
  <c r="M22" i="16" s="1"/>
  <c r="L22" i="15"/>
  <c r="L25" i="15" s="1"/>
  <c r="P33" i="15" s="1"/>
  <c r="L25" i="16"/>
  <c r="P29" i="16" s="1"/>
  <c r="K25" i="16" l="1"/>
  <c r="P30" i="16" s="1"/>
  <c r="P31" i="16" s="1"/>
  <c r="K22" i="15"/>
  <c r="M25" i="16"/>
  <c r="N22" i="16"/>
  <c r="K25" i="15" l="1"/>
  <c r="P34" i="15" s="1"/>
  <c r="P35" i="15" s="1"/>
  <c r="M22" i="15"/>
  <c r="M25" i="15" s="1"/>
  <c r="N22" i="15"/>
  <c r="N25" i="16"/>
  <c r="P32" i="16" s="1"/>
  <c r="P33" i="16" s="1"/>
  <c r="O22" i="16"/>
  <c r="O25" i="16" l="1"/>
  <c r="O22" i="15"/>
  <c r="O25" i="15" s="1"/>
  <c r="P22" i="16"/>
  <c r="P25" i="16" s="1"/>
  <c r="P34" i="16"/>
  <c r="P35" i="16" s="1"/>
  <c r="U14" i="15" s="1"/>
  <c r="U30" i="15" s="1"/>
  <c r="N25" i="15"/>
  <c r="P36" i="15" s="1"/>
  <c r="P37" i="15" s="1"/>
  <c r="P22" i="15" l="1"/>
  <c r="P25" i="15" s="1"/>
  <c r="P38" i="15"/>
  <c r="P39" i="15" s="1"/>
</calcChain>
</file>

<file path=xl/sharedStrings.xml><?xml version="1.0" encoding="utf-8"?>
<sst xmlns="http://schemas.openxmlformats.org/spreadsheetml/2006/main" count="1619" uniqueCount="108">
  <si>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</si>
  <si>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</si>
  <si>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</si>
  <si>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</si>
  <si>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</si>
  <si>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</si>
  <si>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</si>
  <si>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</si>
  <si>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</si>
  <si>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</si>
  <si>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</si>
  <si>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</si>
  <si>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</si>
  <si>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</si>
  <si>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</si>
  <si>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</si>
  <si>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</si>
  <si>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</si>
  <si>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</si>
  <si>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</si>
  <si>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</si>
  <si>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</si>
  <si>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</si>
  <si>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</si>
  <si>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</si>
  <si>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</si>
  <si>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</si>
  <si>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</si>
  <si>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</si>
  <si>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</si>
  <si>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</si>
  <si>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</si>
  <si>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</si>
  <si>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</si>
  <si>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</si>
  <si>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</si>
  <si>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</si>
  <si>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</si>
  <si>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</si>
  <si>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</si>
  <si>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</si>
  <si>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</si>
  <si>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</si>
  <si>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</si>
  <si>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</si>
  <si>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</si>
  <si>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</si>
  <si>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</si>
  <si>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</si>
  <si>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</si>
  <si>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</si>
  <si>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</si>
  <si>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</si>
  <si>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</si>
  <si>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</si>
  <si>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</si>
  <si>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</si>
  <si>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</si>
  <si>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</si>
  <si>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</si>
  <si>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</si>
  <si>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</si>
  <si>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</si>
  <si>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</si>
  <si>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</si>
  <si>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</si>
  <si>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</si>
  <si>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</si>
  <si>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</si>
  <si>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</si>
  <si>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</si>
  <si>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</si>
  <si>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</si>
  <si>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</si>
  <si>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</si>
  <si>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</si>
  <si>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</si>
  <si>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</si>
  <si>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</si>
  <si>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</si>
  <si>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</si>
  <si>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</si>
  <si>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</si>
  <si>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</si>
  <si>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</si>
  <si>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</si>
  <si>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</si>
  <si>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</si>
  <si>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</si>
  <si>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</si>
  <si>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</si>
  <si>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</si>
  <si>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</si>
  <si>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</si>
  <si>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</si>
  <si>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</si>
  <si>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</si>
  <si>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</si>
  <si>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</si>
  <si>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</si>
  <si>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</si>
  <si>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</si>
  <si>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Nabeel Traders </t>
  </si>
  <si>
    <t>Shop Bill Summary (Nabeel Traders)</t>
  </si>
  <si>
    <t xml:space="preserve">Customer Name : Nabeel Traders </t>
  </si>
  <si>
    <t>E378144-0</t>
  </si>
  <si>
    <t>327787628553-1</t>
  </si>
  <si>
    <t xml:space="preserve">Address: Mughal Pura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</si>
</sst>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F10" sqref="F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6" zoomScale="70" zoomScaleNormal="70" workbookViewId="0">
      <selection activeCell="S21" sqref="S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4.269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102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103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Nabeel Traders </v>
      </c>
      <c r="U14" s="164">
        <f>+'1'!P35</f>
        <v>1583013.34629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Nabeel Traders </v>
      </c>
      <c r="U15" s="164">
        <f>+'2'!P35</f>
        <v>832793.88717000012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2880</v>
      </c>
      <c r="I16" s="1">
        <f>(G16*D16)*F16+H16*F16</f>
        <v>151092</v>
      </c>
      <c r="J16" s="172">
        <f>+'1'!J16+'2'!J16+'4'!J16+'3'!J16+'5'!J16+'6'!J16+'7'!J16+'8'!J16+'9'!J16+'10'!J16+'11'!J16+'12'!J16+'13'!J16+'14'!J16+'15'!J16+'16'!J16+'17'!J16+'18'!J16</f>
        <v>80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37605.119999999995</v>
      </c>
      <c r="M16" s="106">
        <f>I16-K16-L16</f>
        <v>113486.88</v>
      </c>
      <c r="N16" s="101">
        <f>+'1'!N16+'2'!N16+'4'!N16+'3'!N16+'5'!N16+'6'!N16+'7'!N16+'8'!N16+'9'!N16+'10'!N16</f>
        <v>36292.2984</v>
      </c>
      <c r="O16" s="101">
        <f>+'1'!O16+'2'!O16+'4'!O16+'3'!O16+'5'!O16+'6'!O16+'7'!O16+'8'!O16+'9'!O16+'10'!O16</f>
        <v>1168.595892</v>
      </c>
      <c r="P16" s="105">
        <f t="shared" ref="P16:P24" si="0">M16+N16+O16</f>
        <v>150947.77429200002</v>
      </c>
      <c r="Q16" s="108"/>
      <c r="T16" s="163" t="str">
        <f>+'4'!A5</f>
        <v xml:space="preserve">Customer Name : Nabeel Traders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4000</v>
      </c>
      <c r="I17" s="1">
        <f t="shared" ref="I17:I23" si="1">(G17*D17)*F17+H17*F17</f>
        <v>209850</v>
      </c>
      <c r="J17" s="172">
        <f>+'1'!J17+'2'!J17+'4'!J17+'3'!J17+'5'!J17+'6'!J17+'7'!J17+'8'!J17+'9'!J17+'10'!J17+'11'!J17+'12'!J17+'13'!J17+'14'!J17+'15'!J17+'16'!J17+'17'!J17+'18'!J17</f>
        <v>30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38612.400000000001</v>
      </c>
      <c r="M17" s="118">
        <f t="shared" ref="M17:M23" si="2">I17-K17-L17</f>
        <v>171237.6</v>
      </c>
      <c r="N17" s="101">
        <f>+'1'!N17+'2'!N17+'4'!N17+'3'!N17+'5'!N17+'6'!N17+'7'!N17+'8'!N17+'9'!N17+'10'!N17</f>
        <v>36772.015499999994</v>
      </c>
      <c r="O17" s="101">
        <f>+'1'!O17+'2'!O17+'4'!O17+'3'!O17+'5'!O17+'6'!O17+'7'!O17+'8'!O17+'9'!O17+'10'!O17</f>
        <v>1197.4355774999999</v>
      </c>
      <c r="P17" s="120">
        <f t="shared" si="0"/>
        <v>209207.05107750001</v>
      </c>
      <c r="S17" s="64"/>
      <c r="T17" s="163" t="str">
        <f>+'3'!A5</f>
        <v xml:space="preserve">Customer Name : Nabeel Traders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3640</v>
      </c>
      <c r="I18" s="1">
        <f t="shared" si="1"/>
        <v>190963.5</v>
      </c>
      <c r="J18" s="172">
        <f>+'1'!J18+'2'!J18+'4'!J18+'3'!J18+'5'!J18+'6'!J18+'7'!J18+'8'!J18+'9'!J18+'10'!J18+'11'!J18+'12'!J18+'13'!J18+'14'!J18+'15'!J18+'16'!J18+'17'!J18+'18'!J18</f>
        <v>90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45663.360000000001</v>
      </c>
      <c r="M18" s="118">
        <f t="shared" si="2"/>
        <v>145300.14000000001</v>
      </c>
      <c r="N18" s="101">
        <f>+'1'!N18+'2'!N18+'4'!N18+'3'!N18+'5'!N18+'6'!N18+'7'!N18+'8'!N18+'9'!N18+'10'!N18</f>
        <v>44001.767699999997</v>
      </c>
      <c r="O18" s="101">
        <f>+'1'!O18+'2'!O18+'4'!O18+'3'!O18+'5'!O18+'6'!O18+'7'!O18+'8'!O18+'9'!O18+'10'!O18</f>
        <v>1418.6720384999999</v>
      </c>
      <c r="P18" s="120">
        <f t="shared" si="0"/>
        <v>190720.5797385</v>
      </c>
      <c r="T18" s="163" t="str">
        <f>+'5'!A5</f>
        <v xml:space="preserve">Customer Name : Nabeel Traders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7840</v>
      </c>
      <c r="I19" s="1">
        <f t="shared" si="1"/>
        <v>569497.59999999998</v>
      </c>
      <c r="J19" s="172">
        <f>+'1'!J19+'2'!J19+'4'!J19+'3'!J19+'5'!J19+'6'!J19+'7'!J19+'8'!J19+'9'!J19+'10'!J19+'11'!J19+'12'!J19+'13'!J19+'14'!J19+'15'!J19+'16'!J19+'17'!J19+'18'!J19</f>
        <v>140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123662.33600000001</v>
      </c>
      <c r="M19" s="118">
        <f t="shared" si="2"/>
        <v>445835.26399999997</v>
      </c>
      <c r="N19" s="101">
        <f>+'1'!N19+'2'!N19+'4'!N19+'3'!N19+'5'!N19+'6'!N19+'7'!N19+'8'!N19+'9'!N19+'10'!N19</f>
        <v>118691.43552</v>
      </c>
      <c r="O19" s="101">
        <f>+'1'!O19+'2'!O19+'4'!O19+'3'!O19+'5'!O19+'6'!O19+'7'!O19+'8'!O19+'9'!O19+'10'!O19</f>
        <v>3839.5934975999999</v>
      </c>
      <c r="P19" s="120">
        <f t="shared" si="0"/>
        <v>568366.29301760008</v>
      </c>
      <c r="T19" s="163" t="str">
        <f>+'6'!A5</f>
        <v xml:space="preserve">Customer Name : Nabeel Traders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4160</v>
      </c>
      <c r="I20" s="1">
        <f t="shared" si="1"/>
        <v>302182.40000000002</v>
      </c>
      <c r="J20" s="172">
        <f>+'1'!J20+'2'!J20+'4'!J20+'3'!J20+'5'!J20+'6'!J20+'7'!J20+'8'!J20+'9'!J20+'10'!J20+'11'!J20+'12'!J20+'13'!J20+'14'!J20+'15'!J20+'16'!J20+'17'!J20+'18'!J20</f>
        <v>120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76242.944000000003</v>
      </c>
      <c r="M20" s="118">
        <f t="shared" si="2"/>
        <v>225939.45600000001</v>
      </c>
      <c r="N20" s="101">
        <f>+'1'!N20+'2'!N20+'4'!N20+'3'!N20+'5'!N20+'6'!N20+'7'!N20+'8'!N20+'9'!N20+'10'!N20</f>
        <v>73618.606079999998</v>
      </c>
      <c r="O20" s="101">
        <f>+'1'!O20+'2'!O20+'4'!O20+'3'!O20+'5'!O20+'6'!O20+'7'!O20+'8'!O20+'9'!O20+'10'!O20</f>
        <v>2369.4703104</v>
      </c>
      <c r="P20" s="120">
        <f t="shared" si="0"/>
        <v>301927.53239040001</v>
      </c>
      <c r="T20" s="163" t="str">
        <f>+'7'!A5</f>
        <v xml:space="preserve">Customer Name : Nabeel Traders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2800</v>
      </c>
      <c r="I21" s="1">
        <f t="shared" si="1"/>
        <v>203392</v>
      </c>
      <c r="J21" s="172">
        <f>+'1'!J21+'2'!J21+'4'!J21+'3'!J21+'5'!J21+'6'!J21+'7'!J21+'8'!J21+'9'!J21+'10'!J21+'11'!J21+'12'!J21+'13'!J21+'14'!J21+'15'!J21+'16'!J21+'17'!J21+'18'!J21</f>
        <v>140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65085.440000000002</v>
      </c>
      <c r="M21" s="118">
        <f t="shared" si="2"/>
        <v>138306.56</v>
      </c>
      <c r="N21" s="101">
        <f>+'1'!N21+'2'!N21+'4'!N21+'3'!N21+'5'!N21+'6'!N21+'7'!N21+'8'!N21+'9'!N21+'10'!N21</f>
        <v>63336.268799999998</v>
      </c>
      <c r="O21" s="101">
        <f>+'1'!O21+'2'!O21+'4'!O21+'3'!O21+'5'!O21+'6'!O21+'7'!O21+'8'!O21+'9'!O21+'10'!O21</f>
        <v>2025.1741440000001</v>
      </c>
      <c r="P21" s="120">
        <f t="shared" si="0"/>
        <v>203668.00294399998</v>
      </c>
      <c r="T21" s="163" t="str">
        <f>+'8'!A5</f>
        <v xml:space="preserve">Customer Name : Nabeel Traders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Nabeel Traders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Nabeel Traders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Nabeel Traders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633</v>
      </c>
      <c r="D25" s="205"/>
      <c r="E25" s="205"/>
      <c r="F25" s="205"/>
      <c r="G25" s="176">
        <f t="shared" ref="G25:M25" si="3">SUM(G16:G24)</f>
        <v>0</v>
      </c>
      <c r="H25" s="177">
        <f t="shared" si="3"/>
        <v>25320</v>
      </c>
      <c r="I25" s="178">
        <f t="shared" si="3"/>
        <v>1626977.5</v>
      </c>
      <c r="J25" s="177">
        <f t="shared" si="3"/>
        <v>600</v>
      </c>
      <c r="K25" s="178">
        <f t="shared" si="3"/>
        <v>0</v>
      </c>
      <c r="L25" s="179">
        <f t="shared" si="3"/>
        <v>386871.60000000003</v>
      </c>
      <c r="M25" s="141">
        <f t="shared" si="3"/>
        <v>1240105.8999999999</v>
      </c>
      <c r="N25" s="142">
        <f>SUM(N16:N24)</f>
        <v>372712.39199999999</v>
      </c>
      <c r="O25" s="143">
        <f>SUM(O16:O24)</f>
        <v>12018.94146</v>
      </c>
      <c r="P25" s="144">
        <f>SUM(P16:P24)</f>
        <v>1624837.2334600003</v>
      </c>
      <c r="T25" s="163" t="str">
        <f>+'12'!A5</f>
        <v xml:space="preserve">Customer Name : Nabeel Traders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Nabeel Traders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Nabeel Traders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Nabeel Traders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2415807.2334600003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1626977.5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386871.60000000003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0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1240105.8999999999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372712.39199999999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1612818.2919999999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40320.457300000002</v>
      </c>
    </row>
    <row r="39" spans="2:16" ht="15.75" customHeight="1" thickBot="1" x14ac:dyDescent="0.4">
      <c r="N39" s="203" t="s">
        <v>92</v>
      </c>
      <c r="O39" s="204"/>
      <c r="P39" s="160">
        <f>P37+P38</f>
        <v>1653138.7492999998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0" workbookViewId="0">
      <selection activeCell="I27" sqref="I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9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100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>
        <v>40</v>
      </c>
      <c r="H16" s="101">
        <f>G16*40</f>
        <v>1600</v>
      </c>
      <c r="I16" s="102">
        <f>(G16*D16)*F16+H16*F16</f>
        <v>167880</v>
      </c>
      <c r="J16" s="103">
        <f>G16*40/20</f>
        <v>80</v>
      </c>
      <c r="K16" s="104">
        <f>I16*$K$13</f>
        <v>0</v>
      </c>
      <c r="L16" s="105">
        <f>I16*16%</f>
        <v>26860.799999999999</v>
      </c>
      <c r="M16" s="106">
        <f>I16-K16-L16</f>
        <v>141019.20000000001</v>
      </c>
      <c r="N16" s="106">
        <f t="shared" ref="N16:N24" si="0">(M16*$N$15)+(J16*F16)*$N$15</f>
        <v>26138.916000000001</v>
      </c>
      <c r="O16" s="107">
        <f t="shared" ref="O16:O24" si="1">(N16+M16)*$O$15</f>
        <v>835.79058000000009</v>
      </c>
      <c r="P16" s="105">
        <f t="shared" ref="P16:P24" si="2">M16+N16+O16</f>
        <v>167993.90658000001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00">
        <v>15</v>
      </c>
      <c r="H17" s="101">
        <f t="shared" ref="H17:H21" si="3">G17*40</f>
        <v>600</v>
      </c>
      <c r="I17" s="116">
        <f t="shared" ref="I17:I23" si="4">(G17*D17)*F17+H17*F17</f>
        <v>62955</v>
      </c>
      <c r="J17" s="103">
        <f t="shared" ref="J17:J21" si="5">G17*40/20</f>
        <v>30</v>
      </c>
      <c r="K17" s="1">
        <f t="shared" ref="K17:K21" si="6">I17*$K$13</f>
        <v>0</v>
      </c>
      <c r="L17" s="105">
        <f t="shared" ref="L17:L21" si="7">I17*16%</f>
        <v>10072.800000000001</v>
      </c>
      <c r="M17" s="118">
        <f t="shared" ref="M17:M23" si="8">I17-K17-L17</f>
        <v>52882.2</v>
      </c>
      <c r="N17" s="118">
        <f t="shared" si="0"/>
        <v>9802.093499999999</v>
      </c>
      <c r="O17" s="119">
        <f t="shared" si="1"/>
        <v>313.42146750000001</v>
      </c>
      <c r="P17" s="120">
        <f t="shared" si="2"/>
        <v>62997.714967499996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00">
        <v>45</v>
      </c>
      <c r="H18" s="101">
        <f t="shared" si="3"/>
        <v>1800</v>
      </c>
      <c r="I18" s="116">
        <f t="shared" si="4"/>
        <v>188865</v>
      </c>
      <c r="J18" s="103">
        <f t="shared" si="5"/>
        <v>90</v>
      </c>
      <c r="K18" s="1">
        <f t="shared" si="6"/>
        <v>0</v>
      </c>
      <c r="L18" s="105">
        <f t="shared" si="7"/>
        <v>30218.400000000001</v>
      </c>
      <c r="M18" s="118">
        <f t="shared" si="8"/>
        <v>158646.6</v>
      </c>
      <c r="N18" s="118">
        <f t="shared" si="0"/>
        <v>29406.280500000001</v>
      </c>
      <c r="O18" s="119">
        <f t="shared" si="1"/>
        <v>940.26440249999996</v>
      </c>
      <c r="P18" s="120">
        <f t="shared" si="2"/>
        <v>188993.1449025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00">
        <v>70</v>
      </c>
      <c r="H19" s="101">
        <f t="shared" si="3"/>
        <v>2800</v>
      </c>
      <c r="I19" s="116">
        <f t="shared" si="4"/>
        <v>406784</v>
      </c>
      <c r="J19" s="103">
        <f t="shared" si="5"/>
        <v>140</v>
      </c>
      <c r="K19" s="1">
        <f t="shared" si="6"/>
        <v>0</v>
      </c>
      <c r="L19" s="105">
        <f t="shared" si="7"/>
        <v>65085.440000000002</v>
      </c>
      <c r="M19" s="118">
        <f t="shared" si="8"/>
        <v>341698.56</v>
      </c>
      <c r="N19" s="118">
        <f t="shared" si="0"/>
        <v>63336.268799999998</v>
      </c>
      <c r="O19" s="119">
        <f t="shared" si="1"/>
        <v>2025.1741440000001</v>
      </c>
      <c r="P19" s="120">
        <f t="shared" si="2"/>
        <v>407060.00294400001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00">
        <v>60</v>
      </c>
      <c r="H20" s="101">
        <f t="shared" si="3"/>
        <v>2400</v>
      </c>
      <c r="I20" s="116">
        <f t="shared" si="4"/>
        <v>348672</v>
      </c>
      <c r="J20" s="103">
        <f t="shared" si="5"/>
        <v>120</v>
      </c>
      <c r="K20" s="1">
        <f t="shared" si="6"/>
        <v>0</v>
      </c>
      <c r="L20" s="105">
        <f t="shared" si="7"/>
        <v>55787.520000000004</v>
      </c>
      <c r="M20" s="118">
        <f t="shared" si="8"/>
        <v>292884.47999999998</v>
      </c>
      <c r="N20" s="118">
        <f t="shared" si="0"/>
        <v>54288.230399999993</v>
      </c>
      <c r="O20" s="119">
        <f t="shared" si="1"/>
        <v>1735.863552</v>
      </c>
      <c r="P20" s="120">
        <f t="shared" si="2"/>
        <v>348908.57395200001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00">
        <v>70</v>
      </c>
      <c r="H21" s="101">
        <f t="shared" si="3"/>
        <v>2800</v>
      </c>
      <c r="I21" s="116">
        <f t="shared" si="4"/>
        <v>406784</v>
      </c>
      <c r="J21" s="103">
        <f t="shared" si="5"/>
        <v>140</v>
      </c>
      <c r="K21" s="1">
        <f t="shared" si="6"/>
        <v>0</v>
      </c>
      <c r="L21" s="105">
        <f t="shared" si="7"/>
        <v>65085.440000000002</v>
      </c>
      <c r="M21" s="118">
        <f t="shared" si="8"/>
        <v>341698.56</v>
      </c>
      <c r="N21" s="118">
        <f t="shared" si="0"/>
        <v>63336.268799999998</v>
      </c>
      <c r="O21" s="119">
        <f t="shared" si="1"/>
        <v>2025.1741440000001</v>
      </c>
      <c r="P21" s="120">
        <f t="shared" si="2"/>
        <v>407060.00294400001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00"/>
      <c r="H22" s="101"/>
      <c r="I22" s="116">
        <f t="shared" si="4"/>
        <v>0</v>
      </c>
      <c r="J22" s="117"/>
      <c r="K22" s="1">
        <f>I22*3.5%</f>
        <v>0</v>
      </c>
      <c r="L22" s="120">
        <f>I22*5%</f>
        <v>0</v>
      </c>
      <c r="M22" s="118">
        <f t="shared" si="8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4"/>
        <v>0</v>
      </c>
      <c r="J23" s="117"/>
      <c r="K23" s="1">
        <f t="shared" ref="K23:K24" si="9">I23*3.5%</f>
        <v>0</v>
      </c>
      <c r="L23" s="120">
        <f t="shared" ref="L23:L24" si="10">I23*$L$13</f>
        <v>0</v>
      </c>
      <c r="M23" s="118">
        <f t="shared" si="8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9"/>
        <v>0</v>
      </c>
      <c r="L24" s="132">
        <f t="shared" si="10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11">SUM(G16:G24)</f>
        <v>300</v>
      </c>
      <c r="H25" s="136">
        <f t="shared" si="11"/>
        <v>12000</v>
      </c>
      <c r="I25" s="137">
        <f t="shared" si="11"/>
        <v>1581940</v>
      </c>
      <c r="J25" s="138">
        <f>SUM(J16:J21)</f>
        <v>600</v>
      </c>
      <c r="K25" s="139">
        <f t="shared" si="11"/>
        <v>0</v>
      </c>
      <c r="L25" s="140">
        <f t="shared" si="11"/>
        <v>253110.40000000002</v>
      </c>
      <c r="M25" s="141">
        <f t="shared" si="11"/>
        <v>1328829.6000000001</v>
      </c>
      <c r="N25" s="142">
        <f>SUM(N16:N24)</f>
        <v>246308.05799999999</v>
      </c>
      <c r="O25" s="143">
        <f>SUM(O16:O24)</f>
        <v>7875.6882900000001</v>
      </c>
      <c r="P25" s="144">
        <f>SUM(P16:P24)</f>
        <v>1583013.3462900002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300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1581940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253110.40000000002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1328829.6000000001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246308.05799999999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1575137.6580000001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7875.6882900000001</v>
      </c>
    </row>
    <row r="35" spans="2:16" ht="15.75" customHeight="1" thickBot="1" x14ac:dyDescent="0.4">
      <c r="N35" s="203" t="s">
        <v>92</v>
      </c>
      <c r="O35" s="204"/>
      <c r="P35" s="160">
        <f>P33+P34</f>
        <v>1583013.34629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8.36328125" bestFit="1" customWidth="1"/>
    <col min="13" max="13" width="6.81640625" bestFit="1" customWidth="1"/>
    <col min="14" max="14" width="5.81640625" style="69" bestFit="1" customWidth="1"/>
    <col min="15" max="15" width="7.36328125" bestFit="1" customWidth="1"/>
    <col min="16" max="16" width="9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1280</v>
      </c>
      <c r="I16" s="102">
        <f>(G16*D16)*F16+H16*F16</f>
        <v>67152</v>
      </c>
      <c r="J16" s="103"/>
      <c r="K16" s="104">
        <f>I16*$K$13</f>
        <v>0</v>
      </c>
      <c r="L16" s="105">
        <f>I16*16%</f>
        <v>10744.32</v>
      </c>
      <c r="M16" s="106">
        <f>I16-K16-L16</f>
        <v>56407.68</v>
      </c>
      <c r="N16" s="106">
        <f t="shared" ref="N16:N24" si="0">(M16*$N$15)+(J16*F16)*$N$15</f>
        <v>10153.3824</v>
      </c>
      <c r="O16" s="107">
        <f>(N16+M16)*$O$15</f>
        <v>332.80531199999996</v>
      </c>
      <c r="P16" s="105">
        <f t="shared" ref="P16:P24" si="1">M16+N16+O16</f>
        <v>66893.867711999992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3400</v>
      </c>
      <c r="I17" s="116">
        <f t="shared" ref="I17:I23" si="2">(G17*D17)*F17+H17*F17</f>
        <v>178372.5</v>
      </c>
      <c r="J17" s="117"/>
      <c r="K17" s="1">
        <f t="shared" ref="K17:K21" si="3">I17*$K$13</f>
        <v>0</v>
      </c>
      <c r="L17" s="105">
        <f t="shared" ref="L17:L21" si="4">I17*16%</f>
        <v>28539.600000000002</v>
      </c>
      <c r="M17" s="118">
        <f t="shared" ref="M17:M23" si="5">I17-K17-L17</f>
        <v>149832.9</v>
      </c>
      <c r="N17" s="118">
        <f t="shared" si="0"/>
        <v>26969.921999999999</v>
      </c>
      <c r="O17" s="119">
        <f t="shared" ref="O17:O24" si="6">(N17+M17)*$O$15</f>
        <v>884.01410999999996</v>
      </c>
      <c r="P17" s="120">
        <f t="shared" si="1"/>
        <v>177686.83610999997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1840</v>
      </c>
      <c r="I18" s="116">
        <f t="shared" si="2"/>
        <v>96531</v>
      </c>
      <c r="J18" s="117"/>
      <c r="K18" s="1">
        <f t="shared" si="3"/>
        <v>0</v>
      </c>
      <c r="L18" s="105">
        <f t="shared" si="4"/>
        <v>15444.960000000001</v>
      </c>
      <c r="M18" s="118">
        <f t="shared" si="5"/>
        <v>81086.039999999994</v>
      </c>
      <c r="N18" s="118">
        <f t="shared" si="0"/>
        <v>14595.487199999998</v>
      </c>
      <c r="O18" s="119">
        <f t="shared" si="6"/>
        <v>478.40763599999997</v>
      </c>
      <c r="P18" s="120">
        <f t="shared" si="1"/>
        <v>96159.934836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5040</v>
      </c>
      <c r="I19" s="116">
        <f t="shared" si="2"/>
        <v>366105.59999999998</v>
      </c>
      <c r="J19" s="117"/>
      <c r="K19" s="1">
        <f t="shared" si="3"/>
        <v>0</v>
      </c>
      <c r="L19" s="105">
        <f t="shared" si="4"/>
        <v>58576.896000000001</v>
      </c>
      <c r="M19" s="118">
        <f t="shared" si="5"/>
        <v>307528.70399999997</v>
      </c>
      <c r="N19" s="118">
        <f t="shared" si="0"/>
        <v>55355.166719999994</v>
      </c>
      <c r="O19" s="119">
        <f t="shared" si="6"/>
        <v>1814.4193535999998</v>
      </c>
      <c r="P19" s="120">
        <f t="shared" si="1"/>
        <v>364698.29007359996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1760</v>
      </c>
      <c r="I20" s="116">
        <f t="shared" si="2"/>
        <v>127846.39999999999</v>
      </c>
      <c r="J20" s="117"/>
      <c r="K20" s="1">
        <f t="shared" si="3"/>
        <v>0</v>
      </c>
      <c r="L20" s="105">
        <f t="shared" si="4"/>
        <v>20455.423999999999</v>
      </c>
      <c r="M20" s="118">
        <f t="shared" si="5"/>
        <v>107390.976</v>
      </c>
      <c r="N20" s="118">
        <f t="shared" si="0"/>
        <v>19330.375679999997</v>
      </c>
      <c r="O20" s="119">
        <f t="shared" si="6"/>
        <v>633.60675839999999</v>
      </c>
      <c r="P20" s="120">
        <f t="shared" si="1"/>
        <v>127354.95843839999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13320</v>
      </c>
      <c r="I25" s="137">
        <f t="shared" si="9"/>
        <v>836007.5</v>
      </c>
      <c r="J25" s="138"/>
      <c r="K25" s="139">
        <f t="shared" si="9"/>
        <v>0</v>
      </c>
      <c r="L25" s="140">
        <f t="shared" si="9"/>
        <v>133761.20000000001</v>
      </c>
      <c r="M25" s="141">
        <f t="shared" si="9"/>
        <v>702246.3</v>
      </c>
      <c r="N25" s="142">
        <f>SUM(N16:N24)</f>
        <v>126404.33399999999</v>
      </c>
      <c r="O25" s="143">
        <f>SUM(O16:O24)</f>
        <v>4143.25317</v>
      </c>
      <c r="P25" s="144">
        <f>SUM(P16:P24)</f>
        <v>832793.88716999977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333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836007.5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133761.20000000001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702246.3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126404.33399999999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828650.63400000008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4143.2531700000009</v>
      </c>
    </row>
    <row r="35" spans="2:16" ht="15.75" customHeight="1" thickBot="1" x14ac:dyDescent="0.4">
      <c r="N35" s="203" t="s">
        <v>92</v>
      </c>
      <c r="O35" s="204"/>
      <c r="P35" s="160">
        <f>P33+P34</f>
        <v>832793.88717000012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2026-06-20T05:16:05Z</dcterms:modified>
</cp:coreProperties>
</file>