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F2F20F39-9452-4146-9736-580D6EAB52ED}" xr6:coauthVersionLast="47" xr6:coauthVersionMax="47" xr10:uidLastSave="{00000000-0000-0000-0000-000000000000}"/>
  <bookViews>
    <workbookView xWindow="-110" yWindow="-110" windowWidth="19420" windowHeight="10420" tabRatio="949" activeTab="3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O15" i="16" l="1"/>
  <c r="H26" i="17"/>
  <c r="L21" i="17"/>
  <c r="L17" i="19"/>
  <c r="L18" i="19"/>
  <c r="L19" i="19"/>
  <c r="L20" i="19"/>
  <c r="L21" i="19"/>
  <c r="L17" i="18"/>
  <c r="L18" i="18"/>
  <c r="L19" i="18"/>
  <c r="L20" i="18"/>
  <c r="L21" i="18"/>
  <c r="L17" i="20"/>
  <c r="L18" i="20"/>
  <c r="L19" i="20"/>
  <c r="L20" i="20"/>
  <c r="L21" i="20"/>
  <c r="L17" i="21"/>
  <c r="L18" i="21"/>
  <c r="L19" i="21"/>
  <c r="L20" i="21"/>
  <c r="L21" i="21"/>
  <c r="L17" i="22"/>
  <c r="L18" i="22"/>
  <c r="L19" i="22"/>
  <c r="L20" i="22"/>
  <c r="L21" i="22"/>
  <c r="L17" i="23"/>
  <c r="L18" i="23"/>
  <c r="L19" i="23"/>
  <c r="L20" i="23"/>
  <c r="L21" i="23"/>
  <c r="L17" i="24"/>
  <c r="L18" i="24"/>
  <c r="L19" i="24"/>
  <c r="L20" i="24"/>
  <c r="L21" i="24"/>
  <c r="L17" i="25"/>
  <c r="L18" i="25"/>
  <c r="L19" i="25"/>
  <c r="L20" i="25"/>
  <c r="L21" i="25"/>
  <c r="L17" i="26"/>
  <c r="L18" i="26"/>
  <c r="L19" i="26"/>
  <c r="L20" i="26"/>
  <c r="L21" i="26"/>
  <c r="L17" i="27"/>
  <c r="L18" i="27"/>
  <c r="L19" i="27"/>
  <c r="L20" i="27"/>
  <c r="L21" i="27"/>
  <c r="L17" i="28"/>
  <c r="L18" i="28"/>
  <c r="L19" i="28"/>
  <c r="L20" i="28"/>
  <c r="L21" i="28"/>
  <c r="L17" i="29"/>
  <c r="L18" i="29"/>
  <c r="L19" i="29"/>
  <c r="L20" i="29"/>
  <c r="L21" i="29"/>
  <c r="L17" i="30"/>
  <c r="L18" i="30"/>
  <c r="L19" i="30"/>
  <c r="L20" i="30"/>
  <c r="L21" i="30"/>
  <c r="L17" i="31"/>
  <c r="L18" i="31"/>
  <c r="L19" i="31"/>
  <c r="L20" i="31"/>
  <c r="L21" i="31"/>
  <c r="L17" i="32"/>
  <c r="L18" i="32"/>
  <c r="L19" i="32"/>
  <c r="L20" i="32"/>
  <c r="L21" i="32"/>
  <c r="L17" i="33"/>
  <c r="L18" i="33"/>
  <c r="L19" i="33"/>
  <c r="L20" i="33"/>
  <c r="L21" i="33"/>
  <c r="L17" i="34"/>
  <c r="L18" i="34"/>
  <c r="L19" i="34"/>
  <c r="L20" i="34"/>
  <c r="L21" i="34"/>
  <c r="L17" i="35"/>
  <c r="L18" i="35"/>
  <c r="L19" i="35"/>
  <c r="L20" i="35"/>
  <c r="L21" i="35"/>
  <c r="L16" i="19"/>
  <c r="L16" i="18"/>
  <c r="L16" i="20"/>
  <c r="L16" i="21"/>
  <c r="L16" i="22"/>
  <c r="L16" i="23"/>
  <c r="L16" i="24"/>
  <c r="L16" i="25"/>
  <c r="L16" i="26"/>
  <c r="L16" i="27"/>
  <c r="L16" i="28"/>
  <c r="L16" i="29"/>
  <c r="L16" i="30"/>
  <c r="L16" i="31"/>
  <c r="L16" i="32"/>
  <c r="L16" i="33"/>
  <c r="L16" i="34"/>
  <c r="L16" i="35"/>
  <c r="J25" i="16" l="1"/>
  <c r="J17" i="15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I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I19" i="31"/>
  <c r="K19" i="31" s="1"/>
  <c r="I20" i="31"/>
  <c r="I21" i="31"/>
  <c r="I22" i="31"/>
  <c r="I23" i="31"/>
  <c r="K23" i="31" s="1"/>
  <c r="I24" i="31"/>
  <c r="I23" i="32"/>
  <c r="I22" i="33"/>
  <c r="I16" i="34"/>
  <c r="I25" i="34" s="1"/>
  <c r="P28" i="34" s="1"/>
  <c r="I17" i="34"/>
  <c r="I18" i="34"/>
  <c r="I19" i="34"/>
  <c r="I20" i="34"/>
  <c r="K20" i="34" s="1"/>
  <c r="I21" i="34"/>
  <c r="I22" i="34"/>
  <c r="I23" i="34"/>
  <c r="I24" i="34"/>
  <c r="L24" i="34" s="1"/>
  <c r="M24" i="34" s="1"/>
  <c r="I16" i="29"/>
  <c r="I17" i="29"/>
  <c r="I18" i="29"/>
  <c r="I19" i="29"/>
  <c r="K19" i="29" s="1"/>
  <c r="I20" i="29"/>
  <c r="I21" i="29"/>
  <c r="I22" i="29"/>
  <c r="I23" i="29"/>
  <c r="L23" i="29" s="1"/>
  <c r="I24" i="29"/>
  <c r="I24" i="32"/>
  <c r="I19" i="33"/>
  <c r="I23" i="33"/>
  <c r="L23" i="33" s="1"/>
  <c r="I25" i="35"/>
  <c r="P28" i="35" s="1"/>
  <c r="K16" i="35"/>
  <c r="K17" i="35"/>
  <c r="M17" i="35"/>
  <c r="K18" i="35"/>
  <c r="M18" i="35"/>
  <c r="K19" i="35"/>
  <c r="K20" i="35"/>
  <c r="K21" i="35"/>
  <c r="M21" i="35" s="1"/>
  <c r="K22" i="35"/>
  <c r="L22" i="35"/>
  <c r="M22" i="35"/>
  <c r="K23" i="35"/>
  <c r="L23" i="35"/>
  <c r="M23" i="35" s="1"/>
  <c r="K24" i="35"/>
  <c r="M24" i="35" s="1"/>
  <c r="L24" i="35"/>
  <c r="K17" i="34"/>
  <c r="K18" i="34"/>
  <c r="K19" i="34"/>
  <c r="K21" i="34"/>
  <c r="K22" i="34"/>
  <c r="L22" i="34"/>
  <c r="K23" i="34"/>
  <c r="M23" i="34"/>
  <c r="L23" i="34"/>
  <c r="K24" i="34"/>
  <c r="K21" i="33"/>
  <c r="K22" i="33"/>
  <c r="M22" i="33" s="1"/>
  <c r="L22" i="33"/>
  <c r="K19" i="33"/>
  <c r="K23" i="33"/>
  <c r="K20" i="33"/>
  <c r="K24" i="33"/>
  <c r="M24" i="33" s="1"/>
  <c r="L24" i="33"/>
  <c r="M17" i="33"/>
  <c r="M18" i="33"/>
  <c r="K16" i="33"/>
  <c r="K24" i="32"/>
  <c r="M24" i="32" s="1"/>
  <c r="L24" i="32"/>
  <c r="I25" i="32"/>
  <c r="P28" i="32" s="1"/>
  <c r="K16" i="32"/>
  <c r="K17" i="32"/>
  <c r="K18" i="32"/>
  <c r="K19" i="32"/>
  <c r="K20" i="32"/>
  <c r="K21" i="32"/>
  <c r="K23" i="32"/>
  <c r="L23" i="32"/>
  <c r="M23" i="32" s="1"/>
  <c r="K22" i="32"/>
  <c r="L22" i="32"/>
  <c r="K17" i="31"/>
  <c r="M17" i="31"/>
  <c r="K21" i="31"/>
  <c r="K22" i="31"/>
  <c r="L22" i="31"/>
  <c r="M22" i="31" s="1"/>
  <c r="K24" i="31"/>
  <c r="L24" i="31"/>
  <c r="M24" i="31" s="1"/>
  <c r="K16" i="31"/>
  <c r="K18" i="31"/>
  <c r="K20" i="31"/>
  <c r="L23" i="31"/>
  <c r="K18" i="30"/>
  <c r="K20" i="30"/>
  <c r="K21" i="30"/>
  <c r="M21" i="30"/>
  <c r="K23" i="30"/>
  <c r="M23" i="30" s="1"/>
  <c r="L23" i="30"/>
  <c r="I25" i="30"/>
  <c r="P28" i="30" s="1"/>
  <c r="K16" i="30"/>
  <c r="K17" i="30"/>
  <c r="K19" i="30"/>
  <c r="K22" i="30"/>
  <c r="L22" i="30"/>
  <c r="K24" i="30"/>
  <c r="M24" i="30" s="1"/>
  <c r="L24" i="30"/>
  <c r="K16" i="29"/>
  <c r="K21" i="29"/>
  <c r="K24" i="29"/>
  <c r="M24" i="29"/>
  <c r="L24" i="29"/>
  <c r="K17" i="29"/>
  <c r="K20" i="29"/>
  <c r="K22" i="29"/>
  <c r="M22" i="29" s="1"/>
  <c r="L22" i="29"/>
  <c r="K18" i="29"/>
  <c r="K23" i="29"/>
  <c r="I25" i="28"/>
  <c r="P28" i="28" s="1"/>
  <c r="K16" i="28"/>
  <c r="K17" i="28"/>
  <c r="M17" i="28"/>
  <c r="K18" i="28"/>
  <c r="K19" i="28"/>
  <c r="K20" i="28"/>
  <c r="K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3" i="33" l="1"/>
  <c r="I16" i="26"/>
  <c r="I17" i="26"/>
  <c r="I18" i="26"/>
  <c r="K18" i="26" s="1"/>
  <c r="I19" i="26"/>
  <c r="I20" i="26"/>
  <c r="I21" i="26"/>
  <c r="I22" i="26"/>
  <c r="K22" i="26" s="1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K16" i="34"/>
  <c r="M16" i="34" s="1"/>
  <c r="N16" i="34" s="1"/>
  <c r="I25" i="33"/>
  <c r="P28" i="33" s="1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34"/>
  <c r="N19" i="34" s="1"/>
  <c r="O19" i="34" s="1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N19" i="35" s="1"/>
  <c r="O19" i="35" s="1"/>
  <c r="M19" i="31"/>
  <c r="M20" i="31"/>
  <c r="N20" i="31" s="1"/>
  <c r="O20" i="31" s="1"/>
  <c r="M20" i="33"/>
  <c r="N20" i="33" s="1"/>
  <c r="O20" i="33" s="1"/>
  <c r="M20" i="35"/>
  <c r="N20" i="35" s="1"/>
  <c r="O20" i="35" s="1"/>
  <c r="P20" i="35" s="1"/>
  <c r="M21" i="29"/>
  <c r="M21" i="34"/>
  <c r="N21" i="34" s="1"/>
  <c r="O21" i="34" s="1"/>
  <c r="M21" i="32"/>
  <c r="N21" i="32" s="1"/>
  <c r="O21" i="32" s="1"/>
  <c r="M21" i="31"/>
  <c r="N21" i="31" s="1"/>
  <c r="O21" i="31" s="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L25" i="35"/>
  <c r="P29" i="35" s="1"/>
  <c r="M16" i="35"/>
  <c r="N24" i="34"/>
  <c r="O24" i="34" s="1"/>
  <c r="P24" i="34"/>
  <c r="L25" i="34"/>
  <c r="P29" i="34" s="1"/>
  <c r="K25" i="34"/>
  <c r="P30" i="34" s="1"/>
  <c r="N23" i="34"/>
  <c r="O23" i="34" s="1"/>
  <c r="P23" i="34" s="1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17" i="32"/>
  <c r="O17" i="32" s="1"/>
  <c r="N23" i="32"/>
  <c r="O23" i="32" s="1"/>
  <c r="N24" i="32"/>
  <c r="O24" i="32" s="1"/>
  <c r="P24" i="32" s="1"/>
  <c r="L25" i="32"/>
  <c r="P29" i="32" s="1"/>
  <c r="K25" i="32"/>
  <c r="P30" i="32" s="1"/>
  <c r="N24" i="31"/>
  <c r="O24" i="31" s="1"/>
  <c r="P24" i="31"/>
  <c r="N23" i="31"/>
  <c r="O23" i="31" s="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1" i="29"/>
  <c r="O21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K17" i="27"/>
  <c r="K20" i="27"/>
  <c r="K21" i="27"/>
  <c r="K22" i="27"/>
  <c r="L22" i="27"/>
  <c r="K23" i="27"/>
  <c r="L23" i="27"/>
  <c r="K24" i="27"/>
  <c r="L24" i="27"/>
  <c r="K19" i="27"/>
  <c r="K18" i="27"/>
  <c r="K17" i="26"/>
  <c r="K19" i="26"/>
  <c r="L22" i="26"/>
  <c r="K23" i="26"/>
  <c r="L23" i="26"/>
  <c r="K20" i="26"/>
  <c r="K21" i="26"/>
  <c r="K24" i="26"/>
  <c r="L24" i="26"/>
  <c r="M24" i="26" s="1"/>
  <c r="K16" i="26"/>
  <c r="T23" i="15"/>
  <c r="T22" i="15"/>
  <c r="T21" i="15"/>
  <c r="T20" i="15"/>
  <c r="T19" i="15"/>
  <c r="T18" i="15"/>
  <c r="T17" i="15"/>
  <c r="T16" i="15"/>
  <c r="T15" i="15"/>
  <c r="T14" i="15"/>
  <c r="I25" i="26" l="1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20" i="26"/>
  <c r="O20" i="26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5" l="1"/>
  <c r="I17" i="25"/>
  <c r="I18" i="25"/>
  <c r="I19" i="25"/>
  <c r="I25" i="25" s="1"/>
  <c r="P28" i="25" s="1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I20" i="19"/>
  <c r="I21" i="19"/>
  <c r="I22" i="19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I18" i="18"/>
  <c r="I17" i="20"/>
  <c r="K17" i="20" s="1"/>
  <c r="I19" i="20"/>
  <c r="K19" i="20" s="1"/>
  <c r="I21" i="20"/>
  <c r="I23" i="20"/>
  <c r="L23" i="20" s="1"/>
  <c r="M25" i="27"/>
  <c r="P24" i="27"/>
  <c r="P31" i="26"/>
  <c r="I16" i="24"/>
  <c r="I17" i="24"/>
  <c r="I18" i="24"/>
  <c r="K18" i="24" s="1"/>
  <c r="I19" i="24"/>
  <c r="I20" i="24"/>
  <c r="K20" i="24" s="1"/>
  <c r="I21" i="24"/>
  <c r="I22" i="24"/>
  <c r="K22" i="24" s="1"/>
  <c r="I21" i="23"/>
  <c r="K21" i="23" s="1"/>
  <c r="I23" i="23"/>
  <c r="I17" i="21"/>
  <c r="I19" i="21"/>
  <c r="K19" i="21" s="1"/>
  <c r="I21" i="21"/>
  <c r="K21" i="21" s="1"/>
  <c r="O21" i="27"/>
  <c r="P21" i="27" s="1"/>
  <c r="P31" i="27"/>
  <c r="P23" i="27"/>
  <c r="P18" i="27"/>
  <c r="I21" i="25"/>
  <c r="I23" i="24"/>
  <c r="I24" i="24"/>
  <c r="K24" i="24" s="1"/>
  <c r="I16" i="19"/>
  <c r="I17" i="19"/>
  <c r="I18" i="19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I17" i="18"/>
  <c r="I17" i="23"/>
  <c r="I19" i="23"/>
  <c r="K19" i="23" s="1"/>
  <c r="I23" i="22"/>
  <c r="K23" i="22" s="1"/>
  <c r="I24" i="22"/>
  <c r="L24" i="22" s="1"/>
  <c r="I23" i="21"/>
  <c r="K23" i="21" s="1"/>
  <c r="I16" i="23"/>
  <c r="I18" i="23"/>
  <c r="I20" i="23"/>
  <c r="I22" i="23"/>
  <c r="K22" i="23" s="1"/>
  <c r="I24" i="23"/>
  <c r="L24" i="23" s="1"/>
  <c r="I16" i="20"/>
  <c r="I18" i="20"/>
  <c r="K18" i="20" s="1"/>
  <c r="I20" i="20"/>
  <c r="I22" i="20"/>
  <c r="K22" i="20" s="1"/>
  <c r="I24" i="20"/>
  <c r="K24" i="20" s="1"/>
  <c r="I16" i="21"/>
  <c r="I18" i="21"/>
  <c r="K18" i="21" s="1"/>
  <c r="I20" i="21"/>
  <c r="K20" i="21" s="1"/>
  <c r="I22" i="21"/>
  <c r="K22" i="21" s="1"/>
  <c r="I24" i="21"/>
  <c r="K24" i="21" s="1"/>
  <c r="I16" i="17"/>
  <c r="I17" i="17"/>
  <c r="I18" i="17"/>
  <c r="I19" i="17"/>
  <c r="I20" i="17"/>
  <c r="I21" i="17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K20" i="25"/>
  <c r="K16" i="25"/>
  <c r="K24" i="25"/>
  <c r="L22" i="25"/>
  <c r="K17" i="25"/>
  <c r="L23" i="25"/>
  <c r="K23" i="25"/>
  <c r="K17" i="24"/>
  <c r="K21" i="24"/>
  <c r="L23" i="24"/>
  <c r="K23" i="24"/>
  <c r="K17" i="23"/>
  <c r="L23" i="23"/>
  <c r="K23" i="23"/>
  <c r="K16" i="22"/>
  <c r="K18" i="22"/>
  <c r="K20" i="22"/>
  <c r="K22" i="22"/>
  <c r="L22" i="22"/>
  <c r="K17" i="22"/>
  <c r="K19" i="22"/>
  <c r="K21" i="22"/>
  <c r="L24" i="20"/>
  <c r="K23" i="20"/>
  <c r="K20" i="19"/>
  <c r="K18" i="19"/>
  <c r="K24" i="19"/>
  <c r="L24" i="19"/>
  <c r="K22" i="19"/>
  <c r="L22" i="19"/>
  <c r="K21" i="19"/>
  <c r="K21" i="18"/>
  <c r="K22" i="18"/>
  <c r="M22" i="18" s="1"/>
  <c r="K24" i="18"/>
  <c r="M24" i="18" s="1"/>
  <c r="L24" i="17"/>
  <c r="O34" i="16"/>
  <c r="C11" i="16" s="1"/>
  <c r="O32" i="16"/>
  <c r="C12" i="16" s="1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N15" i="16"/>
  <c r="N5" i="16"/>
  <c r="O38" i="15"/>
  <c r="O36" i="15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20" i="17" l="1"/>
  <c r="L20" i="17"/>
  <c r="K19" i="17"/>
  <c r="L19" i="17"/>
  <c r="K18" i="17"/>
  <c r="L18" i="17"/>
  <c r="K17" i="17"/>
  <c r="L17" i="17"/>
  <c r="K16" i="17"/>
  <c r="L16" i="17"/>
  <c r="K23" i="19"/>
  <c r="M23" i="19" s="1"/>
  <c r="N23" i="19" s="1"/>
  <c r="O23" i="19" s="1"/>
  <c r="K19" i="19"/>
  <c r="L23" i="22"/>
  <c r="L25" i="22" s="1"/>
  <c r="P29" i="22" s="1"/>
  <c r="K19" i="25"/>
  <c r="L25" i="25"/>
  <c r="P29" i="25" s="1"/>
  <c r="K21" i="25"/>
  <c r="K16" i="24"/>
  <c r="K18" i="18"/>
  <c r="M18" i="18" s="1"/>
  <c r="N18" i="18" s="1"/>
  <c r="O18" i="18" s="1"/>
  <c r="K21" i="20"/>
  <c r="M21" i="20" s="1"/>
  <c r="N21" i="20" s="1"/>
  <c r="O21" i="20" s="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K19" i="24"/>
  <c r="M19" i="24" s="1"/>
  <c r="N19" i="24" s="1"/>
  <c r="O19" i="24" s="1"/>
  <c r="P19" i="24" s="1"/>
  <c r="L24" i="21"/>
  <c r="M17" i="20"/>
  <c r="N17" i="20" s="1"/>
  <c r="O17" i="20" s="1"/>
  <c r="K17" i="19"/>
  <c r="K20" i="18"/>
  <c r="M20" i="18" s="1"/>
  <c r="N20" i="18" s="1"/>
  <c r="O20" i="18" s="1"/>
  <c r="M17" i="17"/>
  <c r="N17" i="17" s="1"/>
  <c r="O17" i="17" s="1"/>
  <c r="M19" i="20"/>
  <c r="N19" i="20" s="1"/>
  <c r="O19" i="20" s="1"/>
  <c r="K16" i="23"/>
  <c r="M16" i="23" s="1"/>
  <c r="N16" i="23" s="1"/>
  <c r="L24" i="24"/>
  <c r="L22" i="21"/>
  <c r="M22" i="21" s="1"/>
  <c r="N22" i="21" s="1"/>
  <c r="O22" i="21" s="1"/>
  <c r="M18" i="21"/>
  <c r="N18" i="21" s="1"/>
  <c r="O18" i="21" s="1"/>
  <c r="K16" i="20"/>
  <c r="M16" i="20" s="1"/>
  <c r="N16" i="20" s="1"/>
  <c r="K16" i="19"/>
  <c r="K25" i="19" s="1"/>
  <c r="P30" i="19" s="1"/>
  <c r="K22" i="17"/>
  <c r="M22" i="17" s="1"/>
  <c r="N22" i="17" s="1"/>
  <c r="O22" i="17" s="1"/>
  <c r="M19" i="2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M19" i="17"/>
  <c r="N19" i="17" s="1"/>
  <c r="O19" i="17" s="1"/>
  <c r="P19" i="17" s="1"/>
  <c r="M20" i="17"/>
  <c r="N20" i="17" s="1"/>
  <c r="O20" i="17" s="1"/>
  <c r="K21" i="17"/>
  <c r="L22" i="24"/>
  <c r="M22" i="24" s="1"/>
  <c r="N22" i="24" s="1"/>
  <c r="O22" i="24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25" i="18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M18" i="20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18" i="24"/>
  <c r="N18" i="24" s="1"/>
  <c r="O18" i="24" s="1"/>
  <c r="M19" i="23"/>
  <c r="N19" i="23" s="1"/>
  <c r="O19" i="23" s="1"/>
  <c r="M21" i="22"/>
  <c r="N21" i="22" s="1"/>
  <c r="O21" i="22" s="1"/>
  <c r="P21" i="22" s="1"/>
  <c r="M17" i="22"/>
  <c r="N17" i="22" s="1"/>
  <c r="O17" i="22" s="1"/>
  <c r="M20" i="2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N19" i="25" s="1"/>
  <c r="O19" i="25" s="1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N18" i="22" s="1"/>
  <c r="O18" i="22" s="1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4" i="15"/>
  <c r="I16" i="16"/>
  <c r="I17" i="16"/>
  <c r="L17" i="16" s="1"/>
  <c r="I18" i="16"/>
  <c r="I19" i="16"/>
  <c r="L19" i="16" s="1"/>
  <c r="I20" i="16"/>
  <c r="I21" i="16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K25" i="25"/>
  <c r="P30" i="25" s="1"/>
  <c r="M16" i="25"/>
  <c r="N23" i="25"/>
  <c r="O23" i="25" s="1"/>
  <c r="P23" i="25" s="1"/>
  <c r="N23" i="24"/>
  <c r="O23" i="24" s="1"/>
  <c r="N24" i="24"/>
  <c r="O24" i="24" s="1"/>
  <c r="K25" i="24"/>
  <c r="P30" i="24" s="1"/>
  <c r="M16" i="22"/>
  <c r="M21" i="21"/>
  <c r="N21" i="21" s="1"/>
  <c r="M17" i="19"/>
  <c r="N17" i="19" s="1"/>
  <c r="O17" i="19" s="1"/>
  <c r="M21" i="19"/>
  <c r="N24" i="19"/>
  <c r="O24" i="19" s="1"/>
  <c r="L25" i="19"/>
  <c r="P29" i="19" s="1"/>
  <c r="N24" i="18"/>
  <c r="O24" i="18" s="1"/>
  <c r="N22" i="18"/>
  <c r="O22" i="18" s="1"/>
  <c r="M16" i="17"/>
  <c r="I23" i="15"/>
  <c r="K18" i="16" l="1"/>
  <c r="L18" i="16"/>
  <c r="L18" i="15" s="1"/>
  <c r="K20" i="16"/>
  <c r="K20" i="15" s="1"/>
  <c r="L20" i="16"/>
  <c r="L20" i="15" s="1"/>
  <c r="K16" i="16"/>
  <c r="K16" i="15" s="1"/>
  <c r="L16" i="16"/>
  <c r="L16" i="15" s="1"/>
  <c r="L21" i="16"/>
  <c r="L21" i="15" s="1"/>
  <c r="M19" i="18"/>
  <c r="N19" i="18" s="1"/>
  <c r="O19" i="18" s="1"/>
  <c r="K18" i="15"/>
  <c r="L25" i="24"/>
  <c r="P29" i="24" s="1"/>
  <c r="P31" i="24" s="1"/>
  <c r="L17" i="15"/>
  <c r="L23" i="15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25" i="21"/>
  <c r="P29" i="21" s="1"/>
  <c r="M22" i="23"/>
  <c r="N22" i="23" s="1"/>
  <c r="O22" i="23" s="1"/>
  <c r="M22" i="20"/>
  <c r="N22" i="20" s="1"/>
  <c r="O22" i="20" s="1"/>
  <c r="M25" i="24"/>
  <c r="K21" i="16"/>
  <c r="K21" i="15" s="1"/>
  <c r="P16" i="26"/>
  <c r="P25" i="26" s="1"/>
  <c r="K25" i="23"/>
  <c r="P30" i="23" s="1"/>
  <c r="L19" i="15"/>
  <c r="P34" i="26"/>
  <c r="P35" i="26" s="1"/>
  <c r="U24" i="15" s="1"/>
  <c r="P31" i="22"/>
  <c r="K17" i="16"/>
  <c r="K17" i="15" s="1"/>
  <c r="P23" i="22"/>
  <c r="M24" i="16"/>
  <c r="N24" i="16" s="1"/>
  <c r="K23" i="16"/>
  <c r="K19" i="16"/>
  <c r="K19" i="15" s="1"/>
  <c r="O21" i="21"/>
  <c r="P21" i="21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P22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16" i="16" l="1"/>
  <c r="N16" i="16" s="1"/>
  <c r="O16" i="16" s="1"/>
  <c r="M16" i="15"/>
  <c r="M18" i="15"/>
  <c r="M21" i="15"/>
  <c r="N16" i="18"/>
  <c r="N16" i="15" s="1"/>
  <c r="M18" i="16"/>
  <c r="N18" i="16" s="1"/>
  <c r="O18" i="16" s="1"/>
  <c r="O18" i="15" s="1"/>
  <c r="P31" i="21"/>
  <c r="P33" i="21" s="1"/>
  <c r="P34" i="21" s="1"/>
  <c r="P35" i="21" s="1"/>
  <c r="U19" i="15" s="1"/>
  <c r="M17" i="15"/>
  <c r="P31" i="17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O16" i="18"/>
  <c r="O16" i="17"/>
  <c r="O25" i="17" s="1"/>
  <c r="N25" i="17"/>
  <c r="P32" i="17" s="1"/>
  <c r="N18" i="15" l="1"/>
  <c r="P18" i="15" s="1"/>
  <c r="N25" i="18"/>
  <c r="P32" i="18" s="1"/>
  <c r="P33" i="18" s="1"/>
  <c r="N20" i="15"/>
  <c r="P20" i="15" s="1"/>
  <c r="P33" i="17"/>
  <c r="P25" i="23"/>
  <c r="P24" i="16"/>
  <c r="N17" i="15"/>
  <c r="P17" i="15" s="1"/>
  <c r="P20" i="16"/>
  <c r="P17" i="16"/>
  <c r="N21" i="15"/>
  <c r="P21" i="15" s="1"/>
  <c r="P18" i="16"/>
  <c r="P21" i="16"/>
  <c r="P24" i="15"/>
  <c r="O16" i="15"/>
  <c r="P16" i="15" s="1"/>
  <c r="O19" i="16"/>
  <c r="N19" i="15"/>
  <c r="O23" i="16"/>
  <c r="O23" i="15" s="1"/>
  <c r="N23" i="15"/>
  <c r="P25" i="19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34" i="17"/>
  <c r="P35" i="17" s="1"/>
  <c r="U15" i="15" s="1"/>
  <c r="P16" i="16"/>
  <c r="P23" i="15" l="1"/>
  <c r="P23" i="16"/>
  <c r="P19" i="16"/>
  <c r="O19" i="15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19" i="15" l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  <c r="H25" i="16" l="1"/>
  <c r="G25" i="16"/>
  <c r="I22" i="16" l="1"/>
  <c r="H22" i="15"/>
  <c r="L22" i="16"/>
  <c r="I22" i="15" l="1"/>
  <c r="I25" i="15" s="1"/>
  <c r="P32" i="15" s="1"/>
  <c r="H25" i="15"/>
  <c r="C25" i="15" s="1"/>
  <c r="I25" i="16"/>
  <c r="P28" i="16" s="1"/>
  <c r="K22" i="16"/>
  <c r="M22" i="16" s="1"/>
  <c r="L22" i="15"/>
  <c r="L25" i="15" s="1"/>
  <c r="P33" i="15" s="1"/>
  <c r="L25" i="16"/>
  <c r="P29" i="16" s="1"/>
  <c r="K25" i="16" l="1"/>
  <c r="P30" i="16" s="1"/>
  <c r="P31" i="16" s="1"/>
  <c r="K22" i="15"/>
  <c r="M25" i="16"/>
  <c r="N22" i="16"/>
  <c r="K25" i="15" l="1"/>
  <c r="P34" i="15" s="1"/>
  <c r="P35" i="15" s="1"/>
  <c r="M22" i="15"/>
  <c r="M25" i="15" s="1"/>
  <c r="N22" i="15"/>
  <c r="N25" i="16"/>
  <c r="P32" i="16" s="1"/>
  <c r="P33" i="16" s="1"/>
  <c r="O22" i="16"/>
  <c r="O25" i="16" l="1"/>
  <c r="O22" i="15"/>
  <c r="O25" i="15" s="1"/>
  <c r="P22" i="16"/>
  <c r="P25" i="16" s="1"/>
  <c r="P34" i="16"/>
  <c r="P35" i="16" s="1"/>
  <c r="U14" i="15" s="1"/>
  <c r="U30" i="15" s="1"/>
  <c r="N25" i="15"/>
  <c r="P36" i="15" s="1"/>
  <c r="P37" i="15" s="1"/>
  <c r="P22" i="15" l="1"/>
  <c r="P25" i="15" s="1"/>
  <c r="P38" i="15"/>
  <c r="P39" i="15" s="1"/>
</calcChain>
</file>

<file path=xl/sharedStrings.xml><?xml version="1.0" encoding="utf-8"?>
<sst xmlns="http://schemas.openxmlformats.org/spreadsheetml/2006/main" count="1619" uniqueCount="108">
  <si>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</si>
  <si>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</si>
  <si>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</si>
  <si>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</si>
  <si>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</si>
  <si>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</si>
  <si>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</si>
  <si>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</si>
  <si>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</si>
  <si>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</si>
  <si>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</si>
  <si>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</si>
  <si>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</si>
  <si>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</si>
  <si>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</si>
  <si>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</si>
  <si>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</si>
  <si>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</si>
  <si>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</si>
  <si>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</si>
  <si>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</si>
  <si>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</si>
  <si>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</si>
  <si>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</si>
  <si>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</si>
  <si>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</si>
  <si>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</si>
  <si>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</si>
  <si>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</si>
  <si>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</si>
  <si>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</si>
  <si>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</si>
  <si>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</si>
  <si>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</si>
  <si>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</si>
  <si>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</si>
  <si>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</si>
  <si>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</si>
  <si>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</si>
  <si>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</si>
  <si>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</si>
  <si>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</si>
  <si>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</si>
  <si>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</si>
  <si>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</si>
  <si>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</si>
  <si>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</si>
  <si>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</si>
  <si>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</si>
  <si>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</si>
  <si>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</si>
  <si>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</si>
  <si>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</si>
  <si>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</si>
  <si>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</si>
  <si>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</si>
  <si>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</si>
  <si>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</si>
  <si>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</si>
  <si>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</si>
  <si>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</si>
  <si>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</si>
  <si>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</si>
  <si>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</si>
  <si>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</si>
  <si>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</si>
  <si>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</si>
  <si>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</si>
  <si>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</si>
  <si>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</si>
  <si>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</si>
  <si>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</si>
  <si>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</si>
  <si>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</si>
  <si>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</si>
  <si>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</si>
  <si>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</si>
  <si>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</si>
  <si>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</si>
  <si>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</si>
  <si>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</si>
  <si>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</si>
  <si>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</si>
  <si>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</si>
  <si>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</si>
  <si>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</si>
  <si>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</si>
  <si>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</si>
  <si>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</si>
  <si>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</si>
  <si>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</si>
  <si>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</si>
  <si>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</si>
  <si>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</si>
  <si>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</si>
  <si>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</si>
  <si>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</si>
  <si>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</si>
  <si>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</si>
  <si>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</si>
  <si>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</si>
  <si>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</si>
  <si>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Nabeel Traders </t>
  </si>
  <si>
    <t>Shop Bill Summary (Nabeel Traders)</t>
  </si>
  <si>
    <t xml:space="preserve">Customer Name : Nabeel Traders </t>
  </si>
  <si>
    <t>E378144-0</t>
  </si>
  <si>
    <t>327787628553-1</t>
  </si>
  <si>
    <t xml:space="preserve">Address: Mughal Pura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</si>
</sst>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3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F10" sqref="F10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F10" sqref="F10"/>
      <selection pane="topRight" activeCell="F10" sqref="F10"/>
      <selection pane="bottomLeft" activeCell="F10" sqref="F10"/>
      <selection pane="bottomRight" activeCell="F10" sqref="F10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3"/>
      <c r="B3" s="183"/>
      <c r="C3" s="183"/>
      <c r="D3" s="183"/>
      <c r="E3" s="183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</row>
    <row r="4" spans="1:29" x14ac:dyDescent="0.35">
      <c r="A4" s="185" t="s">
        <v>6</v>
      </c>
      <c r="B4" s="5" t="s">
        <v>7</v>
      </c>
      <c r="C4" s="5"/>
      <c r="D4" s="187" t="s">
        <v>8</v>
      </c>
      <c r="E4" s="189" t="s">
        <v>9</v>
      </c>
      <c r="F4" s="191" t="s">
        <v>3</v>
      </c>
      <c r="G4" s="191"/>
      <c r="H4" s="192" t="s">
        <v>10</v>
      </c>
      <c r="I4" s="192"/>
      <c r="J4" s="193" t="s">
        <v>11</v>
      </c>
      <c r="K4" s="194"/>
      <c r="L4" s="193" t="s">
        <v>12</v>
      </c>
      <c r="M4" s="194"/>
      <c r="N4" s="195" t="s">
        <v>13</v>
      </c>
      <c r="O4" s="195"/>
      <c r="P4" s="193" t="s">
        <v>4</v>
      </c>
      <c r="Q4" s="194"/>
      <c r="R4" s="193" t="s">
        <v>14</v>
      </c>
      <c r="S4" s="194"/>
      <c r="T4" s="196" t="s">
        <v>15</v>
      </c>
      <c r="U4" s="196"/>
      <c r="V4" s="197" t="s">
        <v>16</v>
      </c>
      <c r="W4" s="198"/>
      <c r="X4" s="197" t="s">
        <v>17</v>
      </c>
      <c r="Y4" s="198"/>
    </row>
    <row r="5" spans="1:29" ht="26.25" customHeight="1" thickBot="1" x14ac:dyDescent="0.4">
      <c r="A5" s="186"/>
      <c r="B5" s="7" t="s">
        <v>18</v>
      </c>
      <c r="C5" s="7" t="s">
        <v>8</v>
      </c>
      <c r="D5" s="188"/>
      <c r="E5" s="19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topLeftCell="A6" zoomScale="70" zoomScaleNormal="70" workbookViewId="0">
      <selection activeCell="S21" sqref="S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4.26953125" bestFit="1" customWidth="1"/>
  </cols>
  <sheetData>
    <row r="2" spans="1:21 16383:16384" ht="21" x14ac:dyDescent="0.5">
      <c r="A2" s="199" t="s">
        <v>45</v>
      </c>
      <c r="B2" s="199"/>
      <c r="C2" s="199"/>
    </row>
    <row r="3" spans="1:21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46231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04" t="s">
        <v>102</v>
      </c>
      <c r="B5" s="204"/>
      <c r="C5" s="204"/>
      <c r="F5" s="70"/>
      <c r="G5" s="71"/>
      <c r="K5" s="201" t="s">
        <v>51</v>
      </c>
      <c r="L5" s="201"/>
      <c r="M5" s="201"/>
      <c r="N5" s="202">
        <f ca="1">N4-1</f>
        <v>46230</v>
      </c>
      <c r="O5" s="200"/>
      <c r="P5" s="200"/>
      <c r="R5" s="70"/>
      <c r="S5" s="71"/>
    </row>
    <row r="6" spans="1:21 16383:16384" ht="15" customHeight="1" x14ac:dyDescent="0.35">
      <c r="A6" s="204"/>
      <c r="B6" s="204"/>
      <c r="C6" s="204"/>
      <c r="F6" s="70"/>
      <c r="G6" s="74"/>
      <c r="K6" s="201" t="s">
        <v>52</v>
      </c>
      <c r="L6" s="201"/>
      <c r="M6" s="201"/>
      <c r="N6" s="203" t="s">
        <v>42</v>
      </c>
      <c r="O6" s="203"/>
      <c r="P6" s="203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21 16383:16384" hidden="1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21 16383:16384" x14ac:dyDescent="0.35">
      <c r="A10" s="206"/>
      <c r="B10" s="75"/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21 16383:16384" ht="15" thickBot="1" x14ac:dyDescent="0.4">
      <c r="A11" s="206"/>
      <c r="B11" s="76"/>
      <c r="C11" s="77"/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21 16383:16384" ht="14.65" customHeight="1" x14ac:dyDescent="0.35">
      <c r="A12" s="206"/>
      <c r="B12" s="76"/>
      <c r="C12" s="77"/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T12" s="215" t="s">
        <v>103</v>
      </c>
      <c r="U12" s="216"/>
      <c r="XFD12" t="s">
        <v>62</v>
      </c>
    </row>
    <row r="13" spans="1:21 16383:16384" ht="15" thickBot="1" x14ac:dyDescent="0.4">
      <c r="A13" s="243"/>
      <c r="J13" s="78"/>
      <c r="K13" s="78"/>
      <c r="L13" s="79">
        <v>0.05</v>
      </c>
      <c r="T13" s="217"/>
      <c r="U13" s="218"/>
      <c r="XFD13" t="s">
        <v>63</v>
      </c>
    </row>
    <row r="14" spans="1:21 16383:16384" ht="29.25" customHeight="1" x14ac:dyDescent="0.6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09" t="s">
        <v>68</v>
      </c>
      <c r="H14" s="210"/>
      <c r="I14" s="210" t="s">
        <v>69</v>
      </c>
      <c r="J14" s="210" t="s">
        <v>70</v>
      </c>
      <c r="K14" s="210"/>
      <c r="L14" s="212"/>
      <c r="M14" s="213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 xml:space="preserve">Customer Name : Nabeel Traders </v>
      </c>
      <c r="U14" s="164">
        <f>+'1'!P35</f>
        <v>795083.83496999997</v>
      </c>
      <c r="XFD14" t="s">
        <v>75</v>
      </c>
    </row>
    <row r="15" spans="1:21 16383:16384" ht="29.25" customHeight="1" thickBot="1" x14ac:dyDescent="0.65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11"/>
      <c r="J15" s="171" t="s">
        <v>78</v>
      </c>
      <c r="K15" s="171" t="s">
        <v>79</v>
      </c>
      <c r="L15" s="174" t="s">
        <v>80</v>
      </c>
      <c r="M15" s="21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 xml:space="preserve">Customer Name : Nabeel Traders </v>
      </c>
      <c r="U15" s="164">
        <f>+'2'!P35</f>
        <v>832793.88717000012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</f>
        <v>1280</v>
      </c>
      <c r="I16" s="1">
        <f>(G16*D16)*F16+H16*F16</f>
        <v>67152</v>
      </c>
      <c r="J16" s="172">
        <f>+'1'!J16+'2'!J16+'4'!J16+'3'!J16+'5'!J16+'6'!J16+'7'!J16+'8'!J16+'9'!J16+'10'!J16+'11'!J16+'12'!J16+'13'!J16+'14'!J16+'15'!J16+'16'!J16+'17'!J16+'18'!J16</f>
        <v>80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24174.720000000001</v>
      </c>
      <c r="M16" s="106">
        <f>I16-K16-L16</f>
        <v>42977.279999999999</v>
      </c>
      <c r="N16" s="101">
        <f>+'1'!N16+'2'!N16+'4'!N16+'3'!N16+'5'!N16+'6'!N16+'7'!N16+'8'!N16+'9'!N16+'10'!N16</f>
        <v>23600.570400000001</v>
      </c>
      <c r="O16" s="101">
        <f>+'1'!O16+'2'!O16+'4'!O16+'3'!O16+'5'!O16+'6'!O16+'7'!O16+'8'!O16+'9'!O16+'10'!O16</f>
        <v>752.58925199999999</v>
      </c>
      <c r="P16" s="105">
        <f t="shared" ref="P16:P24" si="0">M16+N16+O16</f>
        <v>67330.439652000001</v>
      </c>
      <c r="Q16" s="108"/>
      <c r="T16" s="163" t="str">
        <f>+'4'!A5</f>
        <v xml:space="preserve">Customer Name : Nabeel Traders </v>
      </c>
      <c r="U16" s="164">
        <f>+'4'!P35</f>
        <v>0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</f>
        <v>3400</v>
      </c>
      <c r="I17" s="1">
        <f t="shared" ref="I17:I23" si="1">(G17*D17)*F17+H17*F17</f>
        <v>178372.5</v>
      </c>
      <c r="J17" s="172">
        <f>+'1'!J17+'2'!J17+'4'!J17+'3'!J17+'5'!J17+'6'!J17+'7'!J17+'8'!J17+'9'!J17+'10'!J17+'11'!J17+'12'!J17+'13'!J17+'14'!J17+'15'!J17+'16'!J17+'17'!J17+'18'!J17</f>
        <v>30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33576</v>
      </c>
      <c r="M17" s="118">
        <f t="shared" ref="M17:M23" si="2">I17-K17-L17</f>
        <v>144796.5</v>
      </c>
      <c r="N17" s="101">
        <f>+'1'!N17+'2'!N17+'4'!N17+'3'!N17+'5'!N17+'6'!N17+'7'!N17+'8'!N17+'9'!N17+'10'!N17</f>
        <v>32012.617499999997</v>
      </c>
      <c r="O17" s="101">
        <f>+'1'!O17+'2'!O17+'4'!O17+'3'!O17+'5'!O17+'6'!O17+'7'!O17+'8'!O17+'9'!O17+'10'!O17</f>
        <v>1041.4330875000001</v>
      </c>
      <c r="P17" s="120">
        <f t="shared" si="0"/>
        <v>177850.55058749998</v>
      </c>
      <c r="S17" s="64"/>
      <c r="T17" s="163" t="str">
        <f>+'3'!A5</f>
        <v xml:space="preserve">Customer Name : Nabeel Traders </v>
      </c>
      <c r="U17" s="164">
        <f>+'3'!P35</f>
        <v>0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</f>
        <v>1840</v>
      </c>
      <c r="I18" s="1">
        <f t="shared" si="1"/>
        <v>96531</v>
      </c>
      <c r="J18" s="172">
        <f>+'1'!J18+'2'!J18+'4'!J18+'3'!J18+'5'!J18+'6'!J18+'7'!J18+'8'!J18+'9'!J18+'10'!J18+'11'!J18+'12'!J18+'13'!J18+'14'!J18+'15'!J18+'16'!J18+'17'!J18+'18'!J18</f>
        <v>90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30554.160000000003</v>
      </c>
      <c r="M18" s="118">
        <f t="shared" si="2"/>
        <v>65976.84</v>
      </c>
      <c r="N18" s="101">
        <f>+'1'!N18+'2'!N18+'4'!N18+'3'!N18+'5'!N18+'6'!N18+'7'!N18+'8'!N18+'9'!N18+'10'!N18</f>
        <v>29723.573699999997</v>
      </c>
      <c r="O18" s="101">
        <f>+'1'!O18+'2'!O18+'4'!O18+'3'!O18+'5'!O18+'6'!O18+'7'!O18+'8'!O18+'9'!O18+'10'!O18</f>
        <v>950.66456850000009</v>
      </c>
      <c r="P18" s="120">
        <f t="shared" si="0"/>
        <v>96651.078268499987</v>
      </c>
      <c r="T18" s="163" t="str">
        <f>+'5'!A5</f>
        <v xml:space="preserve">Customer Name : Nabeel Traders </v>
      </c>
      <c r="U18" s="164">
        <f>+'5'!P35</f>
        <v>0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</f>
        <v>5040</v>
      </c>
      <c r="I19" s="1">
        <f t="shared" si="1"/>
        <v>366105.59999999998</v>
      </c>
      <c r="J19" s="172">
        <f>+'1'!J19+'2'!J19+'4'!J19+'3'!J19+'5'!J19+'6'!J19+'7'!J19+'8'!J19+'9'!J19+'10'!J19+'11'!J19+'12'!J19+'13'!J19+'14'!J19+'15'!J19+'16'!J19+'17'!J19+'18'!J19</f>
        <v>140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91119.616000000009</v>
      </c>
      <c r="M19" s="118">
        <f t="shared" si="2"/>
        <v>274985.98399999994</v>
      </c>
      <c r="N19" s="101">
        <f>+'1'!N19+'2'!N19+'4'!N19+'3'!N19+'5'!N19+'6'!N19+'7'!N19+'8'!N19+'9'!N19+'10'!N19</f>
        <v>87938.565119999985</v>
      </c>
      <c r="O19" s="101">
        <f>+'1'!O19+'2'!O19+'4'!O19+'3'!O19+'5'!O19+'6'!O19+'7'!O19+'8'!O19+'9'!O19+'10'!O19</f>
        <v>2831.5827455999997</v>
      </c>
      <c r="P19" s="120">
        <f t="shared" si="0"/>
        <v>365756.13186559995</v>
      </c>
      <c r="T19" s="163" t="str">
        <f>+'6'!A5</f>
        <v xml:space="preserve">Customer Name : Nabeel Traders </v>
      </c>
      <c r="U19" s="164">
        <f>+'6'!P35</f>
        <v>0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</f>
        <v>1760</v>
      </c>
      <c r="I20" s="1">
        <f t="shared" si="1"/>
        <v>127846.39999999999</v>
      </c>
      <c r="J20" s="172">
        <f>+'1'!J20+'2'!J20+'4'!J20+'3'!J20+'5'!J20+'6'!J20+'7'!J20+'8'!J20+'9'!J20+'10'!J20+'11'!J20+'12'!J20+'13'!J20+'14'!J20+'15'!J20+'16'!J20+'17'!J20+'18'!J20</f>
        <v>120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48349.184000000001</v>
      </c>
      <c r="M20" s="118">
        <f t="shared" si="2"/>
        <v>79497.215999999986</v>
      </c>
      <c r="N20" s="101">
        <f>+'1'!N20+'2'!N20+'4'!N20+'3'!N20+'5'!N20+'6'!N20+'7'!N20+'8'!N20+'9'!N20+'10'!N20</f>
        <v>47259.00288</v>
      </c>
      <c r="O20" s="101">
        <f>+'1'!O20+'2'!O20+'4'!O20+'3'!O20+'5'!O20+'6'!O20+'7'!O20+'8'!O20+'9'!O20+'10'!O20</f>
        <v>1505.4610943999999</v>
      </c>
      <c r="P20" s="120">
        <f t="shared" si="0"/>
        <v>128261.67997439999</v>
      </c>
      <c r="T20" s="163" t="str">
        <f>+'7'!A5</f>
        <v xml:space="preserve">Customer Name : Nabeel Traders </v>
      </c>
      <c r="U20" s="164">
        <f>+'7'!P35</f>
        <v>0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</f>
        <v>0</v>
      </c>
      <c r="I21" s="1">
        <f t="shared" si="1"/>
        <v>0</v>
      </c>
      <c r="J21" s="172">
        <f>+'1'!J21+'2'!J21+'4'!J21+'3'!J21+'5'!J21+'6'!J21+'7'!J21+'8'!J21+'9'!J21+'10'!J21+'11'!J21+'12'!J21+'13'!J21+'14'!J21+'15'!J21+'16'!J21+'17'!J21+'18'!J21</f>
        <v>140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32542.720000000001</v>
      </c>
      <c r="M21" s="118">
        <f t="shared" si="2"/>
        <v>-32542.720000000001</v>
      </c>
      <c r="N21" s="101">
        <f>+'1'!N21+'2'!N21+'4'!N21+'3'!N21+'5'!N21+'6'!N21+'7'!N21+'8'!N21+'9'!N21+'10'!N21</f>
        <v>32583.398399999998</v>
      </c>
      <c r="O21" s="101">
        <f>+'1'!O21+'2'!O21+'4'!O21+'3'!O21+'5'!O21+'6'!O21+'7'!O21+'8'!O21+'9'!O21+'10'!O21</f>
        <v>1017.163392</v>
      </c>
      <c r="P21" s="120">
        <f t="shared" si="0"/>
        <v>1057.841791999997</v>
      </c>
      <c r="T21" s="163" t="str">
        <f>+'8'!A5</f>
        <v xml:space="preserve">Customer Name : Nabeel Traders </v>
      </c>
      <c r="U21" s="164">
        <f>+'8'!P35</f>
        <v>0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</f>
        <v>0</v>
      </c>
      <c r="I22" s="1">
        <f t="shared" si="1"/>
        <v>0</v>
      </c>
      <c r="J22" s="172">
        <f>+'1'!J22+'2'!J22+'4'!J22+'3'!J22+'5'!J22+'6'!J22+'7'!J22+'8'!J22+'9'!J22+'10'!J22+'11'!J22+'12'!J22+'13'!J22+'14'!J22+'15'!J22+'16'!J22+'17'!J22+'18'!J22</f>
        <v>0</v>
      </c>
      <c r="K22" s="172">
        <f>+'1'!K22+'2'!K22+'4'!K22+'3'!K22+'5'!K22+'6'!K22+'7'!K22+'8'!K22+'9'!K22+'10'!K22</f>
        <v>0</v>
      </c>
      <c r="L22" s="175">
        <f>+'1'!L22+'2'!L22+'4'!L22+'3'!L22+'5'!L22+'6'!L22+'7'!L22+'8'!L22+'9'!L22+'10'!L22</f>
        <v>0</v>
      </c>
      <c r="M22" s="118">
        <f t="shared" si="2"/>
        <v>0</v>
      </c>
      <c r="N22" s="101">
        <f>+'1'!N22+'2'!N22+'4'!N22+'3'!N22+'5'!N22+'6'!N22+'7'!N22+'8'!N22+'9'!N22+'10'!N22</f>
        <v>0</v>
      </c>
      <c r="O22" s="101">
        <f>+'1'!O22+'2'!O22+'4'!O22+'3'!O22+'5'!O22+'6'!O22+'7'!O22+'8'!O22+'9'!O22+'10'!O22</f>
        <v>0</v>
      </c>
      <c r="P22" s="120">
        <f t="shared" si="0"/>
        <v>0</v>
      </c>
      <c r="T22" s="163" t="str">
        <f>+'9'!A5</f>
        <v xml:space="preserve">Customer Name : Nabeel Traders 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Nabeel Traders 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Nabeel Traders </v>
      </c>
      <c r="U24" s="164">
        <f>+'11'!P35</f>
        <v>0</v>
      </c>
    </row>
    <row r="25" spans="1:21 16384:16384" ht="26.5" thickBot="1" x14ac:dyDescent="0.65">
      <c r="A25" s="225" t="s">
        <v>84</v>
      </c>
      <c r="B25" s="226"/>
      <c r="C25" s="227">
        <f>H25/40</f>
        <v>333</v>
      </c>
      <c r="D25" s="221"/>
      <c r="E25" s="221"/>
      <c r="F25" s="221"/>
      <c r="G25" s="176">
        <f t="shared" ref="G25:M25" si="3">SUM(G16:G24)</f>
        <v>0</v>
      </c>
      <c r="H25" s="177">
        <f t="shared" si="3"/>
        <v>13320</v>
      </c>
      <c r="I25" s="178">
        <f t="shared" si="3"/>
        <v>836007.5</v>
      </c>
      <c r="J25" s="177">
        <f t="shared" si="3"/>
        <v>600</v>
      </c>
      <c r="K25" s="178">
        <f t="shared" si="3"/>
        <v>0</v>
      </c>
      <c r="L25" s="179">
        <f t="shared" si="3"/>
        <v>260316.40000000002</v>
      </c>
      <c r="M25" s="141">
        <f t="shared" si="3"/>
        <v>575691.1</v>
      </c>
      <c r="N25" s="142">
        <f>SUM(N16:N24)</f>
        <v>253117.728</v>
      </c>
      <c r="O25" s="143">
        <f>SUM(O16:O24)</f>
        <v>8098.8941400000003</v>
      </c>
      <c r="P25" s="144">
        <f>SUM(P16:P24)</f>
        <v>836907.72213999997</v>
      </c>
      <c r="T25" s="163" t="str">
        <f>+'12'!A5</f>
        <v xml:space="preserve">Customer Name : Nabeel Traders 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Nabeel Traders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Nabeel Traders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Nabeel Traders 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/>
      <c r="U29" s="182"/>
    </row>
    <row r="30" spans="1:21 16384:16384" ht="26.5" thickBot="1" x14ac:dyDescent="0.65">
      <c r="A30" s="145"/>
      <c r="B30" s="145"/>
      <c r="C30" s="145"/>
      <c r="D30" s="145"/>
      <c r="E30" s="145"/>
      <c r="F30" s="145"/>
      <c r="G30" s="146"/>
      <c r="H30" s="146"/>
      <c r="I30" s="147"/>
      <c r="K30" s="148"/>
      <c r="L30" s="148"/>
      <c r="M30" s="148"/>
      <c r="N30" s="148"/>
      <c r="O30" s="149"/>
      <c r="P30" s="148"/>
      <c r="T30" s="166" t="s">
        <v>84</v>
      </c>
      <c r="U30" s="165">
        <f>SUM(U14:U28)</f>
        <v>1627877.7221400002</v>
      </c>
    </row>
    <row r="31" spans="1:21 16384:16384" ht="15" thickBot="1" x14ac:dyDescent="0.4">
      <c r="A31" s="69"/>
      <c r="B31" s="69"/>
      <c r="C31" s="150"/>
      <c r="D31" s="150"/>
      <c r="E31" s="150"/>
      <c r="F31" s="150"/>
      <c r="G31" s="151"/>
      <c r="H31" s="151"/>
    </row>
    <row r="32" spans="1:21 16384:16384" x14ac:dyDescent="0.35">
      <c r="B32" s="228" t="s">
        <v>85</v>
      </c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N32" s="237" t="s">
        <v>86</v>
      </c>
      <c r="O32" s="238"/>
      <c r="P32" s="152">
        <f>I25</f>
        <v>836007.5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N33" s="239" t="s">
        <v>87</v>
      </c>
      <c r="O33" s="240"/>
      <c r="P33" s="153">
        <f>L25</f>
        <v>260316.40000000002</v>
      </c>
    </row>
    <row r="34" spans="2:16" ht="15" customHeight="1" x14ac:dyDescent="0.35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N34" s="239" t="s">
        <v>4</v>
      </c>
      <c r="O34" s="240"/>
      <c r="P34" s="154">
        <f>K25</f>
        <v>0</v>
      </c>
    </row>
    <row r="35" spans="2:16" ht="15" customHeight="1" x14ac:dyDescent="0.35">
      <c r="B35" s="231"/>
      <c r="C35" s="232"/>
      <c r="D35" s="232"/>
      <c r="E35" s="232"/>
      <c r="F35" s="232"/>
      <c r="G35" s="232"/>
      <c r="H35" s="232"/>
      <c r="I35" s="232"/>
      <c r="J35" s="232"/>
      <c r="K35" s="232"/>
      <c r="L35" s="233"/>
      <c r="M35" s="2"/>
      <c r="N35" s="239" t="s">
        <v>88</v>
      </c>
      <c r="O35" s="240"/>
      <c r="P35" s="153">
        <f>P32-P33-P34</f>
        <v>575691.1</v>
      </c>
    </row>
    <row r="36" spans="2:16" ht="15" customHeight="1" x14ac:dyDescent="0.35">
      <c r="B36" s="231"/>
      <c r="C36" s="232"/>
      <c r="D36" s="232"/>
      <c r="E36" s="232"/>
      <c r="F36" s="232"/>
      <c r="G36" s="232"/>
      <c r="H36" s="232"/>
      <c r="I36" s="232"/>
      <c r="J36" s="232"/>
      <c r="K36" s="232"/>
      <c r="L36" s="233"/>
      <c r="M36" s="2"/>
      <c r="N36" s="155" t="s">
        <v>89</v>
      </c>
      <c r="O36" s="156">
        <f>IF(B12="Registered",18%,22%)</f>
        <v>0.22</v>
      </c>
      <c r="P36" s="153">
        <f>N25</f>
        <v>253117.728</v>
      </c>
    </row>
    <row r="37" spans="2:16" ht="15" customHeight="1" x14ac:dyDescent="0.35">
      <c r="B37" s="231"/>
      <c r="C37" s="232"/>
      <c r="D37" s="232"/>
      <c r="E37" s="232"/>
      <c r="F37" s="232"/>
      <c r="G37" s="232"/>
      <c r="H37" s="232"/>
      <c r="I37" s="232"/>
      <c r="J37" s="232"/>
      <c r="K37" s="232"/>
      <c r="L37" s="233"/>
      <c r="M37" s="2"/>
      <c r="N37" s="241" t="s">
        <v>90</v>
      </c>
      <c r="O37" s="242"/>
      <c r="P37" s="153">
        <f>P35+P36</f>
        <v>828808.82799999998</v>
      </c>
    </row>
    <row r="38" spans="2:16" ht="15" customHeight="1" thickBot="1" x14ac:dyDescent="0.4">
      <c r="B38" s="234"/>
      <c r="C38" s="235"/>
      <c r="D38" s="235"/>
      <c r="E38" s="235"/>
      <c r="F38" s="235"/>
      <c r="G38" s="235"/>
      <c r="H38" s="235"/>
      <c r="I38" s="235"/>
      <c r="J38" s="235"/>
      <c r="K38" s="235"/>
      <c r="L38" s="236"/>
      <c r="M38" s="157"/>
      <c r="N38" s="158" t="s">
        <v>91</v>
      </c>
      <c r="O38" s="159">
        <f>IF(B11="Filer",0.5%,2.5%)</f>
        <v>2.5000000000000001E-2</v>
      </c>
      <c r="P38" s="153">
        <f>O38*P37</f>
        <v>20720.220700000002</v>
      </c>
    </row>
    <row r="39" spans="2:16" ht="15.75" customHeight="1" thickBot="1" x14ac:dyDescent="0.4">
      <c r="N39" s="219" t="s">
        <v>92</v>
      </c>
      <c r="O39" s="220"/>
      <c r="P39" s="160">
        <f>P37+P38</f>
        <v>849529.04869999993</v>
      </c>
    </row>
    <row r="40" spans="2:16" ht="15" thickBot="1" x14ac:dyDescent="0.4">
      <c r="B40" s="161" t="s">
        <v>93</v>
      </c>
      <c r="C40" s="221"/>
      <c r="D40" s="221"/>
      <c r="E40" s="221"/>
      <c r="F40" s="221"/>
      <c r="G40" s="221"/>
      <c r="H40" s="221"/>
      <c r="I40" s="222"/>
      <c r="J40" s="223"/>
      <c r="K40" s="224"/>
    </row>
    <row r="41" spans="2:16" ht="15.75" customHeight="1" x14ac:dyDescent="0.35"/>
  </sheetData>
  <mergeCells count="47"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abSelected="1" topLeftCell="A13" workbookViewId="0">
      <selection activeCell="H17" sqref="H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81640625" bestFit="1" customWidth="1"/>
    <col min="9" max="9" width="11.54296875" customWidth="1"/>
    <col min="10" max="10" width="7.453125" bestFit="1" customWidth="1"/>
    <col min="11" max="11" width="9.453125" bestFit="1" customWidth="1"/>
    <col min="12" max="12" width="9.36328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1004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v>46188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>N4-1</f>
        <v>46187</v>
      </c>
      <c r="O5" s="200"/>
      <c r="P5" s="200"/>
      <c r="R5" s="70"/>
      <c r="S5" s="71"/>
    </row>
    <row r="6" spans="1:19 16383:16384" ht="15" customHeight="1" x14ac:dyDescent="0.35">
      <c r="A6" s="201" t="s">
        <v>107</v>
      </c>
      <c r="B6" s="201"/>
      <c r="C6" s="201"/>
      <c r="F6" s="70"/>
      <c r="G6" s="74"/>
      <c r="K6" s="201" t="s">
        <v>52</v>
      </c>
      <c r="L6" s="201"/>
      <c r="M6" s="201"/>
      <c r="N6" s="203" t="s">
        <v>100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105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168" t="s">
        <v>106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>
        <v>40</v>
      </c>
      <c r="H16" s="101"/>
      <c r="I16" s="102">
        <f>(G16*D16)*F16+H16*F16</f>
        <v>83940</v>
      </c>
      <c r="J16" s="103">
        <v>80</v>
      </c>
      <c r="K16" s="104">
        <f>I16*$K$13</f>
        <v>0</v>
      </c>
      <c r="L16" s="105">
        <f>I16*16%</f>
        <v>13430.4</v>
      </c>
      <c r="M16" s="106">
        <f>I16-K16-L16</f>
        <v>70509.600000000006</v>
      </c>
      <c r="N16" s="106">
        <f t="shared" ref="N16:N24" si="0">(M16*$N$15)+(J16*F16)*$N$15</f>
        <v>13447.188</v>
      </c>
      <c r="O16" s="107">
        <f t="shared" ref="O16:O24" si="1">(N16+M16)*$O$15</f>
        <v>419.78394000000003</v>
      </c>
      <c r="P16" s="105">
        <f t="shared" ref="P16:P24" si="2">M16+N16+O16</f>
        <v>84376.571939999994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00">
        <v>15</v>
      </c>
      <c r="H17" s="101"/>
      <c r="I17" s="116">
        <f t="shared" ref="I17:I23" si="3">(G17*D17)*F17+H17*F17</f>
        <v>31477.5</v>
      </c>
      <c r="J17" s="103">
        <v>30</v>
      </c>
      <c r="K17" s="1">
        <f t="shared" ref="K17:K21" si="4">I17*$K$13</f>
        <v>0</v>
      </c>
      <c r="L17" s="105">
        <f t="shared" ref="L17:L21" si="5">I17*16%</f>
        <v>5036.4000000000005</v>
      </c>
      <c r="M17" s="118">
        <f t="shared" ref="M17:M23" si="6">I17-K17-L17</f>
        <v>26441.1</v>
      </c>
      <c r="N17" s="118">
        <f t="shared" si="0"/>
        <v>5042.6954999999989</v>
      </c>
      <c r="O17" s="119">
        <f t="shared" si="1"/>
        <v>157.41897749999998</v>
      </c>
      <c r="P17" s="120">
        <f t="shared" si="2"/>
        <v>31641.214477499998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00">
        <v>45</v>
      </c>
      <c r="H18" s="101"/>
      <c r="I18" s="116">
        <f t="shared" si="3"/>
        <v>94432.5</v>
      </c>
      <c r="J18" s="103">
        <v>90</v>
      </c>
      <c r="K18" s="1">
        <f t="shared" si="4"/>
        <v>0</v>
      </c>
      <c r="L18" s="105">
        <f t="shared" si="5"/>
        <v>15109.2</v>
      </c>
      <c r="M18" s="118">
        <f t="shared" si="6"/>
        <v>79323.3</v>
      </c>
      <c r="N18" s="118">
        <f t="shared" si="0"/>
        <v>15128.086499999999</v>
      </c>
      <c r="O18" s="119">
        <f t="shared" si="1"/>
        <v>472.25693250000006</v>
      </c>
      <c r="P18" s="120">
        <f t="shared" si="2"/>
        <v>94923.643432500001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00">
        <v>70</v>
      </c>
      <c r="H19" s="101"/>
      <c r="I19" s="116">
        <f t="shared" si="3"/>
        <v>203392</v>
      </c>
      <c r="J19" s="103">
        <v>140</v>
      </c>
      <c r="K19" s="1">
        <f t="shared" si="4"/>
        <v>0</v>
      </c>
      <c r="L19" s="105">
        <f t="shared" si="5"/>
        <v>32542.720000000001</v>
      </c>
      <c r="M19" s="118">
        <f t="shared" si="6"/>
        <v>170849.28</v>
      </c>
      <c r="N19" s="118">
        <f t="shared" si="0"/>
        <v>32583.398399999998</v>
      </c>
      <c r="O19" s="119">
        <f t="shared" si="1"/>
        <v>1017.163392</v>
      </c>
      <c r="P19" s="120">
        <f t="shared" si="2"/>
        <v>204449.84179199999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00">
        <v>60</v>
      </c>
      <c r="H20" s="101"/>
      <c r="I20" s="116">
        <f t="shared" si="3"/>
        <v>174336</v>
      </c>
      <c r="J20" s="103">
        <v>120</v>
      </c>
      <c r="K20" s="1">
        <f t="shared" si="4"/>
        <v>0</v>
      </c>
      <c r="L20" s="105">
        <f t="shared" si="5"/>
        <v>27893.760000000002</v>
      </c>
      <c r="M20" s="118">
        <f t="shared" si="6"/>
        <v>146442.23999999999</v>
      </c>
      <c r="N20" s="118">
        <f t="shared" si="0"/>
        <v>27928.627199999999</v>
      </c>
      <c r="O20" s="119">
        <f t="shared" si="1"/>
        <v>871.85433599999988</v>
      </c>
      <c r="P20" s="120">
        <f t="shared" si="2"/>
        <v>175242.72153599997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00">
        <v>70</v>
      </c>
      <c r="H21" s="101"/>
      <c r="I21" s="116">
        <f t="shared" si="3"/>
        <v>203392</v>
      </c>
      <c r="J21" s="103">
        <v>140</v>
      </c>
      <c r="K21" s="1">
        <f t="shared" si="4"/>
        <v>0</v>
      </c>
      <c r="L21" s="105">
        <f t="shared" si="5"/>
        <v>32542.720000000001</v>
      </c>
      <c r="M21" s="118">
        <f t="shared" si="6"/>
        <v>170849.28</v>
      </c>
      <c r="N21" s="118">
        <f t="shared" si="0"/>
        <v>32583.398399999998</v>
      </c>
      <c r="O21" s="119">
        <f t="shared" si="1"/>
        <v>1017.163392</v>
      </c>
      <c r="P21" s="120">
        <f t="shared" si="2"/>
        <v>204449.84179199999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00"/>
      <c r="H22" s="101"/>
      <c r="I22" s="116">
        <f t="shared" si="3"/>
        <v>0</v>
      </c>
      <c r="J22" s="117"/>
      <c r="K22" s="1">
        <f>I22*3.5%</f>
        <v>0</v>
      </c>
      <c r="L22" s="120">
        <f>I22*5%</f>
        <v>0</v>
      </c>
      <c r="M22" s="118">
        <f t="shared" si="6"/>
        <v>0</v>
      </c>
      <c r="N22" s="118">
        <f t="shared" si="0"/>
        <v>0</v>
      </c>
      <c r="O22" s="119">
        <f t="shared" si="1"/>
        <v>0</v>
      </c>
      <c r="P22" s="120">
        <f t="shared" si="2"/>
        <v>0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300</v>
      </c>
      <c r="H25" s="136">
        <f t="shared" si="9"/>
        <v>0</v>
      </c>
      <c r="I25" s="137">
        <f t="shared" si="9"/>
        <v>790970</v>
      </c>
      <c r="J25" s="138">
        <f>SUM(J16:J21)</f>
        <v>600</v>
      </c>
      <c r="K25" s="139">
        <f t="shared" si="9"/>
        <v>0</v>
      </c>
      <c r="L25" s="140">
        <f t="shared" si="9"/>
        <v>126555.20000000001</v>
      </c>
      <c r="M25" s="141">
        <f t="shared" si="9"/>
        <v>664414.80000000005</v>
      </c>
      <c r="N25" s="142">
        <f>SUM(N16:N24)</f>
        <v>126713.394</v>
      </c>
      <c r="O25" s="143">
        <f>SUM(O16:O24)</f>
        <v>3955.6409699999999</v>
      </c>
      <c r="P25" s="144">
        <f>SUM(P16:P24)</f>
        <v>795083.83496999997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790970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126555.20000000001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664414.80000000005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0.18</v>
      </c>
      <c r="P32" s="153">
        <f>N25</f>
        <v>126713.394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791128.19400000002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3955.6409700000004</v>
      </c>
    </row>
    <row r="35" spans="2:16" ht="15.75" customHeight="1" thickBot="1" x14ac:dyDescent="0.4">
      <c r="N35" s="219" t="s">
        <v>92</v>
      </c>
      <c r="O35" s="220"/>
      <c r="P35" s="160">
        <f>P33+P34</f>
        <v>795083.83496999997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workbookViewId="0">
      <selection activeCell="J16" sqref="J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81640625" bestFit="1" customWidth="1"/>
    <col min="9" max="9" width="11.54296875" customWidth="1"/>
    <col min="10" max="10" width="7.453125" bestFit="1" customWidth="1"/>
    <col min="11" max="11" width="9.453125" bestFit="1" customWidth="1"/>
    <col min="12" max="12" width="8.36328125" bestFit="1" customWidth="1"/>
    <col min="13" max="13" width="6.81640625" bestFit="1" customWidth="1"/>
    <col min="14" max="14" width="5.81640625" style="69" bestFit="1" customWidth="1"/>
    <col min="15" max="15" width="7.36328125" bestFit="1" customWidth="1"/>
    <col min="16" max="16" width="9.3632812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1002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46231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46230</v>
      </c>
      <c r="O5" s="200"/>
      <c r="P5" s="200"/>
      <c r="R5" s="70"/>
      <c r="S5" s="71"/>
    </row>
    <row r="6" spans="1:19 16383:16384" ht="15" customHeight="1" x14ac:dyDescent="0.35">
      <c r="A6" s="201" t="s">
        <v>107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105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168" t="s">
        <v>106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1280</v>
      </c>
      <c r="I16" s="102">
        <f>(G16*D16)*F16+H16*F16</f>
        <v>67152</v>
      </c>
      <c r="J16" s="103"/>
      <c r="K16" s="104">
        <f>I16*$K$13</f>
        <v>0</v>
      </c>
      <c r="L16" s="105">
        <f>I16*16%</f>
        <v>10744.32</v>
      </c>
      <c r="M16" s="106">
        <f>I16-K16-L16</f>
        <v>56407.68</v>
      </c>
      <c r="N16" s="106">
        <f t="shared" ref="N16:N24" si="0">(M16*$N$15)+(J16*F16)*$N$15</f>
        <v>10153.3824</v>
      </c>
      <c r="O16" s="107">
        <f>(N16+M16)*$O$15</f>
        <v>332.80531199999996</v>
      </c>
      <c r="P16" s="105">
        <f t="shared" ref="P16:P24" si="1">M16+N16+O16</f>
        <v>66893.867711999992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3400</v>
      </c>
      <c r="I17" s="116">
        <f t="shared" ref="I17:I23" si="2">(G17*D17)*F17+H17*F17</f>
        <v>178372.5</v>
      </c>
      <c r="J17" s="117"/>
      <c r="K17" s="1">
        <f t="shared" ref="K17:K21" si="3">I17*$K$13</f>
        <v>0</v>
      </c>
      <c r="L17" s="105">
        <f t="shared" ref="L17:L21" si="4">I17*16%</f>
        <v>28539.600000000002</v>
      </c>
      <c r="M17" s="118">
        <f t="shared" ref="M17:M23" si="5">I17-K17-L17</f>
        <v>149832.9</v>
      </c>
      <c r="N17" s="118">
        <f t="shared" si="0"/>
        <v>26969.921999999999</v>
      </c>
      <c r="O17" s="119">
        <f t="shared" ref="O17:O24" si="6">(N17+M17)*$O$15</f>
        <v>884.01410999999996</v>
      </c>
      <c r="P17" s="120">
        <f t="shared" si="1"/>
        <v>177686.83610999997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1840</v>
      </c>
      <c r="I18" s="116">
        <f t="shared" si="2"/>
        <v>96531</v>
      </c>
      <c r="J18" s="117"/>
      <c r="K18" s="1">
        <f t="shared" si="3"/>
        <v>0</v>
      </c>
      <c r="L18" s="105">
        <f t="shared" si="4"/>
        <v>15444.960000000001</v>
      </c>
      <c r="M18" s="118">
        <f t="shared" si="5"/>
        <v>81086.039999999994</v>
      </c>
      <c r="N18" s="118">
        <f t="shared" si="0"/>
        <v>14595.487199999998</v>
      </c>
      <c r="O18" s="119">
        <f t="shared" si="6"/>
        <v>478.40763599999997</v>
      </c>
      <c r="P18" s="120">
        <f t="shared" si="1"/>
        <v>96159.934836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5040</v>
      </c>
      <c r="I19" s="116">
        <f t="shared" si="2"/>
        <v>366105.59999999998</v>
      </c>
      <c r="J19" s="117"/>
      <c r="K19" s="1">
        <f t="shared" si="3"/>
        <v>0</v>
      </c>
      <c r="L19" s="105">
        <f t="shared" si="4"/>
        <v>58576.896000000001</v>
      </c>
      <c r="M19" s="118">
        <f t="shared" si="5"/>
        <v>307528.70399999997</v>
      </c>
      <c r="N19" s="118">
        <f t="shared" si="0"/>
        <v>55355.166719999994</v>
      </c>
      <c r="O19" s="119">
        <f t="shared" si="6"/>
        <v>1814.4193535999998</v>
      </c>
      <c r="P19" s="120">
        <f t="shared" si="1"/>
        <v>364698.29007359996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1760</v>
      </c>
      <c r="I20" s="116">
        <f t="shared" si="2"/>
        <v>127846.39999999999</v>
      </c>
      <c r="J20" s="117"/>
      <c r="K20" s="1">
        <f t="shared" si="3"/>
        <v>0</v>
      </c>
      <c r="L20" s="105">
        <f t="shared" si="4"/>
        <v>20455.423999999999</v>
      </c>
      <c r="M20" s="118">
        <f t="shared" si="5"/>
        <v>107390.976</v>
      </c>
      <c r="N20" s="118">
        <f t="shared" si="0"/>
        <v>19330.375679999997</v>
      </c>
      <c r="O20" s="119">
        <f t="shared" si="6"/>
        <v>633.60675839999999</v>
      </c>
      <c r="P20" s="120">
        <f t="shared" si="1"/>
        <v>127354.95843839999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13320</v>
      </c>
      <c r="I25" s="137">
        <f t="shared" si="9"/>
        <v>836007.5</v>
      </c>
      <c r="J25" s="138"/>
      <c r="K25" s="139">
        <f t="shared" si="9"/>
        <v>0</v>
      </c>
      <c r="L25" s="140">
        <f t="shared" si="9"/>
        <v>133761.20000000001</v>
      </c>
      <c r="M25" s="141">
        <f t="shared" si="9"/>
        <v>702246.3</v>
      </c>
      <c r="N25" s="142">
        <f>SUM(N16:N24)</f>
        <v>126404.33399999999</v>
      </c>
      <c r="O25" s="143">
        <f>SUM(O16:O24)</f>
        <v>4143.25317</v>
      </c>
      <c r="P25" s="144">
        <f>SUM(P16:P24)</f>
        <v>832793.88716999977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>
        <f>H25/40</f>
        <v>333</v>
      </c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836007.5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133761.20000000001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702246.3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0.18</v>
      </c>
      <c r="P32" s="153">
        <f>N25</f>
        <v>126404.33399999999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828650.63400000008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4143.2531700000009</v>
      </c>
    </row>
    <row r="35" spans="2:16" ht="15.75" customHeight="1" thickBot="1" x14ac:dyDescent="0.4">
      <c r="N35" s="219" t="s">
        <v>92</v>
      </c>
      <c r="O35" s="220"/>
      <c r="P35" s="160">
        <f>P33+P34</f>
        <v>832793.88717000012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5" workbookViewId="0">
      <selection activeCell="B21" sqref="B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4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46231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46230</v>
      </c>
      <c r="O5" s="200"/>
      <c r="P5" s="200"/>
      <c r="R5" s="70"/>
      <c r="S5" s="71"/>
    </row>
    <row r="6" spans="1:19 16383:16384" ht="15" customHeight="1" x14ac:dyDescent="0.35">
      <c r="A6" s="201" t="s">
        <v>107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9" t="s">
        <v>105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56" t="s">
        <v>106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I16*16%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I17*16%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3" workbookViewId="0">
      <selection activeCell="B21" sqref="B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3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46231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46230</v>
      </c>
      <c r="O5" s="200"/>
      <c r="P5" s="200"/>
      <c r="R5" s="70"/>
      <c r="S5" s="71"/>
    </row>
    <row r="6" spans="1:19 16383:16384" ht="15" customHeight="1" x14ac:dyDescent="0.35">
      <c r="A6" s="201" t="s">
        <v>107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105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 t="s">
        <v>106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I16*16%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I17*16%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5" workbookViewId="0">
      <selection activeCell="B21" sqref="B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5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46231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46230</v>
      </c>
      <c r="O5" s="200"/>
      <c r="P5" s="200"/>
      <c r="R5" s="70"/>
      <c r="S5" s="71"/>
    </row>
    <row r="6" spans="1:19 16383:16384" ht="15" customHeight="1" x14ac:dyDescent="0.35">
      <c r="A6" s="201" t="s">
        <v>107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9" t="s">
        <v>105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 t="s">
        <v>106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I16*16%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I17*16%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5" workbookViewId="0">
      <selection activeCell="B21" sqref="B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6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46231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46230</v>
      </c>
      <c r="O5" s="200"/>
      <c r="P5" s="200"/>
      <c r="R5" s="70"/>
      <c r="S5" s="71"/>
    </row>
    <row r="6" spans="1:19 16383:16384" ht="15" customHeight="1" x14ac:dyDescent="0.35">
      <c r="A6" s="201" t="s">
        <v>107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105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 t="s">
        <v>106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I16*16%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I17*16%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6" workbookViewId="0">
      <selection activeCell="B21" sqref="B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7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46231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46230</v>
      </c>
      <c r="O5" s="200"/>
      <c r="P5" s="200"/>
      <c r="R5" s="70"/>
      <c r="S5" s="71"/>
    </row>
    <row r="6" spans="1:19 16383:16384" ht="15" customHeight="1" x14ac:dyDescent="0.35">
      <c r="A6" s="201" t="s">
        <v>107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9" t="s">
        <v>105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 t="s">
        <v>106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I16*16%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I17*16%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B21" sqref="B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8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46231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46230</v>
      </c>
      <c r="O5" s="200"/>
      <c r="P5" s="200"/>
      <c r="R5" s="70"/>
      <c r="S5" s="71"/>
    </row>
    <row r="6" spans="1:19 16383:16384" ht="15" customHeight="1" x14ac:dyDescent="0.35">
      <c r="A6" s="201" t="s">
        <v>107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105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 t="s">
        <v>106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I16*16%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I17*16%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B21" sqref="B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9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46231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46230</v>
      </c>
      <c r="O5" s="200"/>
      <c r="P5" s="200"/>
      <c r="R5" s="70"/>
      <c r="S5" s="71"/>
    </row>
    <row r="6" spans="1:19 16383:16384" ht="15" customHeight="1" x14ac:dyDescent="0.35">
      <c r="A6" s="201" t="s">
        <v>107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7" t="s">
        <v>105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 t="s">
        <v>106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I16*16%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I17*16%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B21" sqref="B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46231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46230</v>
      </c>
      <c r="O5" s="200"/>
      <c r="P5" s="200"/>
      <c r="R5" s="70"/>
      <c r="S5" s="71"/>
    </row>
    <row r="6" spans="1:19 16383:16384" ht="15" customHeight="1" x14ac:dyDescent="0.35">
      <c r="A6" s="201" t="s">
        <v>107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105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 t="s">
        <v>106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I16*16%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I17*16%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B21" sqref="B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46231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46230</v>
      </c>
      <c r="O5" s="200"/>
      <c r="P5" s="200"/>
      <c r="R5" s="70"/>
      <c r="S5" s="71"/>
    </row>
    <row r="6" spans="1:19 16383:16384" ht="15" customHeight="1" x14ac:dyDescent="0.35">
      <c r="A6" s="201" t="s">
        <v>107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105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 t="s">
        <v>106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I16*16%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I17*16%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B21" sqref="B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46231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46230</v>
      </c>
      <c r="O5" s="200"/>
      <c r="P5" s="200"/>
      <c r="R5" s="70"/>
      <c r="S5" s="71"/>
    </row>
    <row r="6" spans="1:19 16383:16384" ht="15" customHeight="1" x14ac:dyDescent="0.35">
      <c r="A6" s="201" t="s">
        <v>107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105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 t="s">
        <v>106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I16*16%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I17*16%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B21" sqref="B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46231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46230</v>
      </c>
      <c r="O5" s="200"/>
      <c r="P5" s="200"/>
      <c r="R5" s="70"/>
      <c r="S5" s="71"/>
    </row>
    <row r="6" spans="1:19 16383:16384" ht="15" customHeight="1" x14ac:dyDescent="0.35">
      <c r="A6" s="201" t="s">
        <v>107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105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75" t="s">
        <v>106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I16*16%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I17*16%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B21" sqref="B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46231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46230</v>
      </c>
      <c r="O5" s="200"/>
      <c r="P5" s="200"/>
      <c r="R5" s="70"/>
      <c r="S5" s="71"/>
    </row>
    <row r="6" spans="1:19 16383:16384" ht="15" customHeight="1" x14ac:dyDescent="0.35">
      <c r="A6" s="201" t="s">
        <v>107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105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 t="s">
        <v>106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I16*16%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I17*16%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B21" sqref="B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46231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46230</v>
      </c>
      <c r="O5" s="200"/>
      <c r="P5" s="200"/>
      <c r="R5" s="70"/>
      <c r="S5" s="71"/>
    </row>
    <row r="6" spans="1:19 16383:16384" ht="15" customHeight="1" x14ac:dyDescent="0.35">
      <c r="A6" s="201" t="s">
        <v>107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80" t="s">
        <v>105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 t="s">
        <v>106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I16*16%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I17*16%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B21" sqref="B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46231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46230</v>
      </c>
      <c r="O5" s="200"/>
      <c r="P5" s="200"/>
      <c r="R5" s="70"/>
      <c r="S5" s="71"/>
    </row>
    <row r="6" spans="1:19 16383:16384" ht="15" customHeight="1" x14ac:dyDescent="0.35">
      <c r="A6" s="201" t="s">
        <v>107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105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 t="s">
        <v>106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I16*16%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I17*16%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B21" sqref="B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46231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46230</v>
      </c>
      <c r="O5" s="200"/>
      <c r="P5" s="200"/>
      <c r="R5" s="70"/>
      <c r="S5" s="71"/>
    </row>
    <row r="6" spans="1:19 16383:16384" ht="15" customHeight="1" x14ac:dyDescent="0.35">
      <c r="A6" s="201" t="s">
        <v>107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105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 t="s">
        <v>106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I16*16%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I17*16%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B21" sqref="B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46231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46230</v>
      </c>
      <c r="O5" s="200"/>
      <c r="P5" s="200"/>
      <c r="R5" s="70"/>
      <c r="S5" s="71"/>
    </row>
    <row r="6" spans="1:19 16383:16384" ht="15" customHeight="1" x14ac:dyDescent="0.35">
      <c r="A6" s="201" t="s">
        <v>107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105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 t="s">
        <v>106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I16*16%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I17*16%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B21" sqref="B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46231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46230</v>
      </c>
      <c r="O5" s="200"/>
      <c r="P5" s="200"/>
      <c r="R5" s="70"/>
      <c r="S5" s="71"/>
    </row>
    <row r="6" spans="1:19 16383:16384" ht="15" customHeight="1" x14ac:dyDescent="0.35">
      <c r="A6" s="201" t="s">
        <v>107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105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 t="s">
        <v>106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I16*16%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I17*16%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B21" sqref="B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46231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46230</v>
      </c>
      <c r="O5" s="200"/>
      <c r="P5" s="200"/>
      <c r="R5" s="70"/>
      <c r="S5" s="71"/>
    </row>
    <row r="6" spans="1:19 16383:16384" ht="15" customHeight="1" x14ac:dyDescent="0.35">
      <c r="A6" s="201" t="s">
        <v>107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105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 t="s">
        <v>106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I16*16%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I17*16%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2026-07-28T12:18:06Z</dcterms:modified>
</cp:coreProperties>
</file>