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41483F9-A315-4898-A088-E5685BFD773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19" i="15" s="1"/>
  <c r="J20" i="16"/>
  <c r="J20" i="15" s="1"/>
  <c r="J21" i="16"/>
  <c r="J16" i="16"/>
  <c r="J16" i="15" s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21" i="15"/>
  <c r="J22" i="15"/>
  <c r="J23" i="15"/>
  <c r="J24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<sst xmlns="http://schemas.openxmlformats.org/spreadsheetml/2006/main" count="1599" uniqueCount="108">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</sst>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MB Traders (Risen)</v>
      </c>
      <c r="U14" s="163">
        <f>+'1'!P35</f>
        <v>26574.508364399997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4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587.58000000000004</v>
      </c>
      <c r="M18" s="117">
        <f t="shared" si="2"/>
        <v>3609.42</v>
      </c>
      <c r="N18" s="100">
        <f>+'1'!N18+'2'!N18+'4'!N18+'3'!N18+'5'!N18+'6'!N18+'7'!N18+'8'!N18+'9'!N18+'10'!N18</f>
        <v>687.46860000000004</v>
      </c>
      <c r="O18" s="100">
        <f>+'1'!O18+'2'!O18+'4'!O18+'3'!O18+'5'!O18+'6'!O18+'7'!O18+'8'!O18+'9'!O18+'10'!O18</f>
        <v>21.484443000000002</v>
      </c>
      <c r="P18" s="119">
        <f t="shared" si="0"/>
        <v>4318.3730430000005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2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406.78400000000005</v>
      </c>
      <c r="M21" s="117">
        <f t="shared" si="2"/>
        <v>2498.8159999999998</v>
      </c>
      <c r="N21" s="100">
        <f>+'1'!N21+'2'!N21+'4'!N21+'3'!N21+'5'!N21+'6'!N21+'7'!N21+'8'!N21+'9'!N21+'10'!N21</f>
        <v>475.93727999999993</v>
      </c>
      <c r="O21" s="100">
        <f>+'1'!O21+'2'!O21+'4'!O21+'3'!O21+'5'!O21+'6'!O21+'7'!O21+'8'!O21+'9'!O21+'10'!O21</f>
        <v>14.873766399999999</v>
      </c>
      <c r="P21" s="119">
        <f t="shared" si="0"/>
        <v>2989.6270463999999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10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400</v>
      </c>
      <c r="I25" s="177">
        <f t="shared" si="3"/>
        <v>25827.599999999999</v>
      </c>
      <c r="J25" s="176">
        <f t="shared" si="3"/>
        <v>20</v>
      </c>
      <c r="K25" s="177">
        <f t="shared" si="3"/>
        <v>0</v>
      </c>
      <c r="L25" s="178">
        <f t="shared" si="3"/>
        <v>3615.864</v>
      </c>
      <c r="M25" s="140">
        <f t="shared" si="3"/>
        <v>22211.735999999997</v>
      </c>
      <c r="N25" s="141">
        <f>SUM(N16:N24)</f>
        <v>4230.56088</v>
      </c>
      <c r="O25" s="142">
        <f>SUM(O16:O24)</f>
        <v>132.21148439999999</v>
      </c>
      <c r="P25" s="143">
        <f>SUM(P16:P24)</f>
        <v>26574.508364400001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26574.508364399997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25827.599999999999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3615.864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22211.735999999997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4230.56088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26442.296879999998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661.05742199999997</v>
      </c>
    </row>
    <row r="39" spans="2:16" ht="15.75" customHeight="1" thickBot="1" x14ac:dyDescent="0.4">
      <c r="N39" s="203" t="s">
        <v>92</v>
      </c>
      <c r="O39" s="204"/>
      <c r="P39" s="159">
        <f>P37+P38</f>
        <v>27103.354302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R7" sqref="R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f>H16/20</f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02">
        <f t="shared" ref="J17:J21" si="4">H17/20</f>
        <v>2</v>
      </c>
      <c r="K17" s="1">
        <f t="shared" ref="K17:K21" si="5">I17*$K$13</f>
        <v>0</v>
      </c>
      <c r="L17" s="104">
        <f t="shared" ref="L17:L21" si="6">I17*14%</f>
        <v>293.79000000000002</v>
      </c>
      <c r="M17" s="117">
        <f t="shared" ref="M17:M23" si="7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02">
        <f t="shared" si="4"/>
        <v>4</v>
      </c>
      <c r="K18" s="1">
        <f t="shared" si="5"/>
        <v>0</v>
      </c>
      <c r="L18" s="104">
        <f t="shared" si="6"/>
        <v>587.58000000000004</v>
      </c>
      <c r="M18" s="117">
        <f t="shared" si="7"/>
        <v>3609.42</v>
      </c>
      <c r="N18" s="117">
        <f t="shared" si="0"/>
        <v>687.46860000000004</v>
      </c>
      <c r="O18" s="118">
        <f t="shared" si="1"/>
        <v>21.484443000000002</v>
      </c>
      <c r="P18" s="119">
        <f t="shared" si="2"/>
        <v>4318.3730430000005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02">
        <f t="shared" si="4"/>
        <v>4</v>
      </c>
      <c r="K19" s="1">
        <f t="shared" si="5"/>
        <v>0</v>
      </c>
      <c r="L19" s="104">
        <f t="shared" si="6"/>
        <v>813.5680000000001</v>
      </c>
      <c r="M19" s="117">
        <f t="shared" si="7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02">
        <f t="shared" si="4"/>
        <v>6</v>
      </c>
      <c r="K20" s="1">
        <f t="shared" si="5"/>
        <v>0</v>
      </c>
      <c r="L20" s="104">
        <f t="shared" si="6"/>
        <v>1220.3520000000001</v>
      </c>
      <c r="M20" s="117">
        <f t="shared" si="7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02">
        <f t="shared" si="4"/>
        <v>2</v>
      </c>
      <c r="K21" s="1">
        <f t="shared" si="5"/>
        <v>0</v>
      </c>
      <c r="L21" s="104">
        <f t="shared" si="6"/>
        <v>406.78400000000005</v>
      </c>
      <c r="M21" s="117">
        <f t="shared" si="7"/>
        <v>2498.8159999999998</v>
      </c>
      <c r="N21" s="117">
        <f t="shared" si="0"/>
        <v>475.93727999999993</v>
      </c>
      <c r="O21" s="118">
        <f t="shared" si="1"/>
        <v>14.873766399999999</v>
      </c>
      <c r="P21" s="119">
        <f t="shared" si="2"/>
        <v>2989.6270463999999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10">SUM(G16:G24)</f>
        <v>0</v>
      </c>
      <c r="H25" s="135">
        <f t="shared" si="10"/>
        <v>400</v>
      </c>
      <c r="I25" s="136">
        <f t="shared" si="10"/>
        <v>25827.599999999999</v>
      </c>
      <c r="J25" s="137"/>
      <c r="K25" s="138">
        <f t="shared" si="10"/>
        <v>0</v>
      </c>
      <c r="L25" s="139">
        <f t="shared" si="10"/>
        <v>3615.864</v>
      </c>
      <c r="M25" s="140">
        <f t="shared" si="10"/>
        <v>22211.735999999997</v>
      </c>
      <c r="N25" s="141">
        <f>SUM(N16:N24)</f>
        <v>4230.56088</v>
      </c>
      <c r="O25" s="142">
        <f>SUM(O16:O24)</f>
        <v>132.21148439999999</v>
      </c>
      <c r="P25" s="143">
        <f>SUM(P16:P24)</f>
        <v>26574.508364400001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25827.599999999999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3615.864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22211.735999999997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4230.56088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26442.296879999998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132.21148439999999</v>
      </c>
    </row>
    <row r="35" spans="2:16" ht="15.75" customHeight="1" thickBot="1" x14ac:dyDescent="0.4">
      <c r="N35" s="203" t="s">
        <v>92</v>
      </c>
      <c r="O35" s="204"/>
      <c r="P35" s="159">
        <f>P33+P34</f>
        <v>26574.508364399997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46223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2026-07-21T09:12:24Z</dcterms:modified>
</cp:coreProperties>
</file>