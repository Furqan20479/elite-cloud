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C6B3D11-D8F1-43E2-B262-BEB0677728E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C21" i="33"/>
  <c r="B21" i="33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I18" i="33" s="1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K17" i="33"/>
  <c r="L17" i="33"/>
  <c r="M17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K22" i="35" s="1"/>
  <c r="I23" i="35"/>
  <c r="I24" i="35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L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K19" i="35"/>
  <c r="K20" i="35"/>
  <c r="K21" i="35"/>
  <c r="K23" i="35"/>
  <c r="L23" i="35"/>
  <c r="K24" i="35"/>
  <c r="L24" i="35"/>
  <c r="K17" i="34"/>
  <c r="K18" i="34"/>
  <c r="K22" i="34"/>
  <c r="L22" i="34"/>
  <c r="K23" i="34"/>
  <c r="M23" i="34" s="1"/>
  <c r="L23" i="34"/>
  <c r="K24" i="34"/>
  <c r="K21" i="33"/>
  <c r="K22" i="33"/>
  <c r="L22" i="33"/>
  <c r="K19" i="33"/>
  <c r="K20" i="33"/>
  <c r="K24" i="33"/>
  <c r="L24" i="33"/>
  <c r="M18" i="33"/>
  <c r="K16" i="33"/>
  <c r="K24" i="32"/>
  <c r="M24" i="32" s="1"/>
  <c r="L24" i="32"/>
  <c r="K16" i="32"/>
  <c r="K17" i="32"/>
  <c r="K18" i="32"/>
  <c r="K20" i="32"/>
  <c r="K21" i="32"/>
  <c r="K23" i="32"/>
  <c r="L23" i="32"/>
  <c r="M23" i="32" s="1"/>
  <c r="K22" i="32"/>
  <c r="L22" i="32"/>
  <c r="K17" i="31"/>
  <c r="K21" i="31"/>
  <c r="L24" i="31"/>
  <c r="L23" i="31"/>
  <c r="K18" i="30"/>
  <c r="K21" i="30"/>
  <c r="M21" i="30"/>
  <c r="K23" i="30"/>
  <c r="M23" i="30" s="1"/>
  <c r="L23" i="30"/>
  <c r="K17" i="30"/>
  <c r="K19" i="30"/>
  <c r="K22" i="30"/>
  <c r="L22" i="30"/>
  <c r="K24" i="30"/>
  <c r="K21" i="29"/>
  <c r="K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L23" i="28"/>
  <c r="M23" i="28" s="1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6" i="30" l="1"/>
  <c r="M16" i="30" s="1"/>
  <c r="N16" i="30" s="1"/>
  <c r="M24" i="33"/>
  <c r="N24" i="33" s="1"/>
  <c r="O24" i="33" s="1"/>
  <c r="M22" i="35"/>
  <c r="N22" i="35" s="1"/>
  <c r="O22" i="35" s="1"/>
  <c r="K19" i="29"/>
  <c r="L19" i="29"/>
  <c r="L25" i="29" s="1"/>
  <c r="P29" i="29" s="1"/>
  <c r="M24" i="34"/>
  <c r="N24" i="34" s="1"/>
  <c r="O24" i="34" s="1"/>
  <c r="K20" i="34"/>
  <c r="L20" i="34"/>
  <c r="K19" i="31"/>
  <c r="L19" i="31"/>
  <c r="M19" i="31" s="1"/>
  <c r="N19" i="31" s="1"/>
  <c r="O19" i="31" s="1"/>
  <c r="M24" i="30"/>
  <c r="N24" i="30" s="1"/>
  <c r="O24" i="30" s="1"/>
  <c r="P24" i="30" s="1"/>
  <c r="L24" i="29"/>
  <c r="M24" i="29" s="1"/>
  <c r="N24" i="29" s="1"/>
  <c r="O24" i="29" s="1"/>
  <c r="P24" i="29" s="1"/>
  <c r="K16" i="29"/>
  <c r="I25" i="30"/>
  <c r="P28" i="30" s="1"/>
  <c r="K20" i="31"/>
  <c r="M20" i="31" s="1"/>
  <c r="N20" i="31" s="1"/>
  <c r="O20" i="31" s="1"/>
  <c r="K19" i="32"/>
  <c r="I25" i="32"/>
  <c r="P28" i="32" s="1"/>
  <c r="K21" i="34"/>
  <c r="M24" i="35"/>
  <c r="N24" i="35" s="1"/>
  <c r="O24" i="35" s="1"/>
  <c r="P24" i="35" s="1"/>
  <c r="L22" i="35"/>
  <c r="K18" i="31"/>
  <c r="L18" i="31"/>
  <c r="L25" i="31" s="1"/>
  <c r="P29" i="31" s="1"/>
  <c r="M24" i="31"/>
  <c r="P24" i="31" s="1"/>
  <c r="M24" i="28"/>
  <c r="K20" i="30"/>
  <c r="K16" i="31"/>
  <c r="K25" i="31" s="1"/>
  <c r="P30" i="31" s="1"/>
  <c r="K23" i="33"/>
  <c r="M23" i="33" s="1"/>
  <c r="N23" i="33" s="1"/>
  <c r="O23" i="33" s="1"/>
  <c r="M23" i="35"/>
  <c r="M18" i="35"/>
  <c r="M22" i="33"/>
  <c r="N22" i="33" s="1"/>
  <c r="O22" i="33" s="1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N17" i="31" s="1"/>
  <c r="O17" i="31" s="1"/>
  <c r="M22" i="29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K23" i="26" s="1"/>
  <c r="I24" i="26"/>
  <c r="K24" i="26" s="1"/>
  <c r="I21" i="27"/>
  <c r="L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18" i="33"/>
  <c r="O18" i="33" s="1"/>
  <c r="N21" i="33"/>
  <c r="O21" i="33" s="1"/>
  <c r="N17" i="33"/>
  <c r="O17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M16" i="31"/>
  <c r="N21" i="30"/>
  <c r="O21" i="30" s="1"/>
  <c r="K25" i="30"/>
  <c r="P30" i="30" s="1"/>
  <c r="N22" i="30"/>
  <c r="O22" i="30" s="1"/>
  <c r="P22" i="30" s="1"/>
  <c r="N23" i="30"/>
  <c r="O23" i="30" s="1"/>
  <c r="N22" i="29"/>
  <c r="O22" i="29" s="1"/>
  <c r="N20" i="29"/>
  <c r="O20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L23" i="26"/>
  <c r="K20" i="26"/>
  <c r="K21" i="26"/>
  <c r="T23" i="15"/>
  <c r="T22" i="15"/>
  <c r="T21" i="15"/>
  <c r="T20" i="15"/>
  <c r="T19" i="15"/>
  <c r="T18" i="15"/>
  <c r="T17" i="15"/>
  <c r="T16" i="15"/>
  <c r="T15" i="15"/>
  <c r="T14" i="15"/>
  <c r="K16" i="26" l="1"/>
  <c r="L16" i="26"/>
  <c r="L24" i="26"/>
  <c r="M24" i="26" s="1"/>
  <c r="N24" i="26" s="1"/>
  <c r="O24" i="26" s="1"/>
  <c r="K25" i="33"/>
  <c r="P30" i="33" s="1"/>
  <c r="P31" i="33" s="1"/>
  <c r="P24" i="34"/>
  <c r="K18" i="26"/>
  <c r="L18" i="26"/>
  <c r="M18" i="26" s="1"/>
  <c r="N18" i="26" s="1"/>
  <c r="O18" i="26" s="1"/>
  <c r="K19" i="26"/>
  <c r="M19" i="26" s="1"/>
  <c r="N19" i="26" s="1"/>
  <c r="O19" i="26" s="1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N23" i="27"/>
  <c r="O23" i="27" s="1"/>
  <c r="L25" i="27"/>
  <c r="P29" i="27" s="1"/>
  <c r="K25" i="27"/>
  <c r="P30" i="27" s="1"/>
  <c r="L25" i="26"/>
  <c r="P29" i="26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5" i="19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K18" i="19"/>
  <c r="K19" i="18"/>
  <c r="L19" i="18"/>
  <c r="K17" i="17"/>
  <c r="L17" i="17"/>
  <c r="M17" i="17" s="1"/>
  <c r="N17" i="17" s="1"/>
  <c r="O17" i="17" s="1"/>
  <c r="K19" i="23"/>
  <c r="L19" i="23"/>
  <c r="K19" i="21"/>
  <c r="L19" i="21"/>
  <c r="M19" i="21" s="1"/>
  <c r="N19" i="21" s="1"/>
  <c r="O19" i="21" s="1"/>
  <c r="K19" i="20"/>
  <c r="L19" i="20"/>
  <c r="K20" i="17"/>
  <c r="L20" i="17"/>
  <c r="M20" i="17" s="1"/>
  <c r="N20" i="17" s="1"/>
  <c r="O20" i="17" s="1"/>
  <c r="K16" i="17"/>
  <c r="L16" i="17"/>
  <c r="K18" i="21"/>
  <c r="L18" i="21"/>
  <c r="M18" i="21" s="1"/>
  <c r="N18" i="21" s="1"/>
  <c r="O18" i="21" s="1"/>
  <c r="K17" i="20"/>
  <c r="L17" i="20"/>
  <c r="K18" i="24"/>
  <c r="L18" i="24"/>
  <c r="M18" i="24" s="1"/>
  <c r="N18" i="24" s="1"/>
  <c r="O18" i="24" s="1"/>
  <c r="K24" i="18"/>
  <c r="M24" i="18" s="1"/>
  <c r="K19" i="17"/>
  <c r="L19" i="17"/>
  <c r="K18" i="20"/>
  <c r="M18" i="20" s="1"/>
  <c r="N18" i="20" s="1"/>
  <c r="O18" i="20" s="1"/>
  <c r="L18" i="20"/>
  <c r="K20" i="24"/>
  <c r="L20" i="24"/>
  <c r="K20" i="21"/>
  <c r="M20" i="21" s="1"/>
  <c r="N20" i="21" s="1"/>
  <c r="O20" i="21" s="1"/>
  <c r="L20" i="21"/>
  <c r="K18" i="25"/>
  <c r="L18" i="25"/>
  <c r="K18" i="17"/>
  <c r="M18" i="17" s="1"/>
  <c r="N18" i="17" s="1"/>
  <c r="O18" i="17" s="1"/>
  <c r="L18" i="17"/>
  <c r="K21" i="21"/>
  <c r="L21" i="21"/>
  <c r="K21" i="23"/>
  <c r="M21" i="23" s="1"/>
  <c r="N21" i="23" s="1"/>
  <c r="O21" i="23" s="1"/>
  <c r="L21" i="23"/>
  <c r="K21" i="18"/>
  <c r="I25" i="25"/>
  <c r="P28" i="25" s="1"/>
  <c r="K17" i="24"/>
  <c r="K25" i="24" s="1"/>
  <c r="P30" i="24" s="1"/>
  <c r="K22" i="18"/>
  <c r="M22" i="18" s="1"/>
  <c r="L22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18" i="18"/>
  <c r="O18" i="18" s="1"/>
  <c r="N22" i="18"/>
  <c r="O22" i="18" s="1"/>
  <c r="M16" i="17"/>
  <c r="I23" i="15"/>
  <c r="M21" i="25" l="1"/>
  <c r="N21" i="25" s="1"/>
  <c r="O21" i="25" s="1"/>
  <c r="P21" i="25" s="1"/>
  <c r="K20" i="16"/>
  <c r="L20" i="16"/>
  <c r="L20" i="15" s="1"/>
  <c r="L21" i="16"/>
  <c r="L21" i="15" s="1"/>
  <c r="K16" i="16"/>
  <c r="L16" i="16"/>
  <c r="K18" i="16"/>
  <c r="L18" i="16"/>
  <c r="L18" i="15" s="1"/>
  <c r="M18" i="1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1" i="15"/>
  <c r="M25" i="18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5" i="20"/>
  <c r="P33" i="23"/>
  <c r="P34" i="23" s="1"/>
  <c r="P35" i="23" s="1"/>
  <c r="U21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<sst xmlns="http://schemas.openxmlformats.org/spreadsheetml/2006/main" count="1579" uniqueCount="107">
  <si>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</si>
  <si>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</si>
  <si>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</si>
  <si>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</si>
  <si>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</si>
  <si>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</si>
  <si>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</si>
  <si>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</si>
  <si>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</si>
  <si>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</si>
  <si>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</si>
  <si>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</si>
  <si>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</si>
  <si>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</si>
  <si>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</si>
  <si>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</si>
  <si>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</si>
  <si>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</si>
  <si>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</si>
  <si>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</si>
  <si>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</si>
  <si>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</si>
  <si>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</si>
  <si>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</si>
  <si>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</si>
  <si>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</si>
  <si>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</si>
  <si>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</si>
  <si>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</si>
  <si>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</si>
  <si>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</si>
  <si>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</si>
  <si>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</si>
  <si>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</si>
  <si>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</si>
  <si>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</si>
  <si>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</si>
  <si>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</si>
  <si>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</si>
  <si>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</si>
  <si>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</si>
  <si>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</si>
  <si>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</si>
  <si>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</si>
  <si>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</si>
  <si>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</si>
  <si>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</si>
  <si>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</si>
  <si>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</si>
  <si>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</si>
  <si>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</si>
  <si>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</si>
  <si>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</si>
  <si>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</si>
  <si>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</si>
  <si>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</si>
  <si>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</si>
  <si>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</si>
  <si>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</si>
  <si>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</si>
  <si>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</si>
  <si>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</si>
  <si>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</si>
  <si>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</si>
  <si>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</si>
  <si>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</si>
  <si>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</si>
  <si>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</si>
  <si>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</si>
  <si>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</si>
  <si>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</si>
  <si>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</si>
  <si>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</si>
  <si>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</si>
  <si>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</si>
  <si>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</si>
  <si>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</si>
  <si>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</si>
  <si>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</si>
  <si>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</si>
  <si>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</si>
  <si>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</si>
  <si>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</si>
  <si>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</si>
  <si>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</si>
  <si>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</si>
  <si>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</si>
  <si>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</si>
  <si>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</si>
  <si>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</si>
  <si>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</si>
  <si>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</si>
  <si>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</si>
  <si>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</si>
  <si>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</si>
  <si>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</si>
  <si>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</si>
  <si>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</si>
  <si>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</si>
  <si>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</si>
  <si>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</si>
  <si>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</si>
  <si>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</si>
  <si>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</si>
  <si>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4269497-3</t>
  </si>
  <si>
    <t>Customer Name : Zubaida Associate</t>
  </si>
  <si>
    <t>Address: Attari Darbar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</si>
</sst>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3"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Zubaida Associate</v>
      </c>
      <c r="U14" s="163">
        <f>+'1'!P35</f>
        <v>711089.45287200005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Zubaida Associate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2000</v>
      </c>
      <c r="I16" s="1">
        <f>(G16*D16)*F16+H16*F16</f>
        <v>104925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18886.5</v>
      </c>
      <c r="M16" s="105">
        <f>I16-K16-L16</f>
        <v>86038.5</v>
      </c>
      <c r="N16" s="100">
        <f>+'1'!N16+'2'!N16+'4'!N16+'3'!N16+'5'!N16+'6'!N16+'7'!N16+'8'!N16+'9'!N16+'10'!N16</f>
        <v>15486.93</v>
      </c>
      <c r="O16" s="100">
        <f>+'1'!O16+'2'!O16+'4'!O16+'3'!O16+'5'!O16+'6'!O16+'7'!O16+'8'!O16+'9'!O16+'10'!O16</f>
        <v>507.62715000000003</v>
      </c>
      <c r="P16" s="104">
        <f t="shared" ref="P16:P24" si="0">M16+N16+O16</f>
        <v>102033.05714999999</v>
      </c>
      <c r="Q16" s="107"/>
      <c r="T16" s="162" t="str">
        <f>+'4'!A5</f>
        <v>Customer Name : Zubaida Associate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2400</v>
      </c>
      <c r="I17" s="1">
        <f t="shared" ref="I17:I23" si="1">(G17*D17)*F17+H17*F17</f>
        <v>125910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22663.8</v>
      </c>
      <c r="M17" s="117">
        <f t="shared" ref="M17:M23" si="2">I17-K17-L17</f>
        <v>103246.2</v>
      </c>
      <c r="N17" s="100">
        <f>+'1'!N17+'2'!N17+'4'!N17+'3'!N17+'5'!N17+'6'!N17+'7'!N17+'8'!N17+'9'!N17+'10'!N17</f>
        <v>18584.315999999999</v>
      </c>
      <c r="O17" s="100">
        <f>+'1'!O17+'2'!O17+'4'!O17+'3'!O17+'5'!O17+'6'!O17+'7'!O17+'8'!O17+'9'!O17+'10'!O17</f>
        <v>609.15258000000006</v>
      </c>
      <c r="P17" s="119">
        <f t="shared" si="0"/>
        <v>122439.66858</v>
      </c>
      <c r="S17" s="64"/>
      <c r="T17" s="162" t="str">
        <f>+'3'!A5</f>
        <v>Customer Name : Zubaida Associate</v>
      </c>
      <c r="U17" s="163">
        <f>+'3'!P35</f>
        <v>638096.79793500004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4600</v>
      </c>
      <c r="I18" s="1">
        <f t="shared" si="1"/>
        <v>241327.5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43438.95</v>
      </c>
      <c r="M18" s="117">
        <f t="shared" si="2"/>
        <v>197888.55</v>
      </c>
      <c r="N18" s="100">
        <f>+'1'!N18+'2'!N18+'4'!N18+'3'!N18+'5'!N18+'6'!N18+'7'!N18+'8'!N18+'9'!N18+'10'!N18</f>
        <v>35619.938999999998</v>
      </c>
      <c r="O18" s="100">
        <f>+'1'!O18+'2'!O18+'4'!O18+'3'!O18+'5'!O18+'6'!O18+'7'!O18+'8'!O18+'9'!O18+'10'!O18</f>
        <v>1167.542445</v>
      </c>
      <c r="P18" s="119">
        <f t="shared" si="0"/>
        <v>234676.031445</v>
      </c>
      <c r="T18" s="162" t="str">
        <f>+'5'!A5</f>
        <v>Customer Name : Zubaida Associate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4200</v>
      </c>
      <c r="I19" s="1">
        <f t="shared" si="1"/>
        <v>305088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54915.839999999997</v>
      </c>
      <c r="M19" s="117">
        <f t="shared" si="2"/>
        <v>250172.16</v>
      </c>
      <c r="N19" s="100">
        <f>+'1'!N19+'2'!N19+'4'!N19+'3'!N19+'5'!N19+'6'!N19+'7'!N19+'8'!N19+'9'!N19+'10'!N19</f>
        <v>45030.988799999992</v>
      </c>
      <c r="O19" s="100">
        <f>+'1'!O19+'2'!O19+'4'!O19+'3'!O19+'5'!O19+'6'!O19+'7'!O19+'8'!O19+'9'!O19+'10'!O19</f>
        <v>1476.0157439999998</v>
      </c>
      <c r="P19" s="119">
        <f t="shared" si="0"/>
        <v>296679.16454399994</v>
      </c>
      <c r="T19" s="162" t="str">
        <f>+'6'!A5</f>
        <v>Customer Name : Zubaida Associate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3000</v>
      </c>
      <c r="I20" s="1">
        <f t="shared" si="1"/>
        <v>217920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39225.599999999999</v>
      </c>
      <c r="M20" s="117">
        <f t="shared" si="2"/>
        <v>178694.39999999999</v>
      </c>
      <c r="N20" s="100">
        <f>+'1'!N20+'2'!N20+'4'!N20+'3'!N20+'5'!N20+'6'!N20+'7'!N20+'8'!N20+'9'!N20+'10'!N20</f>
        <v>32164.991999999998</v>
      </c>
      <c r="O20" s="100">
        <f>+'1'!O20+'2'!O20+'4'!O20+'3'!O20+'5'!O20+'6'!O20+'7'!O20+'8'!O20+'9'!O20+'10'!O20</f>
        <v>1054.2969599999999</v>
      </c>
      <c r="P20" s="119">
        <f t="shared" si="0"/>
        <v>211913.68896</v>
      </c>
      <c r="T20" s="162" t="str">
        <f>+'7'!A5</f>
        <v>Customer Name : Zubaida Associate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5400</v>
      </c>
      <c r="I21" s="1">
        <f t="shared" si="1"/>
        <v>392256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70606.080000000002</v>
      </c>
      <c r="M21" s="117">
        <f t="shared" si="2"/>
        <v>321649.91999999998</v>
      </c>
      <c r="N21" s="100">
        <f>+'1'!N21+'2'!N21+'4'!N21+'3'!N21+'5'!N21+'6'!N21+'7'!N21+'8'!N21+'9'!N21+'10'!N21</f>
        <v>57896.985599999993</v>
      </c>
      <c r="O21" s="100">
        <f>+'1'!O21+'2'!O21+'4'!O21+'3'!O21+'5'!O21+'6'!O21+'7'!O21+'8'!O21+'9'!O21+'10'!O21</f>
        <v>1897.734528</v>
      </c>
      <c r="P21" s="119">
        <f t="shared" si="0"/>
        <v>381444.640128</v>
      </c>
      <c r="T21" s="162" t="str">
        <f>+'8'!A5</f>
        <v>Customer Name : Zubaida Associate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Zubaida Associate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Zubaida Associate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Zubaida Associate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540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21600</v>
      </c>
      <c r="I25" s="177">
        <f t="shared" si="3"/>
        <v>1387426.5</v>
      </c>
      <c r="J25" s="176">
        <f t="shared" si="3"/>
        <v>0</v>
      </c>
      <c r="K25" s="177">
        <f t="shared" si="3"/>
        <v>0</v>
      </c>
      <c r="L25" s="178">
        <f t="shared" si="3"/>
        <v>249736.77000000002</v>
      </c>
      <c r="M25" s="140">
        <f t="shared" si="3"/>
        <v>1137689.73</v>
      </c>
      <c r="N25" s="141">
        <f>SUM(N16:N24)</f>
        <v>204784.15139999997</v>
      </c>
      <c r="O25" s="142">
        <f>SUM(O16:O24)</f>
        <v>6712.3694070000001</v>
      </c>
      <c r="P25" s="143">
        <f>SUM(P16:P24)</f>
        <v>1349186.2508069999</v>
      </c>
      <c r="T25" s="162" t="str">
        <f>+'12'!A5</f>
        <v>Customer Name : Zubaida Associate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Zubaida Associate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Zubaida Associate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Zubaida Associate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Zubaida Associate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Zubaida Associate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Zubaida Associate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1349186.2508070001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1387426.5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249736.77000000002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1137689.73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204784.15139999997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1342473.8813999998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33561.847034999999</v>
      </c>
    </row>
    <row r="42" spans="1:21" ht="15.75" customHeight="1" thickBot="1" x14ac:dyDescent="0.4">
      <c r="N42" s="204" t="s">
        <v>92</v>
      </c>
      <c r="O42" s="205"/>
      <c r="P42" s="159">
        <f>P40+P41</f>
        <v>1376035.7284349999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D5" sqref="D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6.8164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800</v>
      </c>
      <c r="I16" s="101">
        <f>(G16*D16)*F16+H16*F16</f>
        <v>41970</v>
      </c>
      <c r="J16" s="102">
        <v>0</v>
      </c>
      <c r="K16" s="103">
        <f>I16*$K$13</f>
        <v>0</v>
      </c>
      <c r="L16" s="104">
        <f>I16*18%</f>
        <v>7554.5999999999995</v>
      </c>
      <c r="M16" s="105">
        <f>I16-K16-L16</f>
        <v>34415.4</v>
      </c>
      <c r="N16" s="105">
        <f t="shared" ref="N16:N24" si="0">(M16*$N$15)+(J16*F16)*$N$15</f>
        <v>6194.7719999999999</v>
      </c>
      <c r="O16" s="106">
        <f t="shared" ref="O16:O24" si="1">(N16+M16)*$O$15</f>
        <v>203.05086</v>
      </c>
      <c r="P16" s="104">
        <f t="shared" ref="P16:P24" si="2">M16+N16+O16</f>
        <v>40813.222860000002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1200</v>
      </c>
      <c r="I17" s="115">
        <f t="shared" ref="I17:I23" si="3">(G17*D17)*F17+H17*F17</f>
        <v>62955</v>
      </c>
      <c r="J17" s="116">
        <v>0</v>
      </c>
      <c r="K17" s="1">
        <f t="shared" ref="K17:K21" si="4">I17*$K$13</f>
        <v>0</v>
      </c>
      <c r="L17" s="104">
        <f t="shared" ref="L17:L21" si="5">I17*18%</f>
        <v>11331.9</v>
      </c>
      <c r="M17" s="117">
        <f t="shared" ref="M17:M23" si="6">I17-K17-L17</f>
        <v>51623.1</v>
      </c>
      <c r="N17" s="117">
        <f t="shared" si="0"/>
        <v>9292.1579999999994</v>
      </c>
      <c r="O17" s="118">
        <f t="shared" si="1"/>
        <v>304.57629000000003</v>
      </c>
      <c r="P17" s="119">
        <f t="shared" si="2"/>
        <v>61219.834289999999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2800</v>
      </c>
      <c r="I18" s="115">
        <f t="shared" si="3"/>
        <v>146895</v>
      </c>
      <c r="J18" s="116">
        <v>0</v>
      </c>
      <c r="K18" s="1">
        <f t="shared" si="4"/>
        <v>0</v>
      </c>
      <c r="L18" s="104">
        <f t="shared" si="5"/>
        <v>26441.1</v>
      </c>
      <c r="M18" s="117">
        <f t="shared" si="6"/>
        <v>120453.9</v>
      </c>
      <c r="N18" s="117">
        <f t="shared" si="0"/>
        <v>21681.701999999997</v>
      </c>
      <c r="O18" s="118">
        <f t="shared" si="1"/>
        <v>710.67800999999997</v>
      </c>
      <c r="P18" s="119">
        <f t="shared" si="2"/>
        <v>142846.28000999999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1800</v>
      </c>
      <c r="I19" s="115">
        <f t="shared" si="3"/>
        <v>130752</v>
      </c>
      <c r="J19" s="116">
        <v>0</v>
      </c>
      <c r="K19" s="1">
        <f t="shared" si="4"/>
        <v>0</v>
      </c>
      <c r="L19" s="104">
        <f t="shared" si="5"/>
        <v>23535.360000000001</v>
      </c>
      <c r="M19" s="117">
        <f t="shared" si="6"/>
        <v>107216.64</v>
      </c>
      <c r="N19" s="117">
        <f t="shared" si="0"/>
        <v>19298.995199999998</v>
      </c>
      <c r="O19" s="118">
        <f t="shared" si="1"/>
        <v>632.57817599999998</v>
      </c>
      <c r="P19" s="119">
        <f t="shared" si="2"/>
        <v>127148.21337599999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1200</v>
      </c>
      <c r="I20" s="115">
        <f t="shared" si="3"/>
        <v>87168</v>
      </c>
      <c r="J20" s="116">
        <v>0</v>
      </c>
      <c r="K20" s="1">
        <f t="shared" si="4"/>
        <v>0</v>
      </c>
      <c r="L20" s="104">
        <f t="shared" si="5"/>
        <v>15690.24</v>
      </c>
      <c r="M20" s="117">
        <f t="shared" si="6"/>
        <v>71477.759999999995</v>
      </c>
      <c r="N20" s="117">
        <f t="shared" si="0"/>
        <v>12865.996799999999</v>
      </c>
      <c r="O20" s="118">
        <f t="shared" si="1"/>
        <v>421.71878399999997</v>
      </c>
      <c r="P20" s="119">
        <f t="shared" si="2"/>
        <v>84765.475583999985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3600</v>
      </c>
      <c r="I21" s="115">
        <f t="shared" si="3"/>
        <v>261504</v>
      </c>
      <c r="J21" s="116">
        <v>0</v>
      </c>
      <c r="K21" s="1">
        <f t="shared" si="4"/>
        <v>0</v>
      </c>
      <c r="L21" s="104">
        <f t="shared" si="5"/>
        <v>47070.720000000001</v>
      </c>
      <c r="M21" s="117">
        <f t="shared" si="6"/>
        <v>214433.28</v>
      </c>
      <c r="N21" s="117">
        <f t="shared" si="0"/>
        <v>38597.990399999995</v>
      </c>
      <c r="O21" s="118">
        <f t="shared" si="1"/>
        <v>1265.156352</v>
      </c>
      <c r="P21" s="119">
        <f t="shared" si="2"/>
        <v>254296.42675199997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11400</v>
      </c>
      <c r="I25" s="136">
        <f t="shared" si="9"/>
        <v>731244</v>
      </c>
      <c r="J25" s="182">
        <f>SUM(J16:J21)</f>
        <v>0</v>
      </c>
      <c r="K25" s="138">
        <f t="shared" si="9"/>
        <v>0</v>
      </c>
      <c r="L25" s="139">
        <f t="shared" si="9"/>
        <v>131623.91999999998</v>
      </c>
      <c r="M25" s="140">
        <f t="shared" si="9"/>
        <v>599620.07999999996</v>
      </c>
      <c r="N25" s="141">
        <f>SUM(N16:N24)</f>
        <v>107931.61439999999</v>
      </c>
      <c r="O25" s="142">
        <f>SUM(O16:O24)</f>
        <v>3537.758472</v>
      </c>
      <c r="P25" s="143">
        <f>SUM(P16:P24)</f>
        <v>711089.45287199994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731244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131623.91999999998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599620.08000000007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107931.61439999999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707551.69440000004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3537.7584720000004</v>
      </c>
    </row>
    <row r="35" spans="2:16" ht="15.75" customHeight="1" thickBot="1" x14ac:dyDescent="0.4">
      <c r="N35" s="204" t="s">
        <v>92</v>
      </c>
      <c r="O35" s="205"/>
      <c r="P35" s="159">
        <f>P33+P34</f>
        <v>711089.45287200005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0" width="1.81640625" bestFit="1" customWidth="1"/>
    <col min="11" max="11" width="4.81640625" bestFit="1" customWidth="1"/>
    <col min="12" max="12" width="9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46181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46180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8" customHeight="1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1200</v>
      </c>
      <c r="I16" s="101">
        <f>(G16*D16)*F16+H16*F16</f>
        <v>62955</v>
      </c>
      <c r="J16" s="102">
        <v>0</v>
      </c>
      <c r="K16" s="103">
        <f>I16*$K$13</f>
        <v>0</v>
      </c>
      <c r="L16" s="104">
        <f>I16*18%</f>
        <v>11331.9</v>
      </c>
      <c r="M16" s="105">
        <f>I16-K16-L16</f>
        <v>51623.1</v>
      </c>
      <c r="N16" s="105">
        <f t="shared" ref="N16:N24" si="0">(M16*$N$15)+(J16*F16)*$N$15</f>
        <v>9292.1579999999994</v>
      </c>
      <c r="O16" s="106">
        <f>(N16+M16)*$O$15</f>
        <v>304.57629000000003</v>
      </c>
      <c r="P16" s="104">
        <f t="shared" ref="P16:P24" si="1">M16+N16+O16</f>
        <v>61219.834289999999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1200</v>
      </c>
      <c r="I17" s="115">
        <f t="shared" ref="I17:I23" si="2">(G17*D17)*F17+H17*F17</f>
        <v>62955</v>
      </c>
      <c r="J17" s="116">
        <v>0</v>
      </c>
      <c r="K17" s="1">
        <f t="shared" ref="K17:K21" si="3">I17*$K$13</f>
        <v>0</v>
      </c>
      <c r="L17" s="104">
        <f t="shared" ref="L17:L21" si="4">I17*18%</f>
        <v>11331.9</v>
      </c>
      <c r="M17" s="117">
        <f t="shared" ref="M17:M23" si="5">I17-K17-L17</f>
        <v>51623.1</v>
      </c>
      <c r="N17" s="117">
        <f t="shared" si="0"/>
        <v>9292.1579999999994</v>
      </c>
      <c r="O17" s="118">
        <f t="shared" ref="O17:O24" si="6">(N17+M17)*$O$15</f>
        <v>304.57629000000003</v>
      </c>
      <c r="P17" s="119">
        <f t="shared" si="1"/>
        <v>61219.834289999999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1800</v>
      </c>
      <c r="I18" s="115">
        <f t="shared" si="2"/>
        <v>94432.5</v>
      </c>
      <c r="J18" s="116">
        <v>0</v>
      </c>
      <c r="K18" s="1">
        <f t="shared" si="3"/>
        <v>0</v>
      </c>
      <c r="L18" s="104">
        <f t="shared" si="4"/>
        <v>16997.849999999999</v>
      </c>
      <c r="M18" s="117">
        <f t="shared" si="5"/>
        <v>77434.649999999994</v>
      </c>
      <c r="N18" s="117">
        <f t="shared" si="0"/>
        <v>13938.236999999999</v>
      </c>
      <c r="O18" s="118">
        <f t="shared" si="6"/>
        <v>456.86443499999996</v>
      </c>
      <c r="P18" s="119">
        <f t="shared" si="1"/>
        <v>91829.751434999984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2400</v>
      </c>
      <c r="I19" s="115">
        <f t="shared" si="2"/>
        <v>174336</v>
      </c>
      <c r="J19" s="116">
        <v>0</v>
      </c>
      <c r="K19" s="1">
        <f t="shared" si="3"/>
        <v>0</v>
      </c>
      <c r="L19" s="104">
        <f t="shared" si="4"/>
        <v>31380.48</v>
      </c>
      <c r="M19" s="117">
        <f t="shared" si="5"/>
        <v>142955.51999999999</v>
      </c>
      <c r="N19" s="117">
        <f t="shared" si="0"/>
        <v>25731.993599999998</v>
      </c>
      <c r="O19" s="118">
        <f t="shared" si="6"/>
        <v>843.43756799999994</v>
      </c>
      <c r="P19" s="119">
        <f t="shared" si="1"/>
        <v>169530.95116799997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1800</v>
      </c>
      <c r="I20" s="115">
        <f t="shared" si="2"/>
        <v>130752</v>
      </c>
      <c r="J20" s="116">
        <v>0</v>
      </c>
      <c r="K20" s="1">
        <f t="shared" si="3"/>
        <v>0</v>
      </c>
      <c r="L20" s="104">
        <f t="shared" si="4"/>
        <v>23535.360000000001</v>
      </c>
      <c r="M20" s="117">
        <f t="shared" si="5"/>
        <v>107216.64</v>
      </c>
      <c r="N20" s="117">
        <f t="shared" si="0"/>
        <v>19298.995199999998</v>
      </c>
      <c r="O20" s="118">
        <f t="shared" si="6"/>
        <v>632.57817599999998</v>
      </c>
      <c r="P20" s="119">
        <f t="shared" si="1"/>
        <v>127148.21337599999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1800</v>
      </c>
      <c r="I21" s="115">
        <f t="shared" si="2"/>
        <v>130752</v>
      </c>
      <c r="J21" s="116">
        <v>0</v>
      </c>
      <c r="K21" s="1">
        <f t="shared" si="3"/>
        <v>0</v>
      </c>
      <c r="L21" s="104">
        <f t="shared" si="4"/>
        <v>23535.360000000001</v>
      </c>
      <c r="M21" s="117">
        <f t="shared" si="5"/>
        <v>107216.64</v>
      </c>
      <c r="N21" s="117">
        <f t="shared" si="0"/>
        <v>19298.995199999998</v>
      </c>
      <c r="O21" s="118">
        <f t="shared" si="6"/>
        <v>632.57817599999998</v>
      </c>
      <c r="P21" s="119">
        <f t="shared" si="1"/>
        <v>127148.21337599999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10200</v>
      </c>
      <c r="I25" s="136">
        <f t="shared" si="9"/>
        <v>656182.5</v>
      </c>
      <c r="J25" s="137"/>
      <c r="K25" s="138">
        <f t="shared" si="9"/>
        <v>0</v>
      </c>
      <c r="L25" s="139">
        <f t="shared" si="9"/>
        <v>118112.84999999999</v>
      </c>
      <c r="M25" s="140">
        <f t="shared" si="9"/>
        <v>538069.65</v>
      </c>
      <c r="N25" s="141">
        <f>SUM(N16:N24)</f>
        <v>96852.537000000011</v>
      </c>
      <c r="O25" s="142">
        <f>SUM(O16:O24)</f>
        <v>3174.6109349999997</v>
      </c>
      <c r="P25" s="143">
        <f>SUM(P16:P24)</f>
        <v>638096.79793499992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656182.5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118112.84999999999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538069.65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96852.537000000011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634922.18700000003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3174.6109350000002</v>
      </c>
    </row>
    <row r="35" spans="2:16" ht="15.75" customHeight="1" thickBot="1" x14ac:dyDescent="0.4">
      <c r="N35" s="204" t="s">
        <v>92</v>
      </c>
      <c r="O35" s="205"/>
      <c r="P35" s="159">
        <f>P33+P34</f>
        <v>638096.79793500004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2026-07-21T09:21:20Z</dcterms:modified>
</cp:coreProperties>
</file>