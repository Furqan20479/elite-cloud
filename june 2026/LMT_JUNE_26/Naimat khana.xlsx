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94D8FFA-A7B9-490E-AFED-5A0927119BBB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7" i="33" l="1"/>
  <c r="K17" i="33" s="1"/>
  <c r="I24" i="33"/>
  <c r="I16" i="35"/>
  <c r="K16" i="35" s="1"/>
  <c r="I17" i="35"/>
  <c r="K17" i="35" s="1"/>
  <c r="I18" i="35"/>
  <c r="K18" i="35" s="1"/>
  <c r="I19" i="35"/>
  <c r="K19" i="35" s="1"/>
  <c r="I20" i="35"/>
  <c r="K20" i="35" s="1"/>
  <c r="I21" i="35"/>
  <c r="K21" i="35" s="1"/>
  <c r="I22" i="35"/>
  <c r="I23" i="35"/>
  <c r="I24" i="35"/>
  <c r="I16" i="31"/>
  <c r="K16" i="31" s="1"/>
  <c r="I17" i="31"/>
  <c r="I18" i="31"/>
  <c r="K18" i="31" s="1"/>
  <c r="I19" i="31"/>
  <c r="K19" i="31" s="1"/>
  <c r="I20" i="31"/>
  <c r="K20" i="31" s="1"/>
  <c r="I21" i="31"/>
  <c r="I22" i="31"/>
  <c r="K22" i="31" s="1"/>
  <c r="I23" i="31"/>
  <c r="K23" i="31" s="1"/>
  <c r="I24" i="31"/>
  <c r="L24" i="31" s="1"/>
  <c r="M24" i="31" s="1"/>
  <c r="I23" i="32"/>
  <c r="I22" i="33"/>
  <c r="I16" i="34"/>
  <c r="I17" i="34"/>
  <c r="L17" i="34" s="1"/>
  <c r="I18" i="34"/>
  <c r="L18" i="34" s="1"/>
  <c r="I19" i="34"/>
  <c r="L19" i="34" s="1"/>
  <c r="I20" i="34"/>
  <c r="K20" i="34" s="1"/>
  <c r="I21" i="34"/>
  <c r="L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L20" i="29" s="1"/>
  <c r="I21" i="29"/>
  <c r="I22" i="29"/>
  <c r="L22" i="29" s="1"/>
  <c r="I23" i="29"/>
  <c r="L23" i="29" s="1"/>
  <c r="I24" i="29"/>
  <c r="L24" i="29" s="1"/>
  <c r="I24" i="32"/>
  <c r="I19" i="33"/>
  <c r="L19" i="33" s="1"/>
  <c r="I23" i="33"/>
  <c r="L23" i="33" s="1"/>
  <c r="L17" i="33"/>
  <c r="M17" i="33" s="1"/>
  <c r="L18" i="33"/>
  <c r="M18" i="33" s="1"/>
  <c r="L16" i="35"/>
  <c r="L19" i="35"/>
  <c r="L20" i="35"/>
  <c r="K22" i="35"/>
  <c r="L22" i="35"/>
  <c r="K23" i="35"/>
  <c r="L23" i="35"/>
  <c r="M23" i="35" s="1"/>
  <c r="K24" i="35"/>
  <c r="L24" i="35"/>
  <c r="L16" i="34"/>
  <c r="K18" i="34"/>
  <c r="K22" i="34"/>
  <c r="L22" i="34"/>
  <c r="K23" i="34"/>
  <c r="M23" i="34"/>
  <c r="L23" i="34"/>
  <c r="K24" i="34"/>
  <c r="K21" i="33"/>
  <c r="L21" i="33"/>
  <c r="K22" i="33"/>
  <c r="L22" i="33"/>
  <c r="K23" i="33"/>
  <c r="K20" i="33"/>
  <c r="L20" i="33"/>
  <c r="K24" i="33"/>
  <c r="L24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K21" i="31"/>
  <c r="L21" i="31"/>
  <c r="K24" i="31"/>
  <c r="L18" i="31"/>
  <c r="L23" i="31"/>
  <c r="K18" i="30"/>
  <c r="L18" i="30"/>
  <c r="K20" i="30"/>
  <c r="L20" i="30"/>
  <c r="K21" i="30"/>
  <c r="L21" i="30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L24" i="30"/>
  <c r="L16" i="29"/>
  <c r="K21" i="29"/>
  <c r="L21" i="29"/>
  <c r="K22" i="29"/>
  <c r="K23" i="29"/>
  <c r="I25" i="28"/>
  <c r="P28" i="28" s="1"/>
  <c r="K16" i="28"/>
  <c r="L16" i="28"/>
  <c r="K17" i="28"/>
  <c r="L17" i="28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0" i="29"/>
  <c r="L19" i="31"/>
  <c r="L18" i="29"/>
  <c r="L18" i="35"/>
  <c r="M18" i="35" s="1"/>
  <c r="N18" i="35" s="1"/>
  <c r="O18" i="35" s="1"/>
  <c r="K17" i="34"/>
  <c r="K19" i="33"/>
  <c r="L17" i="29"/>
  <c r="M17" i="28"/>
  <c r="K24" i="29"/>
  <c r="M24" i="29" s="1"/>
  <c r="L16" i="31"/>
  <c r="M24" i="33"/>
  <c r="K21" i="34"/>
  <c r="M21" i="34" s="1"/>
  <c r="N21" i="34" s="1"/>
  <c r="O21" i="34" s="1"/>
  <c r="L21" i="35"/>
  <c r="M21" i="35" s="1"/>
  <c r="N21" i="35" s="1"/>
  <c r="O21" i="35" s="1"/>
  <c r="L17" i="35"/>
  <c r="M17" i="35" s="1"/>
  <c r="N17" i="35" s="1"/>
  <c r="O17" i="35" s="1"/>
  <c r="M24" i="34"/>
  <c r="I16" i="27"/>
  <c r="I17" i="27"/>
  <c r="K17" i="27" s="1"/>
  <c r="I18" i="27"/>
  <c r="L18" i="27" s="1"/>
  <c r="I19" i="27"/>
  <c r="I20" i="27"/>
  <c r="K20" i="27" s="1"/>
  <c r="I22" i="27"/>
  <c r="I23" i="27"/>
  <c r="I24" i="27"/>
  <c r="L20" i="31"/>
  <c r="M20" i="31" s="1"/>
  <c r="N20" i="31" s="1"/>
  <c r="O20" i="31" s="1"/>
  <c r="I25" i="35"/>
  <c r="P28" i="35" s="1"/>
  <c r="M24" i="30"/>
  <c r="M21" i="30"/>
  <c r="N21" i="30" s="1"/>
  <c r="O21" i="30" s="1"/>
  <c r="M24" i="35"/>
  <c r="M22" i="33"/>
  <c r="L22" i="31"/>
  <c r="M22" i="31" s="1"/>
  <c r="N22" i="31" s="1"/>
  <c r="O22" i="31" s="1"/>
  <c r="P22" i="31" s="1"/>
  <c r="L20" i="34"/>
  <c r="L25" i="34" s="1"/>
  <c r="P29" i="34" s="1"/>
  <c r="K19" i="34"/>
  <c r="M19" i="34" s="1"/>
  <c r="N19" i="34" s="1"/>
  <c r="O19" i="34" s="1"/>
  <c r="I25" i="34"/>
  <c r="P28" i="34" s="1"/>
  <c r="M17" i="31"/>
  <c r="M22" i="29"/>
  <c r="N22" i="29" s="1"/>
  <c r="O22" i="29" s="1"/>
  <c r="M23" i="33"/>
  <c r="N23" i="33" s="1"/>
  <c r="O23" i="33" s="1"/>
  <c r="I16" i="26"/>
  <c r="K16" i="26" s="1"/>
  <c r="I17" i="26"/>
  <c r="K17" i="26" s="1"/>
  <c r="I18" i="26"/>
  <c r="K18" i="26" s="1"/>
  <c r="I19" i="26"/>
  <c r="K19" i="26" s="1"/>
  <c r="I20" i="26"/>
  <c r="L20" i="26" s="1"/>
  <c r="I21" i="26"/>
  <c r="I22" i="26"/>
  <c r="K22" i="26" s="1"/>
  <c r="I23" i="26"/>
  <c r="K23" i="26" s="1"/>
  <c r="I24" i="26"/>
  <c r="I21" i="27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M19" i="33"/>
  <c r="N19" i="33" s="1"/>
  <c r="O19" i="33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N19" i="31" s="1"/>
  <c r="O19" i="31" s="1"/>
  <c r="M20" i="33"/>
  <c r="N20" i="33" s="1"/>
  <c r="O20" i="33" s="1"/>
  <c r="M20" i="35"/>
  <c r="M21" i="29"/>
  <c r="N21" i="29" s="1"/>
  <c r="O21" i="29" s="1"/>
  <c r="M21" i="32"/>
  <c r="N21" i="32" s="1"/>
  <c r="O21" i="32" s="1"/>
  <c r="M21" i="3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22" i="35"/>
  <c r="O22" i="35" s="1"/>
  <c r="K25" i="35"/>
  <c r="P30" i="35" s="1"/>
  <c r="N23" i="35"/>
  <c r="O23" i="35" s="1"/>
  <c r="M16" i="35"/>
  <c r="N24" i="34"/>
  <c r="O24" i="34" s="1"/>
  <c r="P24" i="34"/>
  <c r="N23" i="34"/>
  <c r="O23" i="34" s="1"/>
  <c r="P23" i="34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17" i="30"/>
  <c r="O17" i="30" s="1"/>
  <c r="K25" i="30"/>
  <c r="P30" i="30" s="1"/>
  <c r="N24" i="30"/>
  <c r="O24" i="30" s="1"/>
  <c r="P24" i="30" s="1"/>
  <c r="N23" i="30"/>
  <c r="O23" i="30" s="1"/>
  <c r="N23" i="29"/>
  <c r="O23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L17" i="27"/>
  <c r="K21" i="27"/>
  <c r="L21" i="27"/>
  <c r="K22" i="27"/>
  <c r="L22" i="27"/>
  <c r="K23" i="27"/>
  <c r="L23" i="27"/>
  <c r="K24" i="27"/>
  <c r="L24" i="27"/>
  <c r="K19" i="27"/>
  <c r="L19" i="27"/>
  <c r="K18" i="27"/>
  <c r="L17" i="26"/>
  <c r="K20" i="26"/>
  <c r="K21" i="26"/>
  <c r="L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L20" i="27" l="1"/>
  <c r="L25" i="31"/>
  <c r="P29" i="31" s="1"/>
  <c r="P31" i="31" s="1"/>
  <c r="L19" i="26"/>
  <c r="L25" i="35"/>
  <c r="P29" i="35" s="1"/>
  <c r="P31" i="35" s="1"/>
  <c r="M20" i="34"/>
  <c r="N20" i="34" s="1"/>
  <c r="O20" i="34" s="1"/>
  <c r="I25" i="27"/>
  <c r="P28" i="27" s="1"/>
  <c r="L16" i="26"/>
  <c r="L16" i="27"/>
  <c r="K16" i="27"/>
  <c r="L23" i="26"/>
  <c r="L18" i="26"/>
  <c r="L25" i="26" s="1"/>
  <c r="P29" i="26" s="1"/>
  <c r="K25" i="34"/>
  <c r="P30" i="34" s="1"/>
  <c r="P31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18" i="31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P34" i="32" s="1"/>
  <c r="P35" i="32" s="1"/>
  <c r="U30" i="15" s="1"/>
  <c r="I16" i="25"/>
  <c r="I17" i="25"/>
  <c r="L17" i="25" s="1"/>
  <c r="I18" i="25"/>
  <c r="K18" i="25" s="1"/>
  <c r="I19" i="25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L20" i="25"/>
  <c r="K16" i="25"/>
  <c r="L16" i="25"/>
  <c r="L22" i="25"/>
  <c r="K17" i="25"/>
  <c r="L23" i="25"/>
  <c r="K23" i="25"/>
  <c r="L23" i="24"/>
  <c r="K23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K23" i="20"/>
  <c r="K20" i="19"/>
  <c r="L20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24" l="1"/>
  <c r="K18" i="19"/>
  <c r="K17" i="23"/>
  <c r="K24" i="18"/>
  <c r="M24" i="18" s="1"/>
  <c r="L24" i="20"/>
  <c r="K24" i="25"/>
  <c r="K21" i="18"/>
  <c r="M21" i="18" s="1"/>
  <c r="N21" i="18" s="1"/>
  <c r="O21" i="18" s="1"/>
  <c r="I25" i="25"/>
  <c r="P28" i="25" s="1"/>
  <c r="L18" i="25"/>
  <c r="K17" i="24"/>
  <c r="K22" i="18"/>
  <c r="M22" i="18" s="1"/>
  <c r="N22" i="18" s="1"/>
  <c r="O22" i="18" s="1"/>
  <c r="L22" i="19"/>
  <c r="M22" i="19" s="1"/>
  <c r="N22" i="19" s="1"/>
  <c r="O22" i="19" s="1"/>
  <c r="P22" i="19" s="1"/>
  <c r="L18" i="17"/>
  <c r="M18" i="17" s="1"/>
  <c r="N18" i="17" s="1"/>
  <c r="O18" i="17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M19" i="25" s="1"/>
  <c r="N19" i="25" s="1"/>
  <c r="O19" i="25" s="1"/>
  <c r="L19" i="25"/>
  <c r="K21" i="25"/>
  <c r="K16" i="24"/>
  <c r="K18" i="18"/>
  <c r="M18" i="18" s="1"/>
  <c r="N18" i="18" s="1"/>
  <c r="O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N24" i="24"/>
  <c r="O24" i="24" s="1"/>
  <c r="M16" i="22"/>
  <c r="M21" i="19"/>
  <c r="L25" i="19"/>
  <c r="P29" i="19" s="1"/>
  <c r="N24" i="18"/>
  <c r="O24" i="18" s="1"/>
  <c r="M16" i="17"/>
  <c r="I23" i="15"/>
  <c r="K25" i="25" l="1"/>
  <c r="P30" i="25" s="1"/>
  <c r="L25" i="25"/>
  <c r="P29" i="25" s="1"/>
  <c r="K25" i="24"/>
  <c r="P30" i="24" s="1"/>
  <c r="M21" i="25"/>
  <c r="N21" i="25" s="1"/>
  <c r="O21" i="25" s="1"/>
  <c r="P21" i="25" s="1"/>
  <c r="L21" i="15"/>
  <c r="K25" i="19"/>
  <c r="P30" i="19" s="1"/>
  <c r="P31" i="19" s="1"/>
  <c r="K22" i="15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5" i="20"/>
  <c r="M25" i="18"/>
  <c r="P19" i="18"/>
  <c r="M25" i="19"/>
  <c r="P31" i="24"/>
  <c r="P33" i="24" s="1"/>
  <c r="P34" i="24" s="1"/>
  <c r="P35" i="24" s="1"/>
  <c r="U22" i="15" s="1"/>
  <c r="M21" i="15"/>
  <c r="P22" i="20"/>
  <c r="M22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33" i="20"/>
  <c r="P34" i="20" s="1"/>
  <c r="P35" i="20" s="1"/>
  <c r="U18" i="15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<sst xmlns="http://schemas.openxmlformats.org/spreadsheetml/2006/main" count="1579" uniqueCount="106">
  <si>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</si>
  <si>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</si>
  <si>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</si>
  <si>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</si>
  <si>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</si>
  <si>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</si>
  <si>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</si>
  <si>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</si>
  <si>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</si>
  <si>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</si>
  <si>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</si>
  <si>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</si>
  <si>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</si>
  <si>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</si>
  <si>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</si>
  <si>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</si>
  <si>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</si>
  <si>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</si>
  <si>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</si>
  <si>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</si>
  <si>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</si>
  <si>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</si>
  <si>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</si>
  <si>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</si>
  <si>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</si>
  <si>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</si>
  <si>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</si>
  <si>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</si>
  <si>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</si>
  <si>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</si>
  <si>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</si>
  <si>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</si>
  <si>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</si>
  <si>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</si>
  <si>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</si>
  <si>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</si>
  <si>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</si>
  <si>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</si>
  <si>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</si>
  <si>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</si>
  <si>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</si>
  <si>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</si>
  <si>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</si>
  <si>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</si>
  <si>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</si>
  <si>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</si>
  <si>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</si>
  <si>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</si>
  <si>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</si>
  <si>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</si>
  <si>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</si>
  <si>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</si>
  <si>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</si>
  <si>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</si>
  <si>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</si>
  <si>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</si>
  <si>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</si>
  <si>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</si>
  <si>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</si>
  <si>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</si>
  <si>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</si>
  <si>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</si>
  <si>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</si>
  <si>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</si>
  <si>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</si>
  <si>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</si>
  <si>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</si>
  <si>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</si>
  <si>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</si>
  <si>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</si>
  <si>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</si>
  <si>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</si>
  <si>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</si>
  <si>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</si>
  <si>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</si>
  <si>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</si>
  <si>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</si>
  <si>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</si>
  <si>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</si>
  <si>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</si>
  <si>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</si>
  <si>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</si>
  <si>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</si>
  <si>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</si>
  <si>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</si>
  <si>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</si>
  <si>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</si>
  <si>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</si>
  <si>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</si>
  <si>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</si>
  <si>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</si>
  <si>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</si>
  <si>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</si>
  <si>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</si>
  <si>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</si>
  <si>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</si>
  <si>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</si>
  <si>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</si>
  <si>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</si>
  <si>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</si>
  <si>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</si>
  <si>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</si>
  <si>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(LMT)</t>
  </si>
  <si>
    <t xml:space="preserve">Naimat Khana </t>
  </si>
  <si>
    <t xml:space="preserve">Customer Name : Naimat Khana </t>
  </si>
  <si>
    <t>Address: Mughal 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</si>
</sst>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P16" sqref="P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P16" sqref="P16"/>
      <selection pane="topRight" activeCell="P16" sqref="P16"/>
      <selection pane="bottomLeft" activeCell="P16" sqref="P16"/>
      <selection pane="bottomRight" activeCell="P16" sqref="P1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P16" sqref="P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103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102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Naimat Khana </v>
      </c>
      <c r="U14" s="164">
        <f>+'1'!P35</f>
        <v>117997.95128399998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2"/>
      <c r="J15" s="171" t="s">
        <v>78</v>
      </c>
      <c r="K15" s="171" t="s">
        <v>79</v>
      </c>
      <c r="L15" s="174" t="s">
        <v>80</v>
      </c>
      <c r="M15" s="21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Naimat Khana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</f>
        <v>200</v>
      </c>
      <c r="I16" s="1">
        <f>(G16*D16)*F16+H16*F16</f>
        <v>10492.5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839.4</v>
      </c>
      <c r="M16" s="106">
        <f>I16-K16-L16</f>
        <v>9653.1</v>
      </c>
      <c r="N16" s="101">
        <f>+'1'!N16+'2'!N16+'4'!N16+'3'!N16+'5'!N16+'6'!N16+'7'!N16+'8'!N16+'9'!N16+'10'!N16</f>
        <v>1737.558</v>
      </c>
      <c r="O16" s="101">
        <f>+'1'!O16+'2'!O16+'4'!O16+'3'!O16+'5'!O16+'6'!O16+'7'!O16+'8'!O16+'9'!O16+'10'!O16</f>
        <v>56.953289999999996</v>
      </c>
      <c r="P16" s="105">
        <f t="shared" ref="P16:P24" si="0">M16+N16+O16</f>
        <v>11447.611289999999</v>
      </c>
      <c r="Q16" s="108"/>
      <c r="T16" s="163" t="str">
        <f>+'4'!A5</f>
        <v xml:space="preserve">Customer Name : Naimat Khana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</f>
        <v>200</v>
      </c>
      <c r="I17" s="1">
        <f t="shared" ref="I17:I23" si="1">(G17*D17)*F17+H17*F17</f>
        <v>10492.5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839.4</v>
      </c>
      <c r="M17" s="118">
        <f t="shared" ref="M17:M23" si="2">I17-K17-L17</f>
        <v>9653.1</v>
      </c>
      <c r="N17" s="101">
        <f>+'1'!N17+'2'!N17+'4'!N17+'3'!N17+'5'!N17+'6'!N17+'7'!N17+'8'!N17+'9'!N17+'10'!N17</f>
        <v>1737.558</v>
      </c>
      <c r="O17" s="101">
        <f>+'1'!O17+'2'!O17+'4'!O17+'3'!O17+'5'!O17+'6'!O17+'7'!O17+'8'!O17+'9'!O17+'10'!O17</f>
        <v>56.953289999999996</v>
      </c>
      <c r="P17" s="120">
        <f t="shared" si="0"/>
        <v>11447.611289999999</v>
      </c>
      <c r="S17" s="64"/>
      <c r="T17" s="163" t="str">
        <f>+'3'!A5</f>
        <v xml:space="preserve">Customer Name : Naimat Khana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Naimat Khana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</f>
        <v>400</v>
      </c>
      <c r="I19" s="1">
        <f t="shared" si="1"/>
        <v>29056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2324.48</v>
      </c>
      <c r="M19" s="118">
        <f t="shared" si="2"/>
        <v>26731.52</v>
      </c>
      <c r="N19" s="101">
        <f>+'1'!N19+'2'!N19+'4'!N19+'3'!N19+'5'!N19+'6'!N19+'7'!N19+'8'!N19+'9'!N19+'10'!N19</f>
        <v>4811.6736000000001</v>
      </c>
      <c r="O19" s="101">
        <f>+'1'!O19+'2'!O19+'4'!O19+'3'!O19+'5'!O19+'6'!O19+'7'!O19+'8'!O19+'9'!O19+'10'!O19</f>
        <v>157.715968</v>
      </c>
      <c r="P19" s="120">
        <f t="shared" si="0"/>
        <v>31700.909567999999</v>
      </c>
      <c r="T19" s="163" t="str">
        <f>+'6'!A5</f>
        <v xml:space="preserve">Customer Name : Naimat Khana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</f>
        <v>400</v>
      </c>
      <c r="I20" s="1">
        <f t="shared" si="1"/>
        <v>29056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2324.48</v>
      </c>
      <c r="M20" s="118">
        <f t="shared" si="2"/>
        <v>26731.52</v>
      </c>
      <c r="N20" s="101">
        <f>+'1'!N20+'2'!N20+'4'!N20+'3'!N20+'5'!N20+'6'!N20+'7'!N20+'8'!N20+'9'!N20+'10'!N20</f>
        <v>4811.6736000000001</v>
      </c>
      <c r="O20" s="101">
        <f>+'1'!O20+'2'!O20+'4'!O20+'3'!O20+'5'!O20+'6'!O20+'7'!O20+'8'!O20+'9'!O20+'10'!O20</f>
        <v>157.715968</v>
      </c>
      <c r="P20" s="120">
        <f t="shared" si="0"/>
        <v>31700.909567999999</v>
      </c>
      <c r="T20" s="163" t="str">
        <f>+'7'!A5</f>
        <v xml:space="preserve">Customer Name : Naimat Khana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</f>
        <v>400</v>
      </c>
      <c r="I21" s="1">
        <f t="shared" si="1"/>
        <v>29056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2324.48</v>
      </c>
      <c r="M21" s="118">
        <f t="shared" si="2"/>
        <v>26731.52</v>
      </c>
      <c r="N21" s="101">
        <f>+'1'!N21+'2'!N21+'4'!N21+'3'!N21+'5'!N21+'6'!N21+'7'!N21+'8'!N21+'9'!N21+'10'!N21</f>
        <v>4811.6736000000001</v>
      </c>
      <c r="O21" s="101">
        <f>+'1'!O21+'2'!O21+'4'!O21+'3'!O21+'5'!O21+'6'!O21+'7'!O21+'8'!O21+'9'!O21+'10'!O21</f>
        <v>157.715968</v>
      </c>
      <c r="P21" s="120">
        <f t="shared" si="0"/>
        <v>31700.909567999999</v>
      </c>
      <c r="T21" s="163" t="str">
        <f>+'8'!A5</f>
        <v xml:space="preserve">Customer Name : Naimat Khana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Naimat Khana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Naimat Khana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Naimat Khana </v>
      </c>
      <c r="U24" s="164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40</v>
      </c>
      <c r="D25" s="222"/>
      <c r="E25" s="222"/>
      <c r="F25" s="222"/>
      <c r="G25" s="176">
        <f t="shared" ref="G25:M25" si="3">SUM(G16:G24)</f>
        <v>0</v>
      </c>
      <c r="H25" s="177">
        <f t="shared" si="3"/>
        <v>1600</v>
      </c>
      <c r="I25" s="178">
        <f t="shared" si="3"/>
        <v>108153</v>
      </c>
      <c r="J25" s="177">
        <f t="shared" si="3"/>
        <v>0</v>
      </c>
      <c r="K25" s="178">
        <f t="shared" si="3"/>
        <v>0</v>
      </c>
      <c r="L25" s="179">
        <f t="shared" si="3"/>
        <v>8652.24</v>
      </c>
      <c r="M25" s="141">
        <f t="shared" si="3"/>
        <v>99500.760000000009</v>
      </c>
      <c r="N25" s="142">
        <f>SUM(N16:N24)</f>
        <v>17910.1368</v>
      </c>
      <c r="O25" s="143">
        <f>SUM(O16:O24)</f>
        <v>587.054484</v>
      </c>
      <c r="P25" s="144">
        <f>SUM(P16:P24)</f>
        <v>117997.951284</v>
      </c>
      <c r="T25" s="163" t="str">
        <f>+'12'!A5</f>
        <v xml:space="preserve">Customer Name : Naimat Khana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Naimat Khana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Naimat Khana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Naimat Khana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Naimat Khana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Naimat Khana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Naimat Khana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/>
      <c r="U32" s="182"/>
    </row>
    <row r="33" spans="1:21" ht="26.5" thickBot="1" x14ac:dyDescent="0.65">
      <c r="A33" s="145"/>
      <c r="B33" s="145"/>
      <c r="C33" s="145"/>
      <c r="D33" s="145"/>
      <c r="E33" s="145"/>
      <c r="F33" s="145"/>
      <c r="G33" s="146"/>
      <c r="H33" s="146"/>
      <c r="I33" s="147"/>
      <c r="K33" s="148"/>
      <c r="L33" s="148"/>
      <c r="M33" s="148"/>
      <c r="N33" s="148"/>
      <c r="O33" s="149"/>
      <c r="P33" s="148"/>
      <c r="T33" s="166" t="s">
        <v>84</v>
      </c>
      <c r="U33" s="165">
        <f>SUM(U14:U28)</f>
        <v>117997.95128399998</v>
      </c>
    </row>
    <row r="34" spans="1:21" ht="15" thickBot="1" x14ac:dyDescent="0.4">
      <c r="A34" s="69"/>
      <c r="B34" s="69"/>
      <c r="C34" s="150"/>
      <c r="D34" s="150"/>
      <c r="E34" s="150"/>
      <c r="F34" s="150"/>
      <c r="G34" s="151"/>
      <c r="H34" s="151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2">
        <f>I25</f>
        <v>108153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3">
        <f>L25</f>
        <v>8652.24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4">
        <f>K25</f>
        <v>0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3">
        <f>P35-P36-P37</f>
        <v>99500.76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5" t="s">
        <v>89</v>
      </c>
      <c r="O39" s="156">
        <f>IF(B12="Registered",18%,22%)</f>
        <v>0.22</v>
      </c>
      <c r="P39" s="153">
        <f>N25</f>
        <v>17910.1368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3">
        <f>P38+P39</f>
        <v>117410.89679999999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7"/>
      <c r="N41" s="158" t="s">
        <v>91</v>
      </c>
      <c r="O41" s="159">
        <f>IF(B11="Filer",0.5%,2.5%)</f>
        <v>2.5000000000000001E-2</v>
      </c>
      <c r="P41" s="153">
        <f>O41*P40</f>
        <v>2935.2724199999998</v>
      </c>
    </row>
    <row r="42" spans="1:21" ht="15.75" customHeight="1" thickBot="1" x14ac:dyDescent="0.4">
      <c r="N42" s="220" t="s">
        <v>92</v>
      </c>
      <c r="O42" s="221"/>
      <c r="P42" s="160">
        <f>P40+P41</f>
        <v>120346.16921999998</v>
      </c>
    </row>
    <row r="43" spans="1:21" ht="15" thickBot="1" x14ac:dyDescent="0.4">
      <c r="B43" s="161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1737.558</v>
      </c>
      <c r="O16" s="107">
        <f t="shared" ref="O16:O24" si="1">(N16+M16)*$O$15</f>
        <v>56.953289999999996</v>
      </c>
      <c r="P16" s="105">
        <f t="shared" ref="P16:P24" si="2">M16+N16+O16</f>
        <v>11447.611289999999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3">(G17*D17)*F17+H17*F17</f>
        <v>10492.5</v>
      </c>
      <c r="J17" s="117">
        <v>0</v>
      </c>
      <c r="K17" s="1">
        <f t="shared" ref="K17:K21" si="4">I17*$K$13</f>
        <v>0</v>
      </c>
      <c r="L17" s="105">
        <f t="shared" ref="L17:L21" si="5">I17*8%</f>
        <v>839.4</v>
      </c>
      <c r="M17" s="118">
        <f t="shared" ref="M17:M23" si="6">I17-K17-L17</f>
        <v>9653.1</v>
      </c>
      <c r="N17" s="118">
        <f t="shared" si="0"/>
        <v>1737.558</v>
      </c>
      <c r="O17" s="119">
        <f t="shared" si="1"/>
        <v>56.953289999999996</v>
      </c>
      <c r="P17" s="120">
        <f t="shared" si="2"/>
        <v>11447.611289999999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3"/>
        <v>0</v>
      </c>
      <c r="J18" s="117">
        <v>0</v>
      </c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3"/>
        <v>29056</v>
      </c>
      <c r="J19" s="117">
        <v>0</v>
      </c>
      <c r="K19" s="1">
        <f t="shared" si="4"/>
        <v>0</v>
      </c>
      <c r="L19" s="105">
        <f t="shared" si="5"/>
        <v>2324.48</v>
      </c>
      <c r="M19" s="118">
        <f t="shared" si="6"/>
        <v>26731.52</v>
      </c>
      <c r="N19" s="118">
        <f t="shared" si="0"/>
        <v>4811.6736000000001</v>
      </c>
      <c r="O19" s="119">
        <f t="shared" si="1"/>
        <v>157.715968</v>
      </c>
      <c r="P19" s="120">
        <f t="shared" si="2"/>
        <v>31700.909567999999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3"/>
        <v>29056</v>
      </c>
      <c r="J20" s="117">
        <v>0</v>
      </c>
      <c r="K20" s="1">
        <f t="shared" si="4"/>
        <v>0</v>
      </c>
      <c r="L20" s="105">
        <f t="shared" si="5"/>
        <v>2324.48</v>
      </c>
      <c r="M20" s="118">
        <f t="shared" si="6"/>
        <v>26731.52</v>
      </c>
      <c r="N20" s="118">
        <f t="shared" si="0"/>
        <v>4811.6736000000001</v>
      </c>
      <c r="O20" s="119">
        <f t="shared" si="1"/>
        <v>157.715968</v>
      </c>
      <c r="P20" s="120">
        <f t="shared" si="2"/>
        <v>31700.909567999999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3"/>
        <v>29056</v>
      </c>
      <c r="J21" s="117">
        <v>0</v>
      </c>
      <c r="K21" s="1">
        <f t="shared" si="4"/>
        <v>0</v>
      </c>
      <c r="L21" s="105">
        <f t="shared" si="5"/>
        <v>2324.48</v>
      </c>
      <c r="M21" s="118">
        <f t="shared" si="6"/>
        <v>26731.52</v>
      </c>
      <c r="N21" s="118">
        <f t="shared" si="0"/>
        <v>4811.6736000000001</v>
      </c>
      <c r="O21" s="119">
        <f t="shared" si="1"/>
        <v>157.715968</v>
      </c>
      <c r="P21" s="120">
        <f t="shared" si="2"/>
        <v>31700.909567999999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83">
        <f>SUM(J16:J21)</f>
        <v>0</v>
      </c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17910.1368</v>
      </c>
      <c r="O25" s="143">
        <f>SUM(O16:O24)</f>
        <v>587.054484</v>
      </c>
      <c r="P25" s="144">
        <f>SUM(P16:P24)</f>
        <v>117997.951284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108153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8652.24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99500.76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17910.1368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117410.89679999999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587.054484</v>
      </c>
    </row>
    <row r="35" spans="2:16" ht="15.75" customHeight="1" thickBot="1" x14ac:dyDescent="0.4">
      <c r="N35" s="220" t="s">
        <v>92</v>
      </c>
      <c r="O35" s="221"/>
      <c r="P35" s="160">
        <f>P33+P34</f>
        <v>117997.95128399998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F5" sqref="F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3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7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80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46211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2026-07-09T06:30:04Z</dcterms:modified>
</cp:coreProperties>
</file>