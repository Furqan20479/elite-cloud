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D3E32EA-AFE8-4175-8EBF-22C0B96BD0D7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0" i="16" l="1"/>
  <c r="L21" i="16"/>
  <c r="L17" i="16" l="1"/>
  <c r="L18" i="16"/>
  <c r="L22" i="16"/>
  <c r="L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L19" i="16" s="1"/>
  <c r="I20" i="16"/>
  <c r="K20" i="16" s="1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16" i="15" l="1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O18" i="16" l="1"/>
  <c r="O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<sst xmlns="http://schemas.openxmlformats.org/spreadsheetml/2006/main" count="1598" uniqueCount="107">
  <si>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</si>
  <si>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</si>
  <si>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</si>
  <si>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</si>
  <si>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</si>
  <si>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</si>
  <si>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</si>
  <si>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</si>
  <si>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</si>
  <si>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</si>
  <si>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</si>
  <si>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</si>
  <si>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</si>
  <si>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</si>
  <si>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</si>
  <si>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</si>
  <si>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</si>
  <si>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</si>
  <si>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</si>
  <si>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</si>
  <si>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</si>
  <si>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</si>
  <si>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</si>
  <si>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</si>
  <si>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</si>
  <si>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</si>
  <si>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</si>
  <si>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</si>
  <si>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</si>
  <si>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</si>
  <si>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</si>
  <si>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</si>
  <si>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</si>
  <si>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</si>
  <si>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</si>
  <si>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</si>
  <si>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</si>
  <si>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</si>
  <si>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</si>
  <si>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</si>
  <si>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</si>
  <si>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</si>
  <si>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</si>
  <si>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</si>
  <si>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</si>
  <si>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</si>
  <si>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</si>
  <si>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</si>
  <si>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</si>
  <si>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</si>
  <si>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</si>
  <si>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</si>
  <si>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</si>
  <si>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</si>
  <si>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</si>
  <si>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</si>
  <si>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</si>
  <si>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</si>
  <si>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</si>
  <si>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</si>
  <si>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</si>
  <si>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</si>
  <si>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</si>
  <si>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</si>
  <si>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</si>
  <si>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</si>
  <si>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</si>
  <si>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</si>
  <si>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</si>
  <si>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</si>
  <si>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</si>
  <si>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</si>
  <si>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</si>
  <si>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</si>
  <si>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</si>
  <si>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</si>
  <si>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</si>
  <si>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</si>
  <si>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</si>
  <si>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</si>
  <si>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</si>
  <si>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</si>
  <si>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</si>
  <si>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</si>
  <si>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</si>
  <si>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</si>
  <si>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</si>
  <si>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</si>
  <si>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</si>
  <si>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</si>
  <si>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</si>
  <si>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</si>
  <si>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</si>
  <si>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</si>
  <si>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</si>
  <si>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</si>
  <si>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</si>
  <si>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</si>
  <si>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</si>
  <si>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</si>
  <si>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</si>
  <si>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</si>
  <si>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</si>
  <si>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</si>
  <si>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</si>
  <si>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Address: Askari 10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</si>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</sst>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7" t="s">
        <v>45</v>
      </c>
      <c r="B2" s="197"/>
      <c r="C2" s="197"/>
    </row>
    <row r="3" spans="1:21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2" t="s">
        <v>103</v>
      </c>
      <c r="B5" s="202"/>
      <c r="C5" s="202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21 16383:16384" ht="15" customHeight="1" x14ac:dyDescent="0.35">
      <c r="A6" s="202"/>
      <c r="B6" s="202"/>
      <c r="C6" s="202"/>
      <c r="F6" s="70"/>
      <c r="G6" s="74"/>
      <c r="K6" s="199" t="s">
        <v>52</v>
      </c>
      <c r="L6" s="199"/>
      <c r="M6" s="199"/>
      <c r="N6" s="201" t="s">
        <v>42</v>
      </c>
      <c r="O6" s="201"/>
      <c r="P6" s="20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21 16383:16384" hidden="1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21 16383:16384" x14ac:dyDescent="0.35">
      <c r="A10" s="204"/>
      <c r="B10" s="75"/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21 16383:16384" ht="15" thickBot="1" x14ac:dyDescent="0.4">
      <c r="A11" s="204"/>
      <c r="B11" s="76"/>
      <c r="C11" s="77"/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21 16383:16384" ht="14.65" customHeight="1" x14ac:dyDescent="0.35">
      <c r="A12" s="204"/>
      <c r="B12" s="76"/>
      <c r="C12" s="77"/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T12" s="213" t="s">
        <v>99</v>
      </c>
      <c r="U12" s="214"/>
      <c r="XFD12" t="s">
        <v>62</v>
      </c>
    </row>
    <row r="13" spans="1:21 16383:16384" ht="15" thickBot="1" x14ac:dyDescent="0.4">
      <c r="A13" s="241"/>
      <c r="J13" s="78"/>
      <c r="K13" s="78"/>
      <c r="L13" s="79">
        <v>0.05</v>
      </c>
      <c r="T13" s="215"/>
      <c r="U13" s="216"/>
      <c r="XFD13" t="s">
        <v>63</v>
      </c>
    </row>
    <row r="14" spans="1:21 16383:16384" ht="29.25" customHeight="1" x14ac:dyDescent="0.6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07" t="s">
        <v>68</v>
      </c>
      <c r="H14" s="208"/>
      <c r="I14" s="208" t="s">
        <v>69</v>
      </c>
      <c r="J14" s="208" t="s">
        <v>70</v>
      </c>
      <c r="K14" s="208"/>
      <c r="L14" s="210"/>
      <c r="M14" s="21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15750.934056</v>
      </c>
      <c r="XFD14" t="s">
        <v>75</v>
      </c>
    </row>
    <row r="15" spans="1:21 16383:16384" ht="29.25" customHeight="1" thickBot="1" x14ac:dyDescent="0.65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9"/>
      <c r="J15" s="171" t="s">
        <v>78</v>
      </c>
      <c r="K15" s="171" t="s">
        <v>79</v>
      </c>
      <c r="L15" s="174" t="s">
        <v>80</v>
      </c>
      <c r="M15" s="21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1846.68</v>
      </c>
      <c r="N17" s="101">
        <f>+'1'!N17+'2'!N17+'4'!N17+'3'!N17+'5'!N17+'6'!N17+'7'!N17+'8'!N17+'9'!N17+'10'!N17</f>
        <v>332.4024</v>
      </c>
      <c r="O17" s="101">
        <f>+'1'!O17+'2'!O17+'4'!O17+'3'!O17+'5'!O17+'6'!O17+'7'!O17+'8'!O17+'9'!O17+'10'!O17</f>
        <v>10.895412000000002</v>
      </c>
      <c r="P17" s="120">
        <f t="shared" si="0"/>
        <v>2189.9778120000001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</v>
      </c>
      <c r="I18" s="1">
        <f t="shared" si="1"/>
        <v>2098.5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1846.68</v>
      </c>
      <c r="N18" s="101">
        <f>+'1'!N18+'2'!N18+'4'!N18+'3'!N18+'5'!N18+'6'!N18+'7'!N18+'8'!N18+'9'!N18+'10'!N18</f>
        <v>332.4024</v>
      </c>
      <c r="O18" s="101">
        <f>+'1'!O18+'2'!O18+'4'!O18+'3'!O18+'5'!O18+'6'!O18+'7'!O18+'8'!O18+'9'!O18+'10'!O18</f>
        <v>10.895412000000002</v>
      </c>
      <c r="P18" s="120">
        <f t="shared" si="0"/>
        <v>2189.9778120000001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70</v>
      </c>
      <c r="I19" s="1">
        <f t="shared" si="1"/>
        <v>5084.8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610.17600000000004</v>
      </c>
      <c r="M19" s="118">
        <f t="shared" si="2"/>
        <v>4474.6239999999998</v>
      </c>
      <c r="N19" s="101">
        <f>+'1'!N19+'2'!N19+'4'!N19+'3'!N19+'5'!N19+'6'!N19+'7'!N19+'8'!N19+'9'!N19+'10'!N19</f>
        <v>805.43231999999989</v>
      </c>
      <c r="O19" s="101">
        <f>+'1'!O19+'2'!O19+'4'!O19+'3'!O19+'5'!O19+'6'!O19+'7'!O19+'8'!O19+'9'!O19+'10'!O19</f>
        <v>26.4002816</v>
      </c>
      <c r="P19" s="120">
        <f t="shared" si="0"/>
        <v>5306.4566015999999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40</v>
      </c>
      <c r="I20" s="1">
        <f t="shared" si="1"/>
        <v>2905.6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348.67199999999997</v>
      </c>
      <c r="M20" s="118">
        <f t="shared" si="2"/>
        <v>2556.9279999999999</v>
      </c>
      <c r="N20" s="101">
        <f>+'1'!N20+'2'!N20+'4'!N20+'3'!N20+'5'!N20+'6'!N20+'7'!N20+'8'!N20+'9'!N20+'10'!N20</f>
        <v>460.24703999999997</v>
      </c>
      <c r="O20" s="101">
        <f>+'1'!O20+'2'!O20+'4'!O20+'3'!O20+'5'!O20+'6'!O20+'7'!O20+'8'!O20+'9'!O20+'10'!O20</f>
        <v>15.0858752</v>
      </c>
      <c r="P20" s="120">
        <f t="shared" si="0"/>
        <v>3032.2609152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348.67199999999997</v>
      </c>
      <c r="M21" s="118">
        <f t="shared" si="2"/>
        <v>2556.9279999999999</v>
      </c>
      <c r="N21" s="101">
        <f>+'1'!N21+'2'!N21+'4'!N21+'3'!N21+'5'!N21+'6'!N21+'7'!N21+'8'!N21+'9'!N21+'10'!N21</f>
        <v>460.24703999999997</v>
      </c>
      <c r="O21" s="101">
        <f>+'1'!O21+'2'!O21+'4'!O21+'3'!O21+'5'!O21+'6'!O21+'7'!O21+'8'!O21+'9'!O21+'10'!O21</f>
        <v>15.0858752</v>
      </c>
      <c r="P21" s="120">
        <f t="shared" si="0"/>
        <v>3032.2609152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23" t="s">
        <v>84</v>
      </c>
      <c r="B25" s="224"/>
      <c r="C25" s="225"/>
      <c r="D25" s="219"/>
      <c r="E25" s="219"/>
      <c r="F25" s="219"/>
      <c r="G25" s="176">
        <f t="shared" ref="G25:M25" si="3">SUM(G16:G24)</f>
        <v>0</v>
      </c>
      <c r="H25" s="177">
        <f t="shared" si="3"/>
        <v>230</v>
      </c>
      <c r="I25" s="178">
        <f t="shared" si="3"/>
        <v>15093</v>
      </c>
      <c r="J25" s="177">
        <f t="shared" si="3"/>
        <v>0</v>
      </c>
      <c r="K25" s="178">
        <f t="shared" si="3"/>
        <v>0</v>
      </c>
      <c r="L25" s="179">
        <f t="shared" si="3"/>
        <v>1811.16</v>
      </c>
      <c r="M25" s="141">
        <f t="shared" si="3"/>
        <v>13281.84</v>
      </c>
      <c r="N25" s="142">
        <f>SUM(N16:N24)</f>
        <v>2390.7311999999997</v>
      </c>
      <c r="O25" s="143">
        <f>SUM(O16:O24)</f>
        <v>78.362856000000008</v>
      </c>
      <c r="P25" s="144">
        <f>SUM(P16:P24)</f>
        <v>15750.934056000002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15750.934056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15093</v>
      </c>
    </row>
    <row r="29" spans="1:21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1811.16</v>
      </c>
    </row>
    <row r="30" spans="1:21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21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13281.84</v>
      </c>
    </row>
    <row r="32" spans="1:21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2390.7311999999997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15672.5712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391.81428000000005</v>
      </c>
    </row>
    <row r="35" spans="2:16" ht="15.75" customHeight="1" thickBot="1" x14ac:dyDescent="0.4">
      <c r="N35" s="217" t="s">
        <v>92</v>
      </c>
      <c r="O35" s="218"/>
      <c r="P35" s="160">
        <f>P33+P34</f>
        <v>16064.385480000001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="85" zoomScaleNormal="85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v>46182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>N4-1</f>
        <v>46181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102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180">
        <v>0.12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2" si="5">I17*12%</f>
        <v>251.82</v>
      </c>
      <c r="M17" s="118">
        <f t="shared" ref="M17:M23" si="6">I17-K17-L17</f>
        <v>1846.68</v>
      </c>
      <c r="N17" s="118">
        <f t="shared" si="0"/>
        <v>332.4024</v>
      </c>
      <c r="O17" s="119">
        <f t="shared" si="1"/>
        <v>10.895412000000002</v>
      </c>
      <c r="P17" s="120">
        <f t="shared" si="2"/>
        <v>2189.9778120000001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/>
      <c r="K18" s="1">
        <f t="shared" si="4"/>
        <v>0</v>
      </c>
      <c r="L18" s="105">
        <f t="shared" si="5"/>
        <v>251.82</v>
      </c>
      <c r="M18" s="118">
        <f t="shared" si="6"/>
        <v>1846.68</v>
      </c>
      <c r="N18" s="118">
        <f t="shared" si="0"/>
        <v>332.4024</v>
      </c>
      <c r="O18" s="119">
        <f t="shared" si="1"/>
        <v>10.895412000000002</v>
      </c>
      <c r="P18" s="120">
        <f t="shared" si="2"/>
        <v>2189.9778120000001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70</v>
      </c>
      <c r="I19" s="116">
        <f t="shared" si="3"/>
        <v>5084.8</v>
      </c>
      <c r="J19" s="117"/>
      <c r="K19" s="1">
        <f t="shared" si="4"/>
        <v>0</v>
      </c>
      <c r="L19" s="105">
        <f t="shared" si="5"/>
        <v>610.17600000000004</v>
      </c>
      <c r="M19" s="118">
        <f t="shared" si="6"/>
        <v>4474.6239999999998</v>
      </c>
      <c r="N19" s="118">
        <f t="shared" si="0"/>
        <v>805.43231999999989</v>
      </c>
      <c r="O19" s="119">
        <f t="shared" si="1"/>
        <v>26.4002816</v>
      </c>
      <c r="P19" s="120">
        <f t="shared" si="2"/>
        <v>5306.4566015999999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348.67199999999997</v>
      </c>
      <c r="M20" s="118">
        <f t="shared" si="6"/>
        <v>2556.9279999999999</v>
      </c>
      <c r="N20" s="118">
        <f t="shared" si="0"/>
        <v>460.24703999999997</v>
      </c>
      <c r="O20" s="119">
        <f t="shared" si="1"/>
        <v>15.0858752</v>
      </c>
      <c r="P20" s="120">
        <f t="shared" si="2"/>
        <v>3032.2609152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348.67199999999997</v>
      </c>
      <c r="M21" s="118">
        <f t="shared" si="6"/>
        <v>2556.9279999999999</v>
      </c>
      <c r="N21" s="118">
        <f t="shared" si="0"/>
        <v>460.24703999999997</v>
      </c>
      <c r="O21" s="119">
        <f t="shared" si="1"/>
        <v>15.0858752</v>
      </c>
      <c r="P21" s="120">
        <f t="shared" si="2"/>
        <v>3032.2609152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230</v>
      </c>
      <c r="I25" s="137">
        <f t="shared" si="9"/>
        <v>15093</v>
      </c>
      <c r="J25" s="138"/>
      <c r="K25" s="139">
        <f t="shared" si="9"/>
        <v>0</v>
      </c>
      <c r="L25" s="140">
        <f t="shared" si="9"/>
        <v>1811.16</v>
      </c>
      <c r="M25" s="141">
        <f t="shared" si="9"/>
        <v>13281.84</v>
      </c>
      <c r="N25" s="142">
        <f>SUM(N16:N24)</f>
        <v>2390.7311999999997</v>
      </c>
      <c r="O25" s="143">
        <f>SUM(O16:O24)</f>
        <v>78.362856000000008</v>
      </c>
      <c r="P25" s="144">
        <f>SUM(P16:P24)</f>
        <v>15750.934056000002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15093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1811.16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13281.84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2390.7311999999997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15672.5712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78.362856000000008</v>
      </c>
    </row>
    <row r="35" spans="2:16" ht="15.75" customHeight="1" thickBot="1" x14ac:dyDescent="0.4">
      <c r="N35" s="217" t="s">
        <v>92</v>
      </c>
      <c r="O35" s="218"/>
      <c r="P35" s="160">
        <f>P33+P34</f>
        <v>15750.934056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2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4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3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5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6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7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8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9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7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46223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2026-07-21T08:03:50Z</dcterms:modified>
</cp:coreProperties>
</file>