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A277C27-C2D5-4D2E-8448-D6B711205AB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0" i="16" l="1"/>
  <c r="L21" i="16"/>
  <c r="L17" i="16" l="1"/>
  <c r="L18" i="16"/>
  <c r="L19" i="16"/>
  <c r="L22" i="16"/>
  <c r="L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K18" i="15" s="1"/>
  <c r="I19" i="16"/>
  <c r="I20" i="16"/>
  <c r="K20" i="16" s="1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17" i="15" l="1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P31" i="21" s="1"/>
  <c r="K16" i="15"/>
  <c r="L22" i="15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M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M16" i="15" l="1"/>
  <c r="L25" i="16"/>
  <c r="P29" i="16" s="1"/>
  <c r="M18" i="16"/>
  <c r="N18" i="16" s="1"/>
  <c r="N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O18" i="16" l="1"/>
  <c r="O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26" i="15" s="1"/>
  <c r="N25" i="15"/>
  <c r="P32" i="15" s="1"/>
  <c r="P33" i="15" s="1"/>
  <c r="P34" i="15" s="1"/>
  <c r="P35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<sst xmlns="http://schemas.openxmlformats.org/spreadsheetml/2006/main" count="1598" uniqueCount="107">
  <si>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</si>
  <si>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</si>
  <si>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</si>
  <si>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</si>
  <si>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</si>
  <si>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</si>
  <si>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</si>
  <si>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</si>
  <si>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</si>
  <si>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</si>
  <si>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</si>
  <si>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</si>
  <si>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</si>
  <si>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</si>
  <si>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</si>
  <si>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</si>
  <si>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</si>
  <si>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</si>
  <si>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</si>
  <si>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</si>
  <si>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</si>
  <si>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</si>
  <si>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</si>
  <si>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</si>
  <si>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</si>
  <si>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</si>
  <si>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</si>
  <si>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</si>
  <si>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</si>
  <si>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</si>
  <si>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</si>
  <si>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</si>
  <si>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</si>
  <si>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</si>
  <si>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</si>
  <si>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</si>
  <si>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</si>
  <si>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</si>
  <si>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</si>
  <si>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</si>
  <si>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</si>
  <si>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</si>
  <si>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</si>
  <si>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</si>
  <si>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</si>
  <si>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</si>
  <si>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</si>
  <si>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</si>
  <si>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</si>
  <si>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</si>
  <si>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</si>
  <si>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</si>
  <si>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</si>
  <si>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</si>
  <si>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</si>
  <si>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</si>
  <si>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</si>
  <si>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</si>
  <si>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</si>
  <si>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</si>
  <si>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</si>
  <si>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</si>
  <si>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</si>
  <si>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</si>
  <si>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</si>
  <si>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</si>
  <si>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</si>
  <si>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</si>
  <si>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</si>
  <si>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</si>
  <si>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</si>
  <si>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</si>
  <si>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</si>
  <si>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</si>
  <si>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</si>
  <si>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</si>
  <si>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</si>
  <si>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</si>
  <si>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</si>
  <si>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</si>
  <si>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</si>
  <si>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</si>
  <si>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</si>
  <si>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</si>
  <si>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</si>
  <si>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</si>
  <si>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</si>
  <si>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</si>
  <si>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</si>
  <si>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</si>
  <si>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</si>
  <si>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</si>
  <si>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</si>
  <si>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</si>
  <si>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</si>
  <si>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</si>
  <si>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</si>
  <si>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</si>
  <si>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</si>
  <si>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</si>
  <si>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</si>
  <si>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</si>
  <si>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</si>
  <si>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</si>
  <si>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 xml:space="preserve">Customer Name : Jalal Sons </t>
  </si>
  <si>
    <t>Address: Askari 10</t>
  </si>
  <si>
    <t>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</si>
</sst>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1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1"/>
      <c r="B3" s="181"/>
      <c r="C3" s="181"/>
      <c r="D3" s="181"/>
      <c r="E3" s="181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</row>
    <row r="4" spans="1:29" x14ac:dyDescent="0.35">
      <c r="A4" s="183" t="s">
        <v>6</v>
      </c>
      <c r="B4" s="5" t="s">
        <v>7</v>
      </c>
      <c r="C4" s="5"/>
      <c r="D4" s="185" t="s">
        <v>8</v>
      </c>
      <c r="E4" s="187" t="s">
        <v>9</v>
      </c>
      <c r="F4" s="189" t="s">
        <v>3</v>
      </c>
      <c r="G4" s="189"/>
      <c r="H4" s="190" t="s">
        <v>10</v>
      </c>
      <c r="I4" s="190"/>
      <c r="J4" s="191" t="s">
        <v>11</v>
      </c>
      <c r="K4" s="192"/>
      <c r="L4" s="191" t="s">
        <v>12</v>
      </c>
      <c r="M4" s="192"/>
      <c r="N4" s="193" t="s">
        <v>13</v>
      </c>
      <c r="O4" s="193"/>
      <c r="P4" s="191" t="s">
        <v>4</v>
      </c>
      <c r="Q4" s="192"/>
      <c r="R4" s="191" t="s">
        <v>14</v>
      </c>
      <c r="S4" s="192"/>
      <c r="T4" s="194" t="s">
        <v>15</v>
      </c>
      <c r="U4" s="194"/>
      <c r="V4" s="195" t="s">
        <v>16</v>
      </c>
      <c r="W4" s="196"/>
      <c r="X4" s="195" t="s">
        <v>17</v>
      </c>
      <c r="Y4" s="196"/>
    </row>
    <row r="5" spans="1:29" ht="26.25" customHeight="1" thickBot="1" x14ac:dyDescent="0.4">
      <c r="A5" s="184"/>
      <c r="B5" s="7" t="s">
        <v>18</v>
      </c>
      <c r="C5" s="7" t="s">
        <v>8</v>
      </c>
      <c r="D5" s="186"/>
      <c r="E5" s="188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3" t="s">
        <v>45</v>
      </c>
      <c r="B2" s="243"/>
      <c r="C2" s="243"/>
    </row>
    <row r="3" spans="1:21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2" t="s">
        <v>103</v>
      </c>
      <c r="B5" s="242"/>
      <c r="C5" s="242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21 16383:16384" ht="15" customHeight="1" x14ac:dyDescent="0.35">
      <c r="A6" s="242"/>
      <c r="B6" s="242"/>
      <c r="C6" s="242"/>
      <c r="F6" s="70"/>
      <c r="G6" s="74"/>
      <c r="K6" s="227" t="s">
        <v>52</v>
      </c>
      <c r="L6" s="227"/>
      <c r="M6" s="227"/>
      <c r="N6" s="240" t="s">
        <v>42</v>
      </c>
      <c r="O6" s="240"/>
      <c r="P6" s="24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21 16383:16384" hidden="1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21 16383:16384" x14ac:dyDescent="0.35">
      <c r="A10" s="225"/>
      <c r="B10" s="75"/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21 16383:16384" ht="15" thickBot="1" x14ac:dyDescent="0.4">
      <c r="A11" s="225"/>
      <c r="B11" s="76"/>
      <c r="C11" s="77"/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21 16383:16384" ht="14.65" customHeight="1" x14ac:dyDescent="0.35">
      <c r="A12" s="225"/>
      <c r="B12" s="76"/>
      <c r="C12" s="77"/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T12" s="197" t="s">
        <v>99</v>
      </c>
      <c r="U12" s="198"/>
      <c r="XFD12" t="s">
        <v>62</v>
      </c>
    </row>
    <row r="13" spans="1:21 16383:16384" ht="15" thickBot="1" x14ac:dyDescent="0.4">
      <c r="A13" s="226"/>
      <c r="J13" s="78"/>
      <c r="K13" s="78"/>
      <c r="L13" s="79">
        <v>0.05</v>
      </c>
      <c r="T13" s="199"/>
      <c r="U13" s="200"/>
      <c r="XFD13" t="s">
        <v>63</v>
      </c>
    </row>
    <row r="14" spans="1:21 16383:16384" ht="29.25" customHeight="1" x14ac:dyDescent="0.6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35" t="s">
        <v>68</v>
      </c>
      <c r="H14" s="236"/>
      <c r="I14" s="236" t="s">
        <v>69</v>
      </c>
      <c r="J14" s="236" t="s">
        <v>70</v>
      </c>
      <c r="K14" s="236"/>
      <c r="L14" s="238"/>
      <c r="M14" s="23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Jalal Sons </v>
      </c>
      <c r="U14" s="164">
        <f>+'1'!P35</f>
        <v>13476.738369600002</v>
      </c>
      <c r="XFD14" t="s">
        <v>75</v>
      </c>
    </row>
    <row r="15" spans="1:21 16383:16384" ht="29.25" customHeight="1" thickBot="1" x14ac:dyDescent="0.65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7"/>
      <c r="J15" s="171" t="s">
        <v>78</v>
      </c>
      <c r="K15" s="171" t="s">
        <v>79</v>
      </c>
      <c r="L15" s="174" t="s">
        <v>80</v>
      </c>
      <c r="M15" s="23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Jalal Sons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0</v>
      </c>
      <c r="I16" s="1">
        <f>(G16*D16)*F16+H16*F16</f>
        <v>0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 xml:space="preserve">Customer Name : Jalal Sons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251.82</v>
      </c>
      <c r="M17" s="118">
        <f t="shared" ref="M17:M23" si="2">I17-K17-L17</f>
        <v>1846.68</v>
      </c>
      <c r="N17" s="101">
        <f>+'1'!N17+'2'!N17+'4'!N17+'3'!N17+'5'!N17+'6'!N17+'7'!N17+'8'!N17+'9'!N17+'10'!N17</f>
        <v>332.4024</v>
      </c>
      <c r="O17" s="101">
        <f>+'1'!O17+'2'!O17+'4'!O17+'3'!O17+'5'!O17+'6'!O17+'7'!O17+'8'!O17+'9'!O17+'10'!O17</f>
        <v>10.895412000000002</v>
      </c>
      <c r="P17" s="120">
        <f t="shared" si="0"/>
        <v>2189.9778120000001</v>
      </c>
      <c r="S17" s="64"/>
      <c r="T17" s="163" t="str">
        <f>+'3'!A5</f>
        <v xml:space="preserve">Customer Name : Jalal Sons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</v>
      </c>
      <c r="I18" s="1">
        <f t="shared" si="1"/>
        <v>2098.5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251.82</v>
      </c>
      <c r="M18" s="118">
        <f t="shared" si="2"/>
        <v>1846.68</v>
      </c>
      <c r="N18" s="101">
        <f>+'1'!N18+'2'!N18+'4'!N18+'3'!N18+'5'!N18+'6'!N18+'7'!N18+'8'!N18+'9'!N18+'10'!N18</f>
        <v>332.4024</v>
      </c>
      <c r="O18" s="101">
        <f>+'1'!O18+'2'!O18+'4'!O18+'3'!O18+'5'!O18+'6'!O18+'7'!O18+'8'!O18+'9'!O18+'10'!O18</f>
        <v>10.895412000000002</v>
      </c>
      <c r="P18" s="120">
        <f t="shared" si="0"/>
        <v>2189.9778120000001</v>
      </c>
      <c r="T18" s="163" t="str">
        <f>+'5'!A5</f>
        <v xml:space="preserve">Customer Name : Jalal Sons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</v>
      </c>
      <c r="I19" s="1">
        <f t="shared" si="1"/>
        <v>2905.6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348.67199999999997</v>
      </c>
      <c r="M19" s="118">
        <f t="shared" si="2"/>
        <v>2556.9279999999999</v>
      </c>
      <c r="N19" s="101">
        <f>+'1'!N19+'2'!N19+'4'!N19+'3'!N19+'5'!N19+'6'!N19+'7'!N19+'8'!N19+'9'!N19+'10'!N19</f>
        <v>460.24703999999997</v>
      </c>
      <c r="O19" s="101">
        <f>+'1'!O19+'2'!O19+'4'!O19+'3'!O19+'5'!O19+'6'!O19+'7'!O19+'8'!O19+'9'!O19+'10'!O19</f>
        <v>15.0858752</v>
      </c>
      <c r="P19" s="120">
        <f t="shared" si="0"/>
        <v>3032.2609152</v>
      </c>
      <c r="T19" s="163" t="str">
        <f>+'6'!A5</f>
        <v xml:space="preserve">Customer Name : Jalal Sons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40</v>
      </c>
      <c r="I20" s="1">
        <f t="shared" si="1"/>
        <v>2905.6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348.67199999999997</v>
      </c>
      <c r="M20" s="118">
        <f t="shared" si="2"/>
        <v>2556.9279999999999</v>
      </c>
      <c r="N20" s="101">
        <f>+'1'!N20+'2'!N20+'4'!N20+'3'!N20+'5'!N20+'6'!N20+'7'!N20+'8'!N20+'9'!N20+'10'!N20</f>
        <v>460.24703999999997</v>
      </c>
      <c r="O20" s="101">
        <f>+'1'!O20+'2'!O20+'4'!O20+'3'!O20+'5'!O20+'6'!O20+'7'!O20+'8'!O20+'9'!O20+'10'!O20</f>
        <v>15.0858752</v>
      </c>
      <c r="P20" s="120">
        <f t="shared" si="0"/>
        <v>3032.2609152</v>
      </c>
      <c r="T20" s="163" t="str">
        <f>+'7'!A5</f>
        <v xml:space="preserve">Customer Name : Jalal Sons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</v>
      </c>
      <c r="I21" s="1">
        <f t="shared" si="1"/>
        <v>2905.6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348.67199999999997</v>
      </c>
      <c r="M21" s="118">
        <f t="shared" si="2"/>
        <v>2556.9279999999999</v>
      </c>
      <c r="N21" s="101">
        <f>+'1'!N21+'2'!N21+'4'!N21+'3'!N21+'5'!N21+'6'!N21+'7'!N21+'8'!N21+'9'!N21+'10'!N21</f>
        <v>460.24703999999997</v>
      </c>
      <c r="O21" s="101">
        <f>+'1'!O21+'2'!O21+'4'!O21+'3'!O21+'5'!O21+'6'!O21+'7'!O21+'8'!O21+'9'!O21+'10'!O21</f>
        <v>15.0858752</v>
      </c>
      <c r="P21" s="120">
        <f t="shared" si="0"/>
        <v>3032.2609152</v>
      </c>
      <c r="T21" s="163" t="str">
        <f>+'8'!A5</f>
        <v xml:space="preserve">Customer Name : Jalal Sons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Jalal Sons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Jalal Sons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Jalal Sons </v>
      </c>
      <c r="U24" s="164">
        <f>+'11'!P35</f>
        <v>0</v>
      </c>
    </row>
    <row r="25" spans="1:21 16384:16384" ht="26.5" thickBot="1" x14ac:dyDescent="0.65">
      <c r="A25" s="207" t="s">
        <v>84</v>
      </c>
      <c r="B25" s="208"/>
      <c r="C25" s="209"/>
      <c r="D25" s="203"/>
      <c r="E25" s="203"/>
      <c r="F25" s="203"/>
      <c r="G25" s="176">
        <f t="shared" ref="G25:M25" si="3">SUM(G16:G24)</f>
        <v>0</v>
      </c>
      <c r="H25" s="177">
        <f t="shared" si="3"/>
        <v>200</v>
      </c>
      <c r="I25" s="178">
        <f t="shared" si="3"/>
        <v>12913.800000000001</v>
      </c>
      <c r="J25" s="177">
        <f t="shared" si="3"/>
        <v>0</v>
      </c>
      <c r="K25" s="178">
        <f t="shared" si="3"/>
        <v>0</v>
      </c>
      <c r="L25" s="179">
        <f t="shared" si="3"/>
        <v>1549.6559999999999</v>
      </c>
      <c r="M25" s="141">
        <f t="shared" si="3"/>
        <v>11364.144</v>
      </c>
      <c r="N25" s="142">
        <f>SUM(N16:N24)</f>
        <v>2045.54592</v>
      </c>
      <c r="O25" s="143">
        <f>SUM(O16:O24)</f>
        <v>67.048449600000012</v>
      </c>
      <c r="P25" s="144">
        <f>SUM(P16:P24)</f>
        <v>13476.738369600002</v>
      </c>
      <c r="T25" s="163" t="str">
        <f>+'12'!A5</f>
        <v xml:space="preserve">Customer Name : Jalal Sons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13476.738369600002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12913.800000000001</v>
      </c>
    </row>
    <row r="29" spans="1:21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1549.6559999999999</v>
      </c>
    </row>
    <row r="30" spans="1:21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21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11364.144</v>
      </c>
    </row>
    <row r="32" spans="1:21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2045.54592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13409.689920000001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335.24224800000002</v>
      </c>
    </row>
    <row r="35" spans="2:16" ht="15.75" customHeight="1" thickBot="1" x14ac:dyDescent="0.4">
      <c r="N35" s="201" t="s">
        <v>92</v>
      </c>
      <c r="O35" s="202"/>
      <c r="P35" s="160">
        <f>P33+P34</f>
        <v>13744.932168000001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5" zoomScale="85" zoomScaleNormal="85" workbookViewId="0">
      <selection activeCell="H37" sqref="H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7.6328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906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1001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102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168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180">
        <v>0.12</v>
      </c>
      <c r="M15" s="24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2" si="5">I17*12%</f>
        <v>251.82</v>
      </c>
      <c r="M17" s="118">
        <f t="shared" ref="M17:M23" si="6">I17-K17-L17</f>
        <v>1846.68</v>
      </c>
      <c r="N17" s="118">
        <f t="shared" si="0"/>
        <v>332.4024</v>
      </c>
      <c r="O17" s="119">
        <f t="shared" si="1"/>
        <v>10.895412000000002</v>
      </c>
      <c r="P17" s="120">
        <f t="shared" si="2"/>
        <v>2189.9778120000001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/>
      <c r="K18" s="1">
        <f t="shared" si="4"/>
        <v>0</v>
      </c>
      <c r="L18" s="105">
        <f t="shared" si="5"/>
        <v>251.82</v>
      </c>
      <c r="M18" s="118">
        <f t="shared" si="6"/>
        <v>1846.68</v>
      </c>
      <c r="N18" s="118">
        <f t="shared" si="0"/>
        <v>332.4024</v>
      </c>
      <c r="O18" s="119">
        <f t="shared" si="1"/>
        <v>10.895412000000002</v>
      </c>
      <c r="P18" s="120">
        <f t="shared" si="2"/>
        <v>2189.9778120000001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348.67199999999997</v>
      </c>
      <c r="M19" s="118">
        <f t="shared" si="6"/>
        <v>2556.9279999999999</v>
      </c>
      <c r="N19" s="118">
        <f t="shared" si="0"/>
        <v>460.24703999999997</v>
      </c>
      <c r="O19" s="119">
        <f t="shared" si="1"/>
        <v>15.0858752</v>
      </c>
      <c r="P19" s="120">
        <f t="shared" si="2"/>
        <v>3032.2609152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348.67199999999997</v>
      </c>
      <c r="M20" s="118">
        <f t="shared" si="6"/>
        <v>2556.9279999999999</v>
      </c>
      <c r="N20" s="118">
        <f t="shared" si="0"/>
        <v>460.24703999999997</v>
      </c>
      <c r="O20" s="119">
        <f t="shared" si="1"/>
        <v>15.0858752</v>
      </c>
      <c r="P20" s="120">
        <f t="shared" si="2"/>
        <v>3032.2609152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348.67199999999997</v>
      </c>
      <c r="M21" s="118">
        <f t="shared" si="6"/>
        <v>2556.9279999999999</v>
      </c>
      <c r="N21" s="118">
        <f t="shared" si="0"/>
        <v>460.24703999999997</v>
      </c>
      <c r="O21" s="119">
        <f t="shared" si="1"/>
        <v>15.0858752</v>
      </c>
      <c r="P21" s="120">
        <f t="shared" si="2"/>
        <v>3032.2609152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05">
        <f t="shared" si="5"/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0</v>
      </c>
      <c r="L25" s="140">
        <f t="shared" si="9"/>
        <v>1549.6559999999999</v>
      </c>
      <c r="M25" s="141">
        <f t="shared" si="9"/>
        <v>11364.144</v>
      </c>
      <c r="N25" s="142">
        <f>SUM(N16:N24)</f>
        <v>2045.54592</v>
      </c>
      <c r="O25" s="143">
        <f>SUM(O16:O24)</f>
        <v>67.048449600000012</v>
      </c>
      <c r="P25" s="144">
        <f>SUM(P16:P24)</f>
        <v>13476.738369600002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12913.800000000001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1549.6559999999999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11364.144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0.18</v>
      </c>
      <c r="P32" s="153">
        <f>N25</f>
        <v>2045.54592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13409.689920000001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67.048449599999998</v>
      </c>
    </row>
    <row r="35" spans="2:16" ht="15.75" customHeight="1" thickBot="1" x14ac:dyDescent="0.4">
      <c r="N35" s="201" t="s">
        <v>92</v>
      </c>
      <c r="O35" s="202"/>
      <c r="P35" s="160">
        <f>P33+P34</f>
        <v>13476.738369600002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2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168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4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169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56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3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5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169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6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7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169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8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9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167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44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50</v>
      </c>
      <c r="C11" s="77" t="str">
        <f>IF($O34&gt;2.49%,"No","Yes")</f>
        <v>No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3" t="s">
        <v>45</v>
      </c>
      <c r="B2" s="243"/>
      <c r="C2" s="243"/>
    </row>
    <row r="3" spans="1:19 16383:16384" ht="15" customHeight="1" x14ac:dyDescent="0.35">
      <c r="A3" s="228" t="s">
        <v>46</v>
      </c>
      <c r="B3" s="228"/>
      <c r="C3" s="228"/>
      <c r="F3" s="70"/>
      <c r="G3" s="71"/>
      <c r="K3" s="227" t="s">
        <v>47</v>
      </c>
      <c r="L3" s="227"/>
      <c r="M3" s="227"/>
      <c r="N3" s="228">
        <v>10</v>
      </c>
      <c r="O3" s="228"/>
      <c r="P3" s="22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8" t="s">
        <v>94</v>
      </c>
      <c r="B4" s="228"/>
      <c r="C4" s="228"/>
      <c r="F4" s="70"/>
      <c r="G4" s="71"/>
      <c r="K4" s="227" t="s">
        <v>49</v>
      </c>
      <c r="L4" s="227"/>
      <c r="M4" s="227"/>
      <c r="N4" s="241">
        <f ca="1">TODAY()</f>
        <v>46212</v>
      </c>
      <c r="O4" s="241"/>
      <c r="P4" s="24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104</v>
      </c>
      <c r="B5" s="250"/>
      <c r="C5" s="250"/>
      <c r="F5" s="70"/>
      <c r="G5" s="71"/>
      <c r="K5" s="227" t="s">
        <v>51</v>
      </c>
      <c r="L5" s="227"/>
      <c r="M5" s="227"/>
      <c r="N5" s="241">
        <f ca="1">N4-1</f>
        <v>46211</v>
      </c>
      <c r="O5" s="228"/>
      <c r="P5" s="228"/>
      <c r="R5" s="70"/>
      <c r="S5" s="71"/>
    </row>
    <row r="6" spans="1:19 16383:16384" ht="15" customHeight="1" x14ac:dyDescent="0.35">
      <c r="A6" s="227" t="s">
        <v>105</v>
      </c>
      <c r="B6" s="227"/>
      <c r="C6" s="227"/>
      <c r="F6" s="70"/>
      <c r="G6" s="74"/>
      <c r="K6" s="227" t="s">
        <v>52</v>
      </c>
      <c r="L6" s="227"/>
      <c r="M6" s="227"/>
      <c r="N6" s="240" t="s">
        <v>97</v>
      </c>
      <c r="O6" s="240"/>
      <c r="P6" s="24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7"/>
      <c r="B7" s="227"/>
      <c r="C7" s="227"/>
      <c r="F7" s="70"/>
      <c r="G7" s="74"/>
      <c r="K7" s="227"/>
      <c r="L7" s="227"/>
      <c r="M7" s="227"/>
      <c r="N7" s="240"/>
      <c r="O7" s="240"/>
      <c r="P7" s="24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27"/>
      <c r="L8" s="227"/>
      <c r="M8" s="227"/>
      <c r="N8" s="240"/>
      <c r="O8" s="240"/>
      <c r="P8" s="240"/>
      <c r="R8" s="70"/>
      <c r="S8" s="74"/>
    </row>
    <row r="9" spans="1:19 16383:16384" x14ac:dyDescent="0.35">
      <c r="A9" s="239"/>
      <c r="B9" s="239"/>
      <c r="C9" s="239"/>
      <c r="F9" s="70"/>
      <c r="G9" s="74"/>
      <c r="K9" s="227"/>
      <c r="L9" s="227"/>
      <c r="M9" s="227"/>
      <c r="N9" s="240"/>
      <c r="O9" s="240"/>
      <c r="P9" s="240"/>
      <c r="R9" s="70"/>
      <c r="S9" s="74"/>
      <c r="XFD9" t="s">
        <v>55</v>
      </c>
    </row>
    <row r="10" spans="1:19 16383:16384" x14ac:dyDescent="0.35">
      <c r="A10" s="225" t="s">
        <v>95</v>
      </c>
      <c r="B10" s="75" t="s">
        <v>106</v>
      </c>
      <c r="C10" s="75"/>
      <c r="F10" s="70"/>
      <c r="G10" s="71"/>
      <c r="K10" s="227" t="s">
        <v>56</v>
      </c>
      <c r="L10" s="227"/>
      <c r="M10" s="227"/>
      <c r="N10" s="228" t="s">
        <v>57</v>
      </c>
      <c r="O10" s="228"/>
      <c r="P10" s="228"/>
      <c r="R10" s="70"/>
      <c r="S10" s="71"/>
      <c r="XFD10" t="s">
        <v>58</v>
      </c>
    </row>
    <row r="11" spans="1:19 16383:16384" x14ac:dyDescent="0.35">
      <c r="A11" s="225"/>
      <c r="B11" s="76" t="s">
        <v>48</v>
      </c>
      <c r="C11" s="77" t="str">
        <f>IF($O34&gt;2.49%,"No","Yes")</f>
        <v>Yes</v>
      </c>
      <c r="F11" s="70"/>
      <c r="G11" s="71"/>
      <c r="K11" s="227" t="s">
        <v>59</v>
      </c>
      <c r="L11" s="227"/>
      <c r="M11" s="227"/>
      <c r="N11" s="228" t="s">
        <v>55</v>
      </c>
      <c r="O11" s="228"/>
      <c r="P11" s="228"/>
      <c r="R11" s="70"/>
      <c r="S11" s="71"/>
    </row>
    <row r="12" spans="1:19 16383:16384" ht="14.65" customHeight="1" x14ac:dyDescent="0.35">
      <c r="A12" s="225" t="s">
        <v>60</v>
      </c>
      <c r="B12" s="76" t="s">
        <v>54</v>
      </c>
      <c r="C12" s="77" t="str">
        <f>IF($O32&gt;21.99%,"No","Yes")</f>
        <v>No</v>
      </c>
      <c r="F12" s="70"/>
      <c r="G12" s="71"/>
      <c r="K12" s="227" t="s">
        <v>61</v>
      </c>
      <c r="L12" s="227"/>
      <c r="M12" s="227"/>
      <c r="N12" s="228"/>
      <c r="O12" s="228"/>
      <c r="P12" s="228"/>
      <c r="R12" s="70"/>
      <c r="S12" s="71"/>
      <c r="XFD12" t="s">
        <v>62</v>
      </c>
    </row>
    <row r="13" spans="1:19 16383:16384" ht="15" thickBot="1" x14ac:dyDescent="0.4">
      <c r="A13" s="226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9" t="s">
        <v>64</v>
      </c>
      <c r="B14" s="230"/>
      <c r="C14" s="23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1"/>
      <c r="B15" s="232"/>
      <c r="C15" s="23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7" t="s">
        <v>84</v>
      </c>
      <c r="B25" s="208"/>
      <c r="C25" s="209"/>
      <c r="D25" s="203"/>
      <c r="E25" s="203"/>
      <c r="F25" s="24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0" t="s">
        <v>85</v>
      </c>
      <c r="C28" s="211"/>
      <c r="D28" s="211"/>
      <c r="E28" s="211"/>
      <c r="F28" s="211"/>
      <c r="G28" s="211"/>
      <c r="H28" s="211"/>
      <c r="I28" s="211"/>
      <c r="J28" s="211"/>
      <c r="K28" s="211"/>
      <c r="L28" s="212"/>
      <c r="N28" s="219" t="s">
        <v>86</v>
      </c>
      <c r="O28" s="220"/>
      <c r="P28" s="152">
        <f>I25</f>
        <v>0</v>
      </c>
    </row>
    <row r="29" spans="1:19 16384:16384" ht="15" customHeight="1" x14ac:dyDescent="0.35">
      <c r="B29" s="213"/>
      <c r="C29" s="214"/>
      <c r="D29" s="214"/>
      <c r="E29" s="214"/>
      <c r="F29" s="214"/>
      <c r="G29" s="214"/>
      <c r="H29" s="214"/>
      <c r="I29" s="214"/>
      <c r="J29" s="214"/>
      <c r="K29" s="214"/>
      <c r="L29" s="215"/>
      <c r="N29" s="221" t="s">
        <v>87</v>
      </c>
      <c r="O29" s="222"/>
      <c r="P29" s="153">
        <f>L25</f>
        <v>0</v>
      </c>
    </row>
    <row r="30" spans="1:19 16384:16384" ht="15" customHeight="1" x14ac:dyDescent="0.35">
      <c r="B30" s="213"/>
      <c r="C30" s="214"/>
      <c r="D30" s="214"/>
      <c r="E30" s="214"/>
      <c r="F30" s="214"/>
      <c r="G30" s="214"/>
      <c r="H30" s="214"/>
      <c r="I30" s="214"/>
      <c r="J30" s="214"/>
      <c r="K30" s="214"/>
      <c r="L30" s="215"/>
      <c r="N30" s="221" t="s">
        <v>4</v>
      </c>
      <c r="O30" s="222"/>
      <c r="P30" s="154">
        <f>K25</f>
        <v>0</v>
      </c>
    </row>
    <row r="31" spans="1:19 16384:16384" ht="15" customHeight="1" x14ac:dyDescent="0.35">
      <c r="B31" s="213"/>
      <c r="C31" s="214"/>
      <c r="D31" s="214"/>
      <c r="E31" s="214"/>
      <c r="F31" s="214"/>
      <c r="G31" s="214"/>
      <c r="H31" s="214"/>
      <c r="I31" s="214"/>
      <c r="J31" s="214"/>
      <c r="K31" s="214"/>
      <c r="L31" s="215"/>
      <c r="M31" s="2"/>
      <c r="N31" s="221" t="s">
        <v>88</v>
      </c>
      <c r="O31" s="222"/>
      <c r="P31" s="153">
        <f>P28-P29-P30</f>
        <v>0</v>
      </c>
    </row>
    <row r="32" spans="1:19 16384:16384" ht="15" customHeight="1" x14ac:dyDescent="0.35">
      <c r="B32" s="213"/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3"/>
      <c r="C33" s="214"/>
      <c r="D33" s="214"/>
      <c r="E33" s="214"/>
      <c r="F33" s="214"/>
      <c r="G33" s="214"/>
      <c r="H33" s="214"/>
      <c r="I33" s="214"/>
      <c r="J33" s="214"/>
      <c r="K33" s="214"/>
      <c r="L33" s="215"/>
      <c r="M33" s="2"/>
      <c r="N33" s="223" t="s">
        <v>90</v>
      </c>
      <c r="O33" s="224"/>
      <c r="P33" s="153">
        <f>P31+P32</f>
        <v>0</v>
      </c>
    </row>
    <row r="34" spans="2:16" ht="15" customHeight="1" thickBot="1" x14ac:dyDescent="0.4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1" t="s">
        <v>92</v>
      </c>
      <c r="O35" s="202"/>
      <c r="P35" s="160">
        <f>P33+P34</f>
        <v>0</v>
      </c>
    </row>
    <row r="36" spans="2:16" ht="15" thickBot="1" x14ac:dyDescent="0.4">
      <c r="B36" s="161" t="s">
        <v>93</v>
      </c>
      <c r="C36" s="203"/>
      <c r="D36" s="203"/>
      <c r="E36" s="203"/>
      <c r="F36" s="203"/>
      <c r="G36" s="203"/>
      <c r="H36" s="203"/>
      <c r="I36" s="204"/>
      <c r="J36" s="205"/>
      <c r="K36" s="20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2026-07-09T07:50:01Z</dcterms:modified>
</cp:coreProperties>
</file>