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760FCF3-7803-4CCC-B80C-4D201255DB4B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'1'!$A$1:$P$36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7" i="33" l="1"/>
  <c r="L17" i="33"/>
  <c r="K18" i="33"/>
  <c r="L18" i="33"/>
  <c r="M18" i="33" s="1"/>
  <c r="I16" i="31"/>
  <c r="L16" i="31" s="1"/>
  <c r="I17" i="31"/>
  <c r="L17" i="31" s="1"/>
  <c r="I18" i="31"/>
  <c r="L18" i="31" s="1"/>
  <c r="I19" i="31"/>
  <c r="I20" i="31"/>
  <c r="L20" i="31" s="1"/>
  <c r="I21" i="31"/>
  <c r="L21" i="31" s="1"/>
  <c r="I22" i="31"/>
  <c r="I23" i="31"/>
  <c r="K23" i="31" s="1"/>
  <c r="I24" i="31"/>
  <c r="I23" i="32"/>
  <c r="I22" i="33"/>
  <c r="I16" i="34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M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 s="1"/>
  <c r="K18" i="35"/>
  <c r="M18" i="35" s="1"/>
  <c r="K19" i="35"/>
  <c r="K20" i="35"/>
  <c r="K21" i="35"/>
  <c r="M21" i="35" s="1"/>
  <c r="K22" i="35"/>
  <c r="M22" i="35" s="1"/>
  <c r="L22" i="35"/>
  <c r="K23" i="35"/>
  <c r="L23" i="35"/>
  <c r="M23" i="35" s="1"/>
  <c r="K24" i="35"/>
  <c r="M24" i="35" s="1"/>
  <c r="L24" i="35"/>
  <c r="K17" i="34"/>
  <c r="K18" i="34"/>
  <c r="K19" i="34"/>
  <c r="K22" i="34"/>
  <c r="L22" i="34"/>
  <c r="K23" i="34"/>
  <c r="M23" i="34"/>
  <c r="L23" i="34"/>
  <c r="K24" i="34"/>
  <c r="K21" i="33"/>
  <c r="K22" i="33"/>
  <c r="L22" i="33"/>
  <c r="K23" i="33"/>
  <c r="K20" i="33"/>
  <c r="K24" i="33"/>
  <c r="M24" i="33" s="1"/>
  <c r="L24" i="33"/>
  <c r="M17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K24" i="31"/>
  <c r="L24" i="31"/>
  <c r="M24" i="31" s="1"/>
  <c r="K16" i="31"/>
  <c r="K18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2" i="29"/>
  <c r="L22" i="29"/>
  <c r="K18" i="29"/>
  <c r="K23" i="29"/>
  <c r="I25" i="28"/>
  <c r="P28" i="28" s="1"/>
  <c r="K16" i="28"/>
  <c r="K17" i="28"/>
  <c r="M17" i="28" s="1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0" i="29" l="1"/>
  <c r="M20" i="29" s="1"/>
  <c r="N20" i="29" s="1"/>
  <c r="O20" i="29" s="1"/>
  <c r="K19" i="33"/>
  <c r="M22" i="33"/>
  <c r="N22" i="33" s="1"/>
  <c r="O22" i="33" s="1"/>
  <c r="K21" i="34"/>
  <c r="M21" i="34" s="1"/>
  <c r="N21" i="34" s="1"/>
  <c r="O21" i="34" s="1"/>
  <c r="K19" i="29"/>
  <c r="L19" i="29"/>
  <c r="K20" i="34"/>
  <c r="L20" i="34"/>
  <c r="L25" i="34" s="1"/>
  <c r="P29" i="34" s="1"/>
  <c r="I25" i="34"/>
  <c r="P28" i="34" s="1"/>
  <c r="L16" i="34"/>
  <c r="K19" i="31"/>
  <c r="K25" i="31" s="1"/>
  <c r="P30" i="31" s="1"/>
  <c r="L19" i="31"/>
  <c r="M19" i="31" s="1"/>
  <c r="N19" i="31" s="1"/>
  <c r="O19" i="31" s="1"/>
  <c r="M22" i="29"/>
  <c r="M22" i="31"/>
  <c r="M23" i="33"/>
  <c r="I16" i="26"/>
  <c r="L16" i="26" s="1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6" i="27"/>
  <c r="K17" i="27"/>
  <c r="K20" i="27"/>
  <c r="K22" i="27"/>
  <c r="L22" i="27"/>
  <c r="K23" i="27"/>
  <c r="L23" i="27"/>
  <c r="K24" i="27"/>
  <c r="L24" i="27"/>
  <c r="K19" i="27"/>
  <c r="K18" i="27"/>
  <c r="K17" i="26"/>
  <c r="L22" i="26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M20" i="34" l="1"/>
  <c r="N20" i="34" s="1"/>
  <c r="O20" i="34" s="1"/>
  <c r="M19" i="29"/>
  <c r="N19" i="29" s="1"/>
  <c r="O19" i="29" s="1"/>
  <c r="K25" i="34"/>
  <c r="P30" i="34" s="1"/>
  <c r="K21" i="26"/>
  <c r="M21" i="26" s="1"/>
  <c r="N21" i="26" s="1"/>
  <c r="O21" i="26" s="1"/>
  <c r="K21" i="27"/>
  <c r="K25" i="27" s="1"/>
  <c r="P30" i="27" s="1"/>
  <c r="I25" i="27"/>
  <c r="P28" i="27" s="1"/>
  <c r="K25" i="29"/>
  <c r="P30" i="29" s="1"/>
  <c r="P31" i="29" s="1"/>
  <c r="L25" i="31"/>
  <c r="P29" i="31" s="1"/>
  <c r="P31" i="31" s="1"/>
  <c r="K18" i="26"/>
  <c r="L18" i="26"/>
  <c r="L25" i="26" s="1"/>
  <c r="P29" i="26" s="1"/>
  <c r="K16" i="26"/>
  <c r="K20" i="26"/>
  <c r="M20" i="26" s="1"/>
  <c r="N20" i="26" s="1"/>
  <c r="O20" i="26" s="1"/>
  <c r="K19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31" i="34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N17" i="26"/>
  <c r="O17" i="26" s="1"/>
  <c r="P17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6" l="1"/>
  <c r="P30" i="26" s="1"/>
  <c r="P33" i="32"/>
  <c r="P34" i="32" s="1"/>
  <c r="P35" i="32" s="1"/>
  <c r="I16" i="25"/>
  <c r="L16" i="25" s="1"/>
  <c r="I17" i="25"/>
  <c r="L17" i="25" s="1"/>
  <c r="I18" i="25"/>
  <c r="L18" i="25" s="1"/>
  <c r="I19" i="25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18" i="25"/>
  <c r="K20" i="25"/>
  <c r="K16" i="25"/>
  <c r="K24" i="25"/>
  <c r="L22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5" l="1"/>
  <c r="K21" i="18"/>
  <c r="K18" i="19"/>
  <c r="K21" i="19"/>
  <c r="M21" i="19" s="1"/>
  <c r="K18" i="17"/>
  <c r="L18" i="17"/>
  <c r="K21" i="21"/>
  <c r="L21" i="21"/>
  <c r="K21" i="23"/>
  <c r="L21" i="23"/>
  <c r="I25" i="25"/>
  <c r="P28" i="25" s="1"/>
  <c r="L19" i="25"/>
  <c r="L25" i="25" s="1"/>
  <c r="P29" i="25" s="1"/>
  <c r="K19" i="18"/>
  <c r="L19" i="18"/>
  <c r="L25" i="18" s="1"/>
  <c r="P29" i="18" s="1"/>
  <c r="K17" i="17"/>
  <c r="L17" i="17"/>
  <c r="M17" i="17" s="1"/>
  <c r="N17" i="17" s="1"/>
  <c r="O17" i="17" s="1"/>
  <c r="K20" i="21"/>
  <c r="L20" i="21"/>
  <c r="K19" i="23"/>
  <c r="L19" i="23"/>
  <c r="M19" i="23" s="1"/>
  <c r="N19" i="23" s="1"/>
  <c r="O19" i="23" s="1"/>
  <c r="K19" i="21"/>
  <c r="L19" i="21"/>
  <c r="K18" i="24"/>
  <c r="L18" i="24"/>
  <c r="M18" i="24" s="1"/>
  <c r="N18" i="24" s="1"/>
  <c r="O18" i="24" s="1"/>
  <c r="K19" i="20"/>
  <c r="L19" i="20"/>
  <c r="K20" i="17"/>
  <c r="L20" i="17"/>
  <c r="K16" i="17"/>
  <c r="L16" i="17"/>
  <c r="K18" i="21"/>
  <c r="L18" i="21"/>
  <c r="K17" i="20"/>
  <c r="L17" i="20"/>
  <c r="K19" i="17"/>
  <c r="L19" i="17"/>
  <c r="M19" i="17" s="1"/>
  <c r="N19" i="17" s="1"/>
  <c r="O19" i="17" s="1"/>
  <c r="P19" i="17" s="1"/>
  <c r="K18" i="20"/>
  <c r="L18" i="20"/>
  <c r="K20" i="24"/>
  <c r="L20" i="24"/>
  <c r="K23" i="19"/>
  <c r="M23" i="19" s="1"/>
  <c r="N23" i="19" s="1"/>
  <c r="O23" i="19" s="1"/>
  <c r="K19" i="19"/>
  <c r="L23" i="22"/>
  <c r="L25" i="22" s="1"/>
  <c r="P29" i="22" s="1"/>
  <c r="K19" i="25"/>
  <c r="M19" i="25" s="1"/>
  <c r="N19" i="25" s="1"/>
  <c r="O1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K16" i="23"/>
  <c r="M16" i="23" s="1"/>
  <c r="N16" i="23" s="1"/>
  <c r="L24" i="24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N24" i="19"/>
  <c r="O24" i="19" s="1"/>
  <c r="L25" i="19"/>
  <c r="P29" i="19" s="1"/>
  <c r="N24" i="18"/>
  <c r="O24" i="18" s="1"/>
  <c r="N22" i="18"/>
  <c r="O22" i="18" s="1"/>
  <c r="M16" i="17"/>
  <c r="I23" i="15"/>
  <c r="M18" i="21" l="1"/>
  <c r="N18" i="21" s="1"/>
  <c r="O18" i="21" s="1"/>
  <c r="K25" i="19"/>
  <c r="P30" i="19" s="1"/>
  <c r="M19" i="20"/>
  <c r="N19" i="20" s="1"/>
  <c r="O19" i="20" s="1"/>
  <c r="M20" i="24"/>
  <c r="N20" i="24" s="1"/>
  <c r="O20" i="24" s="1"/>
  <c r="M20" i="17"/>
  <c r="N20" i="17" s="1"/>
  <c r="O20" i="17" s="1"/>
  <c r="K25" i="24"/>
  <c r="P30" i="24" s="1"/>
  <c r="M21" i="21"/>
  <c r="N21" i="21" s="1"/>
  <c r="N25" i="21" s="1"/>
  <c r="P32" i="21" s="1"/>
  <c r="K25" i="25"/>
  <c r="P30" i="25" s="1"/>
  <c r="P31" i="25" s="1"/>
  <c r="K18" i="16"/>
  <c r="K18" i="15" s="1"/>
  <c r="L18" i="16"/>
  <c r="L21" i="16"/>
  <c r="L21" i="15" s="1"/>
  <c r="K20" i="16"/>
  <c r="K20" i="15" s="1"/>
  <c r="L20" i="16"/>
  <c r="L20" i="15" s="1"/>
  <c r="K16" i="16"/>
  <c r="L16" i="16"/>
  <c r="L16" i="15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4" i="17"/>
  <c r="P18" i="17"/>
  <c r="P22" i="17"/>
  <c r="M16" i="16" l="1"/>
  <c r="N16" i="16" s="1"/>
  <c r="O16" i="16" s="1"/>
  <c r="M22" i="15"/>
  <c r="P20" i="24"/>
  <c r="O21" i="21"/>
  <c r="P21" i="21" s="1"/>
  <c r="P20" i="17"/>
  <c r="N25" i="24"/>
  <c r="P32" i="24" s="1"/>
  <c r="P33" i="24" s="1"/>
  <c r="P34" i="24" s="1"/>
  <c r="P35" i="24" s="1"/>
  <c r="U22" i="15" s="1"/>
  <c r="M25" i="21"/>
  <c r="M18" i="15"/>
  <c r="M25" i="18"/>
  <c r="M21" i="15"/>
  <c r="M16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18" i="15" s="1"/>
  <c r="N22" i="15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<sst xmlns="http://schemas.openxmlformats.org/spreadsheetml/2006/main" count="1599" uniqueCount="108">
  <si>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</si>
  <si>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</si>
  <si>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</si>
  <si>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</si>
  <si>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</si>
  <si>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</si>
  <si>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</si>
  <si>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</si>
  <si>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</si>
  <si>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</si>
  <si>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</si>
  <si>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</si>
  <si>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</si>
  <si>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</si>
  <si>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</si>
  <si>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</si>
  <si>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</si>
  <si>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</si>
  <si>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</si>
  <si>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</si>
  <si>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</si>
  <si>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</si>
  <si>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</si>
  <si>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</si>
  <si>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</si>
  <si>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</si>
  <si>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</si>
  <si>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</si>
  <si>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</si>
  <si>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</si>
  <si>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</si>
  <si>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</si>
  <si>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</si>
  <si>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</si>
  <si>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</si>
  <si>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</si>
  <si>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</si>
  <si>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</si>
  <si>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</si>
  <si>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</si>
  <si>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</si>
  <si>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</si>
  <si>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</si>
  <si>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</si>
  <si>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</si>
  <si>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</si>
  <si>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</si>
  <si>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</si>
  <si>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</si>
  <si>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</si>
  <si>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</si>
  <si>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</si>
  <si>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</si>
  <si>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</si>
  <si>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</si>
  <si>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</si>
  <si>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</si>
  <si>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</si>
  <si>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</si>
  <si>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</si>
  <si>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</si>
  <si>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</si>
  <si>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</si>
  <si>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</si>
  <si>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</si>
  <si>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</si>
  <si>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</si>
  <si>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</si>
  <si>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</si>
  <si>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</si>
  <si>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</si>
  <si>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</si>
  <si>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</si>
  <si>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</si>
  <si>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</si>
  <si>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</si>
  <si>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</si>
  <si>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</si>
  <si>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</si>
  <si>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</si>
  <si>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</si>
  <si>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</si>
  <si>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</si>
  <si>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</si>
  <si>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</si>
  <si>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</si>
  <si>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</si>
  <si>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</si>
  <si>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</si>
  <si>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</si>
  <si>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</si>
  <si>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</si>
  <si>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</si>
  <si>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</si>
  <si>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</si>
  <si>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</si>
  <si>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</si>
  <si>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</si>
  <si>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</si>
  <si>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</si>
  <si>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</si>
  <si>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</si>
  <si>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(Jalal Sons)</t>
  </si>
  <si>
    <t>7278831-0</t>
  </si>
  <si>
    <t>Customer Name : Jalal Sons (Lake City)</t>
  </si>
  <si>
    <t xml:space="preserve">Address: Lake City </t>
  </si>
  <si>
    <t>Jalal Sons (Lake City)</t>
  </si>
  <si>
    <t>1010737-1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</si>
</sst>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2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18" sqref="H18: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18" sqref="H18:H22"/>
      <selection pane="topRight" activeCell="H18" sqref="H18:H22"/>
      <selection pane="bottomLeft" activeCell="H18" sqref="H18:H22"/>
      <selection pane="bottomRight" activeCell="H18" sqref="H18: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2"/>
      <c r="B3" s="182"/>
      <c r="C3" s="182"/>
      <c r="D3" s="182"/>
      <c r="E3" s="182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 spans="1:29" x14ac:dyDescent="0.35">
      <c r="A4" s="184" t="s">
        <v>6</v>
      </c>
      <c r="B4" s="5" t="s">
        <v>7</v>
      </c>
      <c r="C4" s="5"/>
      <c r="D4" s="186" t="s">
        <v>8</v>
      </c>
      <c r="E4" s="188" t="s">
        <v>9</v>
      </c>
      <c r="F4" s="190" t="s">
        <v>3</v>
      </c>
      <c r="G4" s="190"/>
      <c r="H4" s="191" t="s">
        <v>10</v>
      </c>
      <c r="I4" s="191"/>
      <c r="J4" s="192" t="s">
        <v>11</v>
      </c>
      <c r="K4" s="193"/>
      <c r="L4" s="192" t="s">
        <v>12</v>
      </c>
      <c r="M4" s="193"/>
      <c r="N4" s="194" t="s">
        <v>13</v>
      </c>
      <c r="O4" s="194"/>
      <c r="P4" s="192" t="s">
        <v>4</v>
      </c>
      <c r="Q4" s="193"/>
      <c r="R4" s="192" t="s">
        <v>14</v>
      </c>
      <c r="S4" s="193"/>
      <c r="T4" s="195" t="s">
        <v>15</v>
      </c>
      <c r="U4" s="195"/>
      <c r="V4" s="196" t="s">
        <v>16</v>
      </c>
      <c r="W4" s="197"/>
      <c r="X4" s="196" t="s">
        <v>17</v>
      </c>
      <c r="Y4" s="197"/>
    </row>
    <row r="5" spans="1:29" ht="26.25" customHeight="1" thickBot="1" x14ac:dyDescent="0.4">
      <c r="A5" s="185"/>
      <c r="B5" s="7" t="s">
        <v>18</v>
      </c>
      <c r="C5" s="7" t="s">
        <v>8</v>
      </c>
      <c r="D5" s="187"/>
      <c r="E5" s="18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3" zoomScale="70" zoomScaleNormal="70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2" max="2" width="23.81640625" bestFit="1" customWidth="1"/>
    <col min="3" max="3" width="11.36328125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8" t="s">
        <v>45</v>
      </c>
      <c r="B2" s="198"/>
      <c r="C2" s="198"/>
    </row>
    <row r="3" spans="1:21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21 16383:16384" x14ac:dyDescent="0.35">
      <c r="A5" s="203" t="s">
        <v>106</v>
      </c>
      <c r="B5" s="203"/>
      <c r="C5" s="203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21 16383:16384" x14ac:dyDescent="0.35">
      <c r="A6" s="203"/>
      <c r="B6" s="203"/>
      <c r="C6" s="203"/>
      <c r="F6" s="70"/>
      <c r="G6" s="74"/>
      <c r="K6" s="200" t="s">
        <v>52</v>
      </c>
      <c r="L6" s="200"/>
      <c r="M6" s="200"/>
      <c r="N6" s="202" t="s">
        <v>42</v>
      </c>
      <c r="O6" s="202"/>
      <c r="P6" s="20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21 16383:16384" ht="16.5" customHeight="1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21 16383:16384" x14ac:dyDescent="0.35">
      <c r="A10" s="205"/>
      <c r="B10" s="75"/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21 16383:16384" ht="15" thickBot="1" x14ac:dyDescent="0.4">
      <c r="A11" s="205"/>
      <c r="B11" s="76"/>
      <c r="C11" s="77"/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21 16383:16384" ht="14.65" customHeight="1" x14ac:dyDescent="0.35">
      <c r="A12" s="205"/>
      <c r="B12" s="76"/>
      <c r="C12" s="77"/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T12" s="214" t="s">
        <v>102</v>
      </c>
      <c r="U12" s="215"/>
      <c r="XFD12" t="s">
        <v>62</v>
      </c>
    </row>
    <row r="13" spans="1:21 16383:16384" ht="15" thickBot="1" x14ac:dyDescent="0.4">
      <c r="A13" s="242"/>
      <c r="J13" s="78"/>
      <c r="K13" s="78"/>
      <c r="L13" s="79">
        <v>0.05</v>
      </c>
      <c r="T13" s="216"/>
      <c r="U13" s="217"/>
      <c r="XFD13" t="s">
        <v>63</v>
      </c>
    </row>
    <row r="14" spans="1:21 16383:16384" ht="29.25" customHeight="1" x14ac:dyDescent="0.6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08" t="s">
        <v>68</v>
      </c>
      <c r="H14" s="209"/>
      <c r="I14" s="209" t="s">
        <v>69</v>
      </c>
      <c r="J14" s="209" t="s">
        <v>70</v>
      </c>
      <c r="K14" s="209"/>
      <c r="L14" s="211"/>
      <c r="M14" s="21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Jalal Sons (Lake City)</v>
      </c>
      <c r="U14" s="163">
        <f>+'1'!P35</f>
        <v>20990.400352500001</v>
      </c>
      <c r="XFD14" t="s">
        <v>75</v>
      </c>
    </row>
    <row r="15" spans="1:21 16383:16384" ht="29.25" customHeight="1" thickBot="1" x14ac:dyDescent="0.65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10"/>
      <c r="J15" s="169" t="s">
        <v>78</v>
      </c>
      <c r="K15" s="169" t="s">
        <v>79</v>
      </c>
      <c r="L15" s="172" t="s">
        <v>80</v>
      </c>
      <c r="M15" s="21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Jalal Sons (Lake City)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</f>
        <v>80</v>
      </c>
      <c r="I16" s="1">
        <f>(G16*D16)*F16+H16*F16</f>
        <v>4197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0</v>
      </c>
      <c r="L16" s="173">
        <f>+'1'!L16+'2'!L16+'4'!L16+'3'!L16+'5'!L16+'6'!L16+'7'!L16+'8'!L16+'9'!L16+'10'!L16</f>
        <v>629.54999999999995</v>
      </c>
      <c r="M16" s="105">
        <f>I16-K16-L16</f>
        <v>3567.45</v>
      </c>
      <c r="N16" s="100">
        <f>+'1'!N16+'2'!N16+'4'!N16+'3'!N16+'5'!N16+'6'!N16+'7'!N16+'8'!N16+'9'!N16+'10'!N16</f>
        <v>642.14099999999996</v>
      </c>
      <c r="O16" s="100">
        <f>+'1'!O16+'2'!O16+'4'!O16+'3'!O16+'5'!O16+'6'!O16+'7'!O16+'8'!O16+'9'!O16+'10'!O16</f>
        <v>21.047954999999998</v>
      </c>
      <c r="P16" s="104">
        <f t="shared" ref="P16:P24" si="0">M16+N16+O16</f>
        <v>4230.6389549999994</v>
      </c>
      <c r="Q16" s="107"/>
      <c r="T16" s="162" t="str">
        <f>+'4'!A5</f>
        <v>Customer Name : Jalal Sons (Lake City)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0</v>
      </c>
      <c r="L17" s="173">
        <f>+'1'!L17+'2'!L17+'4'!L17+'3'!L17+'5'!L17+'6'!L17+'7'!L17+'8'!L17+'9'!L17+'10'!L17</f>
        <v>314.77499999999998</v>
      </c>
      <c r="M17" s="117">
        <f t="shared" ref="M17:M23" si="2">I17-K17-L17</f>
        <v>1783.7249999999999</v>
      </c>
      <c r="N17" s="100">
        <f>+'1'!N17+'2'!N17+'4'!N17+'3'!N17+'5'!N17+'6'!N17+'7'!N17+'8'!N17+'9'!N17+'10'!N17</f>
        <v>321.07049999999998</v>
      </c>
      <c r="O17" s="100">
        <f>+'1'!O17+'2'!O17+'4'!O17+'3'!O17+'5'!O17+'6'!O17+'7'!O17+'8'!O17+'9'!O17+'10'!O17</f>
        <v>10.523977499999999</v>
      </c>
      <c r="P17" s="119">
        <f t="shared" si="0"/>
        <v>2115.3194774999997</v>
      </c>
      <c r="S17" s="64"/>
      <c r="T17" s="162" t="str">
        <f>+'3'!A5</f>
        <v>Customer Name : Jalal Sons (Lake City)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Jalal Sons (Lake City)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0</v>
      </c>
      <c r="L19" s="173">
        <f>+'1'!L19+'2'!L19+'4'!L19+'3'!L19+'5'!L19+'6'!L19+'7'!L19+'8'!L19+'9'!L19+'10'!L19</f>
        <v>871.68</v>
      </c>
      <c r="M19" s="117">
        <f t="shared" si="2"/>
        <v>4939.5199999999995</v>
      </c>
      <c r="N19" s="100">
        <f>+'1'!N19+'2'!N19+'4'!N19+'3'!N19+'5'!N19+'6'!N19+'7'!N19+'8'!N19+'9'!N19+'10'!N19</f>
        <v>889.11359999999991</v>
      </c>
      <c r="O19" s="100">
        <f>+'1'!O19+'2'!O19+'4'!O19+'3'!O19+'5'!O19+'6'!O19+'7'!O19+'8'!O19+'9'!O19+'10'!O19</f>
        <v>29.143167999999996</v>
      </c>
      <c r="P19" s="119">
        <f t="shared" si="0"/>
        <v>5857.7767679999988</v>
      </c>
      <c r="T19" s="162" t="str">
        <f>+'6'!A5</f>
        <v>Customer Name : Jalal Sons (Lake City)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435.84</v>
      </c>
      <c r="M20" s="117">
        <f t="shared" si="2"/>
        <v>2469.7599999999998</v>
      </c>
      <c r="N20" s="100">
        <f>+'1'!N20+'2'!N20+'4'!N20+'3'!N20+'5'!N20+'6'!N20+'7'!N20+'8'!N20+'9'!N20+'10'!N20</f>
        <v>444.55679999999995</v>
      </c>
      <c r="O20" s="100">
        <f>+'1'!O20+'2'!O20+'4'!O20+'3'!O20+'5'!O20+'6'!O20+'7'!O20+'8'!O20+'9'!O20+'10'!O20</f>
        <v>14.571583999999998</v>
      </c>
      <c r="P20" s="119">
        <f t="shared" si="0"/>
        <v>2928.8883839999994</v>
      </c>
      <c r="T20" s="162" t="str">
        <f>+'7'!A5</f>
        <v>Customer Name : Jalal Sons (Lake City)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0</v>
      </c>
      <c r="L21" s="173">
        <f>+'1'!L21+'2'!L21+'4'!L21+'3'!L21+'5'!L21+'6'!L21+'7'!L21+'8'!L21+'9'!L21+'10'!L21</f>
        <v>871.68</v>
      </c>
      <c r="M21" s="117">
        <f t="shared" si="2"/>
        <v>4939.5199999999995</v>
      </c>
      <c r="N21" s="100">
        <f>+'1'!N21+'2'!N21+'4'!N21+'3'!N21+'5'!N21+'6'!N21+'7'!N21+'8'!N21+'9'!N21+'10'!N21</f>
        <v>889.11359999999991</v>
      </c>
      <c r="O21" s="100">
        <f>+'1'!O21+'2'!O21+'4'!O21+'3'!O21+'5'!O21+'6'!O21+'7'!O21+'8'!O21+'9'!O21+'10'!O21</f>
        <v>29.143167999999996</v>
      </c>
      <c r="P21" s="119">
        <f t="shared" si="0"/>
        <v>5857.7767679999988</v>
      </c>
      <c r="T21" s="162" t="str">
        <f>+'8'!A5</f>
        <v>Customer Name : Jalal Sons (Lake City)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Jalal Sons (Lake City)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Jalal Sons (Lake City)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Jalal Sons (Lake City)</v>
      </c>
      <c r="U24" s="163">
        <f>+'11'!P35</f>
        <v>0</v>
      </c>
    </row>
    <row r="25" spans="1:21 16384:16384" ht="26.5" thickBot="1" x14ac:dyDescent="0.65">
      <c r="A25" s="224" t="s">
        <v>84</v>
      </c>
      <c r="B25" s="225"/>
      <c r="C25" s="226">
        <f>H25/40</f>
        <v>8</v>
      </c>
      <c r="D25" s="220"/>
      <c r="E25" s="220"/>
      <c r="F25" s="220"/>
      <c r="G25" s="174">
        <f t="shared" ref="G25:M25" si="3">SUM(G16:G24)</f>
        <v>0</v>
      </c>
      <c r="H25" s="175">
        <f t="shared" si="3"/>
        <v>320</v>
      </c>
      <c r="I25" s="176">
        <f t="shared" si="3"/>
        <v>20823.5</v>
      </c>
      <c r="J25" s="175">
        <f t="shared" si="3"/>
        <v>0</v>
      </c>
      <c r="K25" s="176">
        <f t="shared" si="3"/>
        <v>0</v>
      </c>
      <c r="L25" s="177">
        <f t="shared" si="3"/>
        <v>3123.5249999999996</v>
      </c>
      <c r="M25" s="140">
        <f t="shared" si="3"/>
        <v>17699.974999999999</v>
      </c>
      <c r="N25" s="141">
        <f>SUM(N16:N24)</f>
        <v>3185.9955</v>
      </c>
      <c r="O25" s="142">
        <f>SUM(O16:O24)</f>
        <v>104.42985249999998</v>
      </c>
      <c r="P25" s="143">
        <f>SUM(P16:P24)</f>
        <v>20990.400352499997</v>
      </c>
      <c r="T25" s="162" t="str">
        <f>+'12'!A5</f>
        <v>Customer Name : Jalal Sons (Lake City)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Jalal Sons (Lake City)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Jalal Sons (Lake City)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Jalal Sons (Lake City)</v>
      </c>
      <c r="U28" s="180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/>
      <c r="U29" s="180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20990.400352500001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7" t="s">
        <v>85</v>
      </c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N32" s="236" t="s">
        <v>86</v>
      </c>
      <c r="O32" s="237"/>
      <c r="P32" s="151">
        <f>I25</f>
        <v>20823.5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N33" s="238" t="s">
        <v>87</v>
      </c>
      <c r="O33" s="239"/>
      <c r="P33" s="152">
        <f>L25</f>
        <v>3123.5249999999996</v>
      </c>
    </row>
    <row r="34" spans="2:16" ht="15" customHeight="1" x14ac:dyDescent="0.35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N34" s="238" t="s">
        <v>4</v>
      </c>
      <c r="O34" s="239"/>
      <c r="P34" s="153">
        <f>K25</f>
        <v>0</v>
      </c>
    </row>
    <row r="35" spans="2:16" ht="15" customHeight="1" x14ac:dyDescent="0.35">
      <c r="B35" s="230"/>
      <c r="C35" s="231"/>
      <c r="D35" s="231"/>
      <c r="E35" s="231"/>
      <c r="F35" s="231"/>
      <c r="G35" s="231"/>
      <c r="H35" s="231"/>
      <c r="I35" s="231"/>
      <c r="J35" s="231"/>
      <c r="K35" s="231"/>
      <c r="L35" s="232"/>
      <c r="M35" s="2"/>
      <c r="N35" s="238" t="s">
        <v>88</v>
      </c>
      <c r="O35" s="239"/>
      <c r="P35" s="152">
        <f>P32-P33-P34</f>
        <v>17699.974999999999</v>
      </c>
    </row>
    <row r="36" spans="2:16" ht="15" customHeight="1" x14ac:dyDescent="0.35">
      <c r="B36" s="230"/>
      <c r="C36" s="231"/>
      <c r="D36" s="231"/>
      <c r="E36" s="231"/>
      <c r="F36" s="231"/>
      <c r="G36" s="231"/>
      <c r="H36" s="231"/>
      <c r="I36" s="231"/>
      <c r="J36" s="231"/>
      <c r="K36" s="231"/>
      <c r="L36" s="232"/>
      <c r="M36" s="2"/>
      <c r="N36" s="154" t="s">
        <v>89</v>
      </c>
      <c r="O36" s="155">
        <f>IF(B12="Registered",18%,22%)</f>
        <v>0.22</v>
      </c>
      <c r="P36" s="152">
        <f>N25</f>
        <v>3185.9955</v>
      </c>
    </row>
    <row r="37" spans="2:16" ht="15" customHeight="1" x14ac:dyDescent="0.35">
      <c r="B37" s="230"/>
      <c r="C37" s="231"/>
      <c r="D37" s="231"/>
      <c r="E37" s="231"/>
      <c r="F37" s="231"/>
      <c r="G37" s="231"/>
      <c r="H37" s="231"/>
      <c r="I37" s="231"/>
      <c r="J37" s="231"/>
      <c r="K37" s="231"/>
      <c r="L37" s="232"/>
      <c r="M37" s="2"/>
      <c r="N37" s="240" t="s">
        <v>90</v>
      </c>
      <c r="O37" s="241"/>
      <c r="P37" s="152">
        <f>P35+P36</f>
        <v>20885.970499999999</v>
      </c>
    </row>
    <row r="38" spans="2:16" ht="15" customHeight="1" thickBot="1" x14ac:dyDescent="0.4">
      <c r="B38" s="233"/>
      <c r="C38" s="234"/>
      <c r="D38" s="234"/>
      <c r="E38" s="234"/>
      <c r="F38" s="234"/>
      <c r="G38" s="234"/>
      <c r="H38" s="234"/>
      <c r="I38" s="234"/>
      <c r="J38" s="234"/>
      <c r="K38" s="234"/>
      <c r="L38" s="235"/>
      <c r="M38" s="156"/>
      <c r="N38" s="157" t="s">
        <v>91</v>
      </c>
      <c r="O38" s="158">
        <f>IF(B11="Filer",0.5%,2.5%)</f>
        <v>2.5000000000000001E-2</v>
      </c>
      <c r="P38" s="152">
        <f>O38*P37</f>
        <v>522.14926249999996</v>
      </c>
    </row>
    <row r="39" spans="2:16" ht="15.75" customHeight="1" thickBot="1" x14ac:dyDescent="0.4">
      <c r="N39" s="218" t="s">
        <v>92</v>
      </c>
      <c r="O39" s="219"/>
      <c r="P39" s="159">
        <f>P37+P38</f>
        <v>21408.119762499999</v>
      </c>
    </row>
    <row r="40" spans="2:16" ht="15" thickBot="1" x14ac:dyDescent="0.4">
      <c r="B40" s="160" t="s">
        <v>93</v>
      </c>
      <c r="C40" s="220"/>
      <c r="D40" s="220"/>
      <c r="E40" s="220"/>
      <c r="F40" s="220"/>
      <c r="G40" s="220"/>
      <c r="H40" s="220"/>
      <c r="I40" s="221"/>
      <c r="J40" s="222"/>
      <c r="K40" s="223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G4" sqref="G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0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101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107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I16*15%</f>
        <v>629.54999999999995</v>
      </c>
      <c r="M16" s="105">
        <f>I16-K16-L16</f>
        <v>3567.45</v>
      </c>
      <c r="N16" s="105">
        <f t="shared" ref="N16:N24" si="0">(M16*$N$15)+(J16*F16)*$N$15</f>
        <v>642.14099999999996</v>
      </c>
      <c r="O16" s="106">
        <f t="shared" ref="O16:O24" si="1">(N16+M16)*$O$15</f>
        <v>21.047954999999998</v>
      </c>
      <c r="P16" s="104">
        <f t="shared" ref="P16:P24" si="2">M16+N16+O16</f>
        <v>4230.6389549999994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I17*15%</f>
        <v>314.77499999999998</v>
      </c>
      <c r="M17" s="117">
        <f t="shared" ref="M17:M23" si="6">I17-K17-L17</f>
        <v>1783.7249999999999</v>
      </c>
      <c r="N17" s="117">
        <f t="shared" si="0"/>
        <v>321.07049999999998</v>
      </c>
      <c r="O17" s="118">
        <f t="shared" si="1"/>
        <v>10.523977499999999</v>
      </c>
      <c r="P17" s="119">
        <f t="shared" si="2"/>
        <v>2115.3194774999997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">
        <f t="shared" si="4"/>
        <v>0</v>
      </c>
      <c r="L19" s="104">
        <f t="shared" si="5"/>
        <v>871.68</v>
      </c>
      <c r="M19" s="117">
        <f t="shared" si="6"/>
        <v>4939.5199999999995</v>
      </c>
      <c r="N19" s="117">
        <f t="shared" si="0"/>
        <v>889.11359999999991</v>
      </c>
      <c r="O19" s="118">
        <f t="shared" si="1"/>
        <v>29.143167999999996</v>
      </c>
      <c r="P19" s="119">
        <f t="shared" si="2"/>
        <v>5857.7767679999988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435.84</v>
      </c>
      <c r="M20" s="117">
        <f t="shared" si="6"/>
        <v>2469.7599999999998</v>
      </c>
      <c r="N20" s="117">
        <f t="shared" si="0"/>
        <v>444.55679999999995</v>
      </c>
      <c r="O20" s="118">
        <f t="shared" si="1"/>
        <v>14.571583999999998</v>
      </c>
      <c r="P20" s="119">
        <f t="shared" si="2"/>
        <v>2928.8883839999994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">
        <f t="shared" si="4"/>
        <v>0</v>
      </c>
      <c r="L21" s="104">
        <f t="shared" si="5"/>
        <v>871.68</v>
      </c>
      <c r="M21" s="117">
        <f t="shared" si="6"/>
        <v>4939.5199999999995</v>
      </c>
      <c r="N21" s="117">
        <f t="shared" si="0"/>
        <v>889.11359999999991</v>
      </c>
      <c r="O21" s="118">
        <f t="shared" si="1"/>
        <v>29.143167999999996</v>
      </c>
      <c r="P21" s="119">
        <f t="shared" si="2"/>
        <v>5857.7767679999988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320</v>
      </c>
      <c r="I25" s="136">
        <f t="shared" si="9"/>
        <v>20823.5</v>
      </c>
      <c r="J25" s="137"/>
      <c r="K25" s="138">
        <f t="shared" si="9"/>
        <v>0</v>
      </c>
      <c r="L25" s="139">
        <f t="shared" si="9"/>
        <v>3123.5249999999996</v>
      </c>
      <c r="M25" s="140">
        <f t="shared" si="9"/>
        <v>17699.974999999999</v>
      </c>
      <c r="N25" s="141">
        <f>SUM(N16:N24)</f>
        <v>3185.9955</v>
      </c>
      <c r="O25" s="142">
        <f>SUM(O16:O24)</f>
        <v>104.42985249999998</v>
      </c>
      <c r="P25" s="143">
        <f>SUM(P16:P24)</f>
        <v>20990.400352499997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20823.5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3123.5249999999996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17699.974999999999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0.18</v>
      </c>
      <c r="P32" s="152">
        <f>N25</f>
        <v>3185.9955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20885.970499999999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104.4298525</v>
      </c>
    </row>
    <row r="35" spans="2:16" ht="15.75" customHeight="1" thickBot="1" x14ac:dyDescent="0.4">
      <c r="N35" s="218" t="s">
        <v>92</v>
      </c>
      <c r="O35" s="219"/>
      <c r="P35" s="159">
        <f>P33+P34</f>
        <v>20990.400352500001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1002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101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6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6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78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78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46224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46223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2026-07-21T09:43:19Z</dcterms:modified>
</cp:coreProperties>
</file>