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9A89F754-927A-4690-A460-252EE6561C79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R15" i="16" s="1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5" i="16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<sst xmlns="http://schemas.openxmlformats.org/spreadsheetml/2006/main" count="1600" uniqueCount="108">
  <si>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</si>
  <si>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</si>
  <si>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</si>
  <si>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</si>
  <si>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</si>
  <si>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</si>
  <si>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</si>
  <si>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</si>
  <si>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</si>
  <si>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</si>
  <si>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</si>
  <si>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</si>
  <si>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</si>
  <si>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</si>
  <si>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</si>
  <si>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</si>
  <si>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</si>
  <si>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</si>
  <si>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</si>
  <si>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</si>
  <si>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</si>
  <si>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</si>
  <si>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</si>
  <si>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</si>
  <si>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</si>
  <si>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</si>
  <si>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</si>
  <si>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</si>
  <si>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</si>
  <si>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</si>
  <si>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</si>
  <si>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</si>
  <si>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</si>
  <si>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</si>
  <si>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</si>
  <si>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</si>
  <si>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</si>
  <si>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</si>
  <si>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</si>
  <si>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</si>
  <si>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</si>
  <si>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</si>
  <si>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</si>
  <si>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</si>
  <si>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</si>
  <si>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</si>
  <si>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</si>
  <si>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</si>
  <si>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</si>
  <si>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</si>
  <si>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</si>
  <si>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</si>
  <si>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</si>
  <si>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</si>
  <si>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</si>
  <si>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</si>
  <si>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</si>
  <si>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</si>
  <si>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</si>
  <si>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</si>
  <si>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</si>
  <si>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</si>
  <si>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</si>
  <si>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</si>
  <si>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</si>
  <si>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</si>
  <si>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</si>
  <si>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</si>
  <si>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</si>
  <si>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</si>
  <si>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</si>
  <si>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</si>
  <si>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</si>
  <si>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</si>
  <si>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</si>
  <si>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</si>
  <si>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</si>
  <si>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</si>
  <si>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</si>
  <si>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</si>
  <si>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</si>
  <si>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</si>
  <si>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</si>
  <si>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</si>
  <si>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</si>
  <si>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</si>
  <si>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</si>
  <si>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</si>
  <si>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</si>
  <si>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</si>
  <si>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</si>
  <si>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</si>
  <si>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</si>
  <si>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</si>
  <si>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</si>
  <si>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</si>
  <si>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</si>
  <si>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</si>
  <si>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</si>
  <si>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</si>
  <si>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</si>
  <si>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</si>
  <si>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24/7 Mart </t>
  </si>
  <si>
    <t>Shop Bill Summary (24/7 Mart)</t>
  </si>
  <si>
    <t xml:space="preserve">Customer Name : 24/7 Mart </t>
  </si>
  <si>
    <t>7591263-6</t>
  </si>
  <si>
    <t>Address: Askari 10</t>
  </si>
  <si>
    <t>Ctns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</si>
</sst>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3" fillId="0" borderId="0" xfId="0" applyFont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7" sqref="N7:P7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7" sqref="N7:P7"/>
      <selection pane="topRight" activeCell="N7" sqref="N7:P7"/>
      <selection pane="bottomLeft" activeCell="N7" sqref="N7:P7"/>
      <selection pane="bottomRight" activeCell="N7" sqref="N7:P7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zoomScale="70" zoomScaleNormal="70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24/7 Mart </v>
      </c>
      <c r="U14" s="164">
        <f>+'1'!P35</f>
        <v>16934.054547600001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40"/>
      <c r="J15" s="171" t="s">
        <v>78</v>
      </c>
      <c r="K15" s="171" t="s">
        <v>79</v>
      </c>
      <c r="L15" s="174" t="s">
        <v>80</v>
      </c>
      <c r="M15" s="235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24/7 Mart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40</v>
      </c>
      <c r="I16" s="1">
        <f>(G16*D16)*F16+H16*F16</f>
        <v>2098.5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167.88</v>
      </c>
      <c r="M16" s="106">
        <f>I16-K16-L16</f>
        <v>1930.62</v>
      </c>
      <c r="N16" s="101">
        <f>+'1'!N16+'2'!N16+'4'!N16+'3'!N16+'5'!N16+'6'!N16+'7'!N16+'8'!N16+'9'!N16+'10'!N16</f>
        <v>424.7364</v>
      </c>
      <c r="O16" s="101">
        <f>+'1'!O16+'2'!O16+'4'!O16+'3'!O16+'5'!O16+'6'!O16+'7'!O16+'8'!O16+'9'!O16+'10'!O16</f>
        <v>11.776781999999999</v>
      </c>
      <c r="P16" s="105">
        <f t="shared" ref="P16:P24" si="0">M16+N16+O16</f>
        <v>2367.1331819999996</v>
      </c>
      <c r="Q16" s="108"/>
      <c r="T16" s="163" t="str">
        <f>+'4'!A5</f>
        <v xml:space="preserve">Customer Name : 24/7 Mart 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167.88</v>
      </c>
      <c r="M17" s="118">
        <f t="shared" ref="M17:M23" si="2">I17-K17-L17</f>
        <v>1930.62</v>
      </c>
      <c r="N17" s="101">
        <f>+'1'!N17+'2'!N17+'4'!N17+'3'!N17+'5'!N17+'6'!N17+'7'!N17+'8'!N17+'9'!N17+'10'!N17</f>
        <v>424.7364</v>
      </c>
      <c r="O17" s="101">
        <f>+'1'!O17+'2'!O17+'4'!O17+'3'!O17+'5'!O17+'6'!O17+'7'!O17+'8'!O17+'9'!O17+'10'!O17</f>
        <v>11.776781999999999</v>
      </c>
      <c r="P17" s="120">
        <f t="shared" si="0"/>
        <v>2367.1331819999996</v>
      </c>
      <c r="S17" s="64"/>
      <c r="T17" s="163" t="str">
        <f>+'3'!A5</f>
        <v xml:space="preserve">Customer Name : 24/7 Mart 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40</v>
      </c>
      <c r="I18" s="1">
        <f t="shared" si="1"/>
        <v>2098.5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167.88</v>
      </c>
      <c r="M18" s="118">
        <f t="shared" si="2"/>
        <v>1930.62</v>
      </c>
      <c r="N18" s="101">
        <f>+'1'!N18+'2'!N18+'4'!N18+'3'!N18+'5'!N18+'6'!N18+'7'!N18+'8'!N18+'9'!N18+'10'!N18</f>
        <v>424.7364</v>
      </c>
      <c r="O18" s="101">
        <f>+'1'!O18+'2'!O18+'4'!O18+'3'!O18+'5'!O18+'6'!O18+'7'!O18+'8'!O18+'9'!O18+'10'!O18</f>
        <v>11.776781999999999</v>
      </c>
      <c r="P18" s="120">
        <f t="shared" si="0"/>
        <v>2367.1331819999996</v>
      </c>
      <c r="T18" s="163" t="str">
        <f>+'5'!A5</f>
        <v xml:space="preserve">Customer Name : 24/7 Mart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232.44800000000001</v>
      </c>
      <c r="M19" s="118">
        <f t="shared" si="2"/>
        <v>2673.152</v>
      </c>
      <c r="N19" s="101">
        <f>+'1'!N19+'2'!N19+'4'!N19+'3'!N19+'5'!N19+'6'!N19+'7'!N19+'8'!N19+'9'!N19+'10'!N19</f>
        <v>588.09343999999999</v>
      </c>
      <c r="O19" s="101">
        <f>+'1'!O19+'2'!O19+'4'!O19+'3'!O19+'5'!O19+'6'!O19+'7'!O19+'8'!O19+'9'!O19+'10'!O19</f>
        <v>16.306227200000002</v>
      </c>
      <c r="P19" s="120">
        <f t="shared" si="0"/>
        <v>3277.5516672000003</v>
      </c>
      <c r="T19" s="163" t="str">
        <f>+'6'!A5</f>
        <v xml:space="preserve">Customer Name : 24/7 Mart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588.09343999999999</v>
      </c>
      <c r="O20" s="101">
        <f>+'1'!O20+'2'!O20+'4'!O20+'3'!O20+'5'!O20+'6'!O20+'7'!O20+'8'!O20+'9'!O20+'10'!O20</f>
        <v>16.306227200000002</v>
      </c>
      <c r="P20" s="120">
        <f t="shared" si="0"/>
        <v>3277.5516672000003</v>
      </c>
      <c r="T20" s="163" t="str">
        <f>+'7'!A5</f>
        <v xml:space="preserve">Customer Name : 24/7 Mart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40</v>
      </c>
      <c r="I21" s="1">
        <f t="shared" si="1"/>
        <v>2905.6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232.44800000000001</v>
      </c>
      <c r="M21" s="118">
        <f t="shared" si="2"/>
        <v>2673.152</v>
      </c>
      <c r="N21" s="101">
        <f>+'1'!N21+'2'!N21+'4'!N21+'3'!N21+'5'!N21+'6'!N21+'7'!N21+'8'!N21+'9'!N21+'10'!N21</f>
        <v>588.09343999999999</v>
      </c>
      <c r="O21" s="101">
        <f>+'1'!O21+'2'!O21+'4'!O21+'3'!O21+'5'!O21+'6'!O21+'7'!O21+'8'!O21+'9'!O21+'10'!O21</f>
        <v>16.306227200000002</v>
      </c>
      <c r="P21" s="120">
        <f t="shared" si="0"/>
        <v>3277.5516672000003</v>
      </c>
      <c r="T21" s="163" t="str">
        <f>+'8'!A5</f>
        <v xml:space="preserve">Customer Name : 24/7 Mart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24/7 Mart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24/7 Mart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24/7 Mart </v>
      </c>
      <c r="U24" s="164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6</v>
      </c>
      <c r="D25" s="206"/>
      <c r="E25" s="206"/>
      <c r="F25" s="206"/>
      <c r="G25" s="176">
        <f t="shared" ref="G25:M25" si="3">SUM(G16:G24)</f>
        <v>0</v>
      </c>
      <c r="H25" s="177">
        <f t="shared" si="3"/>
        <v>240</v>
      </c>
      <c r="I25" s="178">
        <f t="shared" si="3"/>
        <v>15012.300000000001</v>
      </c>
      <c r="J25" s="177">
        <f t="shared" si="3"/>
        <v>0</v>
      </c>
      <c r="K25" s="178">
        <f t="shared" si="3"/>
        <v>0</v>
      </c>
      <c r="L25" s="179">
        <f t="shared" si="3"/>
        <v>1200.9839999999999</v>
      </c>
      <c r="M25" s="141">
        <f t="shared" si="3"/>
        <v>13811.315999999999</v>
      </c>
      <c r="N25" s="142">
        <f>SUM(N16:N24)</f>
        <v>3038.4895200000001</v>
      </c>
      <c r="O25" s="143">
        <f>SUM(O16:O24)</f>
        <v>84.249027600000005</v>
      </c>
      <c r="P25" s="144">
        <f>SUM(P16:P24)</f>
        <v>16934.054547600001</v>
      </c>
      <c r="T25" s="163" t="str">
        <f>+'12'!A5</f>
        <v xml:space="preserve">Customer Name : 24/7 Mart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24/7 Mart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24/7 Mart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24/7 Mart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16934.054547600001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3" t="s">
        <v>85</v>
      </c>
      <c r="C32" s="214"/>
      <c r="D32" s="214"/>
      <c r="E32" s="214"/>
      <c r="F32" s="214"/>
      <c r="G32" s="214"/>
      <c r="H32" s="214"/>
      <c r="I32" s="214"/>
      <c r="J32" s="214"/>
      <c r="K32" s="214"/>
      <c r="L32" s="215"/>
      <c r="N32" s="222" t="s">
        <v>86</v>
      </c>
      <c r="O32" s="223"/>
      <c r="P32" s="152">
        <f>I25</f>
        <v>15012.300000000001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N33" s="224" t="s">
        <v>87</v>
      </c>
      <c r="O33" s="225"/>
      <c r="P33" s="153">
        <f>L25</f>
        <v>1200.9839999999999</v>
      </c>
    </row>
    <row r="34" spans="2:16" ht="15" customHeight="1" x14ac:dyDescent="0.35">
      <c r="B34" s="216"/>
      <c r="C34" s="217"/>
      <c r="D34" s="217"/>
      <c r="E34" s="217"/>
      <c r="F34" s="217"/>
      <c r="G34" s="217"/>
      <c r="H34" s="217"/>
      <c r="I34" s="217"/>
      <c r="J34" s="217"/>
      <c r="K34" s="217"/>
      <c r="L34" s="218"/>
      <c r="N34" s="224" t="s">
        <v>4</v>
      </c>
      <c r="O34" s="225"/>
      <c r="P34" s="154">
        <f>K25</f>
        <v>0</v>
      </c>
    </row>
    <row r="35" spans="2:16" ht="15" customHeight="1" x14ac:dyDescent="0.35">
      <c r="B35" s="216"/>
      <c r="C35" s="217"/>
      <c r="D35" s="217"/>
      <c r="E35" s="217"/>
      <c r="F35" s="217"/>
      <c r="G35" s="217"/>
      <c r="H35" s="217"/>
      <c r="I35" s="217"/>
      <c r="J35" s="217"/>
      <c r="K35" s="217"/>
      <c r="L35" s="218"/>
      <c r="M35" s="2"/>
      <c r="N35" s="224" t="s">
        <v>88</v>
      </c>
      <c r="O35" s="225"/>
      <c r="P35" s="153">
        <f>P32-P33-P34</f>
        <v>13811.316000000001</v>
      </c>
    </row>
    <row r="36" spans="2:16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M36" s="2"/>
      <c r="N36" s="155" t="s">
        <v>89</v>
      </c>
      <c r="O36" s="156">
        <f>IF(B12="Registered",18%,22%)</f>
        <v>0.22</v>
      </c>
      <c r="P36" s="153">
        <f>N25</f>
        <v>3038.4895200000001</v>
      </c>
    </row>
    <row r="37" spans="2:16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M37" s="2"/>
      <c r="N37" s="226" t="s">
        <v>90</v>
      </c>
      <c r="O37" s="227"/>
      <c r="P37" s="153">
        <f>P35+P36</f>
        <v>16849.805520000002</v>
      </c>
    </row>
    <row r="38" spans="2:16" ht="15" customHeight="1" thickBot="1" x14ac:dyDescent="0.4">
      <c r="B38" s="219"/>
      <c r="C38" s="220"/>
      <c r="D38" s="220"/>
      <c r="E38" s="220"/>
      <c r="F38" s="220"/>
      <c r="G38" s="220"/>
      <c r="H38" s="220"/>
      <c r="I38" s="220"/>
      <c r="J38" s="220"/>
      <c r="K38" s="220"/>
      <c r="L38" s="221"/>
      <c r="M38" s="157"/>
      <c r="N38" s="158" t="s">
        <v>91</v>
      </c>
      <c r="O38" s="159">
        <f>IF(B11="Filer",0.5%,2.5%)</f>
        <v>2.5000000000000001E-2</v>
      </c>
      <c r="P38" s="153">
        <f>O38*P37</f>
        <v>421.24513800000005</v>
      </c>
    </row>
    <row r="39" spans="2:16" ht="15.75" customHeight="1" thickBot="1" x14ac:dyDescent="0.4">
      <c r="N39" s="204" t="s">
        <v>92</v>
      </c>
      <c r="O39" s="205"/>
      <c r="P39" s="160">
        <f>P37+P38</f>
        <v>17271.050658</v>
      </c>
    </row>
    <row r="40" spans="2:16" ht="15" thickBot="1" x14ac:dyDescent="0.4">
      <c r="B40" s="161" t="s">
        <v>93</v>
      </c>
      <c r="C40" s="206"/>
      <c r="D40" s="206"/>
      <c r="E40" s="206"/>
      <c r="F40" s="206"/>
      <c r="G40" s="206"/>
      <c r="H40" s="206"/>
      <c r="I40" s="207"/>
      <c r="J40" s="208"/>
      <c r="K40" s="209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.36328125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v>46184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>N4-1</f>
        <v>46183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R14" s="183" t="s">
        <v>107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R15">
        <f>H25/40</f>
        <v>6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424.7364</v>
      </c>
      <c r="O16" s="107">
        <f t="shared" ref="O16:O24" si="1">(N16+M16)*$O$15</f>
        <v>11.776781999999999</v>
      </c>
      <c r="P16" s="105">
        <f t="shared" ref="P16:P24" si="2">M16+N16+O16</f>
        <v>2367.1331819999996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">
        <f t="shared" ref="K17:K21" si="4">I17*$K$13</f>
        <v>0</v>
      </c>
      <c r="L17" s="105">
        <f t="shared" ref="L17:L21" si="5">I17*8%</f>
        <v>167.88</v>
      </c>
      <c r="M17" s="118">
        <f t="shared" ref="M17:M23" si="6">I17-K17-L17</f>
        <v>1930.62</v>
      </c>
      <c r="N17" s="118">
        <f t="shared" si="0"/>
        <v>424.7364</v>
      </c>
      <c r="O17" s="119">
        <f t="shared" si="1"/>
        <v>11.776781999999999</v>
      </c>
      <c r="P17" s="120">
        <f t="shared" si="2"/>
        <v>2367.1331819999996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3"/>
        <v>2098.5</v>
      </c>
      <c r="J18" s="117"/>
      <c r="K18" s="1">
        <f t="shared" si="4"/>
        <v>0</v>
      </c>
      <c r="L18" s="105">
        <f t="shared" si="5"/>
        <v>167.88</v>
      </c>
      <c r="M18" s="118">
        <f t="shared" si="6"/>
        <v>1930.62</v>
      </c>
      <c r="N18" s="118">
        <f t="shared" si="0"/>
        <v>424.7364</v>
      </c>
      <c r="O18" s="119">
        <f t="shared" si="1"/>
        <v>11.776781999999999</v>
      </c>
      <c r="P18" s="120">
        <f t="shared" si="2"/>
        <v>2367.1331819999996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/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588.09343999999999</v>
      </c>
      <c r="O19" s="119">
        <f t="shared" si="1"/>
        <v>16.306227200000002</v>
      </c>
      <c r="P19" s="120">
        <f t="shared" si="2"/>
        <v>3277.5516672000003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3"/>
        <v>2905.6</v>
      </c>
      <c r="J20" s="117"/>
      <c r="K20" s="1">
        <f t="shared" si="4"/>
        <v>0</v>
      </c>
      <c r="L20" s="105">
        <f t="shared" si="5"/>
        <v>232.44800000000001</v>
      </c>
      <c r="M20" s="118">
        <f t="shared" si="6"/>
        <v>2673.152</v>
      </c>
      <c r="N20" s="118">
        <f t="shared" si="0"/>
        <v>588.09343999999999</v>
      </c>
      <c r="O20" s="119">
        <f t="shared" si="1"/>
        <v>16.306227200000002</v>
      </c>
      <c r="P20" s="120">
        <f t="shared" si="2"/>
        <v>3277.5516672000003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3"/>
        <v>2905.6</v>
      </c>
      <c r="J21" s="117"/>
      <c r="K21" s="1">
        <f t="shared" si="4"/>
        <v>0</v>
      </c>
      <c r="L21" s="105">
        <f t="shared" si="5"/>
        <v>232.44800000000001</v>
      </c>
      <c r="M21" s="118">
        <f t="shared" si="6"/>
        <v>2673.152</v>
      </c>
      <c r="N21" s="118">
        <f t="shared" si="0"/>
        <v>588.09343999999999</v>
      </c>
      <c r="O21" s="119">
        <f t="shared" si="1"/>
        <v>16.306227200000002</v>
      </c>
      <c r="P21" s="120">
        <f t="shared" si="2"/>
        <v>3277.5516672000003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3038.4895200000001</v>
      </c>
      <c r="O25" s="143">
        <f>SUM(O16:O24)</f>
        <v>84.249027600000005</v>
      </c>
      <c r="P25" s="144">
        <f>SUM(P16:P24)</f>
        <v>16934.054547600001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15012.300000000001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1200.9839999999999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13811.316000000001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3038.4895200000001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16849.805520000002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84.249027600000005</v>
      </c>
    </row>
    <row r="35" spans="2:16" ht="15.75" customHeight="1" thickBot="1" x14ac:dyDescent="0.4">
      <c r="N35" s="204" t="s">
        <v>92</v>
      </c>
      <c r="O35" s="205"/>
      <c r="P35" s="160">
        <f>P33+P34</f>
        <v>16934.054547600001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9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7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80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N7" sqref="N7:P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46224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104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46223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91" t="s">
        <v>80</v>
      </c>
      <c r="M15" s="25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2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3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4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3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3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4" t="s">
        <v>92</v>
      </c>
      <c r="O35" s="205"/>
      <c r="P35" s="160">
        <f>P33+P34</f>
        <v>0</v>
      </c>
    </row>
    <row r="36" spans="2:16" ht="15" thickBot="1" x14ac:dyDescent="0.4">
      <c r="B36" s="161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2026-07-21T08:24:39Z</dcterms:modified>
</cp:coreProperties>
</file>