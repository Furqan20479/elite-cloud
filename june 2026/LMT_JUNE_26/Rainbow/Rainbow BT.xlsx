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32735D0-9F8B-451C-B7C1-B3CC93A5A34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1" i="16"/>
  <c r="L21" i="15" s="1"/>
  <c r="K18" i="16"/>
  <c r="K18" i="15" s="1"/>
  <c r="L18" i="16"/>
  <c r="L18" i="15" s="1"/>
  <c r="K16" i="16"/>
  <c r="K16" i="15" s="1"/>
  <c r="L16" i="16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<sst xmlns="http://schemas.openxmlformats.org/spreadsheetml/2006/main" count="1560" uniqueCount="108">
  <si>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</si>
  <si>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</si>
  <si>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</si>
  <si>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</si>
  <si>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</si>
  <si>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</si>
  <si>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</si>
  <si>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</si>
  <si>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</si>
  <si>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</si>
  <si>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</si>
  <si>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</si>
  <si>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</si>
  <si>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</si>
  <si>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</si>
  <si>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</si>
  <si>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</si>
  <si>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</si>
  <si>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</si>
  <si>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</si>
  <si>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</si>
  <si>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</si>
  <si>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</si>
  <si>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</si>
  <si>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</si>
  <si>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</si>
  <si>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</si>
  <si>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</si>
  <si>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</si>
  <si>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</si>
  <si>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</si>
  <si>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</si>
  <si>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</si>
  <si>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</si>
  <si>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</si>
  <si>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</si>
  <si>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</si>
  <si>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</si>
  <si>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</si>
  <si>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</si>
  <si>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</si>
  <si>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</si>
  <si>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</si>
  <si>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</si>
  <si>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</si>
  <si>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</si>
  <si>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</si>
  <si>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</si>
  <si>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</si>
  <si>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</si>
  <si>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</si>
  <si>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</si>
  <si>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</si>
  <si>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</si>
  <si>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</si>
  <si>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</si>
  <si>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</si>
  <si>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</si>
  <si>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</si>
  <si>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</si>
  <si>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</si>
  <si>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</si>
  <si>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</si>
  <si>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</si>
  <si>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</si>
  <si>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</si>
  <si>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</si>
  <si>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</si>
  <si>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</si>
  <si>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</si>
  <si>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</si>
  <si>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</si>
  <si>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</si>
  <si>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</si>
  <si>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</si>
  <si>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</si>
  <si>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</si>
  <si>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</si>
  <si>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</si>
  <si>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</si>
  <si>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</si>
  <si>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</si>
  <si>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</si>
  <si>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</si>
  <si>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</si>
  <si>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</si>
  <si>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</si>
  <si>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</si>
  <si>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</si>
  <si>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</si>
  <si>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</si>
  <si>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</si>
  <si>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</si>
  <si>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</si>
  <si>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</si>
  <si>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</si>
  <si>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</si>
  <si>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</si>
  <si>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</si>
  <si>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</si>
  <si>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</si>
  <si>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</si>
  <si>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</si>
  <si>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</si>
  <si>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</t>
  </si>
  <si>
    <t>3344916-3</t>
  </si>
  <si>
    <t>Address: Behria Town</t>
  </si>
  <si>
    <t>Customer Name : Rainbow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</si>
</sst>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BT</v>
      </c>
      <c r="U14" s="163">
        <f>+'1'!P35</f>
        <v>29564.135410799998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BT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587.58000000000004</v>
      </c>
      <c r="M16" s="105">
        <f>I16-K16-L16</f>
        <v>3609.42</v>
      </c>
      <c r="N16" s="100">
        <f>+'1'!N16+'2'!N16+'4'!N16+'3'!N16+'5'!N16+'6'!N16+'7'!N16+'8'!N16+'9'!N16+'10'!N16</f>
        <v>687.46860000000004</v>
      </c>
      <c r="O16" s="100">
        <f>+'1'!O16+'2'!O16+'4'!O16+'3'!O16+'5'!O16+'6'!O16+'7'!O16+'8'!O16+'9'!O16+'10'!O16</f>
        <v>21.484443000000002</v>
      </c>
      <c r="P16" s="104">
        <f t="shared" ref="P16:P24" si="0">M16+N16+O16</f>
        <v>4318.3730430000005</v>
      </c>
      <c r="Q16" s="107"/>
      <c r="T16" s="162" t="str">
        <f>+'4'!A5</f>
        <v>Customer Name : Rainbow BT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687.46860000000004</v>
      </c>
      <c r="O17" s="100">
        <f>+'1'!O17+'2'!O17+'4'!O17+'3'!O17+'5'!O17+'6'!O17+'7'!O17+'8'!O17+'9'!O17+'10'!O17</f>
        <v>21.484443000000002</v>
      </c>
      <c r="P17" s="119">
        <f t="shared" si="0"/>
        <v>4318.3730430000005</v>
      </c>
      <c r="S17" s="64"/>
      <c r="T17" s="162" t="str">
        <f>+'3'!A5</f>
        <v>Customer Name : Rainbow BT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BT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813.5680000000001</v>
      </c>
      <c r="M19" s="117">
        <f t="shared" si="2"/>
        <v>4997.6319999999996</v>
      </c>
      <c r="N19" s="100">
        <f>+'1'!N19+'2'!N19+'4'!N19+'3'!N19+'5'!N19+'6'!N19+'7'!N19+'8'!N19+'9'!N19+'10'!N19</f>
        <v>951.87455999999986</v>
      </c>
      <c r="O19" s="100">
        <f>+'1'!O19+'2'!O19+'4'!O19+'3'!O19+'5'!O19+'6'!O19+'7'!O19+'8'!O19+'9'!O19+'10'!O19</f>
        <v>29.747532799999998</v>
      </c>
      <c r="P19" s="119">
        <f t="shared" si="0"/>
        <v>5979.2540927999999</v>
      </c>
      <c r="T19" s="162" t="str">
        <f>+'6'!A5</f>
        <v>Customer Name : Rainbow BT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1427.8118399999998</v>
      </c>
      <c r="O20" s="100">
        <f>+'1'!O20+'2'!O20+'4'!O20+'3'!O20+'5'!O20+'6'!O20+'7'!O20+'8'!O20+'9'!O20+'10'!O20</f>
        <v>44.621299199999996</v>
      </c>
      <c r="P20" s="119">
        <f t="shared" si="0"/>
        <v>8968.8811391999989</v>
      </c>
      <c r="T20" s="162" t="str">
        <f>+'7'!A5</f>
        <v>Customer Name : Rainbow BT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Rainbow BT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BT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BT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BT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11</v>
      </c>
      <c r="D25" s="222"/>
      <c r="E25" s="222"/>
      <c r="F25" s="222"/>
      <c r="G25" s="175">
        <f t="shared" ref="G25:M25" si="3">SUM(G16:G24)</f>
        <v>0</v>
      </c>
      <c r="H25" s="176">
        <f t="shared" si="3"/>
        <v>440</v>
      </c>
      <c r="I25" s="177">
        <f t="shared" si="3"/>
        <v>28733.200000000001</v>
      </c>
      <c r="J25" s="176">
        <f t="shared" si="3"/>
        <v>22</v>
      </c>
      <c r="K25" s="177">
        <f t="shared" si="3"/>
        <v>0</v>
      </c>
      <c r="L25" s="178">
        <f t="shared" si="3"/>
        <v>4022.6480000000001</v>
      </c>
      <c r="M25" s="140">
        <f t="shared" si="3"/>
        <v>24710.551999999996</v>
      </c>
      <c r="N25" s="141">
        <f>SUM(N16:N24)</f>
        <v>4706.4981600000001</v>
      </c>
      <c r="O25" s="142">
        <f>SUM(O16:O24)</f>
        <v>147.08525079999998</v>
      </c>
      <c r="P25" s="143">
        <f>SUM(P16:P24)</f>
        <v>29564.135410800001</v>
      </c>
      <c r="T25" s="162" t="str">
        <f>+'12'!A5</f>
        <v>Customer Name : Rainbow BT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BT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BT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BT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BT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BT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BT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29564.135410799998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28733.200000000001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4022.6480000000001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24710.552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4706.4981600000001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29417.050159999999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735.42625399999997</v>
      </c>
    </row>
    <row r="42" spans="1:21" ht="15.75" customHeight="1" thickBot="1" x14ac:dyDescent="0.4">
      <c r="N42" s="220" t="s">
        <v>92</v>
      </c>
      <c r="O42" s="221"/>
      <c r="P42" s="159">
        <f>P40+P41</f>
        <v>30152.476413999997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0">(M16*$N$15)+(J16*F16)*$N$15</f>
        <v>687.46860000000004</v>
      </c>
      <c r="O16" s="106">
        <f t="shared" ref="O16:O24" si="1">(N16+M16)*$O$15</f>
        <v>21.484443000000002</v>
      </c>
      <c r="P16" s="104">
        <f t="shared" ref="P16:P24" si="2">M16+N16+O16</f>
        <v>4318.3730430000005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687.46860000000004</v>
      </c>
      <c r="O17" s="118">
        <f t="shared" si="1"/>
        <v>21.484443000000002</v>
      </c>
      <c r="P17" s="119">
        <f t="shared" si="2"/>
        <v>4318.3730430000005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813.5680000000001</v>
      </c>
      <c r="M19" s="117">
        <f t="shared" si="6"/>
        <v>4997.6319999999996</v>
      </c>
      <c r="N19" s="117">
        <f t="shared" si="0"/>
        <v>951.87455999999986</v>
      </c>
      <c r="O19" s="118">
        <f t="shared" si="1"/>
        <v>29.747532799999998</v>
      </c>
      <c r="P19" s="119">
        <f t="shared" si="2"/>
        <v>5979.2540927999999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>
        <v>6</v>
      </c>
      <c r="K20" s="1">
        <f t="shared" si="4"/>
        <v>0</v>
      </c>
      <c r="L20" s="104">
        <f t="shared" si="5"/>
        <v>1220.3520000000001</v>
      </c>
      <c r="M20" s="117">
        <f t="shared" si="6"/>
        <v>7496.4479999999994</v>
      </c>
      <c r="N20" s="117">
        <f t="shared" si="0"/>
        <v>1427.8118399999998</v>
      </c>
      <c r="O20" s="118">
        <f t="shared" si="1"/>
        <v>44.621299199999996</v>
      </c>
      <c r="P20" s="119">
        <f t="shared" si="2"/>
        <v>8968.8811391999989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440</v>
      </c>
      <c r="I25" s="136">
        <f t="shared" si="9"/>
        <v>28733.200000000001</v>
      </c>
      <c r="J25" s="182">
        <f>SUM(J16:J21)</f>
        <v>22</v>
      </c>
      <c r="K25" s="138">
        <f t="shared" si="9"/>
        <v>0</v>
      </c>
      <c r="L25" s="139">
        <f t="shared" si="9"/>
        <v>4022.6480000000001</v>
      </c>
      <c r="M25" s="140">
        <f t="shared" si="9"/>
        <v>24710.551999999996</v>
      </c>
      <c r="N25" s="141">
        <f>SUM(N16:N24)</f>
        <v>4706.4981600000001</v>
      </c>
      <c r="O25" s="142">
        <f>SUM(O16:O24)</f>
        <v>147.08525079999998</v>
      </c>
      <c r="P25" s="143">
        <f>SUM(P16:P24)</f>
        <v>29564.135410800001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28733.200000000001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4022.6480000000001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24710.552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4706.4981600000001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29417.050159999999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147.08525080000001</v>
      </c>
    </row>
    <row r="35" spans="2:16" ht="15.75" customHeight="1" thickBot="1" x14ac:dyDescent="0.4">
      <c r="N35" s="220" t="s">
        <v>92</v>
      </c>
      <c r="O35" s="221"/>
      <c r="P35" s="159">
        <f>P33+P34</f>
        <v>29564.135410799998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2026-07-21T09:38:19Z</dcterms:modified>
</cp:coreProperties>
</file>