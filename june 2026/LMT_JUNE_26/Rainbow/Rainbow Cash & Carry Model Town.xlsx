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898C3AF-78BF-420C-8509-08B70582DA71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17" i="33" l="1"/>
  <c r="L17" i="33"/>
  <c r="I16" i="28"/>
  <c r="L16" i="28" s="1"/>
  <c r="I17" i="28"/>
  <c r="L17" i="28" s="1"/>
  <c r="I18" i="28"/>
  <c r="L18" i="28" s="1"/>
  <c r="I19" i="28"/>
  <c r="L19" i="28" s="1"/>
  <c r="I20" i="28"/>
  <c r="L20" i="28" s="1"/>
  <c r="I21" i="28"/>
  <c r="L21" i="28" s="1"/>
  <c r="I22" i="28"/>
  <c r="K22" i="28" s="1"/>
  <c r="I23" i="28"/>
  <c r="L23" i="28" s="1"/>
  <c r="I24" i="28"/>
  <c r="I22" i="32"/>
  <c r="K22" i="32" s="1"/>
  <c r="I18" i="33"/>
  <c r="I20" i="33"/>
  <c r="L20" i="33" s="1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I23" i="32"/>
  <c r="L23" i="32" s="1"/>
  <c r="M23" i="32" s="1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K22" i="34" s="1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K24" i="32" s="1"/>
  <c r="M24" i="32" s="1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M22" i="35" s="1"/>
  <c r="L22" i="35"/>
  <c r="K23" i="35"/>
  <c r="L23" i="35"/>
  <c r="M23" i="35" s="1"/>
  <c r="K24" i="35"/>
  <c r="L24" i="35"/>
  <c r="K17" i="34"/>
  <c r="K18" i="34"/>
  <c r="K21" i="34"/>
  <c r="K23" i="34"/>
  <c r="M23" i="34" s="1"/>
  <c r="L23" i="34"/>
  <c r="K21" i="33"/>
  <c r="K22" i="33"/>
  <c r="L22" i="33"/>
  <c r="K23" i="33"/>
  <c r="K20" i="33"/>
  <c r="K24" i="33"/>
  <c r="M24" i="33" s="1"/>
  <c r="L24" i="33"/>
  <c r="M17" i="33"/>
  <c r="K16" i="33"/>
  <c r="L24" i="32"/>
  <c r="K18" i="32"/>
  <c r="K19" i="32"/>
  <c r="K23" i="32"/>
  <c r="K17" i="31"/>
  <c r="K24" i="31"/>
  <c r="L24" i="31"/>
  <c r="K16" i="31"/>
  <c r="K20" i="31"/>
  <c r="L23" i="31"/>
  <c r="K20" i="30"/>
  <c r="L23" i="30"/>
  <c r="K16" i="30"/>
  <c r="K19" i="30"/>
  <c r="K22" i="30"/>
  <c r="L22" i="30"/>
  <c r="K24" i="30"/>
  <c r="L24" i="30"/>
  <c r="K16" i="29"/>
  <c r="K24" i="29"/>
  <c r="M24" i="29"/>
  <c r="L24" i="29"/>
  <c r="K20" i="29"/>
  <c r="K22" i="29"/>
  <c r="K18" i="29"/>
  <c r="K23" i="29"/>
  <c r="K16" i="28"/>
  <c r="K19" i="28"/>
  <c r="K20" i="28"/>
  <c r="L22" i="28"/>
  <c r="K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8" i="28" l="1"/>
  <c r="I25" i="28"/>
  <c r="P28" i="28" s="1"/>
  <c r="M24" i="30"/>
  <c r="K17" i="30"/>
  <c r="K18" i="30"/>
  <c r="M18" i="30" s="1"/>
  <c r="N18" i="30" s="1"/>
  <c r="O18" i="30" s="1"/>
  <c r="P18" i="30" s="1"/>
  <c r="M24" i="31"/>
  <c r="P24" i="31" s="1"/>
  <c r="L22" i="32"/>
  <c r="K21" i="32"/>
  <c r="K17" i="32"/>
  <c r="K19" i="33"/>
  <c r="M19" i="33" s="1"/>
  <c r="N19" i="33" s="1"/>
  <c r="O19" i="33" s="1"/>
  <c r="K24" i="34"/>
  <c r="L22" i="34"/>
  <c r="I16" i="27"/>
  <c r="L16" i="27" s="1"/>
  <c r="I17" i="27"/>
  <c r="L17" i="27" s="1"/>
  <c r="I18" i="27"/>
  <c r="L18" i="27" s="1"/>
  <c r="I19" i="27"/>
  <c r="L19" i="27" s="1"/>
  <c r="I20" i="27"/>
  <c r="L20" i="27" s="1"/>
  <c r="I22" i="27"/>
  <c r="L22" i="27" s="1"/>
  <c r="I23" i="27"/>
  <c r="I24" i="27"/>
  <c r="L24" i="27" s="1"/>
  <c r="K21" i="28"/>
  <c r="M17" i="28"/>
  <c r="N17" i="28" s="1"/>
  <c r="O17" i="28" s="1"/>
  <c r="K17" i="29"/>
  <c r="K21" i="29"/>
  <c r="K20" i="32"/>
  <c r="M20" i="32" s="1"/>
  <c r="N20" i="32" s="1"/>
  <c r="O20" i="32" s="1"/>
  <c r="K16" i="32"/>
  <c r="K19" i="29"/>
  <c r="L19" i="29"/>
  <c r="L25" i="29" s="1"/>
  <c r="P29" i="29" s="1"/>
  <c r="M24" i="34"/>
  <c r="N24" i="34" s="1"/>
  <c r="K20" i="34"/>
  <c r="L20" i="34"/>
  <c r="K19" i="31"/>
  <c r="L19" i="31"/>
  <c r="K17" i="28"/>
  <c r="I25" i="30"/>
  <c r="P28" i="30" s="1"/>
  <c r="K21" i="30"/>
  <c r="M21" i="30" s="1"/>
  <c r="N21" i="30" s="1"/>
  <c r="O21" i="30" s="1"/>
  <c r="K21" i="31"/>
  <c r="M21" i="31" s="1"/>
  <c r="N21" i="31" s="1"/>
  <c r="O21" i="31" s="1"/>
  <c r="I25" i="32"/>
  <c r="P28" i="32" s="1"/>
  <c r="M24" i="35"/>
  <c r="K18" i="31"/>
  <c r="K25" i="31" s="1"/>
  <c r="P30" i="31" s="1"/>
  <c r="L18" i="31"/>
  <c r="K18" i="33"/>
  <c r="L18" i="33"/>
  <c r="M22" i="33"/>
  <c r="L22" i="31"/>
  <c r="M22" i="31" s="1"/>
  <c r="N22" i="31" s="1"/>
  <c r="O22" i="31" s="1"/>
  <c r="P22" i="31" s="1"/>
  <c r="M21" i="35"/>
  <c r="K19" i="34"/>
  <c r="M19" i="34" s="1"/>
  <c r="N19" i="34" s="1"/>
  <c r="O19" i="34" s="1"/>
  <c r="I25" i="34"/>
  <c r="P28" i="34" s="1"/>
  <c r="M17" i="31"/>
  <c r="M22" i="29"/>
  <c r="M23" i="33"/>
  <c r="N23" i="33" s="1"/>
  <c r="O23" i="33" s="1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L25" i="33"/>
  <c r="P29" i="33" s="1"/>
  <c r="L25" i="31"/>
  <c r="P29" i="31" s="1"/>
  <c r="K25" i="33"/>
  <c r="P30" i="33" s="1"/>
  <c r="M19" i="29"/>
  <c r="N19" i="29" s="1"/>
  <c r="O19" i="29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24" i="33"/>
  <c r="O24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J25" i="15"/>
  <c r="I25" i="27"/>
  <c r="P28" i="27" s="1"/>
  <c r="K16" i="27"/>
  <c r="K20" i="27"/>
  <c r="K21" i="27"/>
  <c r="K22" i="27"/>
  <c r="K23" i="27"/>
  <c r="L23" i="27"/>
  <c r="K24" i="27"/>
  <c r="K19" i="27"/>
  <c r="K18" i="27"/>
  <c r="K17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O24" i="34" l="1"/>
  <c r="P24" i="34"/>
  <c r="K18" i="26"/>
  <c r="L18" i="26"/>
  <c r="L25" i="26" s="1"/>
  <c r="P29" i="26" s="1"/>
  <c r="K19" i="26"/>
  <c r="K17" i="27"/>
  <c r="M18" i="33"/>
  <c r="N18" i="33" s="1"/>
  <c r="O18" i="33" s="1"/>
  <c r="K16" i="26"/>
  <c r="M16" i="26" s="1"/>
  <c r="L16" i="26"/>
  <c r="K25" i="34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18" i="26" l="1"/>
  <c r="N18" i="26" s="1"/>
  <c r="O18" i="26" s="1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20" i="21"/>
  <c r="L20" i="21"/>
  <c r="M20" i="21" s="1"/>
  <c r="N20" i="21" s="1"/>
  <c r="O20" i="21" s="1"/>
  <c r="K18" i="24"/>
  <c r="M18" i="24" s="1"/>
  <c r="N18" i="24" s="1"/>
  <c r="O18" i="24" s="1"/>
  <c r="L18" i="24"/>
  <c r="K17" i="17"/>
  <c r="L17" i="17"/>
  <c r="M17" i="17" s="1"/>
  <c r="N17" i="17" s="1"/>
  <c r="O17" i="17" s="1"/>
  <c r="K19" i="23"/>
  <c r="M19" i="23" s="1"/>
  <c r="N19" i="23" s="1"/>
  <c r="O19" i="23" s="1"/>
  <c r="L19" i="23"/>
  <c r="K19" i="21"/>
  <c r="L19" i="21"/>
  <c r="K20" i="17"/>
  <c r="M20" i="17" s="1"/>
  <c r="N20" i="17" s="1"/>
  <c r="O20" i="17" s="1"/>
  <c r="L20" i="17"/>
  <c r="K18" i="21"/>
  <c r="L18" i="21"/>
  <c r="K17" i="20"/>
  <c r="M17" i="20" s="1"/>
  <c r="N17" i="20" s="1"/>
  <c r="O17" i="20" s="1"/>
  <c r="L17" i="20"/>
  <c r="K24" i="18"/>
  <c r="M24" i="18" s="1"/>
  <c r="K18" i="19"/>
  <c r="K19" i="17"/>
  <c r="M19" i="17" s="1"/>
  <c r="N19" i="17" s="1"/>
  <c r="O19" i="17" s="1"/>
  <c r="P19" i="17" s="1"/>
  <c r="L19" i="17"/>
  <c r="K18" i="20"/>
  <c r="L18" i="20"/>
  <c r="M18" i="20" s="1"/>
  <c r="N18" i="20" s="1"/>
  <c r="O18" i="20" s="1"/>
  <c r="K20" i="24"/>
  <c r="K25" i="24" s="1"/>
  <c r="P30" i="24" s="1"/>
  <c r="L20" i="24"/>
  <c r="K19" i="20"/>
  <c r="L19" i="20"/>
  <c r="K18" i="25"/>
  <c r="L18" i="25"/>
  <c r="K16" i="17"/>
  <c r="L16" i="17"/>
  <c r="K21" i="24"/>
  <c r="M21" i="24" s="1"/>
  <c r="N21" i="24" s="1"/>
  <c r="O21" i="24" s="1"/>
  <c r="K18" i="17"/>
  <c r="L18" i="17"/>
  <c r="K21" i="21"/>
  <c r="M21" i="21" s="1"/>
  <c r="N21" i="21" s="1"/>
  <c r="L21" i="21"/>
  <c r="K21" i="23"/>
  <c r="L21" i="23"/>
  <c r="K21" i="18"/>
  <c r="M21" i="18" s="1"/>
  <c r="N21" i="18" s="1"/>
  <c r="O21" i="18" s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M16" i="22"/>
  <c r="M21" i="19"/>
  <c r="L25" i="19"/>
  <c r="P29" i="19" s="1"/>
  <c r="N24" i="18"/>
  <c r="O24" i="18" s="1"/>
  <c r="N22" i="18"/>
  <c r="O22" i="18" s="1"/>
  <c r="M16" i="17"/>
  <c r="I23" i="15"/>
  <c r="K25" i="25" l="1"/>
  <c r="P30" i="25" s="1"/>
  <c r="K20" i="16"/>
  <c r="L20" i="16"/>
  <c r="L21" i="16"/>
  <c r="L21" i="15" s="1"/>
  <c r="K18" i="16"/>
  <c r="L18" i="16"/>
  <c r="L18" i="15" s="1"/>
  <c r="K16" i="16"/>
  <c r="L16" i="16"/>
  <c r="M16" i="16" s="1"/>
  <c r="N16" i="16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<sst xmlns="http://schemas.openxmlformats.org/spreadsheetml/2006/main" count="1579" uniqueCount="107">
  <si>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</si>
  <si>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</si>
  <si>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</si>
  <si>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</si>
  <si>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</si>
  <si>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</si>
  <si>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</si>
  <si>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</si>
  <si>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</si>
  <si>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</si>
  <si>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</si>
  <si>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</si>
  <si>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</si>
  <si>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</si>
  <si>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</si>
  <si>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</si>
  <si>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</si>
  <si>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</si>
  <si>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</si>
  <si>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</si>
  <si>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</si>
  <si>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</si>
  <si>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</si>
  <si>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</si>
  <si>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</si>
  <si>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</si>
  <si>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</si>
  <si>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</si>
  <si>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</si>
  <si>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</si>
  <si>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</si>
  <si>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</si>
  <si>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</si>
  <si>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</si>
  <si>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</si>
  <si>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</si>
  <si>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</si>
  <si>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</si>
  <si>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</si>
  <si>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</si>
  <si>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</si>
  <si>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</si>
  <si>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</si>
  <si>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</si>
  <si>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</si>
  <si>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</si>
  <si>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</si>
  <si>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</si>
  <si>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</si>
  <si>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</si>
  <si>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</si>
  <si>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</si>
  <si>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</si>
  <si>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</si>
  <si>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</si>
  <si>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</si>
  <si>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</si>
  <si>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</si>
  <si>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</si>
  <si>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</si>
  <si>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</si>
  <si>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</si>
  <si>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</si>
  <si>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</si>
  <si>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</si>
  <si>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</si>
  <si>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</si>
  <si>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</si>
  <si>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</si>
  <si>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</si>
  <si>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</si>
  <si>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</si>
  <si>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</si>
  <si>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</si>
  <si>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</si>
  <si>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</si>
  <si>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</si>
  <si>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</si>
  <si>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</si>
  <si>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</si>
  <si>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</si>
  <si>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</si>
  <si>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</si>
  <si>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</si>
  <si>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</si>
  <si>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</si>
  <si>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</si>
  <si>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</si>
  <si>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</si>
  <si>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</si>
  <si>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</si>
  <si>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</si>
  <si>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</si>
  <si>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</si>
  <si>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</si>
  <si>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</si>
  <si>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</si>
  <si>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</si>
  <si>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</si>
  <si>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</si>
  <si>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</si>
  <si>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</si>
  <si>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</si>
  <si>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</si>
  <si>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 xml:space="preserve">Address: Model Town </t>
  </si>
  <si>
    <t>3344916-3</t>
  </si>
  <si>
    <t>Customer Name : Rainbow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</si>
</sst>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6" sqref="A6:C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6" sqref="A6:C6"/>
      <selection pane="topRight" activeCell="A6" sqref="A6:C6"/>
      <selection pane="bottomLeft" activeCell="A6" sqref="A6:C6"/>
      <selection pane="bottomRight" activeCell="A6" sqref="A6:C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4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Cash &amp; Carry</v>
      </c>
      <c r="U14" s="163">
        <f>+'1'!P35</f>
        <v>30892.8814074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Cash &amp; Carry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2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293.79000000000002</v>
      </c>
      <c r="M16" s="105">
        <f>I16-K16-L16</f>
        <v>1804.71</v>
      </c>
      <c r="N16" s="100">
        <f>+'1'!N16+'2'!N16+'4'!N16+'3'!N16+'5'!N16+'6'!N16+'7'!N16+'8'!N16+'9'!N16+'10'!N16</f>
        <v>343.73430000000002</v>
      </c>
      <c r="O16" s="100">
        <f>+'1'!O16+'2'!O16+'4'!O16+'3'!O16+'5'!O16+'6'!O16+'7'!O16+'8'!O16+'9'!O16+'10'!O16</f>
        <v>10.742221500000001</v>
      </c>
      <c r="P16" s="104">
        <f t="shared" ref="P16:P24" si="0">M16+N16+O16</f>
        <v>2159.1865215000003</v>
      </c>
      <c r="Q16" s="107"/>
      <c r="T16" s="162" t="str">
        <f>+'4'!A5</f>
        <v>Customer Name : Rainbow Cash &amp; Carry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687.46860000000004</v>
      </c>
      <c r="O17" s="100">
        <f>+'1'!O17+'2'!O17+'4'!O17+'3'!O17+'5'!O17+'6'!O17+'7'!O17+'8'!O17+'9'!O17+'10'!O17</f>
        <v>21.484443000000002</v>
      </c>
      <c r="P17" s="119">
        <f t="shared" si="0"/>
        <v>4318.3730430000005</v>
      </c>
      <c r="S17" s="64"/>
      <c r="T17" s="162" t="str">
        <f>+'3'!A5</f>
        <v>Customer Name : Rainbow Cash &amp; Carry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6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881.37000000000012</v>
      </c>
      <c r="M18" s="117">
        <f t="shared" si="2"/>
        <v>5414.13</v>
      </c>
      <c r="N18" s="100">
        <f>+'1'!N18+'2'!N18+'4'!N18+'3'!N18+'5'!N18+'6'!N18+'7'!N18+'8'!N18+'9'!N18+'10'!N18</f>
        <v>1031.2029</v>
      </c>
      <c r="O18" s="100">
        <f>+'1'!O18+'2'!O18+'4'!O18+'3'!O18+'5'!O18+'6'!O18+'7'!O18+'8'!O18+'9'!O18+'10'!O18</f>
        <v>32.226664500000005</v>
      </c>
      <c r="P18" s="119">
        <f t="shared" si="0"/>
        <v>6477.5595645000003</v>
      </c>
      <c r="T18" s="162" t="str">
        <f>+'5'!A5</f>
        <v>Customer Name : Rainbow Cash &amp; Carry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813.5680000000001</v>
      </c>
      <c r="M19" s="117">
        <f t="shared" si="2"/>
        <v>4997.6319999999996</v>
      </c>
      <c r="N19" s="100">
        <f>+'1'!N19+'2'!N19+'4'!N19+'3'!N19+'5'!N19+'6'!N19+'7'!N19+'8'!N19+'9'!N19+'10'!N19</f>
        <v>951.87455999999986</v>
      </c>
      <c r="O19" s="100">
        <f>+'1'!O19+'2'!O19+'4'!O19+'3'!O19+'5'!O19+'6'!O19+'7'!O19+'8'!O19+'9'!O19+'10'!O19</f>
        <v>29.747532799999998</v>
      </c>
      <c r="P19" s="119">
        <f t="shared" si="0"/>
        <v>5979.2540927999999</v>
      </c>
      <c r="T19" s="162" t="str">
        <f>+'6'!A5</f>
        <v>Customer Name : Rainbow Cash &amp; Carry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813.5680000000001</v>
      </c>
      <c r="M20" s="117">
        <f t="shared" si="2"/>
        <v>4997.6319999999996</v>
      </c>
      <c r="N20" s="100">
        <f>+'1'!N20+'2'!N20+'4'!N20+'3'!N20+'5'!N20+'6'!N20+'7'!N20+'8'!N20+'9'!N20+'10'!N20</f>
        <v>951.87455999999986</v>
      </c>
      <c r="O20" s="100">
        <f>+'1'!O20+'2'!O20+'4'!O20+'3'!O20+'5'!O20+'6'!O20+'7'!O20+'8'!O20+'9'!O20+'10'!O20</f>
        <v>29.747532799999998</v>
      </c>
      <c r="P20" s="119">
        <f t="shared" si="0"/>
        <v>5979.2540927999999</v>
      </c>
      <c r="T20" s="162" t="str">
        <f>+'7'!A5</f>
        <v>Customer Name : Rainbow Cash &amp; Carry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813.5680000000001</v>
      </c>
      <c r="M21" s="117">
        <f t="shared" si="2"/>
        <v>4997.6319999999996</v>
      </c>
      <c r="N21" s="100">
        <f>+'1'!N21+'2'!N21+'4'!N21+'3'!N21+'5'!N21+'6'!N21+'7'!N21+'8'!N21+'9'!N21+'10'!N21</f>
        <v>951.87455999999986</v>
      </c>
      <c r="O21" s="100">
        <f>+'1'!O21+'2'!O21+'4'!O21+'3'!O21+'5'!O21+'6'!O21+'7'!O21+'8'!O21+'9'!O21+'10'!O21</f>
        <v>29.747532799999998</v>
      </c>
      <c r="P21" s="119">
        <f t="shared" si="0"/>
        <v>5979.2540927999999</v>
      </c>
      <c r="T21" s="162" t="str">
        <f>+'8'!A5</f>
        <v>Customer Name : Rainbow Cash &amp; Carry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Cash &amp; Carry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Cash &amp; Carry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Cash &amp; Carry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12</v>
      </c>
      <c r="D25" s="206"/>
      <c r="E25" s="206"/>
      <c r="F25" s="206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30024.600000000002</v>
      </c>
      <c r="J25" s="176">
        <f t="shared" si="3"/>
        <v>24</v>
      </c>
      <c r="K25" s="177">
        <f t="shared" si="3"/>
        <v>0</v>
      </c>
      <c r="L25" s="178">
        <f t="shared" si="3"/>
        <v>4203.4440000000004</v>
      </c>
      <c r="M25" s="140">
        <f t="shared" si="3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  <c r="T25" s="162" t="str">
        <f>+'12'!A5</f>
        <v>Customer Name : Rainbow Cash &amp; Carry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Cash &amp; Carry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Cash &amp; Carry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Cash &amp; Carry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Cash &amp; Carry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Cash &amp; Carry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Cash &amp; Carry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30892.8814074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30024.600000000002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4203.4440000000004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25821.156000000003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4918.0294799999992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30739.18548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768.47963700000003</v>
      </c>
    </row>
    <row r="42" spans="1:21" ht="15.75" customHeight="1" thickBot="1" x14ac:dyDescent="0.4">
      <c r="N42" s="204" t="s">
        <v>92</v>
      </c>
      <c r="O42" s="205"/>
      <c r="P42" s="159">
        <f>P40+P41</f>
        <v>31507.665117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5" sqref="I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v>46192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>N4-1</f>
        <v>46191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2</v>
      </c>
      <c r="K16" s="103">
        <f>I16*$K$13</f>
        <v>0</v>
      </c>
      <c r="L16" s="104">
        <f>I16*14%</f>
        <v>293.79000000000002</v>
      </c>
      <c r="M16" s="105">
        <f>I16-K16-L16</f>
        <v>1804.71</v>
      </c>
      <c r="N16" s="105">
        <f t="shared" ref="N16:N24" si="0">(M16*$N$15)+(J16*F16)*$N$15</f>
        <v>343.73430000000002</v>
      </c>
      <c r="O16" s="106">
        <f t="shared" ref="O16:O24" si="1">(N16+M16)*$O$15</f>
        <v>10.742221500000001</v>
      </c>
      <c r="P16" s="104">
        <f t="shared" ref="P16:P24" si="2">M16+N16+O16</f>
        <v>2159.1865215000003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6</v>
      </c>
      <c r="K18" s="1">
        <f t="shared" si="4"/>
        <v>0</v>
      </c>
      <c r="L18" s="104">
        <f t="shared" si="5"/>
        <v>881.37000000000012</v>
      </c>
      <c r="M18" s="117">
        <f t="shared" si="6"/>
        <v>5414.13</v>
      </c>
      <c r="N18" s="117">
        <f t="shared" si="0"/>
        <v>1031.2029</v>
      </c>
      <c r="O18" s="118">
        <f t="shared" si="1"/>
        <v>32.226664500000005</v>
      </c>
      <c r="P18" s="119">
        <f t="shared" si="2"/>
        <v>6477.5595645000003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>
        <v>4</v>
      </c>
      <c r="K19" s="1">
        <f t="shared" si="4"/>
        <v>0</v>
      </c>
      <c r="L19" s="104">
        <f t="shared" si="5"/>
        <v>813.5680000000001</v>
      </c>
      <c r="M19" s="117">
        <f t="shared" si="6"/>
        <v>4997.6319999999996</v>
      </c>
      <c r="N19" s="117">
        <f t="shared" si="0"/>
        <v>951.87455999999986</v>
      </c>
      <c r="O19" s="118">
        <f t="shared" si="1"/>
        <v>29.747532799999998</v>
      </c>
      <c r="P19" s="119">
        <f t="shared" si="2"/>
        <v>5979.2540927999999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>
        <v>4</v>
      </c>
      <c r="K20" s="1">
        <f t="shared" si="4"/>
        <v>0</v>
      </c>
      <c r="L20" s="104">
        <f t="shared" si="5"/>
        <v>813.5680000000001</v>
      </c>
      <c r="M20" s="117">
        <f t="shared" si="6"/>
        <v>4997.6319999999996</v>
      </c>
      <c r="N20" s="117">
        <f t="shared" si="0"/>
        <v>951.87455999999986</v>
      </c>
      <c r="O20" s="118">
        <f t="shared" si="1"/>
        <v>29.747532799999998</v>
      </c>
      <c r="P20" s="119">
        <f t="shared" si="2"/>
        <v>5979.2540927999999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>
        <v>4</v>
      </c>
      <c r="K21" s="1">
        <f t="shared" si="4"/>
        <v>0</v>
      </c>
      <c r="L21" s="104">
        <f t="shared" si="5"/>
        <v>813.5680000000001</v>
      </c>
      <c r="M21" s="117">
        <f t="shared" si="6"/>
        <v>4997.6319999999996</v>
      </c>
      <c r="N21" s="117">
        <f t="shared" si="0"/>
        <v>951.87455999999986</v>
      </c>
      <c r="O21" s="118">
        <f t="shared" si="1"/>
        <v>29.747532799999998</v>
      </c>
      <c r="P21" s="119">
        <f t="shared" si="2"/>
        <v>5979.2540927999999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82">
        <f>SUM(J16:J21)</f>
        <v>24</v>
      </c>
      <c r="K25" s="138">
        <f t="shared" si="9"/>
        <v>0</v>
      </c>
      <c r="L25" s="139">
        <f t="shared" si="9"/>
        <v>4203.4440000000004</v>
      </c>
      <c r="M25" s="140">
        <f t="shared" si="9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30024.600000000002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4203.4440000000004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25821.156000000003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4918.0294799999992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30739.18548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153.69592740000002</v>
      </c>
    </row>
    <row r="35" spans="2:16" ht="15.75" customHeight="1" thickBot="1" x14ac:dyDescent="0.4">
      <c r="N35" s="204" t="s">
        <v>92</v>
      </c>
      <c r="O35" s="205"/>
      <c r="P35" s="159">
        <f>P33+P34</f>
        <v>30892.8814074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88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8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2026-07-21T09:19:22Z</dcterms:modified>
</cp:coreProperties>
</file>