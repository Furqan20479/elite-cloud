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923971B-033A-4AC3-AA88-D2C58CC12E24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L21" i="33" l="1"/>
  <c r="K21" i="33"/>
  <c r="L16" i="35"/>
  <c r="K16" i="35"/>
  <c r="L17" i="35"/>
  <c r="K17" i="35"/>
  <c r="L18" i="35"/>
  <c r="K18" i="35"/>
  <c r="M18" i="35" s="1"/>
  <c r="L19" i="35"/>
  <c r="K19" i="35"/>
  <c r="L20" i="35"/>
  <c r="K20" i="35"/>
  <c r="L21" i="35"/>
  <c r="K21" i="35"/>
  <c r="L17" i="33"/>
  <c r="I16" i="28"/>
  <c r="I17" i="28"/>
  <c r="I18" i="28"/>
  <c r="I19" i="28"/>
  <c r="I20" i="28"/>
  <c r="I21" i="28"/>
  <c r="I22" i="28"/>
  <c r="K22" i="28" s="1"/>
  <c r="I23" i="28"/>
  <c r="L23" i="28" s="1"/>
  <c r="I24" i="28"/>
  <c r="I22" i="32"/>
  <c r="K22" i="32" s="1"/>
  <c r="I18" i="33"/>
  <c r="K18" i="33" s="1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I16" i="3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L23" i="32" s="1"/>
  <c r="M23" i="32" s="1"/>
  <c r="I22" i="33"/>
  <c r="I16" i="34"/>
  <c r="I17" i="34"/>
  <c r="I18" i="34"/>
  <c r="I19" i="34"/>
  <c r="I20" i="34"/>
  <c r="K20" i="34" s="1"/>
  <c r="I21" i="34"/>
  <c r="I22" i="34"/>
  <c r="K22" i="34" s="1"/>
  <c r="I23" i="34"/>
  <c r="I24" i="34"/>
  <c r="L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K24" i="32" s="1"/>
  <c r="M24" i="32" s="1"/>
  <c r="I19" i="33"/>
  <c r="I23" i="33"/>
  <c r="L23" i="33" s="1"/>
  <c r="I25" i="35"/>
  <c r="P28" i="35" s="1"/>
  <c r="M17" i="35"/>
  <c r="K22" i="35"/>
  <c r="M22" i="35" s="1"/>
  <c r="L22" i="35"/>
  <c r="K23" i="35"/>
  <c r="L23" i="35"/>
  <c r="M23" i="35" s="1"/>
  <c r="K24" i="35"/>
  <c r="L24" i="35"/>
  <c r="K23" i="34"/>
  <c r="M23" i="34" s="1"/>
  <c r="L23" i="34"/>
  <c r="K22" i="33"/>
  <c r="L22" i="33"/>
  <c r="K23" i="33"/>
  <c r="K24" i="33"/>
  <c r="M24" i="33" s="1"/>
  <c r="L24" i="33"/>
  <c r="M17" i="33"/>
  <c r="L24" i="32"/>
  <c r="K23" i="32"/>
  <c r="K24" i="31"/>
  <c r="L24" i="31"/>
  <c r="L23" i="31"/>
  <c r="L23" i="30"/>
  <c r="K22" i="30"/>
  <c r="L22" i="30"/>
  <c r="K24" i="30"/>
  <c r="L24" i="30"/>
  <c r="K24" i="29"/>
  <c r="M24" i="29"/>
  <c r="L24" i="29"/>
  <c r="K22" i="29"/>
  <c r="K23" i="29"/>
  <c r="L22" i="28"/>
  <c r="K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34" l="1"/>
  <c r="K21" i="34"/>
  <c r="L16" i="31"/>
  <c r="K16" i="31"/>
  <c r="K25" i="31" s="1"/>
  <c r="P30" i="31" s="1"/>
  <c r="L16" i="30"/>
  <c r="K16" i="30"/>
  <c r="L20" i="28"/>
  <c r="K20" i="28"/>
  <c r="M20" i="28" s="1"/>
  <c r="N20" i="28" s="1"/>
  <c r="O20" i="28" s="1"/>
  <c r="P20" i="28" s="1"/>
  <c r="L16" i="28"/>
  <c r="K16" i="28"/>
  <c r="L16" i="34"/>
  <c r="K16" i="34"/>
  <c r="M16" i="34" s="1"/>
  <c r="N16" i="34" s="1"/>
  <c r="L16" i="33"/>
  <c r="K16" i="33"/>
  <c r="L18" i="32"/>
  <c r="K18" i="32"/>
  <c r="L19" i="30"/>
  <c r="K19" i="30"/>
  <c r="L20" i="33"/>
  <c r="K20" i="33"/>
  <c r="K25" i="33" s="1"/>
  <c r="P30" i="33" s="1"/>
  <c r="L19" i="28"/>
  <c r="K19" i="28"/>
  <c r="L20" i="29"/>
  <c r="K20" i="29"/>
  <c r="L17" i="34"/>
  <c r="K17" i="34"/>
  <c r="L19" i="32"/>
  <c r="K19" i="32"/>
  <c r="M19" i="32" s="1"/>
  <c r="N19" i="32" s="1"/>
  <c r="O19" i="32" s="1"/>
  <c r="L19" i="33"/>
  <c r="K19" i="33"/>
  <c r="L18" i="29"/>
  <c r="K18" i="29"/>
  <c r="M18" i="29" s="1"/>
  <c r="N18" i="29" s="1"/>
  <c r="O18" i="29" s="1"/>
  <c r="L19" i="34"/>
  <c r="K19" i="34"/>
  <c r="L21" i="32"/>
  <c r="K21" i="32"/>
  <c r="L17" i="32"/>
  <c r="K17" i="32"/>
  <c r="L18" i="30"/>
  <c r="K18" i="30"/>
  <c r="M18" i="30" s="1"/>
  <c r="N18" i="30" s="1"/>
  <c r="O18" i="30" s="1"/>
  <c r="P18" i="30" s="1"/>
  <c r="L18" i="28"/>
  <c r="K18" i="28"/>
  <c r="L16" i="29"/>
  <c r="K16" i="29"/>
  <c r="K25" i="29" s="1"/>
  <c r="P30" i="29" s="1"/>
  <c r="L20" i="31"/>
  <c r="K20" i="31"/>
  <c r="L20" i="30"/>
  <c r="K20" i="30"/>
  <c r="M20" i="30" s="1"/>
  <c r="N20" i="30" s="1"/>
  <c r="O20" i="30" s="1"/>
  <c r="L21" i="29"/>
  <c r="K21" i="29"/>
  <c r="L17" i="29"/>
  <c r="K17" i="29"/>
  <c r="M17" i="29" s="1"/>
  <c r="N17" i="29" s="1"/>
  <c r="O17" i="29" s="1"/>
  <c r="P17" i="29" s="1"/>
  <c r="L18" i="34"/>
  <c r="K18" i="34"/>
  <c r="L21" i="31"/>
  <c r="K21" i="31"/>
  <c r="M21" i="31" s="1"/>
  <c r="N21" i="31" s="1"/>
  <c r="O21" i="31" s="1"/>
  <c r="L17" i="31"/>
  <c r="K17" i="31"/>
  <c r="L20" i="32"/>
  <c r="K20" i="32"/>
  <c r="L16" i="32"/>
  <c r="K16" i="32"/>
  <c r="L21" i="30"/>
  <c r="K21" i="30"/>
  <c r="M21" i="30" s="1"/>
  <c r="N21" i="30" s="1"/>
  <c r="O21" i="30" s="1"/>
  <c r="L17" i="30"/>
  <c r="K17" i="30"/>
  <c r="L21" i="28"/>
  <c r="K21" i="28"/>
  <c r="M21" i="28" s="1"/>
  <c r="N21" i="28" s="1"/>
  <c r="O21" i="28" s="1"/>
  <c r="L17" i="28"/>
  <c r="K17" i="28"/>
  <c r="I25" i="28"/>
  <c r="P28" i="28" s="1"/>
  <c r="M24" i="30"/>
  <c r="M24" i="31"/>
  <c r="P24" i="31" s="1"/>
  <c r="L22" i="32"/>
  <c r="M19" i="33"/>
  <c r="N19" i="33" s="1"/>
  <c r="O19" i="33" s="1"/>
  <c r="K24" i="34"/>
  <c r="L22" i="34"/>
  <c r="I16" i="27"/>
  <c r="I17" i="27"/>
  <c r="I25" i="27" s="1"/>
  <c r="P28" i="27" s="1"/>
  <c r="I18" i="27"/>
  <c r="I19" i="27"/>
  <c r="I20" i="27"/>
  <c r="I22" i="27"/>
  <c r="L22" i="27" s="1"/>
  <c r="I23" i="27"/>
  <c r="I24" i="27"/>
  <c r="L24" i="27" s="1"/>
  <c r="M17" i="28"/>
  <c r="N17" i="28" s="1"/>
  <c r="O17" i="28" s="1"/>
  <c r="M20" i="32"/>
  <c r="N20" i="32" s="1"/>
  <c r="O20" i="32" s="1"/>
  <c r="L19" i="29"/>
  <c r="L25" i="29" s="1"/>
  <c r="P29" i="29" s="1"/>
  <c r="M24" i="34"/>
  <c r="N24" i="34" s="1"/>
  <c r="L20" i="34"/>
  <c r="L19" i="31"/>
  <c r="M19" i="31" s="1"/>
  <c r="N19" i="31" s="1"/>
  <c r="O19" i="31" s="1"/>
  <c r="I25" i="30"/>
  <c r="P28" i="30" s="1"/>
  <c r="I25" i="32"/>
  <c r="P28" i="32" s="1"/>
  <c r="M24" i="35"/>
  <c r="L18" i="31"/>
  <c r="L18" i="33"/>
  <c r="L25" i="33" s="1"/>
  <c r="P29" i="33" s="1"/>
  <c r="M22" i="33"/>
  <c r="L22" i="31"/>
  <c r="M22" i="31" s="1"/>
  <c r="N22" i="31" s="1"/>
  <c r="O22" i="31" s="1"/>
  <c r="P22" i="31" s="1"/>
  <c r="M21" i="35"/>
  <c r="M19" i="34"/>
  <c r="N19" i="34" s="1"/>
  <c r="O19" i="34" s="1"/>
  <c r="I25" i="34"/>
  <c r="P28" i="34" s="1"/>
  <c r="M17" i="31"/>
  <c r="M22" i="29"/>
  <c r="M23" i="33"/>
  <c r="N23" i="33" s="1"/>
  <c r="O23" i="33" s="1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7" i="32"/>
  <c r="N17" i="32" s="1"/>
  <c r="O17" i="32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28"/>
  <c r="N19" i="28" s="1"/>
  <c r="O19" i="28" s="1"/>
  <c r="M17" i="30"/>
  <c r="N17" i="30" s="1"/>
  <c r="O17" i="30" s="1"/>
  <c r="M16" i="32"/>
  <c r="N16" i="32" s="1"/>
  <c r="M17" i="34"/>
  <c r="N17" i="34" s="1"/>
  <c r="O17" i="34" s="1"/>
  <c r="M18" i="32"/>
  <c r="N18" i="32" s="1"/>
  <c r="O18" i="32" s="1"/>
  <c r="M19" i="35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L25" i="31"/>
  <c r="P29" i="31" s="1"/>
  <c r="M19" i="29"/>
  <c r="N19" i="29" s="1"/>
  <c r="O19" i="29" s="1"/>
  <c r="M18" i="31"/>
  <c r="N18" i="31" s="1"/>
  <c r="O18" i="31" s="1"/>
  <c r="M18" i="34"/>
  <c r="N18" i="34" s="1"/>
  <c r="O18" i="34" s="1"/>
  <c r="P18" i="34" s="1"/>
  <c r="M16" i="30"/>
  <c r="N16" i="30" s="1"/>
  <c r="L25" i="30"/>
  <c r="P29" i="30" s="1"/>
  <c r="M19" i="30"/>
  <c r="N19" i="30" s="1"/>
  <c r="O19" i="30" s="1"/>
  <c r="P19" i="30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23" i="34"/>
  <c r="O23" i="34" s="1"/>
  <c r="P23" i="34" s="1"/>
  <c r="N24" i="33"/>
  <c r="O24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N23" i="31"/>
  <c r="O23" i="31" s="1"/>
  <c r="N17" i="31"/>
  <c r="O17" i="31" s="1"/>
  <c r="M16" i="31"/>
  <c r="N24" i="30"/>
  <c r="O24" i="30" s="1"/>
  <c r="P24" i="30" s="1"/>
  <c r="N22" i="30"/>
  <c r="O22" i="30" s="1"/>
  <c r="P22" i="30" s="1"/>
  <c r="N23" i="30"/>
  <c r="O23" i="30" s="1"/>
  <c r="N22" i="29"/>
  <c r="O22" i="29" s="1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J25" i="15"/>
  <c r="K22" i="27"/>
  <c r="K23" i="27"/>
  <c r="L23" i="27"/>
  <c r="K24" i="27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M16" i="29" l="1"/>
  <c r="N16" i="29" s="1"/>
  <c r="N25" i="29" s="1"/>
  <c r="P32" i="29" s="1"/>
  <c r="L20" i="27"/>
  <c r="K20" i="27"/>
  <c r="L16" i="27"/>
  <c r="K16" i="27"/>
  <c r="M16" i="27" s="1"/>
  <c r="N16" i="27" s="1"/>
  <c r="L19" i="26"/>
  <c r="K19" i="26"/>
  <c r="K25" i="30"/>
  <c r="P30" i="30" s="1"/>
  <c r="L21" i="27"/>
  <c r="K21" i="27"/>
  <c r="L21" i="26"/>
  <c r="K21" i="26"/>
  <c r="M21" i="26" s="1"/>
  <c r="N21" i="26" s="1"/>
  <c r="O21" i="26" s="1"/>
  <c r="L17" i="26"/>
  <c r="K17" i="26"/>
  <c r="M17" i="26" s="1"/>
  <c r="N17" i="26" s="1"/>
  <c r="O17" i="26" s="1"/>
  <c r="P17" i="26" s="1"/>
  <c r="L19" i="27"/>
  <c r="K19" i="27"/>
  <c r="M19" i="27" s="1"/>
  <c r="N19" i="27" s="1"/>
  <c r="O19" i="27" s="1"/>
  <c r="L17" i="27"/>
  <c r="K17" i="27"/>
  <c r="L20" i="26"/>
  <c r="K20" i="26"/>
  <c r="L18" i="27"/>
  <c r="K18" i="27"/>
  <c r="O24" i="34"/>
  <c r="P24" i="34"/>
  <c r="L18" i="26"/>
  <c r="M18" i="33"/>
  <c r="N18" i="33" s="1"/>
  <c r="O18" i="33" s="1"/>
  <c r="L16" i="26"/>
  <c r="M16" i="26" s="1"/>
  <c r="K25" i="34"/>
  <c r="P30" i="34" s="1"/>
  <c r="P31" i="34" s="1"/>
  <c r="L22" i="26"/>
  <c r="I25" i="26"/>
  <c r="P28" i="26" s="1"/>
  <c r="M23" i="27"/>
  <c r="P23" i="32"/>
  <c r="P23" i="31"/>
  <c r="M25" i="34"/>
  <c r="P17" i="31"/>
  <c r="P18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21" i="27"/>
  <c r="N21" i="27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16" i="22" l="1"/>
  <c r="K16" i="22"/>
  <c r="L19" i="22"/>
  <c r="K19" i="22"/>
  <c r="L21" i="22"/>
  <c r="K21" i="22"/>
  <c r="M25" i="29"/>
  <c r="L17" i="22"/>
  <c r="K17" i="22"/>
  <c r="L18" i="22"/>
  <c r="K18" i="22"/>
  <c r="L20" i="22"/>
  <c r="K20" i="22"/>
  <c r="L25" i="26"/>
  <c r="P29" i="26" s="1"/>
  <c r="P31" i="26" s="1"/>
  <c r="M18" i="26"/>
  <c r="N18" i="26" s="1"/>
  <c r="O18" i="26" s="1"/>
  <c r="I16" i="25"/>
  <c r="I17" i="25"/>
  <c r="I18" i="25"/>
  <c r="K18" i="25" s="1"/>
  <c r="I19" i="25"/>
  <c r="I20" i="25"/>
  <c r="I22" i="25"/>
  <c r="K22" i="25" s="1"/>
  <c r="I23" i="25"/>
  <c r="L23" i="25" s="1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4" i="25"/>
  <c r="L22" i="25"/>
  <c r="K23" i="25"/>
  <c r="K23" i="24"/>
  <c r="L23" i="23"/>
  <c r="K23" i="23"/>
  <c r="K22" i="22"/>
  <c r="L22" i="22"/>
  <c r="L24" i="20"/>
  <c r="K23" i="20"/>
  <c r="K24" i="19"/>
  <c r="L24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6" i="21" l="1"/>
  <c r="K16" i="21"/>
  <c r="L17" i="18"/>
  <c r="K17" i="18"/>
  <c r="M17" i="18" s="1"/>
  <c r="N17" i="18" s="1"/>
  <c r="O17" i="18" s="1"/>
  <c r="L17" i="19"/>
  <c r="K17" i="19"/>
  <c r="L21" i="25"/>
  <c r="K21" i="25"/>
  <c r="M21" i="25" s="1"/>
  <c r="N21" i="25" s="1"/>
  <c r="O21" i="25" s="1"/>
  <c r="P21" i="25" s="1"/>
  <c r="L16" i="24"/>
  <c r="K16" i="24"/>
  <c r="M16" i="24" s="1"/>
  <c r="N16" i="24" s="1"/>
  <c r="L18" i="18"/>
  <c r="K18" i="18"/>
  <c r="M18" i="18" s="1"/>
  <c r="N18" i="18" s="1"/>
  <c r="O18" i="18" s="1"/>
  <c r="L20" i="19"/>
  <c r="K20" i="19"/>
  <c r="L21" i="18"/>
  <c r="K21" i="18"/>
  <c r="L20" i="25"/>
  <c r="K20" i="25"/>
  <c r="L16" i="25"/>
  <c r="K16" i="25"/>
  <c r="L16" i="20"/>
  <c r="K16" i="20"/>
  <c r="L18" i="23"/>
  <c r="K18" i="23"/>
  <c r="L16" i="18"/>
  <c r="L25" i="18" s="1"/>
  <c r="P29" i="18" s="1"/>
  <c r="K16" i="18"/>
  <c r="L16" i="19"/>
  <c r="K16" i="19"/>
  <c r="L19" i="24"/>
  <c r="K19" i="24"/>
  <c r="L21" i="20"/>
  <c r="K21" i="20"/>
  <c r="L20" i="18"/>
  <c r="K20" i="18"/>
  <c r="M20" i="18" s="1"/>
  <c r="N20" i="18" s="1"/>
  <c r="O20" i="18" s="1"/>
  <c r="L19" i="19"/>
  <c r="K19" i="19"/>
  <c r="L19" i="25"/>
  <c r="K19" i="25"/>
  <c r="M19" i="25" s="1"/>
  <c r="N19" i="25" s="1"/>
  <c r="O19" i="25" s="1"/>
  <c r="L20" i="23"/>
  <c r="K20" i="23"/>
  <c r="M20" i="23" s="1"/>
  <c r="N20" i="23" s="1"/>
  <c r="O20" i="23" s="1"/>
  <c r="L21" i="17"/>
  <c r="K21" i="17"/>
  <c r="L16" i="23"/>
  <c r="K16" i="23"/>
  <c r="L20" i="20"/>
  <c r="K20" i="20"/>
  <c r="L17" i="23"/>
  <c r="K17" i="23"/>
  <c r="L18" i="19"/>
  <c r="K18" i="19"/>
  <c r="L17" i="21"/>
  <c r="K17" i="21"/>
  <c r="L21" i="24"/>
  <c r="K21" i="24"/>
  <c r="M21" i="24" s="1"/>
  <c r="N21" i="24" s="1"/>
  <c r="O21" i="24" s="1"/>
  <c r="L17" i="24"/>
  <c r="K17" i="24"/>
  <c r="K25" i="24" s="1"/>
  <c r="P30" i="24" s="1"/>
  <c r="L21" i="19"/>
  <c r="K21" i="19"/>
  <c r="L17" i="25"/>
  <c r="K17" i="25"/>
  <c r="L19" i="18"/>
  <c r="L20" i="21"/>
  <c r="M20" i="21" s="1"/>
  <c r="N20" i="21" s="1"/>
  <c r="O20" i="21" s="1"/>
  <c r="L18" i="24"/>
  <c r="M18" i="24" s="1"/>
  <c r="N18" i="24" s="1"/>
  <c r="O18" i="24" s="1"/>
  <c r="L17" i="17"/>
  <c r="M17" i="17" s="1"/>
  <c r="N17" i="17" s="1"/>
  <c r="O17" i="17" s="1"/>
  <c r="M19" i="23"/>
  <c r="N19" i="23" s="1"/>
  <c r="O19" i="23" s="1"/>
  <c r="L19" i="23"/>
  <c r="L19" i="21"/>
  <c r="M19" i="21" s="1"/>
  <c r="N19" i="21" s="1"/>
  <c r="O19" i="21" s="1"/>
  <c r="L20" i="17"/>
  <c r="M20" i="17" s="1"/>
  <c r="N20" i="17" s="1"/>
  <c r="O20" i="17" s="1"/>
  <c r="L18" i="21"/>
  <c r="M17" i="20"/>
  <c r="N17" i="20" s="1"/>
  <c r="O17" i="20" s="1"/>
  <c r="L17" i="20"/>
  <c r="K24" i="18"/>
  <c r="M24" i="18" s="1"/>
  <c r="L19" i="17"/>
  <c r="M19" i="17" s="1"/>
  <c r="N19" i="17" s="1"/>
  <c r="O19" i="17" s="1"/>
  <c r="P19" i="17" s="1"/>
  <c r="L18" i="20"/>
  <c r="M18" i="20" s="1"/>
  <c r="N18" i="20" s="1"/>
  <c r="O18" i="20" s="1"/>
  <c r="L20" i="24"/>
  <c r="L19" i="20"/>
  <c r="L18" i="25"/>
  <c r="L16" i="17"/>
  <c r="L18" i="17"/>
  <c r="M21" i="21"/>
  <c r="N21" i="21" s="1"/>
  <c r="L21" i="21"/>
  <c r="L21" i="23"/>
  <c r="M21" i="18"/>
  <c r="N21" i="18" s="1"/>
  <c r="O21" i="18" s="1"/>
  <c r="I25" i="25"/>
  <c r="P28" i="25" s="1"/>
  <c r="K22" i="18"/>
  <c r="M22" i="18" s="1"/>
  <c r="L22" i="19"/>
  <c r="K23" i="19"/>
  <c r="M23" i="19" s="1"/>
  <c r="N23" i="19" s="1"/>
  <c r="O23" i="19" s="1"/>
  <c r="L23" i="22"/>
  <c r="L25" i="22" s="1"/>
  <c r="P29" i="22" s="1"/>
  <c r="L25" i="25"/>
  <c r="P29" i="25" s="1"/>
  <c r="M21" i="20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19"/>
  <c r="N17" i="19" s="1"/>
  <c r="O17" i="19" s="1"/>
  <c r="M19" i="20"/>
  <c r="N19" i="20" s="1"/>
  <c r="O19" i="20" s="1"/>
  <c r="M16" i="23"/>
  <c r="N16" i="23" s="1"/>
  <c r="L24" i="24"/>
  <c r="L22" i="21"/>
  <c r="M22" i="21" s="1"/>
  <c r="N22" i="21" s="1"/>
  <c r="O22" i="21" s="1"/>
  <c r="M18" i="21"/>
  <c r="N18" i="21" s="1"/>
  <c r="O18" i="21" s="1"/>
  <c r="M16" i="20"/>
  <c r="N16" i="20" s="1"/>
  <c r="K22" i="17"/>
  <c r="M22" i="17" s="1"/>
  <c r="N22" i="17" s="1"/>
  <c r="O22" i="17" s="1"/>
  <c r="M17" i="21"/>
  <c r="N17" i="21" s="1"/>
  <c r="O17" i="21" s="1"/>
  <c r="P17" i="21" s="1"/>
  <c r="M18" i="23"/>
  <c r="N18" i="23" s="1"/>
  <c r="O18" i="23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N24" i="24" s="1"/>
  <c r="O24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K21" i="16" s="1"/>
  <c r="I22" i="16"/>
  <c r="K22" i="16" s="1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3" i="24"/>
  <c r="O23" i="24" s="1"/>
  <c r="M16" i="22"/>
  <c r="M21" i="19"/>
  <c r="L25" i="19"/>
  <c r="P29" i="19" s="1"/>
  <c r="N24" i="18"/>
  <c r="O24" i="18" s="1"/>
  <c r="N22" i="18"/>
  <c r="O22" i="18" s="1"/>
  <c r="M16" i="17"/>
  <c r="I23" i="15"/>
  <c r="M17" i="24" l="1"/>
  <c r="N17" i="24" s="1"/>
  <c r="O17" i="24" s="1"/>
  <c r="L19" i="16"/>
  <c r="L19" i="15" s="1"/>
  <c r="K19" i="16"/>
  <c r="K19" i="15" s="1"/>
  <c r="L17" i="16"/>
  <c r="K17" i="16"/>
  <c r="K25" i="25"/>
  <c r="P30" i="25" s="1"/>
  <c r="L20" i="16"/>
  <c r="L20" i="15" s="1"/>
  <c r="L21" i="16"/>
  <c r="L21" i="15" s="1"/>
  <c r="L18" i="16"/>
  <c r="L18" i="15" s="1"/>
  <c r="L16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M18" i="15"/>
  <c r="M21" i="15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18" i="15" l="1"/>
  <c r="P18" i="15" s="1"/>
  <c r="O22" i="16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6" l="1"/>
  <c r="P33" i="16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<sst xmlns="http://schemas.openxmlformats.org/spreadsheetml/2006/main" count="1581" uniqueCount="108">
  <si>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</si>
  <si>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</si>
  <si>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</si>
  <si>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</si>
  <si>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</si>
  <si>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</si>
  <si>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</si>
  <si>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</si>
  <si>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</si>
  <si>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</si>
  <si>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</si>
  <si>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</si>
  <si>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</si>
  <si>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</si>
  <si>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</si>
  <si>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</si>
  <si>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</si>
  <si>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</si>
  <si>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</si>
  <si>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</si>
  <si>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</si>
  <si>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</si>
  <si>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</si>
  <si>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</si>
  <si>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</si>
  <si>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</si>
  <si>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</si>
  <si>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</si>
  <si>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</si>
  <si>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</si>
  <si>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</si>
  <si>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</si>
  <si>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</si>
  <si>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</si>
  <si>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</si>
  <si>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</si>
  <si>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</si>
  <si>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</si>
  <si>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</si>
  <si>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</si>
  <si>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</si>
  <si>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</si>
  <si>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</si>
  <si>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</si>
  <si>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</si>
  <si>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</si>
  <si>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</si>
  <si>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</si>
  <si>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</si>
  <si>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</si>
  <si>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</si>
  <si>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</si>
  <si>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</si>
  <si>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</si>
  <si>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</si>
  <si>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</si>
  <si>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</si>
  <si>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</si>
  <si>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</si>
  <si>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</si>
  <si>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</si>
  <si>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</si>
  <si>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</si>
  <si>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</si>
  <si>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</si>
  <si>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</si>
  <si>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</si>
  <si>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</si>
  <si>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</si>
  <si>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</si>
  <si>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</si>
  <si>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</si>
  <si>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</si>
  <si>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</si>
  <si>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</si>
  <si>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</si>
  <si>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</si>
  <si>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</si>
  <si>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</si>
  <si>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</si>
  <si>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</si>
  <si>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</si>
  <si>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</si>
  <si>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</si>
  <si>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</si>
  <si>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</si>
  <si>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</si>
  <si>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</si>
  <si>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</si>
  <si>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</si>
  <si>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</si>
  <si>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</si>
  <si>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</si>
  <si>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</si>
  <si>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</si>
  <si>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</si>
  <si>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</si>
  <si>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</si>
  <si>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</si>
  <si>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</si>
  <si>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</si>
  <si>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</si>
  <si>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3344916-3</t>
  </si>
  <si>
    <t>Customer Name : Rainbow Cash &amp; Carry</t>
  </si>
  <si>
    <t>Shop Bill Summary (Shahdra (Rainbow)</t>
  </si>
  <si>
    <t>Rainbow Shahdra</t>
  </si>
  <si>
    <t>\</t>
  </si>
  <si>
    <t>Address: Model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</si>
</sst>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11" sqref="F11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1" sqref="F11"/>
      <selection pane="topRight" activeCell="F11" sqref="F11"/>
      <selection pane="bottomLeft" activeCell="F11" sqref="F11"/>
      <selection pane="bottomRight" activeCell="F11" sqref="F1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F11" sqref="F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105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 t="s">
        <v>106</v>
      </c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104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11110.404923887503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>Customer Name : Rainbow Cash &amp; Carry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42</v>
      </c>
      <c r="I17" s="1">
        <f t="shared" ref="I17:I23" si="1">(G17*D17)*F17+H17*F17</f>
        <v>2203.4249999999997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77.119874999999993</v>
      </c>
      <c r="L17" s="174">
        <f>+'1'!L17+'2'!L17+'4'!L17+'3'!L17+'5'!L17+'6'!L17+'7'!L17+'8'!L17+'9'!L17+'10'!L17</f>
        <v>308.47949999999997</v>
      </c>
      <c r="M17" s="117">
        <f t="shared" ref="M17:M23" si="2">I17-K17-L17</f>
        <v>1817.8256249999999</v>
      </c>
      <c r="N17" s="100">
        <f>+'1'!N17+'2'!N17+'4'!N17+'3'!N17+'5'!N17+'6'!N17+'7'!N17+'8'!N17+'9'!N17+'10'!N17</f>
        <v>327.20861249999996</v>
      </c>
      <c r="O17" s="100">
        <f>+'1'!O17+'2'!O17+'4'!O17+'3'!O17+'5'!O17+'6'!O17+'7'!O17+'8'!O17+'9'!O17+'10'!O17</f>
        <v>10.725171187500001</v>
      </c>
      <c r="P17" s="119">
        <f t="shared" si="0"/>
        <v>2155.7594086875001</v>
      </c>
      <c r="S17" s="64"/>
      <c r="T17" s="162" t="str">
        <f>+'3'!A5</f>
        <v>Customer Name : Rainbow Cash &amp; Carry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Cash &amp; Carry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42</v>
      </c>
      <c r="I19" s="1">
        <f t="shared" si="1"/>
        <v>3050.88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106.78080000000001</v>
      </c>
      <c r="L19" s="174">
        <f>+'1'!L19+'2'!L19+'4'!L19+'3'!L19+'5'!L19+'6'!L19+'7'!L19+'8'!L19+'9'!L19+'10'!L19</f>
        <v>427.12320000000005</v>
      </c>
      <c r="M19" s="117">
        <f t="shared" si="2"/>
        <v>2516.9760000000001</v>
      </c>
      <c r="N19" s="100">
        <f>+'1'!N19+'2'!N19+'4'!N19+'3'!N19+'5'!N19+'6'!N19+'7'!N19+'8'!N19+'9'!N19+'10'!N19</f>
        <v>453.05568</v>
      </c>
      <c r="O19" s="100">
        <f>+'1'!O19+'2'!O19+'4'!O19+'3'!O19+'5'!O19+'6'!O19+'7'!O19+'8'!O19+'9'!O19+'10'!O19</f>
        <v>14.8501584</v>
      </c>
      <c r="P19" s="119">
        <f t="shared" si="0"/>
        <v>2984.8818384000001</v>
      </c>
      <c r="T19" s="162" t="str">
        <f>+'6'!A5</f>
        <v>Customer Name : Rainbow Cash &amp; Carry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42</v>
      </c>
      <c r="I20" s="1">
        <f t="shared" si="1"/>
        <v>3050.88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106.78080000000001</v>
      </c>
      <c r="L20" s="174">
        <f>+'1'!L20+'2'!L20+'4'!L20+'3'!L20+'5'!L20+'6'!L20+'7'!L20+'8'!L20+'9'!L20+'10'!L20</f>
        <v>427.12320000000005</v>
      </c>
      <c r="M20" s="117">
        <f t="shared" si="2"/>
        <v>2516.9760000000001</v>
      </c>
      <c r="N20" s="100">
        <f>+'1'!N20+'2'!N20+'4'!N20+'3'!N20+'5'!N20+'6'!N20+'7'!N20+'8'!N20+'9'!N20+'10'!N20</f>
        <v>453.05568</v>
      </c>
      <c r="O20" s="100">
        <f>+'1'!O20+'2'!O20+'4'!O20+'3'!O20+'5'!O20+'6'!O20+'7'!O20+'8'!O20+'9'!O20+'10'!O20</f>
        <v>14.8501584</v>
      </c>
      <c r="P20" s="119">
        <f t="shared" si="0"/>
        <v>2984.8818384000001</v>
      </c>
      <c r="T20" s="162" t="str">
        <f>+'7'!A5</f>
        <v>Customer Name : Rainbow Cash &amp; Carry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42</v>
      </c>
      <c r="I21" s="1">
        <f t="shared" si="1"/>
        <v>3050.88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106.78080000000001</v>
      </c>
      <c r="L21" s="174">
        <f>+'1'!L21+'2'!L21+'4'!L21+'3'!L21+'5'!L21+'6'!L21+'7'!L21+'8'!L21+'9'!L21+'10'!L21</f>
        <v>427.12320000000005</v>
      </c>
      <c r="M21" s="117">
        <f t="shared" si="2"/>
        <v>2516.9760000000001</v>
      </c>
      <c r="N21" s="100">
        <f>+'1'!N21+'2'!N21+'4'!N21+'3'!N21+'5'!N21+'6'!N21+'7'!N21+'8'!N21+'9'!N21+'10'!N21</f>
        <v>453.05568</v>
      </c>
      <c r="O21" s="100">
        <f>+'1'!O21+'2'!O21+'4'!O21+'3'!O21+'5'!O21+'6'!O21+'7'!O21+'8'!O21+'9'!O21+'10'!O21</f>
        <v>14.8501584</v>
      </c>
      <c r="P21" s="119">
        <f t="shared" si="0"/>
        <v>2984.8818384000001</v>
      </c>
      <c r="T21" s="162" t="str">
        <f>+'8'!A5</f>
        <v>Customer Name : Rainbow Cash &amp; Carry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4.2</v>
      </c>
      <c r="D25" s="222"/>
      <c r="E25" s="222"/>
      <c r="F25" s="222"/>
      <c r="G25" s="175">
        <f t="shared" ref="G25:M25" si="3">SUM(G16:G24)</f>
        <v>0</v>
      </c>
      <c r="H25" s="176">
        <f t="shared" si="3"/>
        <v>168</v>
      </c>
      <c r="I25" s="177">
        <f t="shared" si="3"/>
        <v>11356.065000000002</v>
      </c>
      <c r="J25" s="176">
        <f t="shared" si="3"/>
        <v>0</v>
      </c>
      <c r="K25" s="177">
        <f t="shared" si="3"/>
        <v>397.46227500000003</v>
      </c>
      <c r="L25" s="178">
        <f t="shared" si="3"/>
        <v>1589.8491000000001</v>
      </c>
      <c r="M25" s="140">
        <f t="shared" si="3"/>
        <v>9368.7536250000012</v>
      </c>
      <c r="N25" s="141">
        <f>SUM(N16:N24)</f>
        <v>1686.3756524999999</v>
      </c>
      <c r="O25" s="142">
        <f>SUM(O16:O24)</f>
        <v>55.275646387499997</v>
      </c>
      <c r="P25" s="143">
        <f>SUM(P16:P24)</f>
        <v>11110.404923887501</v>
      </c>
      <c r="T25" s="162" t="str">
        <f>+'12'!A5</f>
        <v>Customer Name : Rainbow Cash &amp; Carry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Cash &amp; Carry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Cash &amp; Carry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Cash &amp; Carry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11110.404923887503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11356.065000000002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1589.8491000000001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397.46227500000003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9368.753625000003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1686.3756524999999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11055.129277500004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276.37823193750012</v>
      </c>
    </row>
    <row r="42" spans="1:21" ht="15.75" customHeight="1" thickBot="1" x14ac:dyDescent="0.4">
      <c r="N42" s="220" t="s">
        <v>92</v>
      </c>
      <c r="O42" s="221"/>
      <c r="P42" s="159">
        <f>P40+P41</f>
        <v>11331.507509437504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 t="s">
        <v>102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42</v>
      </c>
      <c r="I17" s="115">
        <f t="shared" ref="I17:I23" si="3">(G17*D17)*F17+H17*F17</f>
        <v>2203.4249999999997</v>
      </c>
      <c r="J17" s="116"/>
      <c r="K17" s="103">
        <f t="shared" ref="K17:K21" si="4">I17*3.5%</f>
        <v>77.119874999999993</v>
      </c>
      <c r="L17" s="104">
        <f t="shared" ref="L17:L21" si="5">I17*14%</f>
        <v>308.47949999999997</v>
      </c>
      <c r="M17" s="117">
        <f t="shared" ref="M17:M23" si="6">I17-K17-L17</f>
        <v>1817.8256249999999</v>
      </c>
      <c r="N17" s="117">
        <f t="shared" si="0"/>
        <v>327.20861249999996</v>
      </c>
      <c r="O17" s="118">
        <f t="shared" si="1"/>
        <v>10.725171187500001</v>
      </c>
      <c r="P17" s="119">
        <f t="shared" si="2"/>
        <v>2155.7594086875001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42</v>
      </c>
      <c r="I19" s="115">
        <f t="shared" si="3"/>
        <v>3050.88</v>
      </c>
      <c r="J19" s="116"/>
      <c r="K19" s="103">
        <f t="shared" si="4"/>
        <v>106.78080000000001</v>
      </c>
      <c r="L19" s="104">
        <f t="shared" si="5"/>
        <v>427.12320000000005</v>
      </c>
      <c r="M19" s="117">
        <f t="shared" si="6"/>
        <v>2516.9760000000001</v>
      </c>
      <c r="N19" s="117">
        <f t="shared" si="0"/>
        <v>453.05568</v>
      </c>
      <c r="O19" s="118">
        <f t="shared" si="1"/>
        <v>14.8501584</v>
      </c>
      <c r="P19" s="119">
        <f t="shared" si="2"/>
        <v>2984.8818384000001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42</v>
      </c>
      <c r="I20" s="115">
        <f t="shared" si="3"/>
        <v>3050.88</v>
      </c>
      <c r="J20" s="116"/>
      <c r="K20" s="103">
        <f t="shared" si="4"/>
        <v>106.78080000000001</v>
      </c>
      <c r="L20" s="104">
        <f t="shared" si="5"/>
        <v>427.12320000000005</v>
      </c>
      <c r="M20" s="117">
        <f t="shared" si="6"/>
        <v>2516.9760000000001</v>
      </c>
      <c r="N20" s="117">
        <f t="shared" si="0"/>
        <v>453.05568</v>
      </c>
      <c r="O20" s="118">
        <f t="shared" si="1"/>
        <v>14.8501584</v>
      </c>
      <c r="P20" s="119">
        <f t="shared" si="2"/>
        <v>2984.8818384000001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42</v>
      </c>
      <c r="I21" s="115">
        <f t="shared" si="3"/>
        <v>3050.88</v>
      </c>
      <c r="J21" s="116"/>
      <c r="K21" s="103">
        <f t="shared" si="4"/>
        <v>106.78080000000001</v>
      </c>
      <c r="L21" s="104">
        <f t="shared" si="5"/>
        <v>427.12320000000005</v>
      </c>
      <c r="M21" s="117">
        <f t="shared" si="6"/>
        <v>2516.9760000000001</v>
      </c>
      <c r="N21" s="117">
        <f t="shared" si="0"/>
        <v>453.05568</v>
      </c>
      <c r="O21" s="118">
        <f t="shared" si="1"/>
        <v>14.8501584</v>
      </c>
      <c r="P21" s="119">
        <f t="shared" si="2"/>
        <v>2984.8818384000001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168</v>
      </c>
      <c r="I25" s="136">
        <f t="shared" si="9"/>
        <v>11356.065000000002</v>
      </c>
      <c r="J25" s="182">
        <f>SUM(J16:J21)</f>
        <v>0</v>
      </c>
      <c r="K25" s="138">
        <f t="shared" si="9"/>
        <v>397.46227500000003</v>
      </c>
      <c r="L25" s="139">
        <f t="shared" si="9"/>
        <v>1589.8491000000001</v>
      </c>
      <c r="M25" s="140">
        <f t="shared" si="9"/>
        <v>9368.7536250000012</v>
      </c>
      <c r="N25" s="141">
        <f>SUM(N16:N24)</f>
        <v>1686.3756524999999</v>
      </c>
      <c r="O25" s="142">
        <f>SUM(O16:O24)</f>
        <v>55.275646387499997</v>
      </c>
      <c r="P25" s="143">
        <f>SUM(P16:P24)</f>
        <v>11110.404923887501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11356.065000000002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1589.8491000000001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397.46227500000003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9368.753625000003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1686.3756524999999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11055.129277500004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55.275646387500018</v>
      </c>
    </row>
    <row r="35" spans="2:16" ht="15.75" customHeight="1" thickBot="1" x14ac:dyDescent="0.4">
      <c r="N35" s="220" t="s">
        <v>92</v>
      </c>
      <c r="O35" s="221"/>
      <c r="P35" s="159">
        <f>P33+P34</f>
        <v>11110.404923887503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2026-07-09T08:42:25Z</dcterms:modified>
</cp:coreProperties>
</file>