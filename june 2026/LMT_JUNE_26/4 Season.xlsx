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2887BCD-7D13-4513-893D-A2E9F98ACFAA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25" i="16" l="1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20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L19" i="16" s="1"/>
  <c r="I20" i="16"/>
  <c r="K20" i="16" s="1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16" i="16" l="1"/>
  <c r="L16" i="16"/>
  <c r="L21" i="16"/>
  <c r="L21" i="15" s="1"/>
  <c r="K18" i="16"/>
  <c r="L18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N22" i="15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S20" i="16" s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<sst xmlns="http://schemas.openxmlformats.org/spreadsheetml/2006/main" count="1579" uniqueCount="107">
  <si>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</si>
  <si>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</si>
  <si>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</si>
  <si>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</si>
  <si>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</si>
  <si>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</si>
  <si>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</si>
  <si>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</si>
  <si>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</si>
  <si>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</si>
  <si>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</si>
  <si>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</si>
  <si>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</si>
  <si>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</si>
  <si>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</si>
  <si>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</si>
  <si>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</si>
  <si>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</si>
  <si>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</si>
  <si>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</si>
  <si>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</si>
  <si>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</si>
  <si>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</si>
  <si>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</si>
  <si>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</si>
  <si>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</si>
  <si>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</si>
  <si>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</si>
  <si>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</si>
  <si>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</si>
  <si>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</si>
  <si>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</si>
  <si>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</si>
  <si>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</si>
  <si>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</si>
  <si>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</si>
  <si>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</si>
  <si>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</si>
  <si>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</si>
  <si>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</si>
  <si>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</si>
  <si>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</si>
  <si>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</si>
  <si>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</si>
  <si>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</si>
  <si>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</si>
  <si>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</si>
  <si>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</si>
  <si>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</si>
  <si>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</si>
  <si>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</si>
  <si>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</si>
  <si>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</si>
  <si>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</si>
  <si>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</si>
  <si>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</si>
  <si>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</si>
  <si>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</si>
  <si>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</si>
  <si>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</si>
  <si>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</si>
  <si>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</si>
  <si>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</si>
  <si>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</si>
  <si>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</si>
  <si>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</si>
  <si>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</si>
  <si>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</si>
  <si>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</si>
  <si>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</si>
  <si>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</si>
  <si>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</si>
  <si>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</si>
  <si>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</si>
  <si>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</si>
  <si>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</si>
  <si>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</si>
  <si>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</si>
  <si>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</si>
  <si>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</si>
  <si>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</si>
  <si>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</si>
  <si>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</si>
  <si>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</si>
  <si>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</si>
  <si>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</si>
  <si>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</si>
  <si>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</si>
  <si>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</si>
  <si>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</si>
  <si>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</si>
  <si>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</si>
  <si>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</si>
  <si>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</si>
  <si>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</si>
  <si>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</si>
  <si>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</si>
  <si>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</si>
  <si>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</si>
  <si>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</si>
  <si>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</si>
  <si>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</si>
  <si>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</si>
  <si>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</si>
  <si>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Customer Name : 4 Seasons</t>
  </si>
  <si>
    <t>Address: Riwand Road Adda Plote</t>
  </si>
  <si>
    <t>8074586-2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</si>
</sst>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3" zoomScale="70" zoomScaleNormal="7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1" t="s">
        <v>45</v>
      </c>
      <c r="B2" s="201"/>
      <c r="C2" s="201"/>
    </row>
    <row r="3" spans="1:21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6" t="s">
        <v>102</v>
      </c>
      <c r="B5" s="206"/>
      <c r="C5" s="206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21 16383:16384" ht="15" customHeight="1" x14ac:dyDescent="0.35">
      <c r="A6" s="206"/>
      <c r="B6" s="206"/>
      <c r="C6" s="206"/>
      <c r="F6" s="70"/>
      <c r="G6" s="74"/>
      <c r="K6" s="203" t="s">
        <v>52</v>
      </c>
      <c r="L6" s="203"/>
      <c r="M6" s="203"/>
      <c r="N6" s="205" t="s">
        <v>42</v>
      </c>
      <c r="O6" s="205"/>
      <c r="P6" s="205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21 16383:16384" hidden="1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21 16383:16384" x14ac:dyDescent="0.35">
      <c r="A10" s="208"/>
      <c r="B10" s="75"/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21 16383:16384" ht="15" thickBot="1" x14ac:dyDescent="0.4">
      <c r="A11" s="208"/>
      <c r="B11" s="76"/>
      <c r="C11" s="77"/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21 16383:16384" ht="14.65" customHeight="1" x14ac:dyDescent="0.35">
      <c r="A12" s="208"/>
      <c r="B12" s="76"/>
      <c r="C12" s="77"/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T12" s="217" t="s">
        <v>103</v>
      </c>
      <c r="U12" s="218"/>
      <c r="XFD12" t="s">
        <v>62</v>
      </c>
    </row>
    <row r="13" spans="1:21 16383:16384" ht="15" thickBot="1" x14ac:dyDescent="0.4">
      <c r="A13" s="245"/>
      <c r="J13" s="78"/>
      <c r="K13" s="78"/>
      <c r="L13" s="79">
        <v>0.05</v>
      </c>
      <c r="T13" s="219"/>
      <c r="U13" s="220"/>
      <c r="XFD13" t="s">
        <v>63</v>
      </c>
    </row>
    <row r="14" spans="1:21 16383:16384" ht="29.25" customHeight="1" x14ac:dyDescent="0.6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11" t="s">
        <v>68</v>
      </c>
      <c r="H14" s="212"/>
      <c r="I14" s="212" t="s">
        <v>69</v>
      </c>
      <c r="J14" s="212" t="s">
        <v>70</v>
      </c>
      <c r="K14" s="212"/>
      <c r="L14" s="214"/>
      <c r="M14" s="215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4 Seasons</v>
      </c>
      <c r="U14" s="163">
        <f>+'1'!P35</f>
        <v>39791.633566200006</v>
      </c>
      <c r="XFD14" t="s">
        <v>75</v>
      </c>
    </row>
    <row r="15" spans="1:21 16383:16384" ht="29.25" customHeight="1" thickBot="1" x14ac:dyDescent="0.65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3"/>
      <c r="J15" s="170" t="s">
        <v>78</v>
      </c>
      <c r="K15" s="170" t="s">
        <v>79</v>
      </c>
      <c r="L15" s="173" t="s">
        <v>80</v>
      </c>
      <c r="M15" s="21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4 Seasons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2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314.77499999999998</v>
      </c>
      <c r="M16" s="105">
        <f>I16-K16-L16</f>
        <v>1783.7249999999999</v>
      </c>
      <c r="N16" s="100">
        <f>+'1'!N16+'2'!N16+'4'!N16+'3'!N16+'5'!N16+'6'!N16+'7'!N16+'8'!N16+'9'!N16+'10'!N16</f>
        <v>339.95699999999999</v>
      </c>
      <c r="O16" s="100">
        <f>+'1'!O16+'2'!O16+'4'!O16+'3'!O16+'5'!O16+'6'!O16+'7'!O16+'8'!O16+'9'!O16+'10'!O16</f>
        <v>10.618409999999999</v>
      </c>
      <c r="P16" s="104">
        <f t="shared" ref="P16:P24" si="0">M16+N16+O16</f>
        <v>2134.3004099999998</v>
      </c>
      <c r="Q16" s="107"/>
      <c r="T16" s="162" t="str">
        <f>+'4'!A5</f>
        <v>Customer Name : 4 Seasons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4 Seasons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120</v>
      </c>
      <c r="I18" s="1">
        <f t="shared" si="1"/>
        <v>6295.5</v>
      </c>
      <c r="J18" s="171">
        <f>+'1'!J18+'2'!J18+'4'!J18+'3'!J18+'5'!J18+'6'!J18+'7'!J18+'8'!J18+'9'!J18+'10'!J18+'11'!J18+'12'!J18+'13'!J18+'14'!J18+'15'!J18+'16'!J18+'17'!J18+'18'!J18</f>
        <v>6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944.32499999999993</v>
      </c>
      <c r="M18" s="117">
        <f t="shared" si="2"/>
        <v>5351.1750000000002</v>
      </c>
      <c r="N18" s="100">
        <f>+'1'!N18+'2'!N18+'4'!N18+'3'!N18+'5'!N18+'6'!N18+'7'!N18+'8'!N18+'9'!N18+'10'!N18</f>
        <v>1019.871</v>
      </c>
      <c r="O18" s="100">
        <f>+'1'!O18+'2'!O18+'4'!O18+'3'!O18+'5'!O18+'6'!O18+'7'!O18+'8'!O18+'9'!O18+'10'!O18</f>
        <v>31.855230000000002</v>
      </c>
      <c r="P18" s="119">
        <f t="shared" si="0"/>
        <v>6402.9012300000004</v>
      </c>
      <c r="T18" s="162" t="str">
        <f>+'5'!A5</f>
        <v>Customer Name : 4 Seasons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200</v>
      </c>
      <c r="I19" s="1">
        <f t="shared" si="1"/>
        <v>14528</v>
      </c>
      <c r="J19" s="171">
        <f>+'1'!J19+'2'!J19+'4'!J19+'3'!J19+'5'!J19+'6'!J19+'7'!J19+'8'!J19+'9'!J19+'10'!J19+'11'!J19+'12'!J19+'13'!J19+'14'!J19+'15'!J19+'16'!J19+'17'!J19+'18'!J19</f>
        <v>10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2179.1999999999998</v>
      </c>
      <c r="M19" s="117">
        <f t="shared" si="2"/>
        <v>12348.8</v>
      </c>
      <c r="N19" s="100">
        <f>+'1'!N19+'2'!N19+'4'!N19+'3'!N19+'5'!N19+'6'!N19+'7'!N19+'8'!N19+'9'!N19+'10'!N19</f>
        <v>2353.5359999999996</v>
      </c>
      <c r="O19" s="100">
        <f>+'1'!O19+'2'!O19+'4'!O19+'3'!O19+'5'!O19+'6'!O19+'7'!O19+'8'!O19+'9'!O19+'10'!O19</f>
        <v>73.511679999999998</v>
      </c>
      <c r="P19" s="119">
        <f t="shared" si="0"/>
        <v>14775.847679999999</v>
      </c>
      <c r="T19" s="162" t="str">
        <f>+'6'!A5</f>
        <v>Customer Name : 4 Seasons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4 Seasons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10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2179.1999999999998</v>
      </c>
      <c r="M21" s="117">
        <f t="shared" si="2"/>
        <v>12348.8</v>
      </c>
      <c r="N21" s="100">
        <f>+'1'!N21+'2'!N21+'4'!N21+'3'!N21+'5'!N21+'6'!N21+'7'!N21+'8'!N21+'9'!N21+'10'!N21</f>
        <v>2353.5359999999996</v>
      </c>
      <c r="O21" s="100">
        <f>+'1'!O21+'2'!O21+'4'!O21+'3'!O21+'5'!O21+'6'!O21+'7'!O21+'8'!O21+'9'!O21+'10'!O21</f>
        <v>73.511679999999998</v>
      </c>
      <c r="P21" s="119">
        <f t="shared" si="0"/>
        <v>14775.847679999999</v>
      </c>
      <c r="T21" s="162" t="str">
        <f>+'8'!A5</f>
        <v>Customer Name : 4 Seasons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40</v>
      </c>
      <c r="I22" s="1">
        <f t="shared" si="1"/>
        <v>1569.2000000000003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54.922000000000011</v>
      </c>
      <c r="L22" s="174">
        <f>+'1'!L22+'2'!L22+'4'!L22+'3'!L22+'5'!L22+'6'!L22+'7'!L22+'8'!L22+'9'!L22+'10'!L22</f>
        <v>78.460000000000022</v>
      </c>
      <c r="M22" s="117">
        <f t="shared" si="2"/>
        <v>1435.8180000000002</v>
      </c>
      <c r="N22" s="100">
        <f>+'1'!N22+'2'!N22+'4'!N22+'3'!N22+'5'!N22+'6'!N22+'7'!N22+'8'!N22+'9'!N22+'10'!N22</f>
        <v>258.44724000000002</v>
      </c>
      <c r="O22" s="100">
        <f>+'1'!O22+'2'!O22+'4'!O22+'3'!O22+'5'!O22+'6'!O22+'7'!O22+'8'!O22+'9'!O22+'10'!O22</f>
        <v>8.4713262000000018</v>
      </c>
      <c r="P22" s="119">
        <f t="shared" si="0"/>
        <v>1702.7365662000002</v>
      </c>
      <c r="T22" s="162" t="str">
        <f>+'9'!A5</f>
        <v>Customer Name : 4 Seasons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4 Seasons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4 Seasons</v>
      </c>
      <c r="U24" s="163">
        <f>+'11'!P35</f>
        <v>0</v>
      </c>
    </row>
    <row r="25" spans="1:21 16384:16384" ht="26.5" thickBot="1" x14ac:dyDescent="0.65">
      <c r="A25" s="227" t="s">
        <v>84</v>
      </c>
      <c r="B25" s="228"/>
      <c r="C25" s="229">
        <f>H25/40</f>
        <v>15</v>
      </c>
      <c r="D25" s="223"/>
      <c r="E25" s="223"/>
      <c r="F25" s="223"/>
      <c r="G25" s="175">
        <f t="shared" ref="G25:M25" si="3">SUM(G16:G24)</f>
        <v>0</v>
      </c>
      <c r="H25" s="176">
        <f t="shared" si="3"/>
        <v>600</v>
      </c>
      <c r="I25" s="177">
        <f t="shared" si="3"/>
        <v>39019.199999999997</v>
      </c>
      <c r="J25" s="176">
        <f t="shared" si="3"/>
        <v>28</v>
      </c>
      <c r="K25" s="177">
        <f t="shared" si="3"/>
        <v>54.922000000000011</v>
      </c>
      <c r="L25" s="178">
        <f t="shared" si="3"/>
        <v>5695.96</v>
      </c>
      <c r="M25" s="140">
        <f t="shared" si="3"/>
        <v>33268.317999999999</v>
      </c>
      <c r="N25" s="141">
        <f>SUM(N16:N24)</f>
        <v>6325.3472400000001</v>
      </c>
      <c r="O25" s="142">
        <f>SUM(O16:O24)</f>
        <v>197.96832620000001</v>
      </c>
      <c r="P25" s="143">
        <f>SUM(P16:P24)</f>
        <v>39791.633566199998</v>
      </c>
      <c r="T25" s="162" t="str">
        <f>+'12'!A5</f>
        <v>Customer Name : 4 Seasons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4 Seasons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4 Seasons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4 Seasons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4 Seasons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4 Seasons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4 Seasons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39791.633566200006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30" t="s">
        <v>85</v>
      </c>
      <c r="C35" s="231"/>
      <c r="D35" s="231"/>
      <c r="E35" s="231"/>
      <c r="F35" s="231"/>
      <c r="G35" s="231"/>
      <c r="H35" s="231"/>
      <c r="I35" s="231"/>
      <c r="J35" s="231"/>
      <c r="K35" s="231"/>
      <c r="L35" s="232"/>
      <c r="N35" s="239" t="s">
        <v>86</v>
      </c>
      <c r="O35" s="240"/>
      <c r="P35" s="151">
        <f>I25</f>
        <v>39019.199999999997</v>
      </c>
    </row>
    <row r="36" spans="1:21" ht="15" customHeight="1" x14ac:dyDescent="0.35">
      <c r="B36" s="233"/>
      <c r="C36" s="234"/>
      <c r="D36" s="234"/>
      <c r="E36" s="234"/>
      <c r="F36" s="234"/>
      <c r="G36" s="234"/>
      <c r="H36" s="234"/>
      <c r="I36" s="234"/>
      <c r="J36" s="234"/>
      <c r="K36" s="234"/>
      <c r="L36" s="235"/>
      <c r="N36" s="241" t="s">
        <v>87</v>
      </c>
      <c r="O36" s="242"/>
      <c r="P36" s="152">
        <f>L25</f>
        <v>5695.96</v>
      </c>
    </row>
    <row r="37" spans="1:21" ht="15" customHeight="1" x14ac:dyDescent="0.35">
      <c r="B37" s="233"/>
      <c r="C37" s="234"/>
      <c r="D37" s="234"/>
      <c r="E37" s="234"/>
      <c r="F37" s="234"/>
      <c r="G37" s="234"/>
      <c r="H37" s="234"/>
      <c r="I37" s="234"/>
      <c r="J37" s="234"/>
      <c r="K37" s="234"/>
      <c r="L37" s="235"/>
      <c r="N37" s="241" t="s">
        <v>4</v>
      </c>
      <c r="O37" s="242"/>
      <c r="P37" s="153">
        <f>K25</f>
        <v>54.922000000000011</v>
      </c>
    </row>
    <row r="38" spans="1:21" ht="15" customHeight="1" x14ac:dyDescent="0.35">
      <c r="B38" s="233"/>
      <c r="C38" s="234"/>
      <c r="D38" s="234"/>
      <c r="E38" s="234"/>
      <c r="F38" s="234"/>
      <c r="G38" s="234"/>
      <c r="H38" s="234"/>
      <c r="I38" s="234"/>
      <c r="J38" s="234"/>
      <c r="K38" s="234"/>
      <c r="L38" s="235"/>
      <c r="M38" s="2"/>
      <c r="N38" s="241" t="s">
        <v>88</v>
      </c>
      <c r="O38" s="242"/>
      <c r="P38" s="152">
        <f>P35-P36-P37</f>
        <v>33268.317999999999</v>
      </c>
    </row>
    <row r="39" spans="1:21" ht="15" customHeight="1" x14ac:dyDescent="0.35">
      <c r="B39" s="233"/>
      <c r="C39" s="234"/>
      <c r="D39" s="234"/>
      <c r="E39" s="234"/>
      <c r="F39" s="234"/>
      <c r="G39" s="234"/>
      <c r="H39" s="234"/>
      <c r="I39" s="234"/>
      <c r="J39" s="234"/>
      <c r="K39" s="234"/>
      <c r="L39" s="235"/>
      <c r="M39" s="2"/>
      <c r="N39" s="154" t="s">
        <v>89</v>
      </c>
      <c r="O39" s="155">
        <f>IF(B12="Registered",18%,22%)</f>
        <v>0.22</v>
      </c>
      <c r="P39" s="152">
        <f>N25</f>
        <v>6325.3472400000001</v>
      </c>
    </row>
    <row r="40" spans="1:21" ht="15" customHeight="1" x14ac:dyDescent="0.35">
      <c r="B40" s="233"/>
      <c r="C40" s="234"/>
      <c r="D40" s="234"/>
      <c r="E40" s="234"/>
      <c r="F40" s="234"/>
      <c r="G40" s="234"/>
      <c r="H40" s="234"/>
      <c r="I40" s="234"/>
      <c r="J40" s="234"/>
      <c r="K40" s="234"/>
      <c r="L40" s="235"/>
      <c r="M40" s="2"/>
      <c r="N40" s="243" t="s">
        <v>90</v>
      </c>
      <c r="O40" s="244"/>
      <c r="P40" s="152">
        <f>P38+P39</f>
        <v>39593.665240000002</v>
      </c>
    </row>
    <row r="41" spans="1:21" ht="15" customHeight="1" thickBot="1" x14ac:dyDescent="0.4">
      <c r="B41" s="236"/>
      <c r="C41" s="237"/>
      <c r="D41" s="237"/>
      <c r="E41" s="237"/>
      <c r="F41" s="237"/>
      <c r="G41" s="237"/>
      <c r="H41" s="237"/>
      <c r="I41" s="237"/>
      <c r="J41" s="237"/>
      <c r="K41" s="237"/>
      <c r="L41" s="238"/>
      <c r="M41" s="156"/>
      <c r="N41" s="157" t="s">
        <v>91</v>
      </c>
      <c r="O41" s="158">
        <f>IF(B11="Filer",0.5%,2.5%)</f>
        <v>2.5000000000000001E-2</v>
      </c>
      <c r="P41" s="152">
        <f>O41*P40</f>
        <v>989.84163100000012</v>
      </c>
    </row>
    <row r="42" spans="1:21" ht="15.75" customHeight="1" thickBot="1" x14ac:dyDescent="0.4">
      <c r="N42" s="221" t="s">
        <v>92</v>
      </c>
      <c r="O42" s="222"/>
      <c r="P42" s="159">
        <f>P40+P41</f>
        <v>40583.506871000005</v>
      </c>
    </row>
    <row r="43" spans="1:21" ht="15" thickBot="1" x14ac:dyDescent="0.4">
      <c r="B43" s="160" t="s">
        <v>93</v>
      </c>
      <c r="C43" s="223"/>
      <c r="D43" s="223"/>
      <c r="E43" s="223"/>
      <c r="F43" s="223"/>
      <c r="G43" s="223"/>
      <c r="H43" s="223"/>
      <c r="I43" s="224"/>
      <c r="J43" s="225"/>
      <c r="K43" s="226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v>46193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>N4-1</f>
        <v>46192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>
        <v>2</v>
      </c>
      <c r="K16" s="103">
        <f>I16*$K$13</f>
        <v>0</v>
      </c>
      <c r="L16" s="104">
        <f>I16*15%</f>
        <v>314.77499999999998</v>
      </c>
      <c r="M16" s="105">
        <f>I16-K16-L16</f>
        <v>1783.7249999999999</v>
      </c>
      <c r="N16" s="105">
        <f t="shared" ref="N16:N24" si="0">(M16*$N$15)+(J16*F16)*$N$15</f>
        <v>339.95699999999999</v>
      </c>
      <c r="O16" s="106">
        <f t="shared" ref="O16:O24" si="1">(N16+M16)*$O$15</f>
        <v>10.618409999999999</v>
      </c>
      <c r="P16" s="104">
        <f t="shared" ref="P16:P24" si="2">M16+N16+O16</f>
        <v>2134.3004099999998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I17*15%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120</v>
      </c>
      <c r="I18" s="115">
        <f t="shared" si="3"/>
        <v>6295.5</v>
      </c>
      <c r="J18" s="116">
        <v>6</v>
      </c>
      <c r="K18" s="1">
        <f t="shared" si="4"/>
        <v>0</v>
      </c>
      <c r="L18" s="104">
        <f t="shared" si="5"/>
        <v>944.32499999999993</v>
      </c>
      <c r="M18" s="117">
        <f t="shared" si="6"/>
        <v>5351.1750000000002</v>
      </c>
      <c r="N18" s="117">
        <f t="shared" si="0"/>
        <v>1019.871</v>
      </c>
      <c r="O18" s="118">
        <f t="shared" si="1"/>
        <v>31.855230000000002</v>
      </c>
      <c r="P18" s="119">
        <f t="shared" si="2"/>
        <v>6402.9012300000004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200</v>
      </c>
      <c r="I19" s="115">
        <f t="shared" si="3"/>
        <v>14528</v>
      </c>
      <c r="J19" s="116">
        <v>10</v>
      </c>
      <c r="K19" s="1">
        <f t="shared" si="4"/>
        <v>0</v>
      </c>
      <c r="L19" s="104">
        <f t="shared" si="5"/>
        <v>2179.1999999999998</v>
      </c>
      <c r="M19" s="117">
        <f t="shared" si="6"/>
        <v>12348.8</v>
      </c>
      <c r="N19" s="117">
        <f t="shared" si="0"/>
        <v>2353.5359999999996</v>
      </c>
      <c r="O19" s="118">
        <f t="shared" si="1"/>
        <v>73.511679999999998</v>
      </c>
      <c r="P19" s="119">
        <f t="shared" si="2"/>
        <v>14775.847679999999</v>
      </c>
      <c r="S19">
        <v>39452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3"/>
        <v>0</v>
      </c>
      <c r="J20" s="116"/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  <c r="S20" s="184">
        <f>S19-P25</f>
        <v>-339.63356619999831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16">
        <v>10</v>
      </c>
      <c r="K21" s="1">
        <f t="shared" si="4"/>
        <v>0</v>
      </c>
      <c r="L21" s="104">
        <f t="shared" si="5"/>
        <v>2179.1999999999998</v>
      </c>
      <c r="M21" s="117">
        <f t="shared" si="6"/>
        <v>12348.8</v>
      </c>
      <c r="N21" s="117">
        <f t="shared" si="0"/>
        <v>2353.5359999999996</v>
      </c>
      <c r="O21" s="118">
        <f t="shared" si="1"/>
        <v>73.511679999999998</v>
      </c>
      <c r="P21" s="119">
        <f t="shared" si="2"/>
        <v>14775.847679999999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40</v>
      </c>
      <c r="I22" s="115">
        <f t="shared" si="3"/>
        <v>1569.2000000000003</v>
      </c>
      <c r="J22" s="116"/>
      <c r="K22" s="1">
        <f>I22*3.5%</f>
        <v>54.922000000000011</v>
      </c>
      <c r="L22" s="119">
        <f>I22*5%</f>
        <v>78.460000000000022</v>
      </c>
      <c r="M22" s="117">
        <f t="shared" si="6"/>
        <v>1435.8180000000002</v>
      </c>
      <c r="N22" s="117">
        <f t="shared" si="0"/>
        <v>258.44724000000002</v>
      </c>
      <c r="O22" s="118">
        <f t="shared" si="1"/>
        <v>8.4713262000000018</v>
      </c>
      <c r="P22" s="119">
        <f t="shared" si="2"/>
        <v>1702.7365662000002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600</v>
      </c>
      <c r="I25" s="136">
        <f t="shared" si="9"/>
        <v>39019.199999999997</v>
      </c>
      <c r="J25" s="182">
        <f>SUM(J16:J22)</f>
        <v>28</v>
      </c>
      <c r="K25" s="138">
        <f t="shared" si="9"/>
        <v>54.922000000000011</v>
      </c>
      <c r="L25" s="139">
        <f t="shared" si="9"/>
        <v>5695.96</v>
      </c>
      <c r="M25" s="140">
        <f t="shared" si="9"/>
        <v>33268.317999999999</v>
      </c>
      <c r="N25" s="141">
        <f>SUM(N16:N24)</f>
        <v>6325.3472400000001</v>
      </c>
      <c r="O25" s="142">
        <f>SUM(O16:O24)</f>
        <v>197.96832620000001</v>
      </c>
      <c r="P25" s="143">
        <f>SUM(P16:P24)</f>
        <v>39791.633566199998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39019.199999999997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5695.96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54.922000000000011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33268.317999999999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6325.3472400000001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39593.665240000002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197.96832620000001</v>
      </c>
    </row>
    <row r="35" spans="2:16" ht="15.75" customHeight="1" thickBot="1" x14ac:dyDescent="0.4">
      <c r="N35" s="221" t="s">
        <v>92</v>
      </c>
      <c r="O35" s="222"/>
      <c r="P35" s="159">
        <f>P33+P34</f>
        <v>39791.633566200006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2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4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8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3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5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8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6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7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8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8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9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6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79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46224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46223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2026-07-21T09:26:15Z</dcterms:modified>
</cp:coreProperties>
</file>