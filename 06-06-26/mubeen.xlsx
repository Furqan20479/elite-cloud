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70AEB158-F60B-49BE-ACAC-35BAC6C0776F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N20" i="18"/>
  <c r="O20" i="18" s="1"/>
  <c r="M16" i="17"/>
  <c r="I23" i="15"/>
  <c r="M19" i="18" l="1"/>
  <c r="N19" i="18" s="1"/>
  <c r="O19" i="18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17" i="15" l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<sst xmlns="http://schemas.openxmlformats.org/spreadsheetml/2006/main" count="1598" uniqueCount="127">
  <si>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</si>
  <si>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</si>
  <si>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</si>
  <si>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</si>
  <si>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</si>
  <si>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</si>
  <si>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</si>
  <si>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</si>
  <si>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</si>
  <si>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</si>
  <si>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</si>
  <si>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</si>
  <si>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</si>
  <si>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</si>
  <si>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</si>
  <si>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</si>
  <si>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</si>
  <si>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</si>
  <si>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</si>
  <si>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</si>
  <si>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</si>
  <si>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</si>
  <si>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</si>
  <si>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</si>
  <si>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</si>
  <si>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</si>
  <si>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</si>
  <si>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</si>
  <si>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</si>
  <si>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</si>
  <si>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</si>
  <si>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</si>
  <si>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</si>
  <si>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</si>
  <si>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</si>
  <si>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</si>
  <si>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</si>
  <si>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</si>
  <si>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</si>
  <si>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</si>
  <si>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</si>
  <si>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</si>
  <si>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</si>
  <si>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</si>
  <si>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</si>
  <si>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</si>
  <si>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</si>
  <si>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</si>
  <si>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</si>
  <si>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</si>
  <si>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</si>
  <si>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</si>
  <si>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</si>
  <si>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</si>
  <si>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</si>
  <si>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</si>
  <si>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</si>
  <si>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</si>
  <si>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</si>
  <si>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</si>
  <si>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</si>
  <si>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</si>
  <si>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</si>
  <si>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</si>
  <si>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</si>
  <si>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</si>
  <si>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</si>
  <si>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</si>
  <si>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</si>
  <si>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</si>
  <si>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</si>
  <si>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</si>
  <si>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</si>
  <si>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</si>
  <si>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</si>
  <si>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</si>
  <si>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</si>
  <si>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</si>
  <si>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</si>
  <si>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</si>
  <si>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</si>
  <si>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</si>
  <si>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</si>
  <si>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</si>
  <si>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</si>
  <si>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</si>
  <si>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</si>
  <si>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</si>
  <si>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</si>
  <si>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</si>
  <si>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</si>
  <si>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</si>
  <si>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</si>
  <si>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</si>
  <si>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</si>
  <si>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</si>
  <si>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</si>
  <si>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</si>
  <si>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</si>
  <si>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</si>
  <si>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</si>
  <si>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</si>
  <si>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</si>
  <si>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</si>
  <si>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</si>
  <si>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</si>
  <si>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</si>
  <si>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</si>
  <si>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</si>
  <si>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</si>
  <si>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</si>
  <si>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</si>
  <si>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</si>
  <si>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</si>
  <si>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</si>
  <si>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</si>
  <si>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</si>
  <si>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Express City</t>
  </si>
  <si>
    <t>Address: Basti Sadan Shah</t>
  </si>
  <si>
    <t>Customer Name : Toqeer Store</t>
  </si>
  <si>
    <t>Address:  Basti sadan Shah</t>
  </si>
  <si>
    <t>3628249-9</t>
  </si>
  <si>
    <t>Customer Name : Hafiz Traders</t>
  </si>
  <si>
    <t>Address:  Basi sadan Shah</t>
  </si>
  <si>
    <t>Customer Name : Basic Store</t>
  </si>
  <si>
    <t>Address: Upper Mart</t>
  </si>
  <si>
    <t>Mubeen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</si>
</sst>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21" zoomScale="70" zoomScaleNormal="70" workbookViewId="0">
      <selection activeCell="S30" activeCellId="1" sqref="A1:M38 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126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103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Express City</v>
      </c>
      <c r="U14" s="164">
        <f>+'1'!P35</f>
        <v>1687.7686080000001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Toqeer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8</v>
      </c>
      <c r="I16" s="1">
        <f>(G16*D16)*F16+H16*F16</f>
        <v>419.7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33.576000000000001</v>
      </c>
      <c r="M16" s="106">
        <f>I16-K16-L16</f>
        <v>386.12399999999997</v>
      </c>
      <c r="N16" s="101">
        <f>+'1'!N16+'2'!N16+'4'!N16+'3'!N16+'5'!N16+'6'!N16+'7'!N16+'8'!N16+'9'!N16+'10'!N16</f>
        <v>69.502319999999997</v>
      </c>
      <c r="O16" s="101">
        <f>+'1'!O16+'2'!O16+'4'!O16+'3'!O16+'5'!O16+'6'!O16+'7'!O16+'8'!O16+'9'!O16+'10'!O16</f>
        <v>11.390658</v>
      </c>
      <c r="P16" s="105">
        <f t="shared" ref="P16:P24" si="0">M16+N16+O16</f>
        <v>467.01697799999994</v>
      </c>
      <c r="Q16" s="108"/>
      <c r="T16" s="163" t="str">
        <f>+'4'!A5</f>
        <v>Customer Name : Basic Store</v>
      </c>
      <c r="U16" s="164">
        <f>+'4'!P35</f>
        <v>2807.2125282500006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6</v>
      </c>
      <c r="I17" s="1">
        <f t="shared" ref="I17:I23" si="1">(G17*D17)*F17+H17*F17</f>
        <v>314.77499999999998</v>
      </c>
      <c r="J17" s="172">
        <f>+'1'!J17+'2'!J17+'4'!J17+'3'!J17+'5'!J17+'6'!J17+'7'!J17+'8'!J17+'9'!J17+'10'!J17+'11'!J17+'12'!J17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25.181999999999999</v>
      </c>
      <c r="M17" s="118">
        <f t="shared" ref="M17:M23" si="2">I17-K17-L17</f>
        <v>289.59299999999996</v>
      </c>
      <c r="N17" s="101">
        <f>+'1'!N17+'2'!N17+'4'!N17+'3'!N17+'5'!N17+'6'!N17+'7'!N17+'8'!N17+'9'!N17+'10'!N17</f>
        <v>61.56998999999999</v>
      </c>
      <c r="O17" s="101">
        <f>+'1'!O17+'2'!O17+'4'!O17+'3'!O17+'5'!O17+'6'!O17+'7'!O17+'8'!O17+'9'!O17+'10'!O17</f>
        <v>8.7790747499999977</v>
      </c>
      <c r="P17" s="120">
        <f t="shared" si="0"/>
        <v>359.94206474999993</v>
      </c>
      <c r="S17" s="64"/>
      <c r="T17" s="163" t="str">
        <f>+'3'!A5</f>
        <v>Customer Name : Hafiz Traders</v>
      </c>
      <c r="U17" s="164">
        <f>+'3'!P35</f>
        <v>1272.15653415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6</v>
      </c>
      <c r="I18" s="1">
        <f t="shared" si="1"/>
        <v>314.77499999999998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25.181999999999999</v>
      </c>
      <c r="M18" s="118">
        <f t="shared" si="2"/>
        <v>289.59299999999996</v>
      </c>
      <c r="N18" s="101">
        <f>+'1'!N18+'2'!N18+'4'!N18+'3'!N18+'5'!N18+'6'!N18+'7'!N18+'8'!N18+'9'!N18+'10'!N18</f>
        <v>52.126739999999991</v>
      </c>
      <c r="O18" s="101">
        <f>+'1'!O18+'2'!O18+'4'!O18+'3'!O18+'5'!O18+'6'!O18+'7'!O18+'8'!O18+'9'!O18+'10'!O18</f>
        <v>8.5429934999999997</v>
      </c>
      <c r="P18" s="120">
        <f t="shared" si="0"/>
        <v>350.26273349999997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22</v>
      </c>
      <c r="I19" s="1">
        <f t="shared" si="1"/>
        <v>1598.08</v>
      </c>
      <c r="J19" s="172">
        <f>+'1'!J19+'2'!J19+'4'!J19+'3'!J19+'5'!J19+'6'!J19+'7'!J19+'8'!J19+'9'!J19+'10'!J19+'11'!J19+'12'!J19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127.84640000000002</v>
      </c>
      <c r="M19" s="118">
        <f t="shared" si="2"/>
        <v>1470.2336</v>
      </c>
      <c r="N19" s="101">
        <f>+'1'!N19+'2'!N19+'4'!N19+'3'!N19+'5'!N19+'6'!N19+'7'!N19+'8'!N19+'9'!N19+'10'!N19</f>
        <v>323.39328</v>
      </c>
      <c r="O19" s="101">
        <f>+'1'!O19+'2'!O19+'4'!O19+'3'!O19+'5'!O19+'6'!O19+'7'!O19+'8'!O19+'9'!O19+'10'!O19</f>
        <v>44.840672000000005</v>
      </c>
      <c r="P19" s="120">
        <f t="shared" si="0"/>
        <v>1838.4675520000001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26</v>
      </c>
      <c r="I20" s="1">
        <f t="shared" si="1"/>
        <v>1888.64</v>
      </c>
      <c r="J20" s="172">
        <f>+'1'!J20+'2'!J20+'4'!J20+'3'!J20+'5'!J20+'6'!J20+'7'!J20+'8'!J20+'9'!J20+'10'!J20+'11'!J20+'12'!J20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151.09120000000001</v>
      </c>
      <c r="M20" s="118">
        <f t="shared" si="2"/>
        <v>1737.5488</v>
      </c>
      <c r="N20" s="101">
        <f>+'1'!N20+'2'!N20+'4'!N20+'3'!N20+'5'!N20+'6'!N20+'7'!N20+'8'!N20+'9'!N20+'10'!N20</f>
        <v>395.27782400000001</v>
      </c>
      <c r="O20" s="101">
        <f>+'1'!O20+'2'!O20+'4'!O20+'3'!O20+'5'!O20+'6'!O20+'7'!O20+'8'!O20+'9'!O20+'10'!O20</f>
        <v>20.388595200000001</v>
      </c>
      <c r="P20" s="120">
        <f t="shared" si="0"/>
        <v>2153.2152192000003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44</v>
      </c>
      <c r="I21" s="1">
        <f t="shared" si="1"/>
        <v>3196.16</v>
      </c>
      <c r="J21" s="172">
        <f>+'1'!J21+'2'!J21+'4'!J21+'3'!J21+'5'!J21+'6'!J21+'7'!J21+'8'!J21+'9'!J21+'10'!J21+'11'!J21+'12'!J21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255.69280000000001</v>
      </c>
      <c r="M21" s="118">
        <f t="shared" si="2"/>
        <v>2940.4672</v>
      </c>
      <c r="N21" s="101">
        <f>+'1'!N21+'2'!N21+'4'!N21+'3'!N21+'5'!N21+'6'!N21+'7'!N21+'8'!N21+'9'!N21+'10'!N21</f>
        <v>641.49836800000003</v>
      </c>
      <c r="O21" s="101">
        <f>+'1'!O21+'2'!O21+'4'!O21+'3'!O21+'5'!O21+'6'!O21+'7'!O21+'8'!O21+'9'!O21+'10'!O21</f>
        <v>56.617068800000006</v>
      </c>
      <c r="P21" s="120">
        <f t="shared" si="0"/>
        <v>3638.5826368000003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6</v>
      </c>
      <c r="I22" s="1">
        <f t="shared" si="1"/>
        <v>235.38000000000002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8.2383000000000024</v>
      </c>
      <c r="L22" s="175">
        <f>+'1'!L22+'2'!L22+'4'!L22+'3'!L22+'5'!L22+'6'!L22+'7'!L22+'8'!L22+'9'!L22+'10'!L22</f>
        <v>11.769000000000002</v>
      </c>
      <c r="M22" s="118">
        <f t="shared" si="2"/>
        <v>215.37270000000001</v>
      </c>
      <c r="N22" s="101">
        <f>+'1'!N22+'2'!N22+'4'!N22+'3'!N22+'5'!N22+'6'!N22+'7'!N22+'8'!N22+'9'!N22+'10'!N22</f>
        <v>47.381993999999999</v>
      </c>
      <c r="O22" s="101">
        <f>+'1'!O22+'2'!O22+'4'!O22+'3'!O22+'5'!O22+'6'!O22+'7'!O22+'8'!O22+'9'!O22+'10'!O22</f>
        <v>6.5688673500000014</v>
      </c>
      <c r="P22" s="120">
        <f t="shared" si="0"/>
        <v>269.32356135000003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/>
      <c r="D25" s="209"/>
      <c r="E25" s="209"/>
      <c r="F25" s="209"/>
      <c r="G25" s="176">
        <f t="shared" ref="G25:M25" si="3">SUM(G16:G24)</f>
        <v>0</v>
      </c>
      <c r="H25" s="177">
        <f t="shared" si="3"/>
        <v>118</v>
      </c>
      <c r="I25" s="178">
        <f t="shared" si="3"/>
        <v>7967.51</v>
      </c>
      <c r="J25" s="177">
        <f t="shared" si="3"/>
        <v>5</v>
      </c>
      <c r="K25" s="178">
        <f t="shared" si="3"/>
        <v>8.2383000000000024</v>
      </c>
      <c r="L25" s="179">
        <f t="shared" si="3"/>
        <v>630.33940000000007</v>
      </c>
      <c r="M25" s="141">
        <f t="shared" si="3"/>
        <v>7328.9322999999995</v>
      </c>
      <c r="N25" s="142">
        <f>SUM(N16:N24)</f>
        <v>1590.7505160000001</v>
      </c>
      <c r="O25" s="143">
        <f>SUM(O16:O24)</f>
        <v>157.12792960000002</v>
      </c>
      <c r="P25" s="144">
        <f>SUM(P16:P24)</f>
        <v>9076.8107455999998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9076.8107455999998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7967.51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630.33940000000007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8.2383000000000024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7328.9323000000004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1590.7505160000001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8919.6828160000005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222.99207040000002</v>
      </c>
    </row>
    <row r="35" spans="2:16" ht="15.75" customHeight="1" thickBot="1" x14ac:dyDescent="0.4">
      <c r="N35" s="207" t="s">
        <v>92</v>
      </c>
      <c r="O35" s="208"/>
      <c r="P35" s="160">
        <f>P33+P34</f>
        <v>9142.6748864000001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117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118</v>
      </c>
      <c r="B6" s="233"/>
      <c r="C6" s="233"/>
      <c r="F6" s="70"/>
      <c r="G6" s="74"/>
      <c r="K6" s="233" t="s">
        <v>52</v>
      </c>
      <c r="L6" s="233"/>
      <c r="M6" s="233"/>
      <c r="N6" s="246" t="s">
        <v>104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>
        <v>1</v>
      </c>
      <c r="K19" s="1">
        <f t="shared" si="4"/>
        <v>0</v>
      </c>
      <c r="L19" s="105">
        <f t="shared" si="5"/>
        <v>58.112000000000002</v>
      </c>
      <c r="M19" s="118">
        <f t="shared" si="6"/>
        <v>668.28800000000001</v>
      </c>
      <c r="N19" s="118">
        <f t="shared" si="0"/>
        <v>163.00415999999998</v>
      </c>
      <c r="O19" s="119">
        <f t="shared" si="1"/>
        <v>20.782304</v>
      </c>
      <c r="P19" s="120">
        <f t="shared" si="2"/>
        <v>852.07446399999992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">
        <f t="shared" si="4"/>
        <v>0</v>
      </c>
      <c r="L21" s="105">
        <f t="shared" si="5"/>
        <v>58.112000000000002</v>
      </c>
      <c r="M21" s="118">
        <f t="shared" si="6"/>
        <v>668.28800000000001</v>
      </c>
      <c r="N21" s="118">
        <f t="shared" si="0"/>
        <v>147.02336</v>
      </c>
      <c r="O21" s="119">
        <f t="shared" si="1"/>
        <v>20.382784000000001</v>
      </c>
      <c r="P21" s="120">
        <f t="shared" si="2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41.165087999999997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1452.8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116.224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1336.576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1646.6035200000001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07" t="s">
        <v>92</v>
      </c>
      <c r="O35" s="208"/>
      <c r="P35" s="160">
        <f>P33+P34</f>
        <v>1687.7686080000001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119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120</v>
      </c>
      <c r="B6" s="233"/>
      <c r="C6" s="233"/>
      <c r="F6" s="70"/>
      <c r="G6" s="74"/>
      <c r="K6" s="233" t="s">
        <v>52</v>
      </c>
      <c r="L6" s="233"/>
      <c r="M6" s="233"/>
      <c r="N6" s="246" t="s">
        <v>104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121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2905.6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232.44800000000001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2673.152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3293.2070400000002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7" t="s">
        <v>92</v>
      </c>
      <c r="O35" s="208"/>
      <c r="P35" s="160">
        <f>P33+P34</f>
        <v>3309.6730752000003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123</v>
      </c>
      <c r="B6" s="233"/>
      <c r="C6" s="233"/>
      <c r="F6" s="70"/>
      <c r="G6" s="74"/>
      <c r="K6" s="233" t="s">
        <v>52</v>
      </c>
      <c r="L6" s="233"/>
      <c r="M6" s="233"/>
      <c r="N6" s="246" t="s">
        <v>104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18</v>
      </c>
      <c r="I25" s="137">
        <f t="shared" si="9"/>
        <v>1107.0600000000002</v>
      </c>
      <c r="J25" s="138"/>
      <c r="K25" s="139">
        <f t="shared" si="9"/>
        <v>8.2383000000000024</v>
      </c>
      <c r="L25" s="140">
        <f t="shared" si="9"/>
        <v>81.503400000000013</v>
      </c>
      <c r="M25" s="141">
        <f t="shared" si="9"/>
        <v>1017.3183</v>
      </c>
      <c r="N25" s="142">
        <f>SUM(N16:N24)</f>
        <v>223.81002599999999</v>
      </c>
      <c r="O25" s="143">
        <f>SUM(O16:O24)</f>
        <v>31.028208150000005</v>
      </c>
      <c r="P25" s="144">
        <f>SUM(P16:P24)</f>
        <v>1272.15653415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1107.0600000000002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81.503400000000013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8.2383000000000024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1017.3183000000001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223.81002599999999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1241.128326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31.028208150000001</v>
      </c>
    </row>
    <row r="35" spans="2:16" ht="15.75" customHeight="1" thickBot="1" x14ac:dyDescent="0.4">
      <c r="N35" s="207" t="s">
        <v>92</v>
      </c>
      <c r="O35" s="208"/>
      <c r="P35" s="160">
        <f>P33+P34</f>
        <v>1272.15653415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125</v>
      </c>
      <c r="B6" s="233"/>
      <c r="C6" s="233"/>
      <c r="F6" s="70"/>
      <c r="G6" s="74"/>
      <c r="K6" s="233" t="s">
        <v>52</v>
      </c>
      <c r="L6" s="233"/>
      <c r="M6" s="233"/>
      <c r="N6" s="246" t="s">
        <v>104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</v>
      </c>
      <c r="I16" s="102">
        <f>(G16*D16)*F16+H16*F16</f>
        <v>419.7</v>
      </c>
      <c r="J16" s="103"/>
      <c r="K16" s="104">
        <f>I16*$K$13</f>
        <v>0</v>
      </c>
      <c r="L16" s="105">
        <f>I16*8%</f>
        <v>33.576000000000001</v>
      </c>
      <c r="M16" s="106">
        <f>I16-K16-L16</f>
        <v>386.12399999999997</v>
      </c>
      <c r="N16" s="106">
        <f t="shared" ref="N16:N24" si="0">(M16*$N$15)+(J16*F16)*$N$15</f>
        <v>69.502319999999997</v>
      </c>
      <c r="O16" s="107">
        <f>(N16+M16)*$O$15</f>
        <v>11.390658</v>
      </c>
      <c r="P16" s="105">
        <f t="shared" ref="P16:P24" si="1">M16+N16+O16</f>
        <v>467.01697799999994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>
        <v>1</v>
      </c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61.56998999999999</v>
      </c>
      <c r="O17" s="119">
        <f t="shared" ref="O17:O24" si="6">(N17+M17)*$O$15</f>
        <v>8.7790747499999977</v>
      </c>
      <c r="P17" s="120">
        <f t="shared" si="1"/>
        <v>359.94206474999993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52.126739999999991</v>
      </c>
      <c r="O18" s="119">
        <f t="shared" si="6"/>
        <v>8.5429934999999997</v>
      </c>
      <c r="P18" s="120">
        <f t="shared" si="1"/>
        <v>350.26273349999997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72.175104000000005</v>
      </c>
      <c r="O19" s="119">
        <f t="shared" si="6"/>
        <v>11.828697600000002</v>
      </c>
      <c r="P19" s="120">
        <f t="shared" si="1"/>
        <v>484.97660160000004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85.250304</v>
      </c>
      <c r="O20" s="119">
        <f t="shared" si="6"/>
        <v>12.155577600000001</v>
      </c>
      <c r="P20" s="120">
        <f t="shared" si="1"/>
        <v>498.37868160000005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96.233471999999992</v>
      </c>
      <c r="O21" s="119">
        <f t="shared" si="6"/>
        <v>15.771596800000001</v>
      </c>
      <c r="P21" s="120">
        <f t="shared" si="1"/>
        <v>646.63546880000001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436.85793000000001</v>
      </c>
      <c r="O25" s="143">
        <f>SUM(O16:O24)</f>
        <v>68.468598249999999</v>
      </c>
      <c r="P25" s="144">
        <f>SUM(P16:P24)</f>
        <v>2807.2125282500001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2502.0500000000002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200.16399999999999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2301.8860000000004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436.85793000000001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2738.7439300000005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68.468598250000014</v>
      </c>
    </row>
    <row r="35" spans="2:16" ht="15.75" customHeight="1" thickBot="1" x14ac:dyDescent="0.4">
      <c r="N35" s="207" t="s">
        <v>92</v>
      </c>
      <c r="O35" s="208"/>
      <c r="P35" s="160">
        <f>P33+P34</f>
        <v>2807.2125282500006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107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108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109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110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111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>
        <v>3520242563059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113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114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7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>
        <v>3628249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97</v>
      </c>
      <c r="B6" s="233"/>
      <c r="C6" s="233"/>
      <c r="F6" s="70"/>
      <c r="G6" s="74"/>
      <c r="K6" s="233" t="s">
        <v>52</v>
      </c>
      <c r="L6" s="233"/>
      <c r="M6" s="233"/>
      <c r="N6" s="246" t="s">
        <v>101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70"/>
      <c r="S5" s="71"/>
    </row>
    <row r="6" spans="1:19 16383:16384" ht="15" customHeight="1" x14ac:dyDescent="0.35">
      <c r="A6" s="233" t="s">
        <v>99</v>
      </c>
      <c r="B6" s="233"/>
      <c r="C6" s="233"/>
      <c r="F6" s="70"/>
      <c r="G6" s="74"/>
      <c r="K6" s="233" t="s">
        <v>52</v>
      </c>
      <c r="L6" s="233"/>
      <c r="M6" s="233"/>
      <c r="N6" s="246" t="s">
        <v>101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46178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46177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2026-06-05T12:45:06Z</dcterms:modified>
</cp:coreProperties>
</file>