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786\Desktop\Elite Traders\"/>
    </mc:Choice>
  </mc:AlternateContent>
  <xr:revisionPtr revIDLastSave="0" documentId="13_ncr:1_{B18689AF-5280-4FB9-9A02-27A9357D0CA6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" i="1" l="1"/>
  <c r="AW31" i="1" l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L31" i="1"/>
  <c r="G31" i="1"/>
  <c r="R30" i="1"/>
  <c r="Q30" i="1"/>
  <c r="P30" i="1"/>
  <c r="O30" i="1"/>
  <c r="N30" i="1"/>
  <c r="M30" i="1"/>
  <c r="J30" i="1"/>
  <c r="H30" i="1"/>
  <c r="R29" i="1"/>
  <c r="Q29" i="1"/>
  <c r="P29" i="1"/>
  <c r="O29" i="1"/>
  <c r="N29" i="1"/>
  <c r="M29" i="1"/>
  <c r="H29" i="1"/>
  <c r="R28" i="1"/>
  <c r="Q28" i="1"/>
  <c r="P28" i="1"/>
  <c r="O28" i="1"/>
  <c r="N28" i="1"/>
  <c r="H28" i="1"/>
  <c r="R27" i="1"/>
  <c r="Q27" i="1"/>
  <c r="P27" i="1"/>
  <c r="O27" i="1"/>
  <c r="N27" i="1"/>
  <c r="H27" i="1"/>
  <c r="R26" i="1"/>
  <c r="Q26" i="1"/>
  <c r="P26" i="1"/>
  <c r="O26" i="1"/>
  <c r="N26" i="1"/>
  <c r="M26" i="1"/>
  <c r="H26" i="1"/>
  <c r="R25" i="1"/>
  <c r="Q25" i="1"/>
  <c r="P25" i="1"/>
  <c r="O25" i="1"/>
  <c r="N25" i="1"/>
  <c r="M25" i="1"/>
  <c r="H25" i="1"/>
  <c r="R24" i="1"/>
  <c r="Q24" i="1"/>
  <c r="P24" i="1"/>
  <c r="O24" i="1"/>
  <c r="N24" i="1"/>
  <c r="M24" i="1"/>
  <c r="H24" i="1"/>
  <c r="R23" i="1"/>
  <c r="Q23" i="1"/>
  <c r="P23" i="1"/>
  <c r="O23" i="1"/>
  <c r="N23" i="1"/>
  <c r="M23" i="1"/>
  <c r="H23" i="1"/>
  <c r="R22" i="1"/>
  <c r="Q22" i="1"/>
  <c r="P22" i="1"/>
  <c r="O22" i="1"/>
  <c r="N22" i="1"/>
  <c r="H22" i="1"/>
  <c r="R21" i="1"/>
  <c r="Q21" i="1"/>
  <c r="P21" i="1"/>
  <c r="O21" i="1"/>
  <c r="N21" i="1"/>
  <c r="H21" i="1"/>
  <c r="S19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N16" i="1"/>
  <c r="M16" i="1"/>
  <c r="G16" i="1"/>
  <c r="O15" i="1"/>
  <c r="H15" i="1"/>
  <c r="O14" i="1"/>
  <c r="H14" i="1"/>
  <c r="F14" i="1"/>
  <c r="O13" i="1"/>
  <c r="H13" i="1"/>
  <c r="F13" i="1"/>
  <c r="CF12" i="1"/>
  <c r="O12" i="1"/>
  <c r="H12" i="1"/>
  <c r="F12" i="1"/>
  <c r="CF11" i="1"/>
  <c r="O11" i="1"/>
  <c r="H11" i="1"/>
  <c r="F11" i="1"/>
  <c r="CF10" i="1"/>
  <c r="O10" i="1"/>
  <c r="H10" i="1"/>
  <c r="F10" i="1"/>
  <c r="CF9" i="1"/>
  <c r="O9" i="1"/>
  <c r="H9" i="1"/>
  <c r="F9" i="1"/>
  <c r="CF8" i="1"/>
  <c r="O8" i="1"/>
  <c r="H8" i="1"/>
  <c r="F8" i="1"/>
  <c r="CF7" i="1"/>
  <c r="O7" i="1"/>
  <c r="H7" i="1"/>
  <c r="F7" i="1"/>
  <c r="CG6" i="1"/>
  <c r="CF6" i="1"/>
  <c r="O6" i="1"/>
  <c r="H6" i="1"/>
  <c r="F6" i="1"/>
  <c r="AY4" i="1"/>
  <c r="S4" i="1"/>
  <c r="H3" i="1"/>
  <c r="G3" i="1"/>
  <c r="R31" i="1" l="1"/>
  <c r="M28" i="1"/>
  <c r="K27" i="1"/>
  <c r="I25" i="1"/>
  <c r="M22" i="1"/>
  <c r="T19" i="1"/>
  <c r="I15" i="1"/>
  <c r="P14" i="1"/>
  <c r="I14" i="1"/>
  <c r="P13" i="1"/>
  <c r="K13" i="1"/>
  <c r="Q12" i="1"/>
  <c r="R12" i="1" s="1"/>
  <c r="K12" i="1"/>
  <c r="CL11" i="1"/>
  <c r="K11" i="1"/>
  <c r="I11" i="1"/>
  <c r="CL10" i="1"/>
  <c r="CG10" i="1"/>
  <c r="CH10" i="1" s="1"/>
  <c r="P10" i="1"/>
  <c r="Q9" i="1"/>
  <c r="R9" i="1" s="1"/>
  <c r="J26" i="1"/>
  <c r="J24" i="1"/>
  <c r="J22" i="1"/>
  <c r="K21" i="1"/>
  <c r="O16" i="1"/>
  <c r="P16" i="1" s="1"/>
  <c r="I13" i="1"/>
  <c r="CG12" i="1"/>
  <c r="CH12" i="1" s="1"/>
  <c r="P12" i="1"/>
  <c r="J12" i="1"/>
  <c r="L12" i="1" s="1"/>
  <c r="J10" i="1"/>
  <c r="L10" i="1" s="1"/>
  <c r="CL9" i="1"/>
  <c r="K9" i="1"/>
  <c r="J8" i="1"/>
  <c r="L8" i="1" s="1"/>
  <c r="Q7" i="1"/>
  <c r="R7" i="1" s="1"/>
  <c r="I7" i="1"/>
  <c r="CL6" i="1"/>
  <c r="AY5" i="1"/>
  <c r="T4" i="1"/>
  <c r="O31" i="1"/>
  <c r="H31" i="1"/>
  <c r="F29" i="1"/>
  <c r="J28" i="1"/>
  <c r="M27" i="1"/>
  <c r="F27" i="1"/>
  <c r="F26" i="1"/>
  <c r="I22" i="1"/>
  <c r="F21" i="1"/>
  <c r="S20" i="1"/>
  <c r="P15" i="1"/>
  <c r="K15" i="1"/>
  <c r="Q14" i="1"/>
  <c r="R14" i="1" s="1"/>
  <c r="J14" i="1"/>
  <c r="L14" i="1" s="1"/>
  <c r="Q13" i="1"/>
  <c r="R13" i="1" s="1"/>
  <c r="CG11" i="1"/>
  <c r="CH11" i="1" s="1"/>
  <c r="P11" i="1"/>
  <c r="K10" i="1"/>
  <c r="I9" i="1"/>
  <c r="Q8" i="1"/>
  <c r="R8" i="1" s="1"/>
  <c r="K8" i="1"/>
  <c r="CL7" i="1"/>
  <c r="P7" i="1"/>
  <c r="J7" i="1"/>
  <c r="L7" i="1" s="1"/>
  <c r="N31" i="1"/>
  <c r="I29" i="1"/>
  <c r="J27" i="1"/>
  <c r="F25" i="1"/>
  <c r="I24" i="1"/>
  <c r="J23" i="1"/>
  <c r="F23" i="1"/>
  <c r="J21" i="1"/>
  <c r="Q15" i="1"/>
  <c r="R15" i="1" s="1"/>
  <c r="J13" i="1"/>
  <c r="L13" i="1" s="1"/>
  <c r="Q10" i="1"/>
  <c r="R10" i="1" s="1"/>
  <c r="I10" i="1"/>
  <c r="CG9" i="1"/>
  <c r="CH9" i="1" s="1"/>
  <c r="K7" i="1"/>
  <c r="CH6" i="1"/>
  <c r="P6" i="1"/>
  <c r="J6" i="1"/>
  <c r="S5" i="1"/>
  <c r="Q31" i="1"/>
  <c r="K30" i="1"/>
  <c r="K29" i="1"/>
  <c r="K28" i="1"/>
  <c r="I27" i="1"/>
  <c r="K26" i="1"/>
  <c r="K25" i="1"/>
  <c r="K23" i="1"/>
  <c r="I23" i="1"/>
  <c r="F22" i="1"/>
  <c r="M21" i="1"/>
  <c r="M31" i="1" s="1"/>
  <c r="I21" i="1"/>
  <c r="I31" i="1" s="1"/>
  <c r="J15" i="1"/>
  <c r="L15" i="1" s="1"/>
  <c r="K14" i="1"/>
  <c r="I12" i="1"/>
  <c r="Q11" i="1"/>
  <c r="R11" i="1" s="1"/>
  <c r="J11" i="1"/>
  <c r="L11" i="1" s="1"/>
  <c r="CG8" i="1"/>
  <c r="CH8" i="1" s="1"/>
  <c r="CG7" i="1"/>
  <c r="CH7" i="1" s="1"/>
  <c r="Q6" i="1"/>
  <c r="I6" i="1"/>
  <c r="AZ4" i="1"/>
  <c r="P31" i="1"/>
  <c r="I30" i="1"/>
  <c r="J29" i="1"/>
  <c r="I28" i="1"/>
  <c r="F28" i="1"/>
  <c r="I26" i="1"/>
  <c r="J25" i="1"/>
  <c r="K24" i="1"/>
  <c r="F24" i="1"/>
  <c r="K22" i="1"/>
  <c r="H16" i="1"/>
  <c r="I16" i="1" s="1"/>
  <c r="P9" i="1"/>
  <c r="J9" i="1"/>
  <c r="L9" i="1" s="1"/>
  <c r="CL8" i="1"/>
  <c r="P8" i="1"/>
  <c r="I8" i="1"/>
  <c r="K6" i="1"/>
  <c r="K16" i="1" l="1"/>
  <c r="U19" i="1"/>
  <c r="T20" i="1"/>
  <c r="T5" i="1"/>
  <c r="U4" i="1"/>
  <c r="J16" i="1"/>
  <c r="L6" i="1"/>
  <c r="L16" i="1" s="1"/>
  <c r="Q16" i="1"/>
  <c r="R6" i="1"/>
  <c r="R16" i="1" s="1"/>
  <c r="AZ5" i="1"/>
  <c r="BA4" i="1"/>
  <c r="K31" i="1"/>
  <c r="J31" i="1"/>
  <c r="CH13" i="1"/>
  <c r="U20" i="1" l="1"/>
  <c r="V19" i="1"/>
  <c r="V4" i="1"/>
  <c r="U5" i="1"/>
  <c r="BA5" i="1"/>
  <c r="BB4" i="1"/>
  <c r="V20" i="1" l="1"/>
  <c r="W19" i="1"/>
  <c r="V5" i="1"/>
  <c r="W4" i="1"/>
  <c r="BB5" i="1"/>
  <c r="BC4" i="1"/>
  <c r="W20" i="1" l="1"/>
  <c r="X19" i="1"/>
  <c r="X4" i="1"/>
  <c r="W5" i="1"/>
  <c r="BC5" i="1"/>
  <c r="BD4" i="1"/>
  <c r="X20" i="1" l="1"/>
  <c r="Y19" i="1"/>
  <c r="Y4" i="1"/>
  <c r="X5" i="1"/>
  <c r="BD5" i="1"/>
  <c r="BE4" i="1"/>
  <c r="Y20" i="1" l="1"/>
  <c r="Z19" i="1"/>
  <c r="Z4" i="1"/>
  <c r="Y5" i="1"/>
  <c r="BE5" i="1"/>
  <c r="BF4" i="1"/>
  <c r="Z20" i="1" l="1"/>
  <c r="AA19" i="1"/>
  <c r="Z5" i="1"/>
  <c r="AA4" i="1"/>
  <c r="BG4" i="1"/>
  <c r="BF5" i="1"/>
  <c r="AA20" i="1" l="1"/>
  <c r="AB19" i="1"/>
  <c r="AB4" i="1"/>
  <c r="AA5" i="1"/>
  <c r="BG5" i="1"/>
  <c r="BH4" i="1"/>
  <c r="AB20" i="1" l="1"/>
  <c r="AC19" i="1"/>
  <c r="AB5" i="1"/>
  <c r="AC4" i="1"/>
  <c r="BI4" i="1"/>
  <c r="BH5" i="1"/>
  <c r="AD19" i="1" l="1"/>
  <c r="AC20" i="1"/>
  <c r="AC5" i="1"/>
  <c r="AD4" i="1"/>
  <c r="BI5" i="1"/>
  <c r="BJ4" i="1"/>
  <c r="AE19" i="1" l="1"/>
  <c r="AD20" i="1"/>
  <c r="AE4" i="1"/>
  <c r="AD5" i="1"/>
  <c r="BK4" i="1"/>
  <c r="BJ5" i="1"/>
  <c r="AF19" i="1" l="1"/>
  <c r="AE20" i="1"/>
  <c r="AF4" i="1"/>
  <c r="AE5" i="1"/>
  <c r="BL4" i="1"/>
  <c r="BK5" i="1"/>
  <c r="AG19" i="1" l="1"/>
  <c r="AF20" i="1"/>
  <c r="AG4" i="1"/>
  <c r="AF5" i="1"/>
  <c r="BM4" i="1"/>
  <c r="BL5" i="1"/>
  <c r="AH19" i="1" l="1"/>
  <c r="AG20" i="1"/>
  <c r="AH4" i="1"/>
  <c r="AG5" i="1"/>
  <c r="BN4" i="1"/>
  <c r="BM5" i="1"/>
  <c r="AH20" i="1" l="1"/>
  <c r="AI19" i="1"/>
  <c r="AI4" i="1"/>
  <c r="AH5" i="1"/>
  <c r="BO4" i="1"/>
  <c r="BN5" i="1"/>
  <c r="AI20" i="1" l="1"/>
  <c r="AJ19" i="1"/>
  <c r="AJ4" i="1"/>
  <c r="AI5" i="1"/>
  <c r="BO5" i="1"/>
  <c r="BP4" i="1"/>
  <c r="AJ20" i="1" l="1"/>
  <c r="AK19" i="1"/>
  <c r="AJ5" i="1"/>
  <c r="AK4" i="1"/>
  <c r="BQ4" i="1"/>
  <c r="BP5" i="1"/>
  <c r="AK20" i="1" l="1"/>
  <c r="AL19" i="1"/>
  <c r="AK5" i="1"/>
  <c r="AL4" i="1"/>
  <c r="BQ5" i="1"/>
  <c r="BR4" i="1"/>
  <c r="AL20" i="1" l="1"/>
  <c r="AM19" i="1"/>
  <c r="AM4" i="1"/>
  <c r="AL5" i="1"/>
  <c r="BS4" i="1"/>
  <c r="BR5" i="1"/>
  <c r="AN19" i="1" l="1"/>
  <c r="AM20" i="1"/>
  <c r="AN4" i="1"/>
  <c r="AM5" i="1"/>
  <c r="BT4" i="1"/>
  <c r="BS5" i="1"/>
  <c r="AO19" i="1" l="1"/>
  <c r="AN20" i="1"/>
  <c r="AO4" i="1"/>
  <c r="AN5" i="1"/>
  <c r="BT5" i="1"/>
  <c r="BU4" i="1"/>
  <c r="AO20" i="1" l="1"/>
  <c r="AP19" i="1"/>
  <c r="AO5" i="1"/>
  <c r="AP4" i="1"/>
  <c r="BU5" i="1"/>
  <c r="BV4" i="1"/>
  <c r="AP20" i="1" l="1"/>
  <c r="AQ19" i="1"/>
  <c r="AP5" i="1"/>
  <c r="AQ4" i="1"/>
  <c r="BV5" i="1"/>
  <c r="BW4" i="1"/>
  <c r="AR19" i="1" l="1"/>
  <c r="AQ20" i="1"/>
  <c r="AR4" i="1"/>
  <c r="AQ5" i="1"/>
  <c r="BX4" i="1"/>
  <c r="BW5" i="1"/>
  <c r="AS19" i="1" l="1"/>
  <c r="AR20" i="1"/>
  <c r="AS4" i="1"/>
  <c r="AR5" i="1"/>
  <c r="BY4" i="1"/>
  <c r="BX5" i="1"/>
  <c r="AS20" i="1" l="1"/>
  <c r="AT19" i="1"/>
  <c r="AT4" i="1"/>
  <c r="AS5" i="1"/>
  <c r="BY5" i="1"/>
  <c r="BZ4" i="1"/>
  <c r="AT20" i="1" l="1"/>
  <c r="AU19" i="1"/>
  <c r="AT5" i="1"/>
  <c r="AU4" i="1"/>
  <c r="BZ5" i="1"/>
  <c r="CA4" i="1"/>
  <c r="AU20" i="1" l="1"/>
  <c r="AV19" i="1"/>
  <c r="AV4" i="1"/>
  <c r="AU5" i="1"/>
  <c r="CB4" i="1"/>
  <c r="CA5" i="1"/>
  <c r="AV20" i="1" l="1"/>
  <c r="AW19" i="1"/>
  <c r="AW20" i="1" s="1"/>
  <c r="AW4" i="1"/>
  <c r="AW5" i="1" s="1"/>
  <c r="AV5" i="1"/>
  <c r="CC4" i="1"/>
  <c r="CC5" i="1" s="1"/>
  <c r="CB5" i="1"/>
</calcChain>
</file>

<file path=xl/sharedStrings.xml><?xml version="1.0" encoding="utf-8"?>
<sst xmlns="http://schemas.openxmlformats.org/spreadsheetml/2006/main" count="87" uniqueCount="55">
  <si>
    <t>City:</t>
  </si>
  <si>
    <t>Total Days</t>
  </si>
  <si>
    <t>Days Gone</t>
  </si>
  <si>
    <t>Bal Days</t>
  </si>
  <si>
    <t>Re-Day</t>
  </si>
  <si>
    <t>Distribution Name:</t>
  </si>
  <si>
    <t>Day wise Secondary Sales</t>
  </si>
  <si>
    <t>Primary Sales</t>
  </si>
  <si>
    <t>Sr#</t>
  </si>
  <si>
    <t>SKU</t>
  </si>
  <si>
    <t>SKUs Description</t>
  </si>
  <si>
    <t>Unit</t>
  </si>
  <si>
    <t>Trade Price</t>
  </si>
  <si>
    <t>Secondary Sales Update</t>
  </si>
  <si>
    <t>Primary Update</t>
  </si>
  <si>
    <t>Gm</t>
  </si>
  <si>
    <t>CTN</t>
  </si>
  <si>
    <t>Excl. GST</t>
  </si>
  <si>
    <t>Target</t>
  </si>
  <si>
    <t>Ach.</t>
  </si>
  <si>
    <t>%</t>
  </si>
  <si>
    <t>Balance</t>
  </si>
  <si>
    <t>ADS</t>
  </si>
  <si>
    <t>RPD</t>
  </si>
  <si>
    <t>Open</t>
  </si>
  <si>
    <t>TGT</t>
  </si>
  <si>
    <t>Stock Days</t>
  </si>
  <si>
    <t>Elite</t>
  </si>
  <si>
    <t>Nabeel</t>
  </si>
  <si>
    <t>BCN</t>
  </si>
  <si>
    <t xml:space="preserve">Meat Masala </t>
  </si>
  <si>
    <t>VTN</t>
  </si>
  <si>
    <t>Lemon Tarka</t>
  </si>
  <si>
    <t>CCN</t>
  </si>
  <si>
    <t>Chicken Chatkhara</t>
  </si>
  <si>
    <t>BCNJ</t>
  </si>
  <si>
    <t>Meat Masala (Jumbo)</t>
  </si>
  <si>
    <t>VTNJ</t>
  </si>
  <si>
    <t>Lemon Tarka (Jumbo)</t>
  </si>
  <si>
    <t>CCNJ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</si>
  <si>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</si>
  <si>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</si>
  <si>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</si>
  <si>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</si>
  <si>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</si>
  <si>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</si>
  <si>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</si>
  <si>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Total</t>
  </si>
  <si>
    <t>Day wise unique Productivity</t>
  </si>
  <si>
    <t xml:space="preserve">   </t>
  </si>
  <si>
    <t>Unique Productivity</t>
  </si>
  <si>
    <t>Week</t>
  </si>
  <si>
    <t>P-Shop</t>
  </si>
  <si>
    <t>Shops</t>
  </si>
  <si>
    <t>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</si>
</sst>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mmmm\-yy;@"/>
    <numFmt numFmtId="165" formatCode="[$-F800]dddd\,\ mmmm\ dd\,\ yyyy"/>
    <numFmt numFmtId="166" formatCode="[$-409]d\-mmm;@"/>
    <numFmt numFmtId="167" formatCode="d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10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50">
    <xf numFmtId="0" fontId="0" fillId="0" borderId="0" xfId="0"/>
    <xf numFmtId="165" fontId="2" fillId="2" borderId="0" xfId="0" applyNumberFormat="1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9" fontId="3" fillId="0" borderId="0" xfId="2" applyFont="1" applyAlignment="1">
      <alignment horizontal="center"/>
    </xf>
    <xf numFmtId="0" fontId="2" fillId="0" borderId="9" xfId="0" applyFont="1" applyBorder="1" applyAlignment="1">
      <alignment horizontal="center"/>
    </xf>
    <xf numFmtId="166" fontId="3" fillId="0" borderId="6" xfId="0" applyNumberFormat="1" applyFont="1" applyBorder="1" applyAlignment="1">
      <alignment vertical="center"/>
    </xf>
    <xf numFmtId="166" fontId="3" fillId="0" borderId="8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vertical="center" wrapText="1"/>
    </xf>
    <xf numFmtId="0" fontId="2" fillId="0" borderId="16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67" fontId="6" fillId="6" borderId="13" xfId="0" applyNumberFormat="1" applyFont="1" applyFill="1" applyBorder="1" applyAlignment="1">
      <alignment horizontal="center" vertical="center"/>
    </xf>
    <xf numFmtId="167" fontId="6" fillId="6" borderId="15" xfId="0" applyNumberFormat="1" applyFont="1" applyFill="1" applyBorder="1" applyAlignment="1">
      <alignment horizontal="center" vertical="center"/>
    </xf>
    <xf numFmtId="167" fontId="6" fillId="6" borderId="16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21" xfId="0" applyFont="1" applyBorder="1" applyAlignment="1">
      <alignment horizontal="center"/>
    </xf>
    <xf numFmtId="0" fontId="4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left" vertical="center"/>
    </xf>
    <xf numFmtId="1" fontId="3" fillId="4" borderId="23" xfId="1" applyNumberFormat="1" applyFont="1" applyFill="1" applyBorder="1" applyAlignment="1">
      <alignment horizontal="center" vertical="center"/>
    </xf>
    <xf numFmtId="1" fontId="6" fillId="4" borderId="21" xfId="0" applyNumberFormat="1" applyFont="1" applyFill="1" applyBorder="1" applyAlignment="1">
      <alignment horizontal="center" vertical="center"/>
    </xf>
    <xf numFmtId="2" fontId="6" fillId="4" borderId="24" xfId="3" applyNumberFormat="1" applyFont="1" applyFill="1" applyBorder="1" applyAlignment="1">
      <alignment horizontal="center" vertical="center"/>
    </xf>
    <xf numFmtId="1" fontId="6" fillId="4" borderId="23" xfId="3" applyNumberFormat="1" applyFont="1" applyFill="1" applyBorder="1" applyAlignment="1">
      <alignment horizontal="center" vertical="center"/>
    </xf>
    <xf numFmtId="1" fontId="6" fillId="4" borderId="21" xfId="3" applyNumberFormat="1" applyFont="1" applyFill="1" applyBorder="1" applyAlignment="1">
      <alignment horizontal="center" vertical="center"/>
    </xf>
    <xf numFmtId="9" fontId="6" fillId="4" borderId="21" xfId="2" applyFont="1" applyFill="1" applyBorder="1" applyAlignment="1">
      <alignment horizontal="center" vertical="center"/>
    </xf>
    <xf numFmtId="2" fontId="6" fillId="4" borderId="21" xfId="3" applyNumberFormat="1" applyFont="1" applyFill="1" applyBorder="1" applyAlignment="1">
      <alignment horizontal="center" vertical="center"/>
    </xf>
    <xf numFmtId="1" fontId="6" fillId="4" borderId="22" xfId="3" applyNumberFormat="1" applyFont="1" applyFill="1" applyBorder="1" applyAlignment="1">
      <alignment horizontal="center" vertical="center"/>
    </xf>
    <xf numFmtId="1" fontId="6" fillId="4" borderId="25" xfId="3" applyNumberFormat="1" applyFont="1" applyFill="1" applyBorder="1" applyAlignment="1">
      <alignment horizontal="center" vertical="center"/>
    </xf>
    <xf numFmtId="1" fontId="6" fillId="4" borderId="24" xfId="3" applyNumberFormat="1" applyFont="1" applyFill="1" applyBorder="1" applyAlignment="1">
      <alignment horizontal="center" vertical="center"/>
    </xf>
    <xf numFmtId="0" fontId="3" fillId="0" borderId="25" xfId="0" applyFont="1" applyBorder="1"/>
    <xf numFmtId="0" fontId="3" fillId="0" borderId="21" xfId="0" applyFont="1" applyBorder="1"/>
    <xf numFmtId="1" fontId="3" fillId="0" borderId="2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0" fontId="2" fillId="0" borderId="26" xfId="0" applyFont="1" applyBorder="1" applyAlignment="1">
      <alignment horizontal="center"/>
    </xf>
    <xf numFmtId="0" fontId="4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left" vertical="center"/>
    </xf>
    <xf numFmtId="1" fontId="3" fillId="4" borderId="28" xfId="1" applyNumberFormat="1" applyFont="1" applyFill="1" applyBorder="1" applyAlignment="1">
      <alignment horizontal="center" vertical="center"/>
    </xf>
    <xf numFmtId="1" fontId="6" fillId="4" borderId="26" xfId="0" applyNumberFormat="1" applyFont="1" applyFill="1" applyBorder="1" applyAlignment="1">
      <alignment horizontal="center" vertical="center"/>
    </xf>
    <xf numFmtId="1" fontId="6" fillId="4" borderId="28" xfId="3" applyNumberFormat="1" applyFont="1" applyFill="1" applyBorder="1" applyAlignment="1">
      <alignment horizontal="center" vertical="center"/>
    </xf>
    <xf numFmtId="1" fontId="6" fillId="4" borderId="26" xfId="3" applyNumberFormat="1" applyFont="1" applyFill="1" applyBorder="1" applyAlignment="1">
      <alignment horizontal="center" vertical="center"/>
    </xf>
    <xf numFmtId="9" fontId="6" fillId="4" borderId="26" xfId="2" applyFont="1" applyFill="1" applyBorder="1" applyAlignment="1">
      <alignment horizontal="center" vertical="center"/>
    </xf>
    <xf numFmtId="2" fontId="6" fillId="4" borderId="29" xfId="3" applyNumberFormat="1" applyFont="1" applyFill="1" applyBorder="1" applyAlignment="1">
      <alignment horizontal="center" vertical="center"/>
    </xf>
    <xf numFmtId="1" fontId="6" fillId="4" borderId="30" xfId="3" applyNumberFormat="1" applyFont="1" applyFill="1" applyBorder="1" applyAlignment="1">
      <alignment horizontal="center" vertical="center"/>
    </xf>
    <xf numFmtId="1" fontId="6" fillId="4" borderId="29" xfId="3" applyNumberFormat="1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26" xfId="0" applyFont="1" applyBorder="1"/>
    <xf numFmtId="1" fontId="3" fillId="0" borderId="26" xfId="0" applyNumberFormat="1" applyFont="1" applyBorder="1" applyAlignment="1">
      <alignment horizontal="center"/>
    </xf>
    <xf numFmtId="2" fontId="6" fillId="4" borderId="28" xfId="3" applyNumberFormat="1" applyFont="1" applyFill="1" applyBorder="1" applyAlignment="1">
      <alignment horizontal="center" vertical="center"/>
    </xf>
    <xf numFmtId="2" fontId="6" fillId="4" borderId="30" xfId="3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31" xfId="0" applyFont="1" applyBorder="1" applyAlignment="1">
      <alignment horizontal="center"/>
    </xf>
    <xf numFmtId="0" fontId="3" fillId="0" borderId="32" xfId="0" applyFont="1" applyBorder="1"/>
    <xf numFmtId="0" fontId="3" fillId="0" borderId="31" xfId="0" applyFont="1" applyBorder="1"/>
    <xf numFmtId="0" fontId="3" fillId="0" borderId="33" xfId="0" applyFont="1" applyBorder="1"/>
    <xf numFmtId="0" fontId="3" fillId="0" borderId="34" xfId="0" applyFont="1" applyBorder="1" applyAlignment="1">
      <alignment horizontal="center"/>
    </xf>
    <xf numFmtId="1" fontId="6" fillId="4" borderId="33" xfId="3" applyNumberFormat="1" applyFont="1" applyFill="1" applyBorder="1" applyAlignment="1">
      <alignment horizontal="center" vertical="center"/>
    </xf>
    <xf numFmtId="1" fontId="6" fillId="4" borderId="32" xfId="3" applyNumberFormat="1" applyFont="1" applyFill="1" applyBorder="1" applyAlignment="1">
      <alignment horizontal="center" vertical="center"/>
    </xf>
    <xf numFmtId="9" fontId="6" fillId="4" borderId="32" xfId="2" applyFont="1" applyFill="1" applyBorder="1" applyAlignment="1">
      <alignment horizontal="center" vertical="center"/>
    </xf>
    <xf numFmtId="2" fontId="6" fillId="4" borderId="35" xfId="3" applyNumberFormat="1" applyFont="1" applyFill="1" applyBorder="1" applyAlignment="1">
      <alignment horizontal="center" vertical="center"/>
    </xf>
    <xf numFmtId="1" fontId="6" fillId="4" borderId="36" xfId="3" applyNumberFormat="1" applyFont="1" applyFill="1" applyBorder="1" applyAlignment="1">
      <alignment horizontal="center" vertical="center"/>
    </xf>
    <xf numFmtId="2" fontId="6" fillId="4" borderId="34" xfId="3" applyNumberFormat="1" applyFont="1" applyFill="1" applyBorder="1" applyAlignment="1">
      <alignment horizontal="center" vertical="center"/>
    </xf>
    <xf numFmtId="2" fontId="6" fillId="4" borderId="33" xfId="3" applyNumberFormat="1" applyFont="1" applyFill="1" applyBorder="1" applyAlignment="1">
      <alignment horizontal="center" vertical="center"/>
    </xf>
    <xf numFmtId="2" fontId="6" fillId="4" borderId="37" xfId="3" applyNumberFormat="1" applyFont="1" applyFill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/>
    </xf>
    <xf numFmtId="0" fontId="3" fillId="0" borderId="37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9" fontId="7" fillId="4" borderId="19" xfId="2" applyFont="1" applyFill="1" applyBorder="1" applyAlignment="1">
      <alignment horizontal="center" vertical="center"/>
    </xf>
    <xf numFmtId="1" fontId="2" fillId="0" borderId="38" xfId="0" applyNumberFormat="1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66" fontId="3" fillId="0" borderId="39" xfId="0" applyNumberFormat="1" applyFont="1" applyBorder="1" applyAlignment="1">
      <alignment vertical="center"/>
    </xf>
    <xf numFmtId="0" fontId="2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vertical="center" wrapText="1"/>
    </xf>
    <xf numFmtId="0" fontId="2" fillId="0" borderId="42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167" fontId="6" fillId="6" borderId="45" xfId="0" applyNumberFormat="1" applyFont="1" applyFill="1" applyBorder="1" applyAlignment="1">
      <alignment horizontal="center" vertical="center"/>
    </xf>
    <xf numFmtId="2" fontId="6" fillId="4" borderId="22" xfId="3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2" fontId="6" fillId="4" borderId="27" xfId="3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2" fontId="6" fillId="4" borderId="31" xfId="3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3" fillId="0" borderId="28" xfId="0" applyFont="1" applyBorder="1"/>
    <xf numFmtId="0" fontId="3" fillId="0" borderId="13" xfId="0" applyFont="1" applyBorder="1"/>
    <xf numFmtId="164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</cellXfs>
  <cellStyles count="4">
    <cellStyle name="Comma" xfId="1" builtinId="3"/>
    <cellStyle name="Comma 2 10" xfId="3" xr:uid="{7E6CF8A6-5319-4361-A135-6B2B8B1B4FBD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L500"/>
  <sheetViews>
    <sheetView tabSelected="1" workbookViewId="0">
      <selection activeCell="G9" sqref="G9"/>
    </sheetView>
  </sheetViews>
  <sheetFormatPr defaultRowHeight="13" x14ac:dyDescent="0.3"/>
  <cols>
    <col min="1" max="1" width="3.453125" style="4" bestFit="1" customWidth="1"/>
    <col min="2" max="2" width="5.08984375" style="4" bestFit="1" customWidth="1"/>
    <col min="3" max="3" width="23.81640625" style="4" bestFit="1" customWidth="1"/>
    <col min="4" max="4" width="3.54296875" style="4" bestFit="1" customWidth="1"/>
    <col min="5" max="5" width="3.90625" style="4" bestFit="1" customWidth="1"/>
    <col min="6" max="6" width="9.36328125" style="3" bestFit="1" customWidth="1"/>
    <col min="7" max="7" width="7.1796875" style="3" bestFit="1" customWidth="1"/>
    <col min="8" max="8" width="6.08984375" style="3" bestFit="1" customWidth="1"/>
    <col min="9" max="9" width="7.1796875" style="3" bestFit="1" customWidth="1"/>
    <col min="10" max="10" width="6.7265625" style="3" bestFit="1" customWidth="1"/>
    <col min="11" max="11" width="3.90625" style="3" bestFit="1" customWidth="1"/>
    <col min="12" max="12" width="4" style="3" bestFit="1" customWidth="1"/>
    <col min="13" max="13" width="5" style="3" bestFit="1" customWidth="1"/>
    <col min="14" max="14" width="3.81640625" style="3" bestFit="1" customWidth="1"/>
    <col min="15" max="15" width="4.08984375" style="3" bestFit="1" customWidth="1"/>
    <col min="16" max="16" width="6.81640625" style="3" bestFit="1" customWidth="1"/>
    <col min="17" max="17" width="6.7265625" style="3" bestFit="1" customWidth="1"/>
    <col min="18" max="18" width="9" style="3" bestFit="1" customWidth="1"/>
    <col min="19" max="27" width="4.81640625" style="4" bestFit="1" customWidth="1"/>
    <col min="28" max="48" width="5.7265625" style="4" bestFit="1" customWidth="1"/>
    <col min="49" max="49" width="4.36328125" style="4" bestFit="1" customWidth="1"/>
    <col min="50" max="50" width="8.7265625" style="4"/>
    <col min="51" max="59" width="4.81640625" style="4" bestFit="1" customWidth="1"/>
    <col min="60" max="80" width="5.7265625" style="4" bestFit="1" customWidth="1"/>
    <col min="81" max="81" width="4.36328125" style="4" bestFit="1" customWidth="1"/>
    <col min="82" max="84" width="8.7265625" style="4"/>
    <col min="85" max="85" width="2.6328125" style="4" bestFit="1" customWidth="1"/>
    <col min="86" max="86" width="4.1796875" style="4" bestFit="1" customWidth="1"/>
    <col min="87" max="87" width="6.1796875" style="4" bestFit="1" customWidth="1"/>
    <col min="88" max="88" width="8.7265625" style="4"/>
    <col min="89" max="89" width="2.6328125" style="4" bestFit="1" customWidth="1"/>
    <col min="90" max="16384" width="8.7265625" style="4"/>
  </cols>
  <sheetData>
    <row r="2" spans="1:90" ht="15" customHeight="1" thickBot="1" x14ac:dyDescent="0.35">
      <c r="A2" s="118">
        <v>46174</v>
      </c>
      <c r="B2" s="118"/>
      <c r="C2" s="1" t="s">
        <v>0</v>
      </c>
      <c r="D2" s="119" t="s">
        <v>1</v>
      </c>
      <c r="E2" s="119"/>
      <c r="F2" s="3" t="s">
        <v>2</v>
      </c>
      <c r="G2" s="3" t="s">
        <v>3</v>
      </c>
      <c r="H2" s="3" t="s">
        <v>4</v>
      </c>
      <c r="M2" s="3">
        <f>40000/40</f>
        <v>1000</v>
      </c>
    </row>
    <row r="3" spans="1:90" ht="14.5" customHeight="1" thickBot="1" x14ac:dyDescent="0.35">
      <c r="A3" s="120" t="s">
        <v>5</v>
      </c>
      <c r="B3" s="121"/>
      <c r="C3" s="121"/>
      <c r="E3" s="3">
        <v>26</v>
      </c>
      <c r="F3" s="3">
        <v>5</v>
      </c>
      <c r="G3" s="5">
        <f>F3/E3</f>
        <v>0.19230769230769232</v>
      </c>
      <c r="H3" s="3">
        <f>E3-F3</f>
        <v>21</v>
      </c>
      <c r="S3" s="122" t="s">
        <v>6</v>
      </c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Y3" s="122" t="s">
        <v>7</v>
      </c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4"/>
    </row>
    <row r="4" spans="1:90" ht="14.5" customHeight="1" thickBot="1" x14ac:dyDescent="0.35">
      <c r="A4" s="131" t="s">
        <v>8</v>
      </c>
      <c r="B4" s="131" t="s">
        <v>9</v>
      </c>
      <c r="C4" s="133" t="s">
        <v>10</v>
      </c>
      <c r="D4" s="144" t="s">
        <v>11</v>
      </c>
      <c r="E4" s="145"/>
      <c r="F4" s="6" t="s">
        <v>12</v>
      </c>
      <c r="G4" s="146" t="s">
        <v>13</v>
      </c>
      <c r="H4" s="147"/>
      <c r="I4" s="147"/>
      <c r="J4" s="147"/>
      <c r="K4" s="148"/>
      <c r="L4" s="149"/>
      <c r="M4" s="128" t="s">
        <v>14</v>
      </c>
      <c r="N4" s="129"/>
      <c r="O4" s="129"/>
      <c r="P4" s="129"/>
      <c r="Q4" s="129"/>
      <c r="R4" s="130"/>
      <c r="S4" s="7">
        <f>A2</f>
        <v>46174</v>
      </c>
      <c r="T4" s="8">
        <f>S4+1</f>
        <v>46175</v>
      </c>
      <c r="U4" s="8">
        <f t="shared" ref="U4:AW4" si="0">T4+1</f>
        <v>46176</v>
      </c>
      <c r="V4" s="8">
        <f t="shared" si="0"/>
        <v>46177</v>
      </c>
      <c r="W4" s="8">
        <f t="shared" si="0"/>
        <v>46178</v>
      </c>
      <c r="X4" s="8">
        <f t="shared" si="0"/>
        <v>46179</v>
      </c>
      <c r="Y4" s="8">
        <f t="shared" si="0"/>
        <v>46180</v>
      </c>
      <c r="Z4" s="8">
        <f t="shared" si="0"/>
        <v>46181</v>
      </c>
      <c r="AA4" s="8">
        <f t="shared" si="0"/>
        <v>46182</v>
      </c>
      <c r="AB4" s="8">
        <f t="shared" si="0"/>
        <v>46183</v>
      </c>
      <c r="AC4" s="8">
        <f t="shared" si="0"/>
        <v>46184</v>
      </c>
      <c r="AD4" s="8">
        <f t="shared" si="0"/>
        <v>46185</v>
      </c>
      <c r="AE4" s="8">
        <f t="shared" si="0"/>
        <v>46186</v>
      </c>
      <c r="AF4" s="8">
        <f t="shared" si="0"/>
        <v>46187</v>
      </c>
      <c r="AG4" s="8">
        <f t="shared" si="0"/>
        <v>46188</v>
      </c>
      <c r="AH4" s="8">
        <f t="shared" si="0"/>
        <v>46189</v>
      </c>
      <c r="AI4" s="8">
        <f t="shared" si="0"/>
        <v>46190</v>
      </c>
      <c r="AJ4" s="8">
        <f t="shared" si="0"/>
        <v>46191</v>
      </c>
      <c r="AK4" s="8">
        <f t="shared" si="0"/>
        <v>46192</v>
      </c>
      <c r="AL4" s="8">
        <f t="shared" si="0"/>
        <v>46193</v>
      </c>
      <c r="AM4" s="8">
        <f t="shared" si="0"/>
        <v>46194</v>
      </c>
      <c r="AN4" s="8">
        <f t="shared" si="0"/>
        <v>46195</v>
      </c>
      <c r="AO4" s="8">
        <f t="shared" si="0"/>
        <v>46196</v>
      </c>
      <c r="AP4" s="8">
        <f t="shared" si="0"/>
        <v>46197</v>
      </c>
      <c r="AQ4" s="8">
        <f t="shared" si="0"/>
        <v>46198</v>
      </c>
      <c r="AR4" s="8">
        <f t="shared" si="0"/>
        <v>46199</v>
      </c>
      <c r="AS4" s="8">
        <f t="shared" si="0"/>
        <v>46200</v>
      </c>
      <c r="AT4" s="8">
        <f t="shared" si="0"/>
        <v>46201</v>
      </c>
      <c r="AU4" s="8">
        <f t="shared" si="0"/>
        <v>46202</v>
      </c>
      <c r="AV4" s="8">
        <f t="shared" si="0"/>
        <v>46203</v>
      </c>
      <c r="AW4" s="9">
        <f t="shared" si="0"/>
        <v>46204</v>
      </c>
      <c r="AY4" s="7">
        <f>A2</f>
        <v>46174</v>
      </c>
      <c r="AZ4" s="8">
        <f>AY4+1</f>
        <v>46175</v>
      </c>
      <c r="BA4" s="8">
        <f t="shared" ref="BA4:CC4" si="1">AZ4+1</f>
        <v>46176</v>
      </c>
      <c r="BB4" s="8">
        <f t="shared" si="1"/>
        <v>46177</v>
      </c>
      <c r="BC4" s="8">
        <f t="shared" si="1"/>
        <v>46178</v>
      </c>
      <c r="BD4" s="8">
        <f t="shared" si="1"/>
        <v>46179</v>
      </c>
      <c r="BE4" s="8">
        <f t="shared" si="1"/>
        <v>46180</v>
      </c>
      <c r="BF4" s="8">
        <f t="shared" si="1"/>
        <v>46181</v>
      </c>
      <c r="BG4" s="8">
        <f t="shared" si="1"/>
        <v>46182</v>
      </c>
      <c r="BH4" s="8">
        <f t="shared" si="1"/>
        <v>46183</v>
      </c>
      <c r="BI4" s="8">
        <f t="shared" si="1"/>
        <v>46184</v>
      </c>
      <c r="BJ4" s="8">
        <f t="shared" si="1"/>
        <v>46185</v>
      </c>
      <c r="BK4" s="8">
        <f t="shared" si="1"/>
        <v>46186</v>
      </c>
      <c r="BL4" s="8">
        <f t="shared" si="1"/>
        <v>46187</v>
      </c>
      <c r="BM4" s="8">
        <f t="shared" si="1"/>
        <v>46188</v>
      </c>
      <c r="BN4" s="8">
        <f t="shared" si="1"/>
        <v>46189</v>
      </c>
      <c r="BO4" s="8">
        <f t="shared" si="1"/>
        <v>46190</v>
      </c>
      <c r="BP4" s="8">
        <f t="shared" si="1"/>
        <v>46191</v>
      </c>
      <c r="BQ4" s="8">
        <f t="shared" si="1"/>
        <v>46192</v>
      </c>
      <c r="BR4" s="8">
        <f t="shared" si="1"/>
        <v>46193</v>
      </c>
      <c r="BS4" s="8">
        <f t="shared" si="1"/>
        <v>46194</v>
      </c>
      <c r="BT4" s="8">
        <f t="shared" si="1"/>
        <v>46195</v>
      </c>
      <c r="BU4" s="8">
        <f t="shared" si="1"/>
        <v>46196</v>
      </c>
      <c r="BV4" s="8">
        <f t="shared" si="1"/>
        <v>46197</v>
      </c>
      <c r="BW4" s="8">
        <f t="shared" si="1"/>
        <v>46198</v>
      </c>
      <c r="BX4" s="8">
        <f t="shared" si="1"/>
        <v>46199</v>
      </c>
      <c r="BY4" s="8">
        <f t="shared" si="1"/>
        <v>46200</v>
      </c>
      <c r="BZ4" s="8">
        <f t="shared" si="1"/>
        <v>46201</v>
      </c>
      <c r="CA4" s="8">
        <f t="shared" si="1"/>
        <v>46202</v>
      </c>
      <c r="CB4" s="8">
        <f t="shared" si="1"/>
        <v>46203</v>
      </c>
      <c r="CC4" s="9">
        <f t="shared" si="1"/>
        <v>46204</v>
      </c>
    </row>
    <row r="5" spans="1:90" ht="15" customHeight="1" thickBot="1" x14ac:dyDescent="0.35">
      <c r="A5" s="132"/>
      <c r="B5" s="132"/>
      <c r="C5" s="134"/>
      <c r="D5" s="10" t="s">
        <v>15</v>
      </c>
      <c r="E5" s="11" t="s">
        <v>16</v>
      </c>
      <c r="F5" s="12" t="s">
        <v>17</v>
      </c>
      <c r="G5" s="13" t="s">
        <v>18</v>
      </c>
      <c r="H5" s="14" t="s">
        <v>19</v>
      </c>
      <c r="I5" s="14" t="s">
        <v>20</v>
      </c>
      <c r="J5" s="14" t="s">
        <v>21</v>
      </c>
      <c r="K5" s="15" t="s">
        <v>22</v>
      </c>
      <c r="L5" s="16" t="s">
        <v>23</v>
      </c>
      <c r="M5" s="17" t="s">
        <v>24</v>
      </c>
      <c r="N5" s="18" t="s">
        <v>25</v>
      </c>
      <c r="O5" s="19" t="s">
        <v>19</v>
      </c>
      <c r="P5" s="19" t="s">
        <v>20</v>
      </c>
      <c r="Q5" s="19" t="s">
        <v>21</v>
      </c>
      <c r="R5" s="20" t="s">
        <v>26</v>
      </c>
      <c r="S5" s="21">
        <f>S4</f>
        <v>46174</v>
      </c>
      <c r="T5" s="22">
        <f>T4</f>
        <v>46175</v>
      </c>
      <c r="U5" s="22">
        <f t="shared" ref="U5:AT5" si="2">U4</f>
        <v>46176</v>
      </c>
      <c r="V5" s="22">
        <f t="shared" si="2"/>
        <v>46177</v>
      </c>
      <c r="W5" s="22">
        <f t="shared" si="2"/>
        <v>46178</v>
      </c>
      <c r="X5" s="22">
        <f t="shared" si="2"/>
        <v>46179</v>
      </c>
      <c r="Y5" s="22">
        <f t="shared" si="2"/>
        <v>46180</v>
      </c>
      <c r="Z5" s="22">
        <f t="shared" si="2"/>
        <v>46181</v>
      </c>
      <c r="AA5" s="22">
        <f t="shared" si="2"/>
        <v>46182</v>
      </c>
      <c r="AB5" s="22">
        <f t="shared" si="2"/>
        <v>46183</v>
      </c>
      <c r="AC5" s="22">
        <f t="shared" si="2"/>
        <v>46184</v>
      </c>
      <c r="AD5" s="22">
        <f t="shared" si="2"/>
        <v>46185</v>
      </c>
      <c r="AE5" s="22">
        <f t="shared" si="2"/>
        <v>46186</v>
      </c>
      <c r="AF5" s="22">
        <f t="shared" si="2"/>
        <v>46187</v>
      </c>
      <c r="AG5" s="22">
        <f t="shared" si="2"/>
        <v>46188</v>
      </c>
      <c r="AH5" s="22">
        <f t="shared" si="2"/>
        <v>46189</v>
      </c>
      <c r="AI5" s="22">
        <f t="shared" si="2"/>
        <v>46190</v>
      </c>
      <c r="AJ5" s="22">
        <f t="shared" si="2"/>
        <v>46191</v>
      </c>
      <c r="AK5" s="22">
        <f t="shared" si="2"/>
        <v>46192</v>
      </c>
      <c r="AL5" s="22">
        <f t="shared" si="2"/>
        <v>46193</v>
      </c>
      <c r="AM5" s="22">
        <f t="shared" si="2"/>
        <v>46194</v>
      </c>
      <c r="AN5" s="22">
        <f t="shared" si="2"/>
        <v>46195</v>
      </c>
      <c r="AO5" s="22">
        <f t="shared" si="2"/>
        <v>46196</v>
      </c>
      <c r="AP5" s="22">
        <f t="shared" si="2"/>
        <v>46197</v>
      </c>
      <c r="AQ5" s="22">
        <f t="shared" si="2"/>
        <v>46198</v>
      </c>
      <c r="AR5" s="22">
        <f t="shared" si="2"/>
        <v>46199</v>
      </c>
      <c r="AS5" s="22">
        <f t="shared" si="2"/>
        <v>46200</v>
      </c>
      <c r="AT5" s="22">
        <f t="shared" si="2"/>
        <v>46201</v>
      </c>
      <c r="AU5" s="22">
        <f>AU4</f>
        <v>46202</v>
      </c>
      <c r="AV5" s="22">
        <f t="shared" ref="AV5" si="3">AV4</f>
        <v>46203</v>
      </c>
      <c r="AW5" s="23">
        <f>AW4</f>
        <v>46204</v>
      </c>
      <c r="AY5" s="21">
        <f>AY4</f>
        <v>46174</v>
      </c>
      <c r="AZ5" s="22">
        <f>AZ4</f>
        <v>46175</v>
      </c>
      <c r="BA5" s="22">
        <f t="shared" ref="BA5:BZ5" si="4">BA4</f>
        <v>46176</v>
      </c>
      <c r="BB5" s="22">
        <f t="shared" si="4"/>
        <v>46177</v>
      </c>
      <c r="BC5" s="22">
        <f t="shared" si="4"/>
        <v>46178</v>
      </c>
      <c r="BD5" s="22">
        <f t="shared" si="4"/>
        <v>46179</v>
      </c>
      <c r="BE5" s="22">
        <f t="shared" si="4"/>
        <v>46180</v>
      </c>
      <c r="BF5" s="22">
        <f t="shared" si="4"/>
        <v>46181</v>
      </c>
      <c r="BG5" s="22">
        <f t="shared" si="4"/>
        <v>46182</v>
      </c>
      <c r="BH5" s="22">
        <f t="shared" si="4"/>
        <v>46183</v>
      </c>
      <c r="BI5" s="22">
        <f t="shared" si="4"/>
        <v>46184</v>
      </c>
      <c r="BJ5" s="22">
        <f t="shared" si="4"/>
        <v>46185</v>
      </c>
      <c r="BK5" s="22">
        <f t="shared" si="4"/>
        <v>46186</v>
      </c>
      <c r="BL5" s="22">
        <f t="shared" si="4"/>
        <v>46187</v>
      </c>
      <c r="BM5" s="22">
        <f t="shared" si="4"/>
        <v>46188</v>
      </c>
      <c r="BN5" s="22">
        <f t="shared" si="4"/>
        <v>46189</v>
      </c>
      <c r="BO5" s="22">
        <f t="shared" si="4"/>
        <v>46190</v>
      </c>
      <c r="BP5" s="22">
        <f t="shared" si="4"/>
        <v>46191</v>
      </c>
      <c r="BQ5" s="22">
        <f t="shared" si="4"/>
        <v>46192</v>
      </c>
      <c r="BR5" s="22">
        <f t="shared" si="4"/>
        <v>46193</v>
      </c>
      <c r="BS5" s="22">
        <f t="shared" si="4"/>
        <v>46194</v>
      </c>
      <c r="BT5" s="22">
        <f t="shared" si="4"/>
        <v>46195</v>
      </c>
      <c r="BU5" s="22">
        <f t="shared" si="4"/>
        <v>46196</v>
      </c>
      <c r="BV5" s="22">
        <f t="shared" si="4"/>
        <v>46197</v>
      </c>
      <c r="BW5" s="22">
        <f t="shared" si="4"/>
        <v>46198</v>
      </c>
      <c r="BX5" s="22">
        <f t="shared" si="4"/>
        <v>46199</v>
      </c>
      <c r="BY5" s="22">
        <f t="shared" si="4"/>
        <v>46200</v>
      </c>
      <c r="BZ5" s="22">
        <f t="shared" si="4"/>
        <v>46201</v>
      </c>
      <c r="CA5" s="22">
        <f>CA4</f>
        <v>46202</v>
      </c>
      <c r="CB5" s="22">
        <f t="shared" ref="CB5" si="5">CB4</f>
        <v>46203</v>
      </c>
      <c r="CC5" s="23">
        <f>CC4</f>
        <v>46204</v>
      </c>
      <c r="CH5" s="24" t="s">
        <v>27</v>
      </c>
      <c r="CI5" s="2" t="s">
        <v>28</v>
      </c>
    </row>
    <row r="6" spans="1:90" ht="14.5" x14ac:dyDescent="0.3">
      <c r="A6" s="25">
        <v>1</v>
      </c>
      <c r="B6" s="26" t="s">
        <v>29</v>
      </c>
      <c r="C6" s="27" t="s">
        <v>30</v>
      </c>
      <c r="D6" s="28">
        <v>70</v>
      </c>
      <c r="E6" s="29">
        <v>40</v>
      </c>
      <c r="F6" s="30">
        <f>[1]Price!M6</f>
        <v>52.462499999999999</v>
      </c>
      <c r="G6" s="31"/>
      <c r="H6" s="32">
        <f>SUM(S6:AW6)</f>
        <v>0</v>
      </c>
      <c r="I6" s="33" t="e">
        <f>H6/G6</f>
        <v>#DIV/0!</v>
      </c>
      <c r="J6" s="34">
        <f>G6-H6</f>
        <v>0</v>
      </c>
      <c r="K6" s="35">
        <f>H6/$F$3</f>
        <v>0</v>
      </c>
      <c r="L6" s="30">
        <f>J6/$H$3</f>
        <v>0</v>
      </c>
      <c r="M6" s="31"/>
      <c r="N6" s="36"/>
      <c r="O6" s="32">
        <f>SUM(AY6:CC6)</f>
        <v>100</v>
      </c>
      <c r="P6" s="33" t="e">
        <f>O6/N6</f>
        <v>#DIV/0!</v>
      </c>
      <c r="Q6" s="32">
        <f>M6+O6-H6</f>
        <v>100</v>
      </c>
      <c r="R6" s="37" t="e">
        <f>Q6/(H6/$F$3)</f>
        <v>#DIV/0!</v>
      </c>
      <c r="S6" s="38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40"/>
      <c r="AV6" s="39"/>
      <c r="AW6" s="39"/>
      <c r="AY6" s="39"/>
      <c r="AZ6" s="39"/>
      <c r="BA6" s="39"/>
      <c r="BB6" s="39"/>
      <c r="BC6" s="39"/>
      <c r="BD6" s="39"/>
      <c r="BE6" s="39">
        <v>100</v>
      </c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E6" s="4">
        <v>744</v>
      </c>
      <c r="CF6" s="41">
        <f t="shared" ref="CF6:CF12" si="6">CE6/E6</f>
        <v>18.600000000000001</v>
      </c>
      <c r="CG6" s="41">
        <f>M6-CF6</f>
        <v>-18.600000000000001</v>
      </c>
      <c r="CH6" s="41">
        <f>CG6-CI6</f>
        <v>-18.600000000000001</v>
      </c>
      <c r="CI6" s="3"/>
      <c r="CK6" s="3">
        <v>10</v>
      </c>
      <c r="CL6" s="42">
        <f>CF6-CK6</f>
        <v>8.6000000000000014</v>
      </c>
    </row>
    <row r="7" spans="1:90" ht="14.5" x14ac:dyDescent="0.3">
      <c r="A7" s="43">
        <v>2</v>
      </c>
      <c r="B7" s="44" t="s">
        <v>31</v>
      </c>
      <c r="C7" s="45" t="s">
        <v>32</v>
      </c>
      <c r="D7" s="46">
        <v>70</v>
      </c>
      <c r="E7" s="47">
        <v>40</v>
      </c>
      <c r="F7" s="30">
        <f>[1]Price!M7</f>
        <v>52.462499999999999</v>
      </c>
      <c r="G7" s="48"/>
      <c r="H7" s="49">
        <f t="shared" ref="H7:H15" si="7">SUM(S7:AW7)</f>
        <v>0</v>
      </c>
      <c r="I7" s="50" t="e">
        <f t="shared" ref="I7:I16" si="8">H7/G7</f>
        <v>#DIV/0!</v>
      </c>
      <c r="J7" s="34">
        <f t="shared" ref="J7:J15" si="9">G7-H7</f>
        <v>0</v>
      </c>
      <c r="K7" s="35">
        <f t="shared" ref="K7:K15" si="10">H7/$F$3</f>
        <v>0</v>
      </c>
      <c r="L7" s="51">
        <f t="shared" ref="L7:L15" si="11">J7/$H$3</f>
        <v>0</v>
      </c>
      <c r="M7" s="48"/>
      <c r="N7" s="52"/>
      <c r="O7" s="49">
        <f t="shared" ref="O7:O15" si="12">SUM(AY7:CC7)</f>
        <v>0</v>
      </c>
      <c r="P7" s="50" t="e">
        <f t="shared" ref="P7:P16" si="13">O7/N7</f>
        <v>#DIV/0!</v>
      </c>
      <c r="Q7" s="49">
        <f t="shared" ref="Q7:Q15" si="14">M7+O7-H7</f>
        <v>0</v>
      </c>
      <c r="R7" s="53" t="e">
        <f t="shared" ref="R7:R15" si="15">Q7/(H7/$F$3)</f>
        <v>#DIV/0!</v>
      </c>
      <c r="S7" s="54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6"/>
      <c r="AV7" s="55"/>
      <c r="AW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E7" s="4">
        <v>2829</v>
      </c>
      <c r="CF7" s="41">
        <f t="shared" si="6"/>
        <v>70.724999999999994</v>
      </c>
      <c r="CG7" s="41">
        <f t="shared" ref="CG7:CG12" si="16">M7-CF7</f>
        <v>-70.724999999999994</v>
      </c>
      <c r="CH7" s="41">
        <f t="shared" ref="CH7:CH12" si="17">CG7-CI7</f>
        <v>-70.724999999999994</v>
      </c>
      <c r="CI7" s="3"/>
      <c r="CK7" s="3">
        <v>30</v>
      </c>
      <c r="CL7" s="42">
        <f t="shared" ref="CL7:CL11" si="18">CF7-CK7</f>
        <v>40.724999999999994</v>
      </c>
    </row>
    <row r="8" spans="1:90" ht="14.5" x14ac:dyDescent="0.3">
      <c r="A8" s="43">
        <v>3</v>
      </c>
      <c r="B8" s="44" t="s">
        <v>33</v>
      </c>
      <c r="C8" s="45" t="s">
        <v>34</v>
      </c>
      <c r="D8" s="46">
        <v>70</v>
      </c>
      <c r="E8" s="47">
        <v>40</v>
      </c>
      <c r="F8" s="30">
        <f>[1]Price!M8</f>
        <v>52.462499999999999</v>
      </c>
      <c r="G8" s="48"/>
      <c r="H8" s="49">
        <f t="shared" si="7"/>
        <v>0</v>
      </c>
      <c r="I8" s="50" t="e">
        <f t="shared" si="8"/>
        <v>#DIV/0!</v>
      </c>
      <c r="J8" s="34">
        <f t="shared" si="9"/>
        <v>0</v>
      </c>
      <c r="K8" s="35">
        <f t="shared" si="10"/>
        <v>0</v>
      </c>
      <c r="L8" s="51">
        <f t="shared" si="11"/>
        <v>0</v>
      </c>
      <c r="M8" s="48"/>
      <c r="N8" s="52"/>
      <c r="O8" s="49">
        <f t="shared" si="12"/>
        <v>0</v>
      </c>
      <c r="P8" s="50" t="e">
        <f t="shared" si="13"/>
        <v>#DIV/0!</v>
      </c>
      <c r="Q8" s="49">
        <f t="shared" si="14"/>
        <v>0</v>
      </c>
      <c r="R8" s="53" t="e">
        <f t="shared" si="15"/>
        <v>#DIV/0!</v>
      </c>
      <c r="S8" s="54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6"/>
      <c r="AV8" s="55"/>
      <c r="AW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E8" s="4">
        <v>1369</v>
      </c>
      <c r="CF8" s="41">
        <f t="shared" si="6"/>
        <v>34.225000000000001</v>
      </c>
      <c r="CG8" s="41">
        <f t="shared" si="16"/>
        <v>-34.225000000000001</v>
      </c>
      <c r="CH8" s="41">
        <f t="shared" si="17"/>
        <v>-34.225000000000001</v>
      </c>
      <c r="CI8" s="3"/>
      <c r="CK8" s="3">
        <v>10</v>
      </c>
      <c r="CL8" s="42">
        <f t="shared" si="18"/>
        <v>24.225000000000001</v>
      </c>
    </row>
    <row r="9" spans="1:90" ht="14.5" x14ac:dyDescent="0.3">
      <c r="A9" s="43">
        <v>4</v>
      </c>
      <c r="B9" s="44" t="s">
        <v>35</v>
      </c>
      <c r="C9" s="45" t="s">
        <v>36</v>
      </c>
      <c r="D9" s="46">
        <v>120</v>
      </c>
      <c r="E9" s="47">
        <v>40</v>
      </c>
      <c r="F9" s="30">
        <f>[1]Price!M9</f>
        <v>72.64</v>
      </c>
      <c r="G9" s="48"/>
      <c r="H9" s="49">
        <f t="shared" si="7"/>
        <v>0</v>
      </c>
      <c r="I9" s="50" t="e">
        <f t="shared" si="8"/>
        <v>#DIV/0!</v>
      </c>
      <c r="J9" s="34">
        <f t="shared" si="9"/>
        <v>0</v>
      </c>
      <c r="K9" s="35">
        <f t="shared" si="10"/>
        <v>0</v>
      </c>
      <c r="L9" s="51">
        <f t="shared" si="11"/>
        <v>0</v>
      </c>
      <c r="M9" s="48"/>
      <c r="N9" s="52"/>
      <c r="O9" s="49">
        <f t="shared" si="12"/>
        <v>0</v>
      </c>
      <c r="P9" s="50" t="e">
        <f t="shared" si="13"/>
        <v>#DIV/0!</v>
      </c>
      <c r="Q9" s="49">
        <f t="shared" si="14"/>
        <v>0</v>
      </c>
      <c r="R9" s="53" t="e">
        <f t="shared" si="15"/>
        <v>#DIV/0!</v>
      </c>
      <c r="S9" s="54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6"/>
      <c r="AV9" s="55"/>
      <c r="AW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E9" s="4">
        <v>5056</v>
      </c>
      <c r="CF9" s="41">
        <f t="shared" si="6"/>
        <v>126.4</v>
      </c>
      <c r="CG9" s="41">
        <f t="shared" si="16"/>
        <v>-126.4</v>
      </c>
      <c r="CH9" s="41">
        <f t="shared" si="17"/>
        <v>-126.4</v>
      </c>
      <c r="CI9" s="3"/>
      <c r="CK9" s="4">
        <v>80</v>
      </c>
      <c r="CL9" s="42">
        <f t="shared" si="18"/>
        <v>46.400000000000006</v>
      </c>
    </row>
    <row r="10" spans="1:90" ht="14.5" x14ac:dyDescent="0.3">
      <c r="A10" s="43">
        <v>5</v>
      </c>
      <c r="B10" s="44" t="s">
        <v>37</v>
      </c>
      <c r="C10" s="45" t="s">
        <v>38</v>
      </c>
      <c r="D10" s="46">
        <v>120</v>
      </c>
      <c r="E10" s="47">
        <v>40</v>
      </c>
      <c r="F10" s="30">
        <f>[1]Price!M10</f>
        <v>72.64</v>
      </c>
      <c r="G10" s="48"/>
      <c r="H10" s="49">
        <f t="shared" si="7"/>
        <v>0</v>
      </c>
      <c r="I10" s="50" t="e">
        <f t="shared" si="8"/>
        <v>#DIV/0!</v>
      </c>
      <c r="J10" s="34">
        <f t="shared" si="9"/>
        <v>0</v>
      </c>
      <c r="K10" s="35">
        <f t="shared" si="10"/>
        <v>0</v>
      </c>
      <c r="L10" s="51">
        <f t="shared" si="11"/>
        <v>0</v>
      </c>
      <c r="M10" s="48"/>
      <c r="N10" s="52"/>
      <c r="O10" s="49">
        <f t="shared" si="12"/>
        <v>0</v>
      </c>
      <c r="P10" s="50" t="e">
        <f t="shared" si="13"/>
        <v>#DIV/0!</v>
      </c>
      <c r="Q10" s="49">
        <f t="shared" si="14"/>
        <v>0</v>
      </c>
      <c r="R10" s="53" t="e">
        <f t="shared" si="15"/>
        <v>#DIV/0!</v>
      </c>
      <c r="S10" s="54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6"/>
      <c r="AV10" s="55"/>
      <c r="AW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E10" s="4">
        <v>2492</v>
      </c>
      <c r="CF10" s="41">
        <f t="shared" si="6"/>
        <v>62.3</v>
      </c>
      <c r="CG10" s="41">
        <f t="shared" si="16"/>
        <v>-62.3</v>
      </c>
      <c r="CH10" s="41">
        <f t="shared" si="17"/>
        <v>-62.3</v>
      </c>
      <c r="CI10" s="3"/>
      <c r="CK10" s="4">
        <v>35</v>
      </c>
      <c r="CL10" s="42">
        <f t="shared" si="18"/>
        <v>27.299999999999997</v>
      </c>
    </row>
    <row r="11" spans="1:90" ht="14.5" x14ac:dyDescent="0.3">
      <c r="A11" s="43">
        <v>6</v>
      </c>
      <c r="B11" s="44" t="s">
        <v>39</v>
      </c>
      <c r="C11" s="45" t="s">
        <v>40</v>
      </c>
      <c r="D11" s="46">
        <v>120</v>
      </c>
      <c r="E11" s="47">
        <v>40</v>
      </c>
      <c r="F11" s="30">
        <f>[1]Price!M11</f>
        <v>72.64</v>
      </c>
      <c r="G11" s="48"/>
      <c r="H11" s="49">
        <f t="shared" si="7"/>
        <v>0</v>
      </c>
      <c r="I11" s="50" t="e">
        <f t="shared" si="8"/>
        <v>#DIV/0!</v>
      </c>
      <c r="J11" s="34">
        <f t="shared" si="9"/>
        <v>0</v>
      </c>
      <c r="K11" s="35">
        <f t="shared" si="10"/>
        <v>0</v>
      </c>
      <c r="L11" s="51">
        <f t="shared" si="11"/>
        <v>0</v>
      </c>
      <c r="M11" s="48"/>
      <c r="N11" s="52"/>
      <c r="O11" s="49">
        <f t="shared" si="12"/>
        <v>0</v>
      </c>
      <c r="P11" s="50" t="e">
        <f t="shared" si="13"/>
        <v>#DIV/0!</v>
      </c>
      <c r="Q11" s="49">
        <f t="shared" si="14"/>
        <v>0</v>
      </c>
      <c r="R11" s="53" t="e">
        <f t="shared" si="15"/>
        <v>#DIV/0!</v>
      </c>
      <c r="S11" s="54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6"/>
      <c r="AV11" s="55"/>
      <c r="AW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E11" s="4">
        <v>2547</v>
      </c>
      <c r="CF11" s="41">
        <f t="shared" si="6"/>
        <v>63.674999999999997</v>
      </c>
      <c r="CG11" s="41">
        <f t="shared" si="16"/>
        <v>-63.674999999999997</v>
      </c>
      <c r="CH11" s="41">
        <f t="shared" si="17"/>
        <v>-63.674999999999997</v>
      </c>
      <c r="CI11" s="3"/>
      <c r="CK11" s="4">
        <v>35</v>
      </c>
      <c r="CL11" s="42">
        <f t="shared" si="18"/>
        <v>28.674999999999997</v>
      </c>
    </row>
    <row r="12" spans="1:90" ht="14.5" x14ac:dyDescent="0.3">
      <c r="A12" s="43">
        <v>7</v>
      </c>
      <c r="B12" s="44" t="s">
        <v>41</v>
      </c>
      <c r="C12" s="45" t="s">
        <v>42</v>
      </c>
      <c r="D12" s="46">
        <v>60</v>
      </c>
      <c r="E12" s="47">
        <v>40</v>
      </c>
      <c r="F12" s="30">
        <f>[1]Price!M12</f>
        <v>39.230000000000004</v>
      </c>
      <c r="G12" s="48"/>
      <c r="H12" s="49">
        <f t="shared" si="7"/>
        <v>0</v>
      </c>
      <c r="I12" s="50" t="e">
        <f t="shared" si="8"/>
        <v>#DIV/0!</v>
      </c>
      <c r="J12" s="34">
        <f t="shared" si="9"/>
        <v>0</v>
      </c>
      <c r="K12" s="35">
        <f t="shared" si="10"/>
        <v>0</v>
      </c>
      <c r="L12" s="51">
        <f t="shared" si="11"/>
        <v>0</v>
      </c>
      <c r="M12" s="48"/>
      <c r="N12" s="52"/>
      <c r="O12" s="49">
        <f t="shared" si="12"/>
        <v>0</v>
      </c>
      <c r="P12" s="50" t="e">
        <f t="shared" si="13"/>
        <v>#DIV/0!</v>
      </c>
      <c r="Q12" s="49">
        <f t="shared" si="14"/>
        <v>0</v>
      </c>
      <c r="R12" s="53" t="e">
        <f t="shared" si="15"/>
        <v>#DIV/0!</v>
      </c>
      <c r="S12" s="54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6"/>
      <c r="AV12" s="55"/>
      <c r="AW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E12" s="4">
        <v>10916</v>
      </c>
      <c r="CF12" s="41">
        <f t="shared" si="6"/>
        <v>272.89999999999998</v>
      </c>
      <c r="CG12" s="41">
        <f t="shared" si="16"/>
        <v>-272.89999999999998</v>
      </c>
      <c r="CH12" s="41">
        <f t="shared" si="17"/>
        <v>-272.89999999999998</v>
      </c>
    </row>
    <row r="13" spans="1:90" ht="14.5" x14ac:dyDescent="0.3">
      <c r="A13" s="43">
        <v>8</v>
      </c>
      <c r="B13" s="44" t="s">
        <v>43</v>
      </c>
      <c r="C13" s="45" t="s">
        <v>44</v>
      </c>
      <c r="D13" s="46">
        <v>60</v>
      </c>
      <c r="E13" s="47">
        <v>40</v>
      </c>
      <c r="F13" s="30">
        <f>[1]Price!M13</f>
        <v>39.230000000000004</v>
      </c>
      <c r="G13" s="48"/>
      <c r="H13" s="49">
        <f t="shared" si="7"/>
        <v>0</v>
      </c>
      <c r="I13" s="50" t="e">
        <f t="shared" si="8"/>
        <v>#DIV/0!</v>
      </c>
      <c r="J13" s="34">
        <f t="shared" si="9"/>
        <v>0</v>
      </c>
      <c r="K13" s="35">
        <f t="shared" si="10"/>
        <v>0</v>
      </c>
      <c r="L13" s="51">
        <f t="shared" si="11"/>
        <v>0</v>
      </c>
      <c r="M13" s="57"/>
      <c r="N13" s="58"/>
      <c r="O13" s="49">
        <f t="shared" si="12"/>
        <v>0</v>
      </c>
      <c r="P13" s="50" t="e">
        <f t="shared" si="13"/>
        <v>#DIV/0!</v>
      </c>
      <c r="Q13" s="49">
        <f t="shared" si="14"/>
        <v>0</v>
      </c>
      <c r="R13" s="53" t="e">
        <f t="shared" si="15"/>
        <v>#DIV/0!</v>
      </c>
      <c r="S13" s="54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H13" s="59">
        <f>SUM(CH6:CH12)</f>
        <v>-648.82500000000005</v>
      </c>
    </row>
    <row r="14" spans="1:90" ht="14.5" x14ac:dyDescent="0.3">
      <c r="A14" s="43">
        <v>9</v>
      </c>
      <c r="B14" s="44" t="s">
        <v>45</v>
      </c>
      <c r="C14" s="45" t="s">
        <v>46</v>
      </c>
      <c r="D14" s="46">
        <v>60</v>
      </c>
      <c r="E14" s="47">
        <v>40</v>
      </c>
      <c r="F14" s="30">
        <f>[1]Price!M14</f>
        <v>39.230000000000004</v>
      </c>
      <c r="G14" s="48"/>
      <c r="H14" s="49">
        <f t="shared" si="7"/>
        <v>0</v>
      </c>
      <c r="I14" s="50" t="e">
        <f t="shared" si="8"/>
        <v>#DIV/0!</v>
      </c>
      <c r="J14" s="34">
        <f t="shared" si="9"/>
        <v>0</v>
      </c>
      <c r="K14" s="35">
        <f t="shared" si="10"/>
        <v>0</v>
      </c>
      <c r="L14" s="51">
        <f t="shared" si="11"/>
        <v>0</v>
      </c>
      <c r="M14" s="57"/>
      <c r="N14" s="58"/>
      <c r="O14" s="49">
        <f t="shared" si="12"/>
        <v>0</v>
      </c>
      <c r="P14" s="50" t="e">
        <f t="shared" si="13"/>
        <v>#DIV/0!</v>
      </c>
      <c r="Q14" s="49">
        <f t="shared" si="14"/>
        <v>0</v>
      </c>
      <c r="R14" s="53" t="e">
        <f t="shared" si="15"/>
        <v>#DIV/0!</v>
      </c>
      <c r="S14" s="54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</row>
    <row r="15" spans="1:90" ht="13.5" thickBot="1" x14ac:dyDescent="0.35">
      <c r="A15" s="60">
        <v>10</v>
      </c>
      <c r="B15" s="61"/>
      <c r="C15" s="62"/>
      <c r="D15" s="63"/>
      <c r="E15" s="61"/>
      <c r="F15" s="64"/>
      <c r="G15" s="65"/>
      <c r="H15" s="66">
        <f t="shared" si="7"/>
        <v>0</v>
      </c>
      <c r="I15" s="67" t="e">
        <f t="shared" si="8"/>
        <v>#DIV/0!</v>
      </c>
      <c r="J15" s="68">
        <f t="shared" si="9"/>
        <v>0</v>
      </c>
      <c r="K15" s="69">
        <f t="shared" si="10"/>
        <v>0</v>
      </c>
      <c r="L15" s="70">
        <f t="shared" si="11"/>
        <v>0</v>
      </c>
      <c r="M15" s="71"/>
      <c r="N15" s="72"/>
      <c r="O15" s="66">
        <f t="shared" si="12"/>
        <v>0</v>
      </c>
      <c r="P15" s="67" t="e">
        <f t="shared" si="13"/>
        <v>#DIV/0!</v>
      </c>
      <c r="Q15" s="66">
        <f t="shared" si="14"/>
        <v>0</v>
      </c>
      <c r="R15" s="73" t="e">
        <f t="shared" si="15"/>
        <v>#DIV/0!</v>
      </c>
      <c r="S15" s="74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</row>
    <row r="16" spans="1:90" ht="15" thickBot="1" x14ac:dyDescent="0.35">
      <c r="A16" s="122" t="s">
        <v>47</v>
      </c>
      <c r="B16" s="123"/>
      <c r="C16" s="124"/>
      <c r="D16" s="75"/>
      <c r="E16" s="76"/>
      <c r="F16" s="77"/>
      <c r="G16" s="78">
        <f>SUM(G6:G15)</f>
        <v>0</v>
      </c>
      <c r="H16" s="79">
        <f>SUM(H6:H15)</f>
        <v>0</v>
      </c>
      <c r="I16" s="80" t="e">
        <f t="shared" si="8"/>
        <v>#DIV/0!</v>
      </c>
      <c r="J16" s="79">
        <f t="shared" ref="J16:AW16" si="19">SUM(J6:J15)</f>
        <v>0</v>
      </c>
      <c r="K16" s="81">
        <f t="shared" si="19"/>
        <v>0</v>
      </c>
      <c r="L16" s="82">
        <f t="shared" si="19"/>
        <v>0</v>
      </c>
      <c r="M16" s="78">
        <f t="shared" si="19"/>
        <v>0</v>
      </c>
      <c r="N16" s="83">
        <f t="shared" si="19"/>
        <v>0</v>
      </c>
      <c r="O16" s="79">
        <f t="shared" si="19"/>
        <v>100</v>
      </c>
      <c r="P16" s="79" t="e">
        <f t="shared" si="13"/>
        <v>#DIV/0!</v>
      </c>
      <c r="Q16" s="79">
        <f t="shared" ref="Q16:R16" si="20">SUM(Q6:Q15)</f>
        <v>100</v>
      </c>
      <c r="R16" s="82" t="e">
        <f t="shared" si="20"/>
        <v>#DIV/0!</v>
      </c>
      <c r="S16" s="83">
        <f t="shared" si="19"/>
        <v>0</v>
      </c>
      <c r="T16" s="79">
        <f t="shared" si="19"/>
        <v>0</v>
      </c>
      <c r="U16" s="79">
        <f t="shared" si="19"/>
        <v>0</v>
      </c>
      <c r="V16" s="79">
        <f t="shared" si="19"/>
        <v>0</v>
      </c>
      <c r="W16" s="79">
        <f t="shared" si="19"/>
        <v>0</v>
      </c>
      <c r="X16" s="79">
        <f t="shared" si="19"/>
        <v>0</v>
      </c>
      <c r="Y16" s="79">
        <f t="shared" si="19"/>
        <v>0</v>
      </c>
      <c r="Z16" s="79">
        <f t="shared" si="19"/>
        <v>0</v>
      </c>
      <c r="AA16" s="79">
        <f t="shared" si="19"/>
        <v>0</v>
      </c>
      <c r="AB16" s="79">
        <f t="shared" si="19"/>
        <v>0</v>
      </c>
      <c r="AC16" s="79">
        <f t="shared" si="19"/>
        <v>0</v>
      </c>
      <c r="AD16" s="79">
        <f t="shared" si="19"/>
        <v>0</v>
      </c>
      <c r="AE16" s="79">
        <f t="shared" si="19"/>
        <v>0</v>
      </c>
      <c r="AF16" s="79">
        <f t="shared" si="19"/>
        <v>0</v>
      </c>
      <c r="AG16" s="79">
        <f t="shared" si="19"/>
        <v>0</v>
      </c>
      <c r="AH16" s="79">
        <f t="shared" si="19"/>
        <v>0</v>
      </c>
      <c r="AI16" s="79">
        <f t="shared" si="19"/>
        <v>0</v>
      </c>
      <c r="AJ16" s="79">
        <f t="shared" si="19"/>
        <v>0</v>
      </c>
      <c r="AK16" s="79">
        <f t="shared" si="19"/>
        <v>0</v>
      </c>
      <c r="AL16" s="79">
        <f t="shared" si="19"/>
        <v>0</v>
      </c>
      <c r="AM16" s="79">
        <f t="shared" si="19"/>
        <v>0</v>
      </c>
      <c r="AN16" s="79">
        <f t="shared" si="19"/>
        <v>0</v>
      </c>
      <c r="AO16" s="79">
        <f t="shared" si="19"/>
        <v>0</v>
      </c>
      <c r="AP16" s="79">
        <f t="shared" si="19"/>
        <v>0</v>
      </c>
      <c r="AQ16" s="79">
        <f t="shared" si="19"/>
        <v>0</v>
      </c>
      <c r="AR16" s="79">
        <f t="shared" si="19"/>
        <v>0</v>
      </c>
      <c r="AS16" s="79">
        <f t="shared" si="19"/>
        <v>0</v>
      </c>
      <c r="AT16" s="79">
        <f t="shared" si="19"/>
        <v>0</v>
      </c>
      <c r="AU16" s="79">
        <f t="shared" si="19"/>
        <v>0</v>
      </c>
      <c r="AV16" s="79">
        <f t="shared" si="19"/>
        <v>0</v>
      </c>
      <c r="AW16" s="79">
        <f t="shared" si="19"/>
        <v>0</v>
      </c>
      <c r="AY16" s="79">
        <f t="shared" ref="AY16:CC16" si="21">SUM(AY6:AY15)</f>
        <v>0</v>
      </c>
      <c r="AZ16" s="79">
        <f t="shared" si="21"/>
        <v>0</v>
      </c>
      <c r="BA16" s="79">
        <f t="shared" si="21"/>
        <v>0</v>
      </c>
      <c r="BB16" s="79">
        <f t="shared" si="21"/>
        <v>0</v>
      </c>
      <c r="BC16" s="79">
        <f t="shared" si="21"/>
        <v>0</v>
      </c>
      <c r="BD16" s="79">
        <f t="shared" si="21"/>
        <v>0</v>
      </c>
      <c r="BE16" s="79">
        <f t="shared" si="21"/>
        <v>100</v>
      </c>
      <c r="BF16" s="79">
        <f t="shared" si="21"/>
        <v>0</v>
      </c>
      <c r="BG16" s="79">
        <f t="shared" si="21"/>
        <v>0</v>
      </c>
      <c r="BH16" s="79">
        <f t="shared" si="21"/>
        <v>0</v>
      </c>
      <c r="BI16" s="79">
        <f t="shared" si="21"/>
        <v>0</v>
      </c>
      <c r="BJ16" s="79">
        <f t="shared" si="21"/>
        <v>0</v>
      </c>
      <c r="BK16" s="79">
        <f t="shared" si="21"/>
        <v>0</v>
      </c>
      <c r="BL16" s="79">
        <f t="shared" si="21"/>
        <v>0</v>
      </c>
      <c r="BM16" s="79">
        <f t="shared" si="21"/>
        <v>0</v>
      </c>
      <c r="BN16" s="79">
        <f t="shared" si="21"/>
        <v>0</v>
      </c>
      <c r="BO16" s="79">
        <f t="shared" si="21"/>
        <v>0</v>
      </c>
      <c r="BP16" s="79">
        <f t="shared" si="21"/>
        <v>0</v>
      </c>
      <c r="BQ16" s="79">
        <f t="shared" si="21"/>
        <v>0</v>
      </c>
      <c r="BR16" s="79">
        <f t="shared" si="21"/>
        <v>0</v>
      </c>
      <c r="BS16" s="79">
        <f t="shared" si="21"/>
        <v>0</v>
      </c>
      <c r="BT16" s="79">
        <f t="shared" si="21"/>
        <v>0</v>
      </c>
      <c r="BU16" s="79">
        <f t="shared" si="21"/>
        <v>0</v>
      </c>
      <c r="BV16" s="79">
        <f t="shared" si="21"/>
        <v>0</v>
      </c>
      <c r="BW16" s="79">
        <f t="shared" si="21"/>
        <v>0</v>
      </c>
      <c r="BX16" s="79">
        <f t="shared" si="21"/>
        <v>0</v>
      </c>
      <c r="BY16" s="79">
        <f t="shared" si="21"/>
        <v>0</v>
      </c>
      <c r="BZ16" s="79">
        <f t="shared" si="21"/>
        <v>0</v>
      </c>
      <c r="CA16" s="79">
        <f t="shared" si="21"/>
        <v>0</v>
      </c>
      <c r="CB16" s="79">
        <f t="shared" si="21"/>
        <v>0</v>
      </c>
      <c r="CC16" s="82">
        <f t="shared" si="21"/>
        <v>0</v>
      </c>
    </row>
    <row r="17" spans="1:49" ht="13.5" thickBot="1" x14ac:dyDescent="0.35">
      <c r="A17" s="2"/>
    </row>
    <row r="18" spans="1:49" ht="13.5" thickBot="1" x14ac:dyDescent="0.35">
      <c r="S18" s="122" t="s">
        <v>48</v>
      </c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4"/>
    </row>
    <row r="19" spans="1:49" ht="14.5" customHeight="1" thickBot="1" x14ac:dyDescent="0.35">
      <c r="A19" s="131" t="s">
        <v>8</v>
      </c>
      <c r="B19" s="131" t="s">
        <v>9</v>
      </c>
      <c r="C19" s="133" t="s">
        <v>10</v>
      </c>
      <c r="D19" s="135" t="s">
        <v>49</v>
      </c>
      <c r="E19" s="136"/>
      <c r="F19" s="84" t="s">
        <v>12</v>
      </c>
      <c r="G19" s="137" t="s">
        <v>50</v>
      </c>
      <c r="H19" s="138"/>
      <c r="I19" s="138"/>
      <c r="J19" s="138"/>
      <c r="K19" s="139"/>
      <c r="L19" s="139"/>
      <c r="M19" s="140" t="s">
        <v>51</v>
      </c>
      <c r="N19" s="141"/>
      <c r="O19" s="142"/>
      <c r="P19" s="142"/>
      <c r="Q19" s="142"/>
      <c r="R19" s="143"/>
      <c r="S19" s="88">
        <f>A2</f>
        <v>46174</v>
      </c>
      <c r="T19" s="8">
        <f>S19+1</f>
        <v>46175</v>
      </c>
      <c r="U19" s="8">
        <f t="shared" ref="U19:AW19" si="22">T19+1</f>
        <v>46176</v>
      </c>
      <c r="V19" s="8">
        <f t="shared" si="22"/>
        <v>46177</v>
      </c>
      <c r="W19" s="8">
        <f t="shared" si="22"/>
        <v>46178</v>
      </c>
      <c r="X19" s="8">
        <f t="shared" si="22"/>
        <v>46179</v>
      </c>
      <c r="Y19" s="8">
        <f t="shared" si="22"/>
        <v>46180</v>
      </c>
      <c r="Z19" s="8">
        <f t="shared" si="22"/>
        <v>46181</v>
      </c>
      <c r="AA19" s="8">
        <f t="shared" si="22"/>
        <v>46182</v>
      </c>
      <c r="AB19" s="8">
        <f t="shared" si="22"/>
        <v>46183</v>
      </c>
      <c r="AC19" s="8">
        <f t="shared" si="22"/>
        <v>46184</v>
      </c>
      <c r="AD19" s="8">
        <f t="shared" si="22"/>
        <v>46185</v>
      </c>
      <c r="AE19" s="8">
        <f t="shared" si="22"/>
        <v>46186</v>
      </c>
      <c r="AF19" s="8">
        <f t="shared" si="22"/>
        <v>46187</v>
      </c>
      <c r="AG19" s="8">
        <f t="shared" si="22"/>
        <v>46188</v>
      </c>
      <c r="AH19" s="8">
        <f t="shared" si="22"/>
        <v>46189</v>
      </c>
      <c r="AI19" s="8">
        <f t="shared" si="22"/>
        <v>46190</v>
      </c>
      <c r="AJ19" s="8">
        <f t="shared" si="22"/>
        <v>46191</v>
      </c>
      <c r="AK19" s="8">
        <f t="shared" si="22"/>
        <v>46192</v>
      </c>
      <c r="AL19" s="8">
        <f t="shared" si="22"/>
        <v>46193</v>
      </c>
      <c r="AM19" s="8">
        <f t="shared" si="22"/>
        <v>46194</v>
      </c>
      <c r="AN19" s="8">
        <f t="shared" si="22"/>
        <v>46195</v>
      </c>
      <c r="AO19" s="8">
        <f t="shared" si="22"/>
        <v>46196</v>
      </c>
      <c r="AP19" s="8">
        <f t="shared" si="22"/>
        <v>46197</v>
      </c>
      <c r="AQ19" s="8">
        <f t="shared" si="22"/>
        <v>46198</v>
      </c>
      <c r="AR19" s="8">
        <f t="shared" si="22"/>
        <v>46199</v>
      </c>
      <c r="AS19" s="8">
        <f t="shared" si="22"/>
        <v>46200</v>
      </c>
      <c r="AT19" s="8">
        <f t="shared" si="22"/>
        <v>46201</v>
      </c>
      <c r="AU19" s="8">
        <f t="shared" si="22"/>
        <v>46202</v>
      </c>
      <c r="AV19" s="8">
        <f t="shared" si="22"/>
        <v>46203</v>
      </c>
      <c r="AW19" s="9">
        <f t="shared" si="22"/>
        <v>46204</v>
      </c>
    </row>
    <row r="20" spans="1:49" ht="13.5" thickBot="1" x14ac:dyDescent="0.35">
      <c r="A20" s="132"/>
      <c r="B20" s="132"/>
      <c r="C20" s="134"/>
      <c r="D20" s="89" t="s">
        <v>15</v>
      </c>
      <c r="E20" s="90" t="s">
        <v>16</v>
      </c>
      <c r="F20" s="91" t="s">
        <v>17</v>
      </c>
      <c r="G20" s="92" t="s">
        <v>52</v>
      </c>
      <c r="H20" s="93" t="s">
        <v>53</v>
      </c>
      <c r="I20" s="93" t="s">
        <v>20</v>
      </c>
      <c r="J20" s="93" t="s">
        <v>21</v>
      </c>
      <c r="K20" s="94" t="s">
        <v>22</v>
      </c>
      <c r="L20" s="94"/>
      <c r="M20" s="95" t="s">
        <v>54</v>
      </c>
      <c r="N20" s="96">
        <v>1</v>
      </c>
      <c r="O20" s="97">
        <v>2</v>
      </c>
      <c r="P20" s="97">
        <v>3</v>
      </c>
      <c r="Q20" s="97">
        <v>4</v>
      </c>
      <c r="R20" s="98">
        <v>5</v>
      </c>
      <c r="S20" s="99">
        <f>S19</f>
        <v>46174</v>
      </c>
      <c r="T20" s="22">
        <f>T19</f>
        <v>46175</v>
      </c>
      <c r="U20" s="22">
        <f t="shared" ref="U20:AT20" si="23">U19</f>
        <v>46176</v>
      </c>
      <c r="V20" s="22">
        <f t="shared" si="23"/>
        <v>46177</v>
      </c>
      <c r="W20" s="22">
        <f t="shared" si="23"/>
        <v>46178</v>
      </c>
      <c r="X20" s="22">
        <f t="shared" si="23"/>
        <v>46179</v>
      </c>
      <c r="Y20" s="22">
        <f t="shared" si="23"/>
        <v>46180</v>
      </c>
      <c r="Z20" s="22">
        <f t="shared" si="23"/>
        <v>46181</v>
      </c>
      <c r="AA20" s="22">
        <f t="shared" si="23"/>
        <v>46182</v>
      </c>
      <c r="AB20" s="22">
        <f t="shared" si="23"/>
        <v>46183</v>
      </c>
      <c r="AC20" s="22">
        <f t="shared" si="23"/>
        <v>46184</v>
      </c>
      <c r="AD20" s="22">
        <f t="shared" si="23"/>
        <v>46185</v>
      </c>
      <c r="AE20" s="22">
        <f t="shared" si="23"/>
        <v>46186</v>
      </c>
      <c r="AF20" s="22">
        <f t="shared" si="23"/>
        <v>46187</v>
      </c>
      <c r="AG20" s="22">
        <f t="shared" si="23"/>
        <v>46188</v>
      </c>
      <c r="AH20" s="22">
        <f t="shared" si="23"/>
        <v>46189</v>
      </c>
      <c r="AI20" s="22">
        <f t="shared" si="23"/>
        <v>46190</v>
      </c>
      <c r="AJ20" s="22">
        <f t="shared" si="23"/>
        <v>46191</v>
      </c>
      <c r="AK20" s="22">
        <f t="shared" si="23"/>
        <v>46192</v>
      </c>
      <c r="AL20" s="22">
        <f t="shared" si="23"/>
        <v>46193</v>
      </c>
      <c r="AM20" s="22">
        <f t="shared" si="23"/>
        <v>46194</v>
      </c>
      <c r="AN20" s="22">
        <f t="shared" si="23"/>
        <v>46195</v>
      </c>
      <c r="AO20" s="22">
        <f t="shared" si="23"/>
        <v>46196</v>
      </c>
      <c r="AP20" s="22">
        <f t="shared" si="23"/>
        <v>46197</v>
      </c>
      <c r="AQ20" s="22">
        <f t="shared" si="23"/>
        <v>46198</v>
      </c>
      <c r="AR20" s="22">
        <f t="shared" si="23"/>
        <v>46199</v>
      </c>
      <c r="AS20" s="22">
        <f t="shared" si="23"/>
        <v>46200</v>
      </c>
      <c r="AT20" s="22">
        <f t="shared" si="23"/>
        <v>46201</v>
      </c>
      <c r="AU20" s="22">
        <f>AU19</f>
        <v>46202</v>
      </c>
      <c r="AV20" s="22">
        <f t="shared" ref="AV20" si="24">AV19</f>
        <v>46203</v>
      </c>
      <c r="AW20" s="23">
        <f>AW19</f>
        <v>46204</v>
      </c>
    </row>
    <row r="21" spans="1:49" ht="14.5" x14ac:dyDescent="0.3">
      <c r="A21" s="25">
        <v>1</v>
      </c>
      <c r="B21" s="26" t="s">
        <v>29</v>
      </c>
      <c r="C21" s="27" t="s">
        <v>30</v>
      </c>
      <c r="D21" s="28">
        <v>70</v>
      </c>
      <c r="E21" s="29">
        <v>40</v>
      </c>
      <c r="F21" s="30">
        <f>F6</f>
        <v>52.462499999999999</v>
      </c>
      <c r="G21" s="31"/>
      <c r="H21" s="32">
        <f>SUM(S21:AW21)</f>
        <v>0</v>
      </c>
      <c r="I21" s="33" t="e">
        <f>H21/G21</f>
        <v>#DIV/0!</v>
      </c>
      <c r="J21" s="34">
        <f>G21-H21</f>
        <v>0</v>
      </c>
      <c r="K21" s="35">
        <f>H21/$F$3</f>
        <v>0</v>
      </c>
      <c r="L21" s="100"/>
      <c r="M21" s="101">
        <f>SUM(N21:R21)</f>
        <v>0</v>
      </c>
      <c r="N21" s="102">
        <f>SUM(S21:Y21)</f>
        <v>0</v>
      </c>
      <c r="O21" s="103">
        <f>SUM(Z21:AF21)</f>
        <v>0</v>
      </c>
      <c r="P21" s="103">
        <f>SUM(AG21:AM21)</f>
        <v>0</v>
      </c>
      <c r="Q21" s="103">
        <f>SUM(AN21:AT21)</f>
        <v>0</v>
      </c>
      <c r="R21" s="104">
        <f>SUM(AU21:AW21)</f>
        <v>0</v>
      </c>
      <c r="S21" s="38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</row>
    <row r="22" spans="1:49" ht="14.5" x14ac:dyDescent="0.3">
      <c r="A22" s="43">
        <v>2</v>
      </c>
      <c r="B22" s="44" t="s">
        <v>31</v>
      </c>
      <c r="C22" s="45" t="s">
        <v>32</v>
      </c>
      <c r="D22" s="46">
        <v>70</v>
      </c>
      <c r="E22" s="47">
        <v>40</v>
      </c>
      <c r="F22" s="30">
        <f t="shared" ref="F22:F29" si="25">F7</f>
        <v>52.462499999999999</v>
      </c>
      <c r="G22" s="48"/>
      <c r="H22" s="49">
        <f t="shared" ref="H22:H30" si="26">SUM(S22:AW22)</f>
        <v>0</v>
      </c>
      <c r="I22" s="50" t="e">
        <f t="shared" ref="I22:I30" si="27">H22/G22</f>
        <v>#DIV/0!</v>
      </c>
      <c r="J22" s="34">
        <f t="shared" ref="J22:J30" si="28">G22-H22</f>
        <v>0</v>
      </c>
      <c r="K22" s="35">
        <f t="shared" ref="K22:K30" si="29">H22/$F$3</f>
        <v>0</v>
      </c>
      <c r="L22" s="105"/>
      <c r="M22" s="106">
        <f t="shared" ref="M22:M30" si="30">SUM(N22:R22)</f>
        <v>0</v>
      </c>
      <c r="N22" s="107">
        <f t="shared" ref="N22:N30" si="31">SUM(S22:Y22)</f>
        <v>0</v>
      </c>
      <c r="O22" s="108">
        <f t="shared" ref="O22:O30" si="32">SUM(Z22:AF22)</f>
        <v>0</v>
      </c>
      <c r="P22" s="108">
        <f t="shared" ref="P22:P30" si="33">SUM(AG22:AM22)</f>
        <v>0</v>
      </c>
      <c r="Q22" s="108">
        <f t="shared" ref="Q22:Q30" si="34">SUM(AN22:AT22)</f>
        <v>0</v>
      </c>
      <c r="R22" s="109">
        <f t="shared" ref="R22:R30" si="35">SUM(AU22:AW22)</f>
        <v>0</v>
      </c>
      <c r="S22" s="54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</row>
    <row r="23" spans="1:49" ht="14.5" x14ac:dyDescent="0.3">
      <c r="A23" s="43">
        <v>3</v>
      </c>
      <c r="B23" s="44" t="s">
        <v>33</v>
      </c>
      <c r="C23" s="45" t="s">
        <v>34</v>
      </c>
      <c r="D23" s="46">
        <v>70</v>
      </c>
      <c r="E23" s="47">
        <v>40</v>
      </c>
      <c r="F23" s="30">
        <f t="shared" si="25"/>
        <v>52.462499999999999</v>
      </c>
      <c r="G23" s="48"/>
      <c r="H23" s="49">
        <f t="shared" si="26"/>
        <v>0</v>
      </c>
      <c r="I23" s="50" t="e">
        <f t="shared" si="27"/>
        <v>#DIV/0!</v>
      </c>
      <c r="J23" s="34">
        <f t="shared" si="28"/>
        <v>0</v>
      </c>
      <c r="K23" s="35">
        <f t="shared" si="29"/>
        <v>0</v>
      </c>
      <c r="L23" s="105"/>
      <c r="M23" s="106">
        <f t="shared" si="30"/>
        <v>0</v>
      </c>
      <c r="N23" s="107">
        <f t="shared" si="31"/>
        <v>0</v>
      </c>
      <c r="O23" s="108">
        <f t="shared" si="32"/>
        <v>0</v>
      </c>
      <c r="P23" s="108">
        <f t="shared" si="33"/>
        <v>0</v>
      </c>
      <c r="Q23" s="108">
        <f t="shared" si="34"/>
        <v>0</v>
      </c>
      <c r="R23" s="109">
        <f t="shared" si="35"/>
        <v>0</v>
      </c>
      <c r="S23" s="54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</row>
    <row r="24" spans="1:49" ht="14.5" x14ac:dyDescent="0.3">
      <c r="A24" s="43">
        <v>4</v>
      </c>
      <c r="B24" s="44" t="s">
        <v>35</v>
      </c>
      <c r="C24" s="45" t="s">
        <v>36</v>
      </c>
      <c r="D24" s="46">
        <v>120</v>
      </c>
      <c r="E24" s="47">
        <v>40</v>
      </c>
      <c r="F24" s="30">
        <f t="shared" si="25"/>
        <v>72.64</v>
      </c>
      <c r="G24" s="48"/>
      <c r="H24" s="49">
        <f t="shared" si="26"/>
        <v>0</v>
      </c>
      <c r="I24" s="50" t="e">
        <f t="shared" si="27"/>
        <v>#DIV/0!</v>
      </c>
      <c r="J24" s="34">
        <f t="shared" si="28"/>
        <v>0</v>
      </c>
      <c r="K24" s="35">
        <f t="shared" si="29"/>
        <v>0</v>
      </c>
      <c r="L24" s="105"/>
      <c r="M24" s="106">
        <f t="shared" si="30"/>
        <v>0</v>
      </c>
      <c r="N24" s="107">
        <f t="shared" si="31"/>
        <v>0</v>
      </c>
      <c r="O24" s="108">
        <f t="shared" si="32"/>
        <v>0</v>
      </c>
      <c r="P24" s="108">
        <f t="shared" si="33"/>
        <v>0</v>
      </c>
      <c r="Q24" s="108">
        <f t="shared" si="34"/>
        <v>0</v>
      </c>
      <c r="R24" s="109">
        <f t="shared" si="35"/>
        <v>0</v>
      </c>
      <c r="S24" s="54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</row>
    <row r="25" spans="1:49" ht="14.5" x14ac:dyDescent="0.3">
      <c r="A25" s="43">
        <v>5</v>
      </c>
      <c r="B25" s="44" t="s">
        <v>37</v>
      </c>
      <c r="C25" s="45" t="s">
        <v>38</v>
      </c>
      <c r="D25" s="46">
        <v>120</v>
      </c>
      <c r="E25" s="47">
        <v>40</v>
      </c>
      <c r="F25" s="30">
        <f t="shared" si="25"/>
        <v>72.64</v>
      </c>
      <c r="G25" s="48"/>
      <c r="H25" s="49">
        <f t="shared" si="26"/>
        <v>0</v>
      </c>
      <c r="I25" s="50" t="e">
        <f t="shared" si="27"/>
        <v>#DIV/0!</v>
      </c>
      <c r="J25" s="34">
        <f t="shared" si="28"/>
        <v>0</v>
      </c>
      <c r="K25" s="35">
        <f t="shared" si="29"/>
        <v>0</v>
      </c>
      <c r="L25" s="105"/>
      <c r="M25" s="106">
        <f t="shared" si="30"/>
        <v>0</v>
      </c>
      <c r="N25" s="107">
        <f t="shared" si="31"/>
        <v>0</v>
      </c>
      <c r="O25" s="108">
        <f t="shared" si="32"/>
        <v>0</v>
      </c>
      <c r="P25" s="108">
        <f t="shared" si="33"/>
        <v>0</v>
      </c>
      <c r="Q25" s="108">
        <f t="shared" si="34"/>
        <v>0</v>
      </c>
      <c r="R25" s="109">
        <f t="shared" si="35"/>
        <v>0</v>
      </c>
      <c r="S25" s="54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</row>
    <row r="26" spans="1:49" ht="14.5" x14ac:dyDescent="0.3">
      <c r="A26" s="43">
        <v>6</v>
      </c>
      <c r="B26" s="44" t="s">
        <v>39</v>
      </c>
      <c r="C26" s="45" t="s">
        <v>40</v>
      </c>
      <c r="D26" s="46">
        <v>120</v>
      </c>
      <c r="E26" s="47">
        <v>40</v>
      </c>
      <c r="F26" s="30">
        <f t="shared" si="25"/>
        <v>72.64</v>
      </c>
      <c r="G26" s="48"/>
      <c r="H26" s="49">
        <f t="shared" si="26"/>
        <v>0</v>
      </c>
      <c r="I26" s="50" t="e">
        <f t="shared" si="27"/>
        <v>#DIV/0!</v>
      </c>
      <c r="J26" s="34">
        <f t="shared" si="28"/>
        <v>0</v>
      </c>
      <c r="K26" s="35">
        <f t="shared" si="29"/>
        <v>0</v>
      </c>
      <c r="L26" s="105"/>
      <c r="M26" s="106">
        <f t="shared" si="30"/>
        <v>0</v>
      </c>
      <c r="N26" s="107">
        <f t="shared" si="31"/>
        <v>0</v>
      </c>
      <c r="O26" s="108">
        <f t="shared" si="32"/>
        <v>0</v>
      </c>
      <c r="P26" s="108">
        <f t="shared" si="33"/>
        <v>0</v>
      </c>
      <c r="Q26" s="108">
        <f t="shared" si="34"/>
        <v>0</v>
      </c>
      <c r="R26" s="109">
        <f t="shared" si="35"/>
        <v>0</v>
      </c>
      <c r="S26" s="54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</row>
    <row r="27" spans="1:49" ht="14.5" x14ac:dyDescent="0.3">
      <c r="A27" s="43">
        <v>7</v>
      </c>
      <c r="B27" s="44" t="s">
        <v>41</v>
      </c>
      <c r="C27" s="45" t="s">
        <v>42</v>
      </c>
      <c r="D27" s="46">
        <v>60</v>
      </c>
      <c r="E27" s="47">
        <v>40</v>
      </c>
      <c r="F27" s="30">
        <f t="shared" si="25"/>
        <v>39.230000000000004</v>
      </c>
      <c r="G27" s="48"/>
      <c r="H27" s="49">
        <f t="shared" si="26"/>
        <v>0</v>
      </c>
      <c r="I27" s="50" t="e">
        <f t="shared" si="27"/>
        <v>#DIV/0!</v>
      </c>
      <c r="J27" s="34">
        <f t="shared" si="28"/>
        <v>0</v>
      </c>
      <c r="K27" s="35">
        <f t="shared" si="29"/>
        <v>0</v>
      </c>
      <c r="L27" s="105"/>
      <c r="M27" s="106">
        <f t="shared" si="30"/>
        <v>0</v>
      </c>
      <c r="N27" s="107">
        <f t="shared" si="31"/>
        <v>0</v>
      </c>
      <c r="O27" s="108">
        <f t="shared" si="32"/>
        <v>0</v>
      </c>
      <c r="P27" s="108">
        <f t="shared" si="33"/>
        <v>0</v>
      </c>
      <c r="Q27" s="108">
        <f t="shared" si="34"/>
        <v>0</v>
      </c>
      <c r="R27" s="109">
        <f t="shared" si="35"/>
        <v>0</v>
      </c>
      <c r="S27" s="54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</row>
    <row r="28" spans="1:49" ht="14.5" x14ac:dyDescent="0.3">
      <c r="A28" s="43">
        <v>8</v>
      </c>
      <c r="B28" s="44" t="s">
        <v>43</v>
      </c>
      <c r="C28" s="45" t="s">
        <v>44</v>
      </c>
      <c r="D28" s="46">
        <v>60</v>
      </c>
      <c r="E28" s="47">
        <v>40</v>
      </c>
      <c r="F28" s="30">
        <f t="shared" si="25"/>
        <v>39.230000000000004</v>
      </c>
      <c r="G28" s="48"/>
      <c r="H28" s="49">
        <f t="shared" si="26"/>
        <v>0</v>
      </c>
      <c r="I28" s="50" t="e">
        <f t="shared" si="27"/>
        <v>#DIV/0!</v>
      </c>
      <c r="J28" s="34">
        <f t="shared" si="28"/>
        <v>0</v>
      </c>
      <c r="K28" s="35">
        <f t="shared" si="29"/>
        <v>0</v>
      </c>
      <c r="L28" s="105"/>
      <c r="M28" s="106">
        <f t="shared" si="30"/>
        <v>0</v>
      </c>
      <c r="N28" s="107">
        <f t="shared" si="31"/>
        <v>0</v>
      </c>
      <c r="O28" s="108">
        <f t="shared" si="32"/>
        <v>0</v>
      </c>
      <c r="P28" s="108">
        <f t="shared" si="33"/>
        <v>0</v>
      </c>
      <c r="Q28" s="108">
        <f t="shared" si="34"/>
        <v>0</v>
      </c>
      <c r="R28" s="109">
        <f t="shared" si="35"/>
        <v>0</v>
      </c>
      <c r="S28" s="54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</row>
    <row r="29" spans="1:49" ht="14.5" x14ac:dyDescent="0.3">
      <c r="A29" s="43">
        <v>9</v>
      </c>
      <c r="B29" s="44" t="s">
        <v>45</v>
      </c>
      <c r="C29" s="45" t="s">
        <v>46</v>
      </c>
      <c r="D29" s="46">
        <v>60</v>
      </c>
      <c r="E29" s="47">
        <v>40</v>
      </c>
      <c r="F29" s="30">
        <f t="shared" si="25"/>
        <v>39.230000000000004</v>
      </c>
      <c r="G29" s="48"/>
      <c r="H29" s="49">
        <f t="shared" si="26"/>
        <v>0</v>
      </c>
      <c r="I29" s="50" t="e">
        <f t="shared" si="27"/>
        <v>#DIV/0!</v>
      </c>
      <c r="J29" s="34">
        <f t="shared" si="28"/>
        <v>0</v>
      </c>
      <c r="K29" s="35">
        <f t="shared" si="29"/>
        <v>0</v>
      </c>
      <c r="L29" s="105"/>
      <c r="M29" s="106">
        <f t="shared" si="30"/>
        <v>0</v>
      </c>
      <c r="N29" s="107">
        <f t="shared" si="31"/>
        <v>0</v>
      </c>
      <c r="O29" s="108">
        <f t="shared" si="32"/>
        <v>0</v>
      </c>
      <c r="P29" s="108">
        <f t="shared" si="33"/>
        <v>0</v>
      </c>
      <c r="Q29" s="108">
        <f t="shared" si="34"/>
        <v>0</v>
      </c>
      <c r="R29" s="109">
        <f t="shared" si="35"/>
        <v>0</v>
      </c>
      <c r="S29" s="54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</row>
    <row r="30" spans="1:49" ht="13.5" thickBot="1" x14ac:dyDescent="0.35">
      <c r="A30" s="60">
        <v>10</v>
      </c>
      <c r="B30" s="61"/>
      <c r="C30" s="62"/>
      <c r="D30" s="63"/>
      <c r="E30" s="61"/>
      <c r="F30" s="64"/>
      <c r="G30" s="65"/>
      <c r="H30" s="66">
        <f t="shared" si="26"/>
        <v>0</v>
      </c>
      <c r="I30" s="67" t="e">
        <f t="shared" si="27"/>
        <v>#DIV/0!</v>
      </c>
      <c r="J30" s="68">
        <f t="shared" si="28"/>
        <v>0</v>
      </c>
      <c r="K30" s="69">
        <f t="shared" si="29"/>
        <v>0</v>
      </c>
      <c r="L30" s="110"/>
      <c r="M30" s="111">
        <f t="shared" si="30"/>
        <v>0</v>
      </c>
      <c r="N30" s="112">
        <f t="shared" si="31"/>
        <v>0</v>
      </c>
      <c r="O30" s="113">
        <f t="shared" si="32"/>
        <v>0</v>
      </c>
      <c r="P30" s="113">
        <f t="shared" si="33"/>
        <v>0</v>
      </c>
      <c r="Q30" s="113">
        <f t="shared" si="34"/>
        <v>0</v>
      </c>
      <c r="R30" s="114">
        <f t="shared" si="35"/>
        <v>0</v>
      </c>
      <c r="S30" s="74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</row>
    <row r="31" spans="1:49" ht="15" customHeight="1" thickBot="1" x14ac:dyDescent="0.35">
      <c r="A31" s="122" t="s">
        <v>47</v>
      </c>
      <c r="B31" s="123"/>
      <c r="C31" s="124"/>
      <c r="D31" s="125"/>
      <c r="E31" s="126"/>
      <c r="F31" s="127"/>
      <c r="G31" s="78">
        <f t="shared" ref="G31:AW31" si="36">SUM(G21:G30)</f>
        <v>0</v>
      </c>
      <c r="H31" s="83">
        <f t="shared" si="36"/>
        <v>0</v>
      </c>
      <c r="I31" s="83" t="e">
        <f t="shared" si="36"/>
        <v>#DIV/0!</v>
      </c>
      <c r="J31" s="83">
        <f t="shared" si="36"/>
        <v>0</v>
      </c>
      <c r="K31" s="83">
        <f t="shared" si="36"/>
        <v>0</v>
      </c>
      <c r="L31" s="115">
        <f t="shared" si="36"/>
        <v>0</v>
      </c>
      <c r="M31" s="85">
        <f t="shared" si="36"/>
        <v>0</v>
      </c>
      <c r="N31" s="86">
        <f t="shared" si="36"/>
        <v>0</v>
      </c>
      <c r="O31" s="87">
        <f t="shared" si="36"/>
        <v>0</v>
      </c>
      <c r="P31" s="87">
        <f t="shared" si="36"/>
        <v>0</v>
      </c>
      <c r="Q31" s="87">
        <f t="shared" si="36"/>
        <v>0</v>
      </c>
      <c r="R31" s="84">
        <f t="shared" si="36"/>
        <v>0</v>
      </c>
      <c r="S31" s="83">
        <f t="shared" si="36"/>
        <v>0</v>
      </c>
      <c r="T31" s="79">
        <f t="shared" si="36"/>
        <v>0</v>
      </c>
      <c r="U31" s="79">
        <f t="shared" si="36"/>
        <v>0</v>
      </c>
      <c r="V31" s="79">
        <f t="shared" si="36"/>
        <v>0</v>
      </c>
      <c r="W31" s="79">
        <f t="shared" si="36"/>
        <v>0</v>
      </c>
      <c r="X31" s="79">
        <f t="shared" si="36"/>
        <v>0</v>
      </c>
      <c r="Y31" s="79">
        <f t="shared" si="36"/>
        <v>0</v>
      </c>
      <c r="Z31" s="79">
        <f t="shared" si="36"/>
        <v>0</v>
      </c>
      <c r="AA31" s="79">
        <f t="shared" si="36"/>
        <v>0</v>
      </c>
      <c r="AB31" s="79">
        <f t="shared" si="36"/>
        <v>0</v>
      </c>
      <c r="AC31" s="79">
        <f t="shared" si="36"/>
        <v>0</v>
      </c>
      <c r="AD31" s="79">
        <f t="shared" si="36"/>
        <v>0</v>
      </c>
      <c r="AE31" s="79">
        <f t="shared" si="36"/>
        <v>0</v>
      </c>
      <c r="AF31" s="79">
        <f t="shared" si="36"/>
        <v>0</v>
      </c>
      <c r="AG31" s="79">
        <f t="shared" si="36"/>
        <v>0</v>
      </c>
      <c r="AH31" s="79">
        <f t="shared" si="36"/>
        <v>0</v>
      </c>
      <c r="AI31" s="79">
        <f t="shared" si="36"/>
        <v>0</v>
      </c>
      <c r="AJ31" s="79">
        <f t="shared" si="36"/>
        <v>0</v>
      </c>
      <c r="AK31" s="79">
        <f t="shared" si="36"/>
        <v>0</v>
      </c>
      <c r="AL31" s="79">
        <f t="shared" si="36"/>
        <v>0</v>
      </c>
      <c r="AM31" s="79">
        <f t="shared" si="36"/>
        <v>0</v>
      </c>
      <c r="AN31" s="79">
        <f t="shared" si="36"/>
        <v>0</v>
      </c>
      <c r="AO31" s="79">
        <f t="shared" si="36"/>
        <v>0</v>
      </c>
      <c r="AP31" s="79">
        <f t="shared" si="36"/>
        <v>0</v>
      </c>
      <c r="AQ31" s="79">
        <f t="shared" si="36"/>
        <v>0</v>
      </c>
      <c r="AR31" s="79">
        <f t="shared" si="36"/>
        <v>0</v>
      </c>
      <c r="AS31" s="79">
        <f t="shared" si="36"/>
        <v>0</v>
      </c>
      <c r="AT31" s="79">
        <f t="shared" si="36"/>
        <v>0</v>
      </c>
      <c r="AU31" s="79">
        <f t="shared" si="36"/>
        <v>0</v>
      </c>
      <c r="AV31" s="79">
        <f t="shared" si="36"/>
        <v>0</v>
      </c>
      <c r="AW31" s="79">
        <f t="shared" si="36"/>
        <v>0</v>
      </c>
    </row>
    <row r="32" spans="1:49" x14ac:dyDescent="0.3">
      <c r="A32" s="116"/>
    </row>
    <row r="33" spans="1:1" x14ac:dyDescent="0.3">
      <c r="A33" s="116"/>
    </row>
    <row r="34" spans="1:1" x14ac:dyDescent="0.3">
      <c r="A34" s="116"/>
    </row>
    <row r="35" spans="1:1" x14ac:dyDescent="0.3">
      <c r="A35" s="116"/>
    </row>
    <row r="36" spans="1:1" x14ac:dyDescent="0.3">
      <c r="A36" s="116"/>
    </row>
    <row r="37" spans="1:1" x14ac:dyDescent="0.3">
      <c r="A37" s="116"/>
    </row>
    <row r="38" spans="1:1" x14ac:dyDescent="0.3">
      <c r="A38" s="116"/>
    </row>
    <row r="39" spans="1:1" x14ac:dyDescent="0.3">
      <c r="A39" s="116"/>
    </row>
    <row r="40" spans="1:1" x14ac:dyDescent="0.3">
      <c r="A40" s="116"/>
    </row>
    <row r="41" spans="1:1" x14ac:dyDescent="0.3">
      <c r="A41" s="116"/>
    </row>
    <row r="42" spans="1:1" x14ac:dyDescent="0.3">
      <c r="A42" s="116"/>
    </row>
    <row r="43" spans="1:1" x14ac:dyDescent="0.3">
      <c r="A43" s="116"/>
    </row>
    <row r="44" spans="1:1" x14ac:dyDescent="0.3">
      <c r="A44" s="116"/>
    </row>
    <row r="45" spans="1:1" x14ac:dyDescent="0.3">
      <c r="A45" s="116"/>
    </row>
    <row r="46" spans="1:1" x14ac:dyDescent="0.3">
      <c r="A46" s="116"/>
    </row>
    <row r="47" spans="1:1" x14ac:dyDescent="0.3">
      <c r="A47" s="116"/>
    </row>
    <row r="48" spans="1:1" x14ac:dyDescent="0.3">
      <c r="A48" s="116"/>
    </row>
    <row r="49" spans="1:1" x14ac:dyDescent="0.3">
      <c r="A49" s="116"/>
    </row>
    <row r="50" spans="1:1" x14ac:dyDescent="0.3">
      <c r="A50" s="116"/>
    </row>
    <row r="51" spans="1:1" x14ac:dyDescent="0.3">
      <c r="A51" s="116"/>
    </row>
    <row r="52" spans="1:1" x14ac:dyDescent="0.3">
      <c r="A52" s="116"/>
    </row>
    <row r="53" spans="1:1" x14ac:dyDescent="0.3">
      <c r="A53" s="116"/>
    </row>
    <row r="54" spans="1:1" x14ac:dyDescent="0.3">
      <c r="A54" s="116"/>
    </row>
    <row r="55" spans="1:1" x14ac:dyDescent="0.3">
      <c r="A55" s="116"/>
    </row>
    <row r="56" spans="1:1" x14ac:dyDescent="0.3">
      <c r="A56" s="116"/>
    </row>
    <row r="57" spans="1:1" x14ac:dyDescent="0.3">
      <c r="A57" s="116"/>
    </row>
    <row r="58" spans="1:1" x14ac:dyDescent="0.3">
      <c r="A58" s="116"/>
    </row>
    <row r="59" spans="1:1" x14ac:dyDescent="0.3">
      <c r="A59" s="116"/>
    </row>
    <row r="60" spans="1:1" x14ac:dyDescent="0.3">
      <c r="A60" s="116"/>
    </row>
    <row r="61" spans="1:1" x14ac:dyDescent="0.3">
      <c r="A61" s="116"/>
    </row>
    <row r="62" spans="1:1" x14ac:dyDescent="0.3">
      <c r="A62" s="116"/>
    </row>
    <row r="63" spans="1:1" x14ac:dyDescent="0.3">
      <c r="A63" s="116"/>
    </row>
    <row r="64" spans="1:1" x14ac:dyDescent="0.3">
      <c r="A64" s="116"/>
    </row>
    <row r="65" spans="1:1" x14ac:dyDescent="0.3">
      <c r="A65" s="116"/>
    </row>
    <row r="66" spans="1:1" x14ac:dyDescent="0.3">
      <c r="A66" s="116"/>
    </row>
    <row r="67" spans="1:1" x14ac:dyDescent="0.3">
      <c r="A67" s="116"/>
    </row>
    <row r="68" spans="1:1" x14ac:dyDescent="0.3">
      <c r="A68" s="116"/>
    </row>
    <row r="69" spans="1:1" x14ac:dyDescent="0.3">
      <c r="A69" s="116"/>
    </row>
    <row r="70" spans="1:1" x14ac:dyDescent="0.3">
      <c r="A70" s="116"/>
    </row>
    <row r="71" spans="1:1" x14ac:dyDescent="0.3">
      <c r="A71" s="116"/>
    </row>
    <row r="72" spans="1:1" x14ac:dyDescent="0.3">
      <c r="A72" s="116"/>
    </row>
    <row r="73" spans="1:1" x14ac:dyDescent="0.3">
      <c r="A73" s="116"/>
    </row>
    <row r="74" spans="1:1" x14ac:dyDescent="0.3">
      <c r="A74" s="116"/>
    </row>
    <row r="75" spans="1:1" x14ac:dyDescent="0.3">
      <c r="A75" s="116"/>
    </row>
    <row r="76" spans="1:1" x14ac:dyDescent="0.3">
      <c r="A76" s="116"/>
    </row>
    <row r="77" spans="1:1" x14ac:dyDescent="0.3">
      <c r="A77" s="116"/>
    </row>
    <row r="78" spans="1:1" x14ac:dyDescent="0.3">
      <c r="A78" s="116"/>
    </row>
    <row r="79" spans="1:1" x14ac:dyDescent="0.3">
      <c r="A79" s="116"/>
    </row>
    <row r="80" spans="1:1" x14ac:dyDescent="0.3">
      <c r="A80" s="116"/>
    </row>
    <row r="81" spans="1:1" x14ac:dyDescent="0.3">
      <c r="A81" s="116"/>
    </row>
    <row r="82" spans="1:1" x14ac:dyDescent="0.3">
      <c r="A82" s="116"/>
    </row>
    <row r="83" spans="1:1" x14ac:dyDescent="0.3">
      <c r="A83" s="116"/>
    </row>
    <row r="84" spans="1:1" x14ac:dyDescent="0.3">
      <c r="A84" s="116"/>
    </row>
    <row r="85" spans="1:1" x14ac:dyDescent="0.3">
      <c r="A85" s="116"/>
    </row>
    <row r="86" spans="1:1" x14ac:dyDescent="0.3">
      <c r="A86" s="116"/>
    </row>
    <row r="87" spans="1:1" x14ac:dyDescent="0.3">
      <c r="A87" s="116"/>
    </row>
    <row r="88" spans="1:1" x14ac:dyDescent="0.3">
      <c r="A88" s="116"/>
    </row>
    <row r="89" spans="1:1" x14ac:dyDescent="0.3">
      <c r="A89" s="116"/>
    </row>
    <row r="90" spans="1:1" x14ac:dyDescent="0.3">
      <c r="A90" s="116"/>
    </row>
    <row r="91" spans="1:1" x14ac:dyDescent="0.3">
      <c r="A91" s="116"/>
    </row>
    <row r="92" spans="1:1" x14ac:dyDescent="0.3">
      <c r="A92" s="116"/>
    </row>
    <row r="93" spans="1:1" x14ac:dyDescent="0.3">
      <c r="A93" s="116"/>
    </row>
    <row r="94" spans="1:1" x14ac:dyDescent="0.3">
      <c r="A94" s="116"/>
    </row>
    <row r="95" spans="1:1" x14ac:dyDescent="0.3">
      <c r="A95" s="116"/>
    </row>
    <row r="96" spans="1:1" x14ac:dyDescent="0.3">
      <c r="A96" s="116"/>
    </row>
    <row r="97" spans="1:1" x14ac:dyDescent="0.3">
      <c r="A97" s="116"/>
    </row>
    <row r="98" spans="1:1" x14ac:dyDescent="0.3">
      <c r="A98" s="116"/>
    </row>
    <row r="99" spans="1:1" x14ac:dyDescent="0.3">
      <c r="A99" s="116"/>
    </row>
    <row r="100" spans="1:1" x14ac:dyDescent="0.3">
      <c r="A100" s="116"/>
    </row>
    <row r="101" spans="1:1" x14ac:dyDescent="0.3">
      <c r="A101" s="116"/>
    </row>
    <row r="102" spans="1:1" x14ac:dyDescent="0.3">
      <c r="A102" s="116"/>
    </row>
    <row r="103" spans="1:1" x14ac:dyDescent="0.3">
      <c r="A103" s="116"/>
    </row>
    <row r="104" spans="1:1" x14ac:dyDescent="0.3">
      <c r="A104" s="116"/>
    </row>
    <row r="105" spans="1:1" x14ac:dyDescent="0.3">
      <c r="A105" s="116"/>
    </row>
    <row r="106" spans="1:1" x14ac:dyDescent="0.3">
      <c r="A106" s="116"/>
    </row>
    <row r="107" spans="1:1" x14ac:dyDescent="0.3">
      <c r="A107" s="116"/>
    </row>
    <row r="108" spans="1:1" x14ac:dyDescent="0.3">
      <c r="A108" s="116"/>
    </row>
    <row r="109" spans="1:1" x14ac:dyDescent="0.3">
      <c r="A109" s="116"/>
    </row>
    <row r="110" spans="1:1" x14ac:dyDescent="0.3">
      <c r="A110" s="116"/>
    </row>
    <row r="111" spans="1:1" x14ac:dyDescent="0.3">
      <c r="A111" s="116"/>
    </row>
    <row r="112" spans="1:1" x14ac:dyDescent="0.3">
      <c r="A112" s="116"/>
    </row>
    <row r="113" spans="1:1" x14ac:dyDescent="0.3">
      <c r="A113" s="116"/>
    </row>
    <row r="114" spans="1:1" x14ac:dyDescent="0.3">
      <c r="A114" s="116"/>
    </row>
    <row r="115" spans="1:1" x14ac:dyDescent="0.3">
      <c r="A115" s="116"/>
    </row>
    <row r="116" spans="1:1" x14ac:dyDescent="0.3">
      <c r="A116" s="116"/>
    </row>
    <row r="117" spans="1:1" x14ac:dyDescent="0.3">
      <c r="A117" s="116"/>
    </row>
    <row r="118" spans="1:1" x14ac:dyDescent="0.3">
      <c r="A118" s="116"/>
    </row>
    <row r="119" spans="1:1" x14ac:dyDescent="0.3">
      <c r="A119" s="116"/>
    </row>
    <row r="120" spans="1:1" x14ac:dyDescent="0.3">
      <c r="A120" s="116"/>
    </row>
    <row r="121" spans="1:1" x14ac:dyDescent="0.3">
      <c r="A121" s="116"/>
    </row>
    <row r="122" spans="1:1" x14ac:dyDescent="0.3">
      <c r="A122" s="116"/>
    </row>
    <row r="123" spans="1:1" x14ac:dyDescent="0.3">
      <c r="A123" s="116"/>
    </row>
    <row r="124" spans="1:1" x14ac:dyDescent="0.3">
      <c r="A124" s="116"/>
    </row>
    <row r="125" spans="1:1" x14ac:dyDescent="0.3">
      <c r="A125" s="116"/>
    </row>
    <row r="126" spans="1:1" x14ac:dyDescent="0.3">
      <c r="A126" s="116"/>
    </row>
    <row r="127" spans="1:1" x14ac:dyDescent="0.3">
      <c r="A127" s="116"/>
    </row>
    <row r="128" spans="1:1" x14ac:dyDescent="0.3">
      <c r="A128" s="116"/>
    </row>
    <row r="129" spans="1:1" x14ac:dyDescent="0.3">
      <c r="A129" s="116"/>
    </row>
    <row r="130" spans="1:1" x14ac:dyDescent="0.3">
      <c r="A130" s="116"/>
    </row>
    <row r="131" spans="1:1" x14ac:dyDescent="0.3">
      <c r="A131" s="116"/>
    </row>
    <row r="132" spans="1:1" x14ac:dyDescent="0.3">
      <c r="A132" s="116"/>
    </row>
    <row r="133" spans="1:1" x14ac:dyDescent="0.3">
      <c r="A133" s="116"/>
    </row>
    <row r="134" spans="1:1" x14ac:dyDescent="0.3">
      <c r="A134" s="116"/>
    </row>
    <row r="135" spans="1:1" x14ac:dyDescent="0.3">
      <c r="A135" s="116"/>
    </row>
    <row r="136" spans="1:1" x14ac:dyDescent="0.3">
      <c r="A136" s="116"/>
    </row>
    <row r="137" spans="1:1" x14ac:dyDescent="0.3">
      <c r="A137" s="116"/>
    </row>
    <row r="138" spans="1:1" x14ac:dyDescent="0.3">
      <c r="A138" s="116"/>
    </row>
    <row r="139" spans="1:1" x14ac:dyDescent="0.3">
      <c r="A139" s="116"/>
    </row>
    <row r="140" spans="1:1" x14ac:dyDescent="0.3">
      <c r="A140" s="116"/>
    </row>
    <row r="141" spans="1:1" x14ac:dyDescent="0.3">
      <c r="A141" s="116"/>
    </row>
    <row r="142" spans="1:1" x14ac:dyDescent="0.3">
      <c r="A142" s="116"/>
    </row>
    <row r="143" spans="1:1" x14ac:dyDescent="0.3">
      <c r="A143" s="116"/>
    </row>
    <row r="144" spans="1:1" x14ac:dyDescent="0.3">
      <c r="A144" s="116"/>
    </row>
    <row r="145" spans="1:1" x14ac:dyDescent="0.3">
      <c r="A145" s="116"/>
    </row>
    <row r="146" spans="1:1" x14ac:dyDescent="0.3">
      <c r="A146" s="116"/>
    </row>
    <row r="147" spans="1:1" x14ac:dyDescent="0.3">
      <c r="A147" s="116"/>
    </row>
    <row r="148" spans="1:1" x14ac:dyDescent="0.3">
      <c r="A148" s="116"/>
    </row>
    <row r="149" spans="1:1" x14ac:dyDescent="0.3">
      <c r="A149" s="116"/>
    </row>
    <row r="150" spans="1:1" x14ac:dyDescent="0.3">
      <c r="A150" s="116"/>
    </row>
    <row r="151" spans="1:1" x14ac:dyDescent="0.3">
      <c r="A151" s="116"/>
    </row>
    <row r="152" spans="1:1" x14ac:dyDescent="0.3">
      <c r="A152" s="116"/>
    </row>
    <row r="153" spans="1:1" x14ac:dyDescent="0.3">
      <c r="A153" s="116"/>
    </row>
    <row r="154" spans="1:1" x14ac:dyDescent="0.3">
      <c r="A154" s="116"/>
    </row>
    <row r="155" spans="1:1" x14ac:dyDescent="0.3">
      <c r="A155" s="116"/>
    </row>
    <row r="156" spans="1:1" x14ac:dyDescent="0.3">
      <c r="A156" s="116"/>
    </row>
    <row r="157" spans="1:1" x14ac:dyDescent="0.3">
      <c r="A157" s="116"/>
    </row>
    <row r="158" spans="1:1" x14ac:dyDescent="0.3">
      <c r="A158" s="116"/>
    </row>
    <row r="159" spans="1:1" x14ac:dyDescent="0.3">
      <c r="A159" s="116"/>
    </row>
    <row r="160" spans="1:1" x14ac:dyDescent="0.3">
      <c r="A160" s="116"/>
    </row>
    <row r="161" spans="1:1" x14ac:dyDescent="0.3">
      <c r="A161" s="116"/>
    </row>
    <row r="162" spans="1:1" x14ac:dyDescent="0.3">
      <c r="A162" s="116"/>
    </row>
    <row r="163" spans="1:1" x14ac:dyDescent="0.3">
      <c r="A163" s="116"/>
    </row>
    <row r="164" spans="1:1" x14ac:dyDescent="0.3">
      <c r="A164" s="116"/>
    </row>
    <row r="165" spans="1:1" x14ac:dyDescent="0.3">
      <c r="A165" s="116"/>
    </row>
    <row r="166" spans="1:1" x14ac:dyDescent="0.3">
      <c r="A166" s="116"/>
    </row>
    <row r="167" spans="1:1" x14ac:dyDescent="0.3">
      <c r="A167" s="116"/>
    </row>
    <row r="168" spans="1:1" x14ac:dyDescent="0.3">
      <c r="A168" s="116"/>
    </row>
    <row r="169" spans="1:1" x14ac:dyDescent="0.3">
      <c r="A169" s="116"/>
    </row>
    <row r="170" spans="1:1" x14ac:dyDescent="0.3">
      <c r="A170" s="116"/>
    </row>
    <row r="171" spans="1:1" x14ac:dyDescent="0.3">
      <c r="A171" s="116"/>
    </row>
    <row r="172" spans="1:1" x14ac:dyDescent="0.3">
      <c r="A172" s="116"/>
    </row>
    <row r="173" spans="1:1" x14ac:dyDescent="0.3">
      <c r="A173" s="116"/>
    </row>
    <row r="174" spans="1:1" x14ac:dyDescent="0.3">
      <c r="A174" s="116"/>
    </row>
    <row r="175" spans="1:1" x14ac:dyDescent="0.3">
      <c r="A175" s="116"/>
    </row>
    <row r="176" spans="1:1" x14ac:dyDescent="0.3">
      <c r="A176" s="116"/>
    </row>
    <row r="177" spans="1:1" x14ac:dyDescent="0.3">
      <c r="A177" s="116"/>
    </row>
    <row r="178" spans="1:1" x14ac:dyDescent="0.3">
      <c r="A178" s="116"/>
    </row>
    <row r="179" spans="1:1" x14ac:dyDescent="0.3">
      <c r="A179" s="116"/>
    </row>
    <row r="180" spans="1:1" x14ac:dyDescent="0.3">
      <c r="A180" s="116"/>
    </row>
    <row r="181" spans="1:1" x14ac:dyDescent="0.3">
      <c r="A181" s="116"/>
    </row>
    <row r="182" spans="1:1" x14ac:dyDescent="0.3">
      <c r="A182" s="116"/>
    </row>
    <row r="183" spans="1:1" x14ac:dyDescent="0.3">
      <c r="A183" s="116"/>
    </row>
    <row r="184" spans="1:1" x14ac:dyDescent="0.3">
      <c r="A184" s="116"/>
    </row>
    <row r="185" spans="1:1" x14ac:dyDescent="0.3">
      <c r="A185" s="116"/>
    </row>
    <row r="186" spans="1:1" x14ac:dyDescent="0.3">
      <c r="A186" s="116"/>
    </row>
    <row r="187" spans="1:1" x14ac:dyDescent="0.3">
      <c r="A187" s="116"/>
    </row>
    <row r="188" spans="1:1" x14ac:dyDescent="0.3">
      <c r="A188" s="116"/>
    </row>
    <row r="189" spans="1:1" x14ac:dyDescent="0.3">
      <c r="A189" s="116"/>
    </row>
    <row r="190" spans="1:1" x14ac:dyDescent="0.3">
      <c r="A190" s="116"/>
    </row>
    <row r="191" spans="1:1" x14ac:dyDescent="0.3">
      <c r="A191" s="116"/>
    </row>
    <row r="192" spans="1:1" x14ac:dyDescent="0.3">
      <c r="A192" s="116"/>
    </row>
    <row r="193" spans="1:1" x14ac:dyDescent="0.3">
      <c r="A193" s="116"/>
    </row>
    <row r="194" spans="1:1" x14ac:dyDescent="0.3">
      <c r="A194" s="116"/>
    </row>
    <row r="195" spans="1:1" x14ac:dyDescent="0.3">
      <c r="A195" s="116"/>
    </row>
    <row r="196" spans="1:1" x14ac:dyDescent="0.3">
      <c r="A196" s="116"/>
    </row>
    <row r="197" spans="1:1" x14ac:dyDescent="0.3">
      <c r="A197" s="116"/>
    </row>
    <row r="198" spans="1:1" x14ac:dyDescent="0.3">
      <c r="A198" s="116"/>
    </row>
    <row r="199" spans="1:1" x14ac:dyDescent="0.3">
      <c r="A199" s="116"/>
    </row>
    <row r="200" spans="1:1" x14ac:dyDescent="0.3">
      <c r="A200" s="116"/>
    </row>
    <row r="201" spans="1:1" x14ac:dyDescent="0.3">
      <c r="A201" s="116"/>
    </row>
    <row r="202" spans="1:1" x14ac:dyDescent="0.3">
      <c r="A202" s="116"/>
    </row>
    <row r="203" spans="1:1" x14ac:dyDescent="0.3">
      <c r="A203" s="116"/>
    </row>
    <row r="204" spans="1:1" x14ac:dyDescent="0.3">
      <c r="A204" s="116"/>
    </row>
    <row r="205" spans="1:1" x14ac:dyDescent="0.3">
      <c r="A205" s="116"/>
    </row>
    <row r="206" spans="1:1" x14ac:dyDescent="0.3">
      <c r="A206" s="116"/>
    </row>
    <row r="207" spans="1:1" x14ac:dyDescent="0.3">
      <c r="A207" s="116"/>
    </row>
    <row r="208" spans="1:1" x14ac:dyDescent="0.3">
      <c r="A208" s="116"/>
    </row>
    <row r="209" spans="1:1" x14ac:dyDescent="0.3">
      <c r="A209" s="116"/>
    </row>
    <row r="210" spans="1:1" x14ac:dyDescent="0.3">
      <c r="A210" s="116"/>
    </row>
    <row r="211" spans="1:1" x14ac:dyDescent="0.3">
      <c r="A211" s="116"/>
    </row>
    <row r="212" spans="1:1" x14ac:dyDescent="0.3">
      <c r="A212" s="116"/>
    </row>
    <row r="213" spans="1:1" x14ac:dyDescent="0.3">
      <c r="A213" s="116"/>
    </row>
    <row r="214" spans="1:1" x14ac:dyDescent="0.3">
      <c r="A214" s="116"/>
    </row>
    <row r="215" spans="1:1" x14ac:dyDescent="0.3">
      <c r="A215" s="116"/>
    </row>
    <row r="216" spans="1:1" x14ac:dyDescent="0.3">
      <c r="A216" s="116"/>
    </row>
    <row r="217" spans="1:1" x14ac:dyDescent="0.3">
      <c r="A217" s="116"/>
    </row>
    <row r="218" spans="1:1" x14ac:dyDescent="0.3">
      <c r="A218" s="116"/>
    </row>
    <row r="219" spans="1:1" x14ac:dyDescent="0.3">
      <c r="A219" s="116"/>
    </row>
    <row r="220" spans="1:1" x14ac:dyDescent="0.3">
      <c r="A220" s="116"/>
    </row>
    <row r="221" spans="1:1" x14ac:dyDescent="0.3">
      <c r="A221" s="116"/>
    </row>
    <row r="222" spans="1:1" x14ac:dyDescent="0.3">
      <c r="A222" s="116"/>
    </row>
    <row r="223" spans="1:1" x14ac:dyDescent="0.3">
      <c r="A223" s="116"/>
    </row>
    <row r="224" spans="1:1" x14ac:dyDescent="0.3">
      <c r="A224" s="116"/>
    </row>
    <row r="225" spans="1:1" x14ac:dyDescent="0.3">
      <c r="A225" s="116"/>
    </row>
    <row r="226" spans="1:1" x14ac:dyDescent="0.3">
      <c r="A226" s="116"/>
    </row>
    <row r="227" spans="1:1" x14ac:dyDescent="0.3">
      <c r="A227" s="116"/>
    </row>
    <row r="228" spans="1:1" x14ac:dyDescent="0.3">
      <c r="A228" s="116"/>
    </row>
    <row r="229" spans="1:1" x14ac:dyDescent="0.3">
      <c r="A229" s="116"/>
    </row>
    <row r="230" spans="1:1" x14ac:dyDescent="0.3">
      <c r="A230" s="116"/>
    </row>
    <row r="231" spans="1:1" x14ac:dyDescent="0.3">
      <c r="A231" s="116"/>
    </row>
    <row r="232" spans="1:1" x14ac:dyDescent="0.3">
      <c r="A232" s="116"/>
    </row>
    <row r="233" spans="1:1" x14ac:dyDescent="0.3">
      <c r="A233" s="116"/>
    </row>
    <row r="234" spans="1:1" x14ac:dyDescent="0.3">
      <c r="A234" s="116"/>
    </row>
    <row r="235" spans="1:1" x14ac:dyDescent="0.3">
      <c r="A235" s="116"/>
    </row>
    <row r="236" spans="1:1" x14ac:dyDescent="0.3">
      <c r="A236" s="116"/>
    </row>
    <row r="237" spans="1:1" x14ac:dyDescent="0.3">
      <c r="A237" s="116"/>
    </row>
    <row r="238" spans="1:1" x14ac:dyDescent="0.3">
      <c r="A238" s="116"/>
    </row>
    <row r="239" spans="1:1" x14ac:dyDescent="0.3">
      <c r="A239" s="116"/>
    </row>
    <row r="240" spans="1:1" x14ac:dyDescent="0.3">
      <c r="A240" s="116"/>
    </row>
    <row r="241" spans="1:1" x14ac:dyDescent="0.3">
      <c r="A241" s="116"/>
    </row>
    <row r="242" spans="1:1" x14ac:dyDescent="0.3">
      <c r="A242" s="116"/>
    </row>
    <row r="243" spans="1:1" x14ac:dyDescent="0.3">
      <c r="A243" s="116"/>
    </row>
    <row r="244" spans="1:1" x14ac:dyDescent="0.3">
      <c r="A244" s="116"/>
    </row>
    <row r="245" spans="1:1" x14ac:dyDescent="0.3">
      <c r="A245" s="116"/>
    </row>
    <row r="246" spans="1:1" x14ac:dyDescent="0.3">
      <c r="A246" s="116"/>
    </row>
    <row r="247" spans="1:1" x14ac:dyDescent="0.3">
      <c r="A247" s="116"/>
    </row>
    <row r="248" spans="1:1" x14ac:dyDescent="0.3">
      <c r="A248" s="116"/>
    </row>
    <row r="249" spans="1:1" x14ac:dyDescent="0.3">
      <c r="A249" s="116"/>
    </row>
    <row r="250" spans="1:1" x14ac:dyDescent="0.3">
      <c r="A250" s="116"/>
    </row>
    <row r="251" spans="1:1" x14ac:dyDescent="0.3">
      <c r="A251" s="116"/>
    </row>
    <row r="252" spans="1:1" x14ac:dyDescent="0.3">
      <c r="A252" s="116"/>
    </row>
    <row r="253" spans="1:1" x14ac:dyDescent="0.3">
      <c r="A253" s="116"/>
    </row>
    <row r="254" spans="1:1" x14ac:dyDescent="0.3">
      <c r="A254" s="116"/>
    </row>
    <row r="255" spans="1:1" x14ac:dyDescent="0.3">
      <c r="A255" s="116"/>
    </row>
    <row r="256" spans="1:1" x14ac:dyDescent="0.3">
      <c r="A256" s="116"/>
    </row>
    <row r="257" spans="1:1" x14ac:dyDescent="0.3">
      <c r="A257" s="116"/>
    </row>
    <row r="258" spans="1:1" x14ac:dyDescent="0.3">
      <c r="A258" s="116"/>
    </row>
    <row r="259" spans="1:1" x14ac:dyDescent="0.3">
      <c r="A259" s="116"/>
    </row>
    <row r="260" spans="1:1" x14ac:dyDescent="0.3">
      <c r="A260" s="116"/>
    </row>
    <row r="261" spans="1:1" x14ac:dyDescent="0.3">
      <c r="A261" s="116"/>
    </row>
    <row r="262" spans="1:1" x14ac:dyDescent="0.3">
      <c r="A262" s="116"/>
    </row>
    <row r="263" spans="1:1" x14ac:dyDescent="0.3">
      <c r="A263" s="116"/>
    </row>
    <row r="264" spans="1:1" x14ac:dyDescent="0.3">
      <c r="A264" s="116"/>
    </row>
    <row r="265" spans="1:1" x14ac:dyDescent="0.3">
      <c r="A265" s="116"/>
    </row>
    <row r="266" spans="1:1" x14ac:dyDescent="0.3">
      <c r="A266" s="116"/>
    </row>
    <row r="267" spans="1:1" x14ac:dyDescent="0.3">
      <c r="A267" s="116"/>
    </row>
    <row r="268" spans="1:1" x14ac:dyDescent="0.3">
      <c r="A268" s="116"/>
    </row>
    <row r="269" spans="1:1" x14ac:dyDescent="0.3">
      <c r="A269" s="116"/>
    </row>
    <row r="270" spans="1:1" x14ac:dyDescent="0.3">
      <c r="A270" s="116"/>
    </row>
    <row r="271" spans="1:1" x14ac:dyDescent="0.3">
      <c r="A271" s="116"/>
    </row>
    <row r="272" spans="1:1" x14ac:dyDescent="0.3">
      <c r="A272" s="116"/>
    </row>
    <row r="273" spans="1:1" x14ac:dyDescent="0.3">
      <c r="A273" s="116"/>
    </row>
    <row r="274" spans="1:1" x14ac:dyDescent="0.3">
      <c r="A274" s="116"/>
    </row>
    <row r="275" spans="1:1" x14ac:dyDescent="0.3">
      <c r="A275" s="116"/>
    </row>
    <row r="276" spans="1:1" x14ac:dyDescent="0.3">
      <c r="A276" s="116"/>
    </row>
    <row r="277" spans="1:1" x14ac:dyDescent="0.3">
      <c r="A277" s="116"/>
    </row>
    <row r="278" spans="1:1" x14ac:dyDescent="0.3">
      <c r="A278" s="116"/>
    </row>
    <row r="279" spans="1:1" x14ac:dyDescent="0.3">
      <c r="A279" s="116"/>
    </row>
    <row r="280" spans="1:1" x14ac:dyDescent="0.3">
      <c r="A280" s="116"/>
    </row>
    <row r="281" spans="1:1" x14ac:dyDescent="0.3">
      <c r="A281" s="116"/>
    </row>
    <row r="282" spans="1:1" x14ac:dyDescent="0.3">
      <c r="A282" s="116"/>
    </row>
    <row r="283" spans="1:1" x14ac:dyDescent="0.3">
      <c r="A283" s="116"/>
    </row>
    <row r="284" spans="1:1" x14ac:dyDescent="0.3">
      <c r="A284" s="116"/>
    </row>
    <row r="285" spans="1:1" x14ac:dyDescent="0.3">
      <c r="A285" s="116"/>
    </row>
    <row r="286" spans="1:1" x14ac:dyDescent="0.3">
      <c r="A286" s="116"/>
    </row>
    <row r="287" spans="1:1" x14ac:dyDescent="0.3">
      <c r="A287" s="116"/>
    </row>
    <row r="288" spans="1:1" x14ac:dyDescent="0.3">
      <c r="A288" s="116"/>
    </row>
    <row r="289" spans="1:1" x14ac:dyDescent="0.3">
      <c r="A289" s="116"/>
    </row>
    <row r="290" spans="1:1" x14ac:dyDescent="0.3">
      <c r="A290" s="116"/>
    </row>
    <row r="291" spans="1:1" x14ac:dyDescent="0.3">
      <c r="A291" s="116"/>
    </row>
    <row r="292" spans="1:1" x14ac:dyDescent="0.3">
      <c r="A292" s="116"/>
    </row>
    <row r="293" spans="1:1" x14ac:dyDescent="0.3">
      <c r="A293" s="116"/>
    </row>
    <row r="294" spans="1:1" x14ac:dyDescent="0.3">
      <c r="A294" s="116"/>
    </row>
    <row r="295" spans="1:1" x14ac:dyDescent="0.3">
      <c r="A295" s="116"/>
    </row>
    <row r="296" spans="1:1" x14ac:dyDescent="0.3">
      <c r="A296" s="116"/>
    </row>
    <row r="297" spans="1:1" x14ac:dyDescent="0.3">
      <c r="A297" s="116"/>
    </row>
    <row r="298" spans="1:1" x14ac:dyDescent="0.3">
      <c r="A298" s="116"/>
    </row>
    <row r="299" spans="1:1" x14ac:dyDescent="0.3">
      <c r="A299" s="116"/>
    </row>
    <row r="300" spans="1:1" x14ac:dyDescent="0.3">
      <c r="A300" s="116"/>
    </row>
    <row r="301" spans="1:1" x14ac:dyDescent="0.3">
      <c r="A301" s="116"/>
    </row>
    <row r="302" spans="1:1" x14ac:dyDescent="0.3">
      <c r="A302" s="116"/>
    </row>
    <row r="303" spans="1:1" x14ac:dyDescent="0.3">
      <c r="A303" s="116"/>
    </row>
    <row r="304" spans="1:1" x14ac:dyDescent="0.3">
      <c r="A304" s="116"/>
    </row>
    <row r="305" spans="1:1" x14ac:dyDescent="0.3">
      <c r="A305" s="116"/>
    </row>
    <row r="306" spans="1:1" x14ac:dyDescent="0.3">
      <c r="A306" s="116"/>
    </row>
    <row r="307" spans="1:1" x14ac:dyDescent="0.3">
      <c r="A307" s="116"/>
    </row>
    <row r="308" spans="1:1" x14ac:dyDescent="0.3">
      <c r="A308" s="116"/>
    </row>
    <row r="309" spans="1:1" x14ac:dyDescent="0.3">
      <c r="A309" s="116"/>
    </row>
    <row r="310" spans="1:1" x14ac:dyDescent="0.3">
      <c r="A310" s="116"/>
    </row>
    <row r="311" spans="1:1" x14ac:dyDescent="0.3">
      <c r="A311" s="116"/>
    </row>
    <row r="312" spans="1:1" x14ac:dyDescent="0.3">
      <c r="A312" s="116"/>
    </row>
    <row r="313" spans="1:1" x14ac:dyDescent="0.3">
      <c r="A313" s="116"/>
    </row>
    <row r="314" spans="1:1" x14ac:dyDescent="0.3">
      <c r="A314" s="116"/>
    </row>
    <row r="315" spans="1:1" x14ac:dyDescent="0.3">
      <c r="A315" s="116"/>
    </row>
    <row r="316" spans="1:1" x14ac:dyDescent="0.3">
      <c r="A316" s="116"/>
    </row>
    <row r="317" spans="1:1" x14ac:dyDescent="0.3">
      <c r="A317" s="116"/>
    </row>
    <row r="318" spans="1:1" x14ac:dyDescent="0.3">
      <c r="A318" s="116"/>
    </row>
    <row r="319" spans="1:1" x14ac:dyDescent="0.3">
      <c r="A319" s="116"/>
    </row>
    <row r="320" spans="1:1" x14ac:dyDescent="0.3">
      <c r="A320" s="116"/>
    </row>
    <row r="321" spans="1:1" x14ac:dyDescent="0.3">
      <c r="A321" s="116"/>
    </row>
    <row r="322" spans="1:1" x14ac:dyDescent="0.3">
      <c r="A322" s="116"/>
    </row>
    <row r="323" spans="1:1" x14ac:dyDescent="0.3">
      <c r="A323" s="116"/>
    </row>
    <row r="324" spans="1:1" x14ac:dyDescent="0.3">
      <c r="A324" s="116"/>
    </row>
    <row r="325" spans="1:1" x14ac:dyDescent="0.3">
      <c r="A325" s="116"/>
    </row>
    <row r="326" spans="1:1" x14ac:dyDescent="0.3">
      <c r="A326" s="116"/>
    </row>
    <row r="327" spans="1:1" x14ac:dyDescent="0.3">
      <c r="A327" s="116"/>
    </row>
    <row r="328" spans="1:1" x14ac:dyDescent="0.3">
      <c r="A328" s="116"/>
    </row>
    <row r="329" spans="1:1" x14ac:dyDescent="0.3">
      <c r="A329" s="116"/>
    </row>
    <row r="330" spans="1:1" x14ac:dyDescent="0.3">
      <c r="A330" s="116"/>
    </row>
    <row r="331" spans="1:1" x14ac:dyDescent="0.3">
      <c r="A331" s="116"/>
    </row>
    <row r="332" spans="1:1" x14ac:dyDescent="0.3">
      <c r="A332" s="116"/>
    </row>
    <row r="333" spans="1:1" x14ac:dyDescent="0.3">
      <c r="A333" s="116"/>
    </row>
    <row r="334" spans="1:1" x14ac:dyDescent="0.3">
      <c r="A334" s="116"/>
    </row>
    <row r="335" spans="1:1" x14ac:dyDescent="0.3">
      <c r="A335" s="116"/>
    </row>
    <row r="336" spans="1:1" x14ac:dyDescent="0.3">
      <c r="A336" s="116"/>
    </row>
    <row r="337" spans="1:1" x14ac:dyDescent="0.3">
      <c r="A337" s="116"/>
    </row>
    <row r="338" spans="1:1" x14ac:dyDescent="0.3">
      <c r="A338" s="116"/>
    </row>
    <row r="339" spans="1:1" x14ac:dyDescent="0.3">
      <c r="A339" s="116"/>
    </row>
    <row r="340" spans="1:1" x14ac:dyDescent="0.3">
      <c r="A340" s="116"/>
    </row>
    <row r="341" spans="1:1" x14ac:dyDescent="0.3">
      <c r="A341" s="116"/>
    </row>
    <row r="342" spans="1:1" x14ac:dyDescent="0.3">
      <c r="A342" s="116"/>
    </row>
    <row r="343" spans="1:1" x14ac:dyDescent="0.3">
      <c r="A343" s="116"/>
    </row>
    <row r="344" spans="1:1" x14ac:dyDescent="0.3">
      <c r="A344" s="116"/>
    </row>
    <row r="345" spans="1:1" x14ac:dyDescent="0.3">
      <c r="A345" s="116"/>
    </row>
    <row r="346" spans="1:1" x14ac:dyDescent="0.3">
      <c r="A346" s="116"/>
    </row>
    <row r="347" spans="1:1" x14ac:dyDescent="0.3">
      <c r="A347" s="116"/>
    </row>
    <row r="348" spans="1:1" x14ac:dyDescent="0.3">
      <c r="A348" s="116"/>
    </row>
    <row r="349" spans="1:1" x14ac:dyDescent="0.3">
      <c r="A349" s="116"/>
    </row>
    <row r="350" spans="1:1" x14ac:dyDescent="0.3">
      <c r="A350" s="116"/>
    </row>
    <row r="351" spans="1:1" x14ac:dyDescent="0.3">
      <c r="A351" s="116"/>
    </row>
    <row r="352" spans="1:1" x14ac:dyDescent="0.3">
      <c r="A352" s="116"/>
    </row>
    <row r="353" spans="1:1" x14ac:dyDescent="0.3">
      <c r="A353" s="116"/>
    </row>
    <row r="354" spans="1:1" x14ac:dyDescent="0.3">
      <c r="A354" s="116"/>
    </row>
    <row r="355" spans="1:1" x14ac:dyDescent="0.3">
      <c r="A355" s="116"/>
    </row>
    <row r="356" spans="1:1" x14ac:dyDescent="0.3">
      <c r="A356" s="116"/>
    </row>
    <row r="357" spans="1:1" x14ac:dyDescent="0.3">
      <c r="A357" s="116"/>
    </row>
    <row r="358" spans="1:1" x14ac:dyDescent="0.3">
      <c r="A358" s="116"/>
    </row>
    <row r="359" spans="1:1" x14ac:dyDescent="0.3">
      <c r="A359" s="116"/>
    </row>
    <row r="360" spans="1:1" x14ac:dyDescent="0.3">
      <c r="A360" s="116"/>
    </row>
    <row r="361" spans="1:1" x14ac:dyDescent="0.3">
      <c r="A361" s="116"/>
    </row>
    <row r="362" spans="1:1" x14ac:dyDescent="0.3">
      <c r="A362" s="116"/>
    </row>
    <row r="363" spans="1:1" x14ac:dyDescent="0.3">
      <c r="A363" s="116"/>
    </row>
    <row r="364" spans="1:1" x14ac:dyDescent="0.3">
      <c r="A364" s="116"/>
    </row>
    <row r="365" spans="1:1" x14ac:dyDescent="0.3">
      <c r="A365" s="116"/>
    </row>
    <row r="366" spans="1:1" x14ac:dyDescent="0.3">
      <c r="A366" s="116"/>
    </row>
    <row r="367" spans="1:1" x14ac:dyDescent="0.3">
      <c r="A367" s="116"/>
    </row>
    <row r="368" spans="1:1" x14ac:dyDescent="0.3">
      <c r="A368" s="116"/>
    </row>
    <row r="369" spans="1:1" x14ac:dyDescent="0.3">
      <c r="A369" s="116"/>
    </row>
    <row r="370" spans="1:1" x14ac:dyDescent="0.3">
      <c r="A370" s="116"/>
    </row>
    <row r="371" spans="1:1" x14ac:dyDescent="0.3">
      <c r="A371" s="116"/>
    </row>
    <row r="372" spans="1:1" x14ac:dyDescent="0.3">
      <c r="A372" s="116"/>
    </row>
    <row r="373" spans="1:1" x14ac:dyDescent="0.3">
      <c r="A373" s="116"/>
    </row>
    <row r="374" spans="1:1" x14ac:dyDescent="0.3">
      <c r="A374" s="116"/>
    </row>
    <row r="375" spans="1:1" x14ac:dyDescent="0.3">
      <c r="A375" s="116"/>
    </row>
    <row r="376" spans="1:1" x14ac:dyDescent="0.3">
      <c r="A376" s="116"/>
    </row>
    <row r="377" spans="1:1" x14ac:dyDescent="0.3">
      <c r="A377" s="116"/>
    </row>
    <row r="378" spans="1:1" x14ac:dyDescent="0.3">
      <c r="A378" s="116"/>
    </row>
    <row r="379" spans="1:1" x14ac:dyDescent="0.3">
      <c r="A379" s="116"/>
    </row>
    <row r="380" spans="1:1" x14ac:dyDescent="0.3">
      <c r="A380" s="116"/>
    </row>
    <row r="381" spans="1:1" x14ac:dyDescent="0.3">
      <c r="A381" s="116"/>
    </row>
    <row r="382" spans="1:1" x14ac:dyDescent="0.3">
      <c r="A382" s="116"/>
    </row>
    <row r="383" spans="1:1" x14ac:dyDescent="0.3">
      <c r="A383" s="116"/>
    </row>
    <row r="384" spans="1:1" x14ac:dyDescent="0.3">
      <c r="A384" s="116"/>
    </row>
    <row r="385" spans="1:1" x14ac:dyDescent="0.3">
      <c r="A385" s="116"/>
    </row>
    <row r="386" spans="1:1" x14ac:dyDescent="0.3">
      <c r="A386" s="116"/>
    </row>
    <row r="387" spans="1:1" x14ac:dyDescent="0.3">
      <c r="A387" s="116"/>
    </row>
    <row r="388" spans="1:1" x14ac:dyDescent="0.3">
      <c r="A388" s="116"/>
    </row>
    <row r="389" spans="1:1" x14ac:dyDescent="0.3">
      <c r="A389" s="116"/>
    </row>
    <row r="390" spans="1:1" x14ac:dyDescent="0.3">
      <c r="A390" s="116"/>
    </row>
    <row r="391" spans="1:1" x14ac:dyDescent="0.3">
      <c r="A391" s="116"/>
    </row>
    <row r="392" spans="1:1" x14ac:dyDescent="0.3">
      <c r="A392" s="116"/>
    </row>
    <row r="393" spans="1:1" x14ac:dyDescent="0.3">
      <c r="A393" s="116"/>
    </row>
    <row r="394" spans="1:1" x14ac:dyDescent="0.3">
      <c r="A394" s="116"/>
    </row>
    <row r="395" spans="1:1" x14ac:dyDescent="0.3">
      <c r="A395" s="116"/>
    </row>
    <row r="396" spans="1:1" x14ac:dyDescent="0.3">
      <c r="A396" s="116"/>
    </row>
    <row r="397" spans="1:1" x14ac:dyDescent="0.3">
      <c r="A397" s="116"/>
    </row>
    <row r="398" spans="1:1" x14ac:dyDescent="0.3">
      <c r="A398" s="116"/>
    </row>
    <row r="399" spans="1:1" x14ac:dyDescent="0.3">
      <c r="A399" s="116"/>
    </row>
    <row r="400" spans="1:1" x14ac:dyDescent="0.3">
      <c r="A400" s="116"/>
    </row>
    <row r="401" spans="1:1" x14ac:dyDescent="0.3">
      <c r="A401" s="116"/>
    </row>
    <row r="402" spans="1:1" x14ac:dyDescent="0.3">
      <c r="A402" s="116"/>
    </row>
    <row r="403" spans="1:1" x14ac:dyDescent="0.3">
      <c r="A403" s="116"/>
    </row>
    <row r="404" spans="1:1" x14ac:dyDescent="0.3">
      <c r="A404" s="116"/>
    </row>
    <row r="405" spans="1:1" x14ac:dyDescent="0.3">
      <c r="A405" s="116"/>
    </row>
    <row r="406" spans="1:1" x14ac:dyDescent="0.3">
      <c r="A406" s="116"/>
    </row>
    <row r="407" spans="1:1" x14ac:dyDescent="0.3">
      <c r="A407" s="116"/>
    </row>
    <row r="408" spans="1:1" x14ac:dyDescent="0.3">
      <c r="A408" s="116"/>
    </row>
    <row r="409" spans="1:1" x14ac:dyDescent="0.3">
      <c r="A409" s="116"/>
    </row>
    <row r="410" spans="1:1" x14ac:dyDescent="0.3">
      <c r="A410" s="116"/>
    </row>
    <row r="411" spans="1:1" x14ac:dyDescent="0.3">
      <c r="A411" s="116"/>
    </row>
    <row r="412" spans="1:1" x14ac:dyDescent="0.3">
      <c r="A412" s="116"/>
    </row>
    <row r="413" spans="1:1" x14ac:dyDescent="0.3">
      <c r="A413" s="116"/>
    </row>
    <row r="414" spans="1:1" x14ac:dyDescent="0.3">
      <c r="A414" s="116"/>
    </row>
    <row r="415" spans="1:1" x14ac:dyDescent="0.3">
      <c r="A415" s="116"/>
    </row>
    <row r="416" spans="1:1" x14ac:dyDescent="0.3">
      <c r="A416" s="116"/>
    </row>
    <row r="417" spans="1:1" x14ac:dyDescent="0.3">
      <c r="A417" s="116"/>
    </row>
    <row r="418" spans="1:1" x14ac:dyDescent="0.3">
      <c r="A418" s="116"/>
    </row>
    <row r="419" spans="1:1" x14ac:dyDescent="0.3">
      <c r="A419" s="116"/>
    </row>
    <row r="420" spans="1:1" x14ac:dyDescent="0.3">
      <c r="A420" s="116"/>
    </row>
    <row r="421" spans="1:1" x14ac:dyDescent="0.3">
      <c r="A421" s="116"/>
    </row>
    <row r="422" spans="1:1" x14ac:dyDescent="0.3">
      <c r="A422" s="116"/>
    </row>
    <row r="423" spans="1:1" x14ac:dyDescent="0.3">
      <c r="A423" s="116"/>
    </row>
    <row r="424" spans="1:1" x14ac:dyDescent="0.3">
      <c r="A424" s="116"/>
    </row>
    <row r="425" spans="1:1" x14ac:dyDescent="0.3">
      <c r="A425" s="116"/>
    </row>
    <row r="426" spans="1:1" x14ac:dyDescent="0.3">
      <c r="A426" s="116"/>
    </row>
    <row r="427" spans="1:1" x14ac:dyDescent="0.3">
      <c r="A427" s="116"/>
    </row>
    <row r="428" spans="1:1" x14ac:dyDescent="0.3">
      <c r="A428" s="116"/>
    </row>
    <row r="429" spans="1:1" x14ac:dyDescent="0.3">
      <c r="A429" s="116"/>
    </row>
    <row r="430" spans="1:1" x14ac:dyDescent="0.3">
      <c r="A430" s="116"/>
    </row>
    <row r="431" spans="1:1" x14ac:dyDescent="0.3">
      <c r="A431" s="116"/>
    </row>
    <row r="432" spans="1:1" x14ac:dyDescent="0.3">
      <c r="A432" s="116"/>
    </row>
    <row r="433" spans="1:1" x14ac:dyDescent="0.3">
      <c r="A433" s="116"/>
    </row>
    <row r="434" spans="1:1" x14ac:dyDescent="0.3">
      <c r="A434" s="116"/>
    </row>
    <row r="435" spans="1:1" x14ac:dyDescent="0.3">
      <c r="A435" s="116"/>
    </row>
    <row r="436" spans="1:1" x14ac:dyDescent="0.3">
      <c r="A436" s="116"/>
    </row>
    <row r="437" spans="1:1" x14ac:dyDescent="0.3">
      <c r="A437" s="116"/>
    </row>
    <row r="438" spans="1:1" x14ac:dyDescent="0.3">
      <c r="A438" s="116"/>
    </row>
    <row r="439" spans="1:1" x14ac:dyDescent="0.3">
      <c r="A439" s="116"/>
    </row>
    <row r="440" spans="1:1" x14ac:dyDescent="0.3">
      <c r="A440" s="116"/>
    </row>
    <row r="441" spans="1:1" x14ac:dyDescent="0.3">
      <c r="A441" s="116"/>
    </row>
    <row r="442" spans="1:1" x14ac:dyDescent="0.3">
      <c r="A442" s="116"/>
    </row>
    <row r="443" spans="1:1" x14ac:dyDescent="0.3">
      <c r="A443" s="116"/>
    </row>
    <row r="444" spans="1:1" x14ac:dyDescent="0.3">
      <c r="A444" s="116"/>
    </row>
    <row r="445" spans="1:1" x14ac:dyDescent="0.3">
      <c r="A445" s="116"/>
    </row>
    <row r="446" spans="1:1" x14ac:dyDescent="0.3">
      <c r="A446" s="116"/>
    </row>
    <row r="447" spans="1:1" x14ac:dyDescent="0.3">
      <c r="A447" s="116"/>
    </row>
    <row r="448" spans="1:1" x14ac:dyDescent="0.3">
      <c r="A448" s="116"/>
    </row>
    <row r="449" spans="1:1" x14ac:dyDescent="0.3">
      <c r="A449" s="116"/>
    </row>
    <row r="450" spans="1:1" x14ac:dyDescent="0.3">
      <c r="A450" s="116"/>
    </row>
    <row r="451" spans="1:1" x14ac:dyDescent="0.3">
      <c r="A451" s="116"/>
    </row>
    <row r="452" spans="1:1" x14ac:dyDescent="0.3">
      <c r="A452" s="116"/>
    </row>
    <row r="453" spans="1:1" x14ac:dyDescent="0.3">
      <c r="A453" s="116"/>
    </row>
    <row r="454" spans="1:1" x14ac:dyDescent="0.3">
      <c r="A454" s="116"/>
    </row>
    <row r="455" spans="1:1" x14ac:dyDescent="0.3">
      <c r="A455" s="116"/>
    </row>
    <row r="456" spans="1:1" x14ac:dyDescent="0.3">
      <c r="A456" s="116"/>
    </row>
    <row r="457" spans="1:1" x14ac:dyDescent="0.3">
      <c r="A457" s="116"/>
    </row>
    <row r="458" spans="1:1" x14ac:dyDescent="0.3">
      <c r="A458" s="116"/>
    </row>
    <row r="459" spans="1:1" x14ac:dyDescent="0.3">
      <c r="A459" s="116"/>
    </row>
    <row r="460" spans="1:1" x14ac:dyDescent="0.3">
      <c r="A460" s="116"/>
    </row>
    <row r="461" spans="1:1" x14ac:dyDescent="0.3">
      <c r="A461" s="116"/>
    </row>
    <row r="462" spans="1:1" x14ac:dyDescent="0.3">
      <c r="A462" s="116"/>
    </row>
    <row r="463" spans="1:1" x14ac:dyDescent="0.3">
      <c r="A463" s="116"/>
    </row>
    <row r="464" spans="1:1" x14ac:dyDescent="0.3">
      <c r="A464" s="116"/>
    </row>
    <row r="465" spans="1:1" x14ac:dyDescent="0.3">
      <c r="A465" s="116"/>
    </row>
    <row r="466" spans="1:1" x14ac:dyDescent="0.3">
      <c r="A466" s="116"/>
    </row>
    <row r="467" spans="1:1" x14ac:dyDescent="0.3">
      <c r="A467" s="116"/>
    </row>
    <row r="468" spans="1:1" x14ac:dyDescent="0.3">
      <c r="A468" s="116"/>
    </row>
    <row r="469" spans="1:1" x14ac:dyDescent="0.3">
      <c r="A469" s="116"/>
    </row>
    <row r="470" spans="1:1" x14ac:dyDescent="0.3">
      <c r="A470" s="116"/>
    </row>
    <row r="471" spans="1:1" x14ac:dyDescent="0.3">
      <c r="A471" s="116"/>
    </row>
    <row r="472" spans="1:1" x14ac:dyDescent="0.3">
      <c r="A472" s="116"/>
    </row>
    <row r="473" spans="1:1" x14ac:dyDescent="0.3">
      <c r="A473" s="116"/>
    </row>
    <row r="474" spans="1:1" x14ac:dyDescent="0.3">
      <c r="A474" s="116"/>
    </row>
    <row r="475" spans="1:1" x14ac:dyDescent="0.3">
      <c r="A475" s="116"/>
    </row>
    <row r="476" spans="1:1" x14ac:dyDescent="0.3">
      <c r="A476" s="116"/>
    </row>
    <row r="477" spans="1:1" x14ac:dyDescent="0.3">
      <c r="A477" s="116"/>
    </row>
    <row r="478" spans="1:1" x14ac:dyDescent="0.3">
      <c r="A478" s="116"/>
    </row>
    <row r="479" spans="1:1" x14ac:dyDescent="0.3">
      <c r="A479" s="116"/>
    </row>
    <row r="480" spans="1:1" x14ac:dyDescent="0.3">
      <c r="A480" s="116"/>
    </row>
    <row r="481" spans="1:1" x14ac:dyDescent="0.3">
      <c r="A481" s="116"/>
    </row>
    <row r="482" spans="1:1" x14ac:dyDescent="0.3">
      <c r="A482" s="116"/>
    </row>
    <row r="483" spans="1:1" x14ac:dyDescent="0.3">
      <c r="A483" s="116"/>
    </row>
    <row r="484" spans="1:1" x14ac:dyDescent="0.3">
      <c r="A484" s="116"/>
    </row>
    <row r="485" spans="1:1" x14ac:dyDescent="0.3">
      <c r="A485" s="116"/>
    </row>
    <row r="486" spans="1:1" x14ac:dyDescent="0.3">
      <c r="A486" s="116"/>
    </row>
    <row r="487" spans="1:1" x14ac:dyDescent="0.3">
      <c r="A487" s="116"/>
    </row>
    <row r="488" spans="1:1" x14ac:dyDescent="0.3">
      <c r="A488" s="116"/>
    </row>
    <row r="489" spans="1:1" x14ac:dyDescent="0.3">
      <c r="A489" s="116"/>
    </row>
    <row r="490" spans="1:1" x14ac:dyDescent="0.3">
      <c r="A490" s="116"/>
    </row>
    <row r="491" spans="1:1" x14ac:dyDescent="0.3">
      <c r="A491" s="116"/>
    </row>
    <row r="492" spans="1:1" x14ac:dyDescent="0.3">
      <c r="A492" s="116"/>
    </row>
    <row r="493" spans="1:1" x14ac:dyDescent="0.3">
      <c r="A493" s="116"/>
    </row>
    <row r="494" spans="1:1" x14ac:dyDescent="0.3">
      <c r="A494" s="116"/>
    </row>
    <row r="495" spans="1:1" x14ac:dyDescent="0.3">
      <c r="A495" s="116"/>
    </row>
    <row r="496" spans="1:1" x14ac:dyDescent="0.3">
      <c r="A496" s="116"/>
    </row>
    <row r="497" spans="1:1" x14ac:dyDescent="0.3">
      <c r="A497" s="116"/>
    </row>
    <row r="498" spans="1:1" x14ac:dyDescent="0.3">
      <c r="A498" s="116"/>
    </row>
    <row r="499" spans="1:1" x14ac:dyDescent="0.3">
      <c r="A499" s="116"/>
    </row>
    <row r="500" spans="1:1" ht="13.5" thickBot="1" x14ac:dyDescent="0.35">
      <c r="A500" s="117"/>
    </row>
  </sheetData>
  <mergeCells count="21">
    <mergeCell ref="A31:C31"/>
    <mergeCell ref="D31:F31"/>
    <mergeCell ref="M4:R4"/>
    <mergeCell ref="A16:C16"/>
    <mergeCell ref="S18:AW18"/>
    <mergeCell ref="A19:A20"/>
    <mergeCell ref="B19:B20"/>
    <mergeCell ref="C19:C20"/>
    <mergeCell ref="D19:E19"/>
    <mergeCell ref="G19:L19"/>
    <mergeCell ref="M19:R19"/>
    <mergeCell ref="A4:A5"/>
    <mergeCell ref="B4:B5"/>
    <mergeCell ref="C4:C5"/>
    <mergeCell ref="D4:E4"/>
    <mergeCell ref="G4:L4"/>
    <mergeCell ref="A2:B2"/>
    <mergeCell ref="D2:E2"/>
    <mergeCell ref="A3:C3"/>
    <mergeCell ref="S3:AW3"/>
    <mergeCell ref="AY3:CC3"/>
  </mergeCells>
  <conditionalFormatting sqref="A4:B4">
    <cfRule type="cellIs" dxfId="8" priority="9" stopIfTrue="1" operator="lessThan">
      <formula>1</formula>
    </cfRule>
  </conditionalFormatting>
  <conditionalFormatting sqref="A19:B19">
    <cfRule type="cellIs" dxfId="7" priority="4" stopIfTrue="1" operator="lessThan">
      <formula>1</formula>
    </cfRule>
  </conditionalFormatting>
  <conditionalFormatting sqref="B6:B14">
    <cfRule type="duplicateValues" dxfId="6" priority="6"/>
    <cfRule type="duplicateValues" dxfId="5" priority="7"/>
    <cfRule type="cellIs" dxfId="4" priority="8" stopIfTrue="1" operator="lessThan">
      <formula>1</formula>
    </cfRule>
  </conditionalFormatting>
  <conditionalFormatting sqref="B21:B29">
    <cfRule type="duplicateValues" dxfId="3" priority="1"/>
    <cfRule type="duplicateValues" dxfId="2" priority="2"/>
    <cfRule type="cellIs" dxfId="1" priority="3" stopIfTrue="1" operator="lessThan">
      <formula>1</formula>
    </cfRule>
  </conditionalFormatting>
  <conditionalFormatting sqref="R6:R16">
    <cfRule type="cellIs" dxfId="0" priority="5" operator="less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2026-06-09T07:21:30Z</dcterms:modified>
</cp:coreProperties>
</file>