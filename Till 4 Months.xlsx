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"/>
    </mc:Choice>
  </mc:AlternateContent>
  <xr:revisionPtr revIDLastSave="0" documentId="13_ncr:1_{981BE2D0-BDC5-4E46-AE7C-11D2CDA289C0}" xr6:coauthVersionLast="47" xr6:coauthVersionMax="47" xr10:uidLastSave="{00000000-0000-0000-0000-000000000000}"/>
  <bookViews>
    <workbookView xWindow="-110" yWindow="-110" windowWidth="19420" windowHeight="10420" xr2:uid="{3E645682-E893-4F6E-94AA-185947CE66D6}"/>
  </bookViews>
  <sheets>
    <sheet name="Sheet1" sheetId="1" r:id="rId1"/>
  </sheets>
  <definedNames>
    <definedName name="_xlnm.Print_Area" localSheetId="0">Sheet1!$A$12:$D$118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1" l="1"/>
  <c r="N10" i="1"/>
  <c r="O10" i="1"/>
  <c r="P10" i="1"/>
  <c r="Q10" i="1"/>
  <c r="L10" i="1"/>
  <c r="Q4" i="1"/>
  <c r="Q5" i="1"/>
  <c r="Q6" i="1"/>
  <c r="Q7" i="1"/>
  <c r="Q8" i="1"/>
  <c r="Q9" i="1"/>
  <c r="Q3" i="1"/>
  <c r="P4" i="1"/>
  <c r="P5" i="1"/>
  <c r="P6" i="1"/>
  <c r="P7" i="1"/>
  <c r="P8" i="1"/>
  <c r="P9" i="1"/>
  <c r="P3" i="1"/>
  <c r="O4" i="1"/>
  <c r="O5" i="1"/>
  <c r="O6" i="1"/>
  <c r="O7" i="1"/>
  <c r="O8" i="1"/>
  <c r="O9" i="1"/>
  <c r="O3" i="1"/>
  <c r="N4" i="1"/>
  <c r="N5" i="1"/>
  <c r="N6" i="1"/>
  <c r="N7" i="1"/>
  <c r="N8" i="1"/>
  <c r="N9" i="1"/>
  <c r="N3" i="1"/>
  <c r="M4" i="1"/>
  <c r="M5" i="1"/>
  <c r="M6" i="1"/>
  <c r="M7" i="1"/>
  <c r="M8" i="1"/>
  <c r="M9" i="1"/>
  <c r="M3" i="1"/>
  <c r="L4" i="1"/>
  <c r="L5" i="1"/>
  <c r="L6" i="1"/>
  <c r="L7" i="1"/>
  <c r="L8" i="1"/>
  <c r="L9" i="1"/>
  <c r="L3" i="1"/>
  <c r="J4" i="1"/>
  <c r="J5" i="1"/>
  <c r="J6" i="1"/>
  <c r="J7" i="1"/>
  <c r="J8" i="1"/>
  <c r="J9" i="1"/>
  <c r="J10" i="1"/>
  <c r="J3" i="1"/>
  <c r="I4" i="1"/>
  <c r="I5" i="1"/>
  <c r="I6" i="1"/>
  <c r="I7" i="1"/>
  <c r="I8" i="1"/>
  <c r="I9" i="1"/>
  <c r="I3" i="1"/>
  <c r="I10" i="1" l="1"/>
  <c r="C118" i="1" l="1"/>
  <c r="G10" i="1"/>
  <c r="G11" i="1" s="1"/>
  <c r="F10" i="1" l="1"/>
  <c r="F11" i="1" s="1"/>
  <c r="E10" i="1"/>
  <c r="E11" i="1" s="1"/>
  <c r="H10" i="1" l="1"/>
  <c r="H11" i="1" s="1"/>
  <c r="I11" i="1"/>
  <c r="D10" i="1"/>
  <c r="D11" i="1" s="1"/>
</calcChain>
</file>

<file path=xl/sharedStrings.xml><?xml version="1.0" encoding="utf-8"?>
<sst xmlns="http://schemas.openxmlformats.org/spreadsheetml/2006/main" count="247" uniqueCount="126">
  <si>
    <t>PRODUCT</t>
  </si>
  <si>
    <t>GM</t>
  </si>
  <si>
    <t xml:space="preserve">Meat Masala </t>
  </si>
  <si>
    <t>Lemon Tarka</t>
  </si>
  <si>
    <t>Chicken Chatkhara</t>
  </si>
  <si>
    <t>Meat Masala (Jumbo)</t>
  </si>
  <si>
    <t>Lemon Tarka (Jumbo)</t>
  </si>
  <si>
    <t>Chicken Chatkhara (Jumbo)</t>
  </si>
  <si>
    <t>Chicken Chatkhara  (ECO)</t>
  </si>
  <si>
    <t>Pc's</t>
  </si>
  <si>
    <t>Ctn's</t>
  </si>
  <si>
    <t xml:space="preserve">Dated </t>
  </si>
  <si>
    <t>LMT's</t>
  </si>
  <si>
    <t xml:space="preserve">Shops </t>
  </si>
  <si>
    <t>Ctns</t>
  </si>
  <si>
    <t xml:space="preserve">Status </t>
  </si>
  <si>
    <t xml:space="preserve">Total </t>
  </si>
  <si>
    <t xml:space="preserve">HA Mega Mart </t>
  </si>
  <si>
    <t>Delivered</t>
  </si>
  <si>
    <t xml:space="preserve">LUTF Mart </t>
  </si>
  <si>
    <t>Aslam Mart LDA</t>
  </si>
  <si>
    <t>Ss Departmental Store</t>
  </si>
  <si>
    <t xml:space="preserve">Raheem </t>
  </si>
  <si>
    <t>Risen Gajumata</t>
  </si>
  <si>
    <t>Zohra Mart</t>
  </si>
  <si>
    <t xml:space="preserve">Clinix </t>
  </si>
  <si>
    <t xml:space="preserve">Gourmet Foods </t>
  </si>
  <si>
    <t xml:space="preserve">Gourmet Behria Town </t>
  </si>
  <si>
    <t>Imperia Departmental Store</t>
  </si>
  <si>
    <t xml:space="preserve">Rainbow Shadra </t>
  </si>
  <si>
    <t>Rainbow Shikhupura</t>
  </si>
  <si>
    <t>Rainbow Gujranwala</t>
  </si>
  <si>
    <t>Zubaida Associates</t>
  </si>
  <si>
    <t>Green Velly</t>
  </si>
  <si>
    <t>Rainbow Defence Road</t>
  </si>
  <si>
    <t>Rainbow EME</t>
  </si>
  <si>
    <t xml:space="preserve">Rainbow Wapda Town </t>
  </si>
  <si>
    <t xml:space="preserve">Rainbow Model Town </t>
  </si>
  <si>
    <t xml:space="preserve">Rainbow Behria Town </t>
  </si>
  <si>
    <t xml:space="preserve">24/7 Mart </t>
  </si>
  <si>
    <t xml:space="preserve">Euro Rachna Block </t>
  </si>
  <si>
    <t>HKB</t>
  </si>
  <si>
    <t xml:space="preserve">Risen Gajumata </t>
  </si>
  <si>
    <t xml:space="preserve">Goutmet MIX </t>
  </si>
  <si>
    <t>Rainbow Barki Road</t>
  </si>
  <si>
    <t>Euro Fateh Ghar</t>
  </si>
  <si>
    <t xml:space="preserve">Jalal Sons </t>
  </si>
  <si>
    <t xml:space="preserve">Arshad Sons </t>
  </si>
  <si>
    <t xml:space="preserve">Euro Model Town </t>
  </si>
  <si>
    <t xml:space="preserve">4 Season </t>
  </si>
  <si>
    <t>Crown Market Singh pura</t>
  </si>
  <si>
    <t>Jalal sons  Main Market</t>
  </si>
  <si>
    <t xml:space="preserve">Raja Saab Wapda Town </t>
  </si>
  <si>
    <t xml:space="preserve">Mb/SB Traders  Shadbagh </t>
  </si>
  <si>
    <t>Sweera GT Road</t>
  </si>
  <si>
    <t xml:space="preserve">Zubaida Traders </t>
  </si>
  <si>
    <t xml:space="preserve">Gourmet Food </t>
  </si>
  <si>
    <t>Raheem Store</t>
  </si>
  <si>
    <t xml:space="preserve">Lutaf Mart </t>
  </si>
  <si>
    <t>Vip</t>
  </si>
  <si>
    <t xml:space="preserve">Al Rehmat </t>
  </si>
  <si>
    <t>Clinic</t>
  </si>
  <si>
    <t xml:space="preserve">Jala Sons Behria </t>
  </si>
  <si>
    <t>Jalal Sons Izmir</t>
  </si>
  <si>
    <t xml:space="preserve">Prime </t>
  </si>
  <si>
    <t xml:space="preserve">RI Mart </t>
  </si>
  <si>
    <t xml:space="preserve">Rainbow C NC </t>
  </si>
  <si>
    <t>Jalal Sons Behria Orchard</t>
  </si>
  <si>
    <t>Rainbow CNC DHA</t>
  </si>
  <si>
    <t>LGS</t>
  </si>
  <si>
    <t xml:space="preserve">RI Mart Jore Pull </t>
  </si>
  <si>
    <t xml:space="preserve">Risen Manawan </t>
  </si>
  <si>
    <t>Rainbow Sheikhupura</t>
  </si>
  <si>
    <t xml:space="preserve">Pak Madina </t>
  </si>
  <si>
    <t xml:space="preserve">Askari Punjab Society </t>
  </si>
  <si>
    <t xml:space="preserve">Risen Shadbagh </t>
  </si>
  <si>
    <t>Risen Sabzazaar</t>
  </si>
  <si>
    <t xml:space="preserve">Risen Thoker </t>
  </si>
  <si>
    <t>Risen Askari 11</t>
  </si>
  <si>
    <t>Gourmet Food</t>
  </si>
  <si>
    <t>Clinix Werehouse</t>
  </si>
  <si>
    <t xml:space="preserve">Raheem Wapda </t>
  </si>
  <si>
    <t xml:space="preserve">Cario Mart </t>
  </si>
  <si>
    <t xml:space="preserve">Risen Fateh Gher </t>
  </si>
  <si>
    <t xml:space="preserve">Zohra Mart </t>
  </si>
  <si>
    <t xml:space="preserve">Gourmet Food Johar Town </t>
  </si>
  <si>
    <t xml:space="preserve">Gourmet Food 12G Johar Town </t>
  </si>
  <si>
    <t>Gourmet Food Naseer Abad</t>
  </si>
  <si>
    <t>Gourmet Food Multan Road Fwara Chowk</t>
  </si>
  <si>
    <t xml:space="preserve">Gourmet Food Faisal Town </t>
  </si>
  <si>
    <t xml:space="preserve">Gourmet Food 18G Iqbal Town </t>
  </si>
  <si>
    <t>Gourmet Food Samnabad Lhr</t>
  </si>
  <si>
    <t>Gourmet Food Ghalib Market</t>
  </si>
  <si>
    <t>Gourmet Food Islam Pura</t>
  </si>
  <si>
    <t xml:space="preserve">Gourmet Food Jinnah Hospital </t>
  </si>
  <si>
    <t xml:space="preserve">Gourmet Food Shama Cenima </t>
  </si>
  <si>
    <t xml:space="preserve">Gourmet Food Muslim Town Ayubia </t>
  </si>
  <si>
    <t>Gourmet Food Walton</t>
  </si>
  <si>
    <t xml:space="preserve">Gourmet Food C Block Model Town </t>
  </si>
  <si>
    <t xml:space="preserve">Gourmet Food Liyaqat Chowk </t>
  </si>
  <si>
    <t>Gourmet Food Krishan Nagar</t>
  </si>
  <si>
    <t>Gourmet Food Poonch Road</t>
  </si>
  <si>
    <t xml:space="preserve">Gourmet Food Nadeem Shaheed </t>
  </si>
  <si>
    <t xml:space="preserve">Gourmet Food Gulshan Ravi </t>
  </si>
  <si>
    <t xml:space="preserve">Gourmet Food Link Road Model Town </t>
  </si>
  <si>
    <t xml:space="preserve">Gourmet Food Jauray Pull </t>
  </si>
  <si>
    <t xml:space="preserve">Gourmet Food Bhatta Chowk </t>
  </si>
  <si>
    <t xml:space="preserve">Gourmet Food EME Society </t>
  </si>
  <si>
    <t xml:space="preserve">Gourmet Food  DHA XX- Block </t>
  </si>
  <si>
    <t>June</t>
  </si>
  <si>
    <t>July</t>
  </si>
  <si>
    <t>Aug</t>
  </si>
  <si>
    <t>Sep</t>
  </si>
  <si>
    <t>Oct</t>
  </si>
  <si>
    <t>Sale's Monitering</t>
  </si>
  <si>
    <t>Total Pc</t>
  </si>
  <si>
    <t>Total ctn</t>
  </si>
  <si>
    <t>SKU</t>
  </si>
  <si>
    <t>Total</t>
  </si>
  <si>
    <t>Meat Masala 70G</t>
  </si>
  <si>
    <t>Lemon Tarka 70G</t>
  </si>
  <si>
    <t>Chicken Chatkhara 70G</t>
  </si>
  <si>
    <t>Meat Masala (Jumbo) 120G</t>
  </si>
  <si>
    <t>Lemon Tarka (Jumbo) 120G</t>
  </si>
  <si>
    <t>Chicken Chatkhara (Jumbo) 120G</t>
  </si>
  <si>
    <t>Chicken Chatkhara  (ECO) 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</si>
</sst>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0" fillId="0" borderId="1" xfId="0" applyNumberFormat="1" applyBorder="1"/>
    <xf numFmtId="16" fontId="2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/>
    <xf numFmtId="0" fontId="2" fillId="0" borderId="1" xfId="0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 vertical="center"/>
    </xf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1" fillId="0" borderId="10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" fontId="2" fillId="2" borderId="8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6" fontId="2" fillId="2" borderId="12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3771-1E8D-4C4A-A561-EB9042DCC7D5}">
  <sheetPr>
    <pageSetUpPr fitToPage="1"/>
  </sheetPr>
  <dimension ref="A1:Q118"/>
  <sheetViews>
    <sheetView tabSelected="1" zoomScaleNormal="100" workbookViewId="0">
      <pane xSplit="1" topLeftCell="C1" activePane="topRight" state="frozen"/>
      <selection pane="topRight" activeCell="K14" sqref="K14"/>
    </sheetView>
  </sheetViews>
  <sheetFormatPr defaultRowHeight="14.5" x14ac:dyDescent="0.35"/>
  <cols>
    <col min="1" max="1" width="6.6328125" bestFit="1" customWidth="1"/>
    <col min="2" max="2" width="36.26953125" bestFit="1" customWidth="1"/>
    <col min="3" max="3" width="8.81640625" bestFit="1" customWidth="1"/>
    <col min="4" max="8" width="8.7265625" customWidth="1"/>
    <col min="9" max="9" width="9.36328125" customWidth="1"/>
    <col min="11" max="11" width="28.6328125" bestFit="1" customWidth="1"/>
    <col min="12" max="16" width="9.36328125" bestFit="1" customWidth="1"/>
  </cols>
  <sheetData>
    <row r="1" spans="1:17" ht="36.5" customHeight="1" x14ac:dyDescent="0.35">
      <c r="A1" s="5"/>
      <c r="B1" s="24" t="s">
        <v>114</v>
      </c>
      <c r="C1" s="25"/>
      <c r="D1" s="25"/>
      <c r="E1" s="25"/>
      <c r="F1" s="25"/>
      <c r="G1" s="25"/>
      <c r="H1" s="25"/>
      <c r="I1" s="25"/>
      <c r="J1" s="26"/>
    </row>
    <row r="2" spans="1:17" ht="22.5" customHeight="1" thickBot="1" x14ac:dyDescent="0.4">
      <c r="B2" s="21" t="s">
        <v>0</v>
      </c>
      <c r="C2" s="10" t="s">
        <v>1</v>
      </c>
      <c r="D2" s="20" t="s">
        <v>109</v>
      </c>
      <c r="E2" s="20" t="s">
        <v>110</v>
      </c>
      <c r="F2" s="20" t="s">
        <v>111</v>
      </c>
      <c r="G2" s="20" t="s">
        <v>112</v>
      </c>
      <c r="H2" s="20" t="s">
        <v>113</v>
      </c>
      <c r="I2" s="11" t="s">
        <v>115</v>
      </c>
      <c r="J2" s="12" t="s">
        <v>116</v>
      </c>
      <c r="K2" s="27" t="s">
        <v>117</v>
      </c>
      <c r="L2" s="28" t="s">
        <v>109</v>
      </c>
      <c r="M2" s="28" t="s">
        <v>110</v>
      </c>
      <c r="N2" s="28" t="s">
        <v>111</v>
      </c>
      <c r="O2" s="28" t="s">
        <v>112</v>
      </c>
      <c r="P2" s="28" t="s">
        <v>113</v>
      </c>
      <c r="Q2" s="28" t="s">
        <v>118</v>
      </c>
    </row>
    <row r="3" spans="1:17" x14ac:dyDescent="0.35">
      <c r="B3" s="13" t="s">
        <v>2</v>
      </c>
      <c r="C3" s="2">
        <v>70</v>
      </c>
      <c r="D3" s="2">
        <v>16275</v>
      </c>
      <c r="E3" s="2">
        <v>15765</v>
      </c>
      <c r="F3" s="2">
        <v>13629</v>
      </c>
      <c r="G3" s="2">
        <v>12846</v>
      </c>
      <c r="H3" s="2">
        <v>5293</v>
      </c>
      <c r="I3" s="2">
        <f>SUM(D3:H3)</f>
        <v>63808</v>
      </c>
      <c r="J3" s="18">
        <f>I3/40</f>
        <v>1595.2</v>
      </c>
      <c r="K3" s="8" t="s">
        <v>119</v>
      </c>
      <c r="L3" s="29">
        <f>D3/40</f>
        <v>406.875</v>
      </c>
      <c r="M3" s="29">
        <f>E3/40</f>
        <v>394.125</v>
      </c>
      <c r="N3" s="29">
        <f>F3/40</f>
        <v>340.72500000000002</v>
      </c>
      <c r="O3" s="29">
        <f>G3/40</f>
        <v>321.14999999999998</v>
      </c>
      <c r="P3" s="29">
        <f>H3/40</f>
        <v>132.32499999999999</v>
      </c>
      <c r="Q3" s="30">
        <f>SUM(L3:P3)</f>
        <v>1595.2</v>
      </c>
    </row>
    <row r="4" spans="1:17" x14ac:dyDescent="0.35">
      <c r="B4" s="13" t="s">
        <v>3</v>
      </c>
      <c r="C4" s="2">
        <v>70</v>
      </c>
      <c r="D4" s="2">
        <v>16900</v>
      </c>
      <c r="E4" s="2">
        <v>18467</v>
      </c>
      <c r="F4" s="2">
        <v>14425</v>
      </c>
      <c r="G4" s="2">
        <v>12886</v>
      </c>
      <c r="H4" s="2">
        <v>4439</v>
      </c>
      <c r="I4" s="2">
        <f t="shared" ref="I4:I9" si="0">SUM(D4:H4)</f>
        <v>67117</v>
      </c>
      <c r="J4" s="18">
        <f t="shared" ref="J4:J10" si="1">I4/40</f>
        <v>1677.925</v>
      </c>
      <c r="K4" s="8" t="s">
        <v>120</v>
      </c>
      <c r="L4" s="29">
        <f t="shared" ref="L4:L9" si="2">D4/40</f>
        <v>422.5</v>
      </c>
      <c r="M4" s="29">
        <f t="shared" ref="M4:M9" si="3">E4/40</f>
        <v>461.67500000000001</v>
      </c>
      <c r="N4" s="29">
        <f t="shared" ref="N4:N9" si="4">F4/40</f>
        <v>360.625</v>
      </c>
      <c r="O4" s="29">
        <f t="shared" ref="O4:O9" si="5">G4/40</f>
        <v>322.14999999999998</v>
      </c>
      <c r="P4" s="29">
        <f t="shared" ref="P4:P9" si="6">H4/40</f>
        <v>110.97499999999999</v>
      </c>
      <c r="Q4" s="31">
        <f t="shared" ref="Q4:Q9" si="7">SUM(L4:P4)</f>
        <v>1677.9249999999997</v>
      </c>
    </row>
    <row r="5" spans="1:17" x14ac:dyDescent="0.35">
      <c r="B5" s="13" t="s">
        <v>4</v>
      </c>
      <c r="C5" s="2">
        <v>70</v>
      </c>
      <c r="D5" s="2">
        <v>14619</v>
      </c>
      <c r="E5" s="2">
        <v>2800</v>
      </c>
      <c r="F5" s="2">
        <v>18434</v>
      </c>
      <c r="G5" s="2">
        <v>18215</v>
      </c>
      <c r="H5" s="2">
        <v>6735</v>
      </c>
      <c r="I5" s="2">
        <f t="shared" si="0"/>
        <v>60803</v>
      </c>
      <c r="J5" s="18">
        <f t="shared" si="1"/>
        <v>1520.075</v>
      </c>
      <c r="K5" s="8" t="s">
        <v>121</v>
      </c>
      <c r="L5" s="29">
        <f t="shared" si="2"/>
        <v>365.47500000000002</v>
      </c>
      <c r="M5" s="29">
        <f t="shared" si="3"/>
        <v>70</v>
      </c>
      <c r="N5" s="29">
        <f t="shared" si="4"/>
        <v>460.85</v>
      </c>
      <c r="O5" s="29">
        <f t="shared" si="5"/>
        <v>455.375</v>
      </c>
      <c r="P5" s="29">
        <f t="shared" si="6"/>
        <v>168.375</v>
      </c>
      <c r="Q5" s="31">
        <f t="shared" si="7"/>
        <v>1520.075</v>
      </c>
    </row>
    <row r="6" spans="1:17" x14ac:dyDescent="0.35">
      <c r="B6" s="13" t="s">
        <v>5</v>
      </c>
      <c r="C6" s="2">
        <v>120</v>
      </c>
      <c r="D6" s="2">
        <v>25048</v>
      </c>
      <c r="E6" s="2">
        <v>30794</v>
      </c>
      <c r="F6" s="2">
        <v>27559</v>
      </c>
      <c r="G6" s="2">
        <v>23718</v>
      </c>
      <c r="H6" s="2">
        <v>11494</v>
      </c>
      <c r="I6" s="2">
        <f t="shared" si="0"/>
        <v>118613</v>
      </c>
      <c r="J6" s="18">
        <f t="shared" si="1"/>
        <v>2965.3249999999998</v>
      </c>
      <c r="K6" s="8" t="s">
        <v>122</v>
      </c>
      <c r="L6" s="29">
        <f t="shared" si="2"/>
        <v>626.20000000000005</v>
      </c>
      <c r="M6" s="29">
        <f t="shared" si="3"/>
        <v>769.85</v>
      </c>
      <c r="N6" s="29">
        <f t="shared" si="4"/>
        <v>688.97500000000002</v>
      </c>
      <c r="O6" s="29">
        <f t="shared" si="5"/>
        <v>592.95000000000005</v>
      </c>
      <c r="P6" s="29">
        <f t="shared" si="6"/>
        <v>287.35000000000002</v>
      </c>
      <c r="Q6" s="31">
        <f t="shared" si="7"/>
        <v>2965.3250000000003</v>
      </c>
    </row>
    <row r="7" spans="1:17" x14ac:dyDescent="0.35">
      <c r="B7" s="13" t="s">
        <v>6</v>
      </c>
      <c r="C7" s="2">
        <v>120</v>
      </c>
      <c r="D7" s="2">
        <v>22541</v>
      </c>
      <c r="E7" s="2">
        <v>25380</v>
      </c>
      <c r="F7" s="2">
        <v>24806</v>
      </c>
      <c r="G7" s="2">
        <v>22022</v>
      </c>
      <c r="H7" s="2">
        <v>10274</v>
      </c>
      <c r="I7" s="2">
        <f t="shared" si="0"/>
        <v>105023</v>
      </c>
      <c r="J7" s="18">
        <f t="shared" si="1"/>
        <v>2625.5749999999998</v>
      </c>
      <c r="K7" s="8" t="s">
        <v>123</v>
      </c>
      <c r="L7" s="29">
        <f t="shared" si="2"/>
        <v>563.52499999999998</v>
      </c>
      <c r="M7" s="29">
        <f t="shared" si="3"/>
        <v>634.5</v>
      </c>
      <c r="N7" s="29">
        <f t="shared" si="4"/>
        <v>620.15</v>
      </c>
      <c r="O7" s="29">
        <f t="shared" si="5"/>
        <v>550.54999999999995</v>
      </c>
      <c r="P7" s="29">
        <f t="shared" si="6"/>
        <v>256.85000000000002</v>
      </c>
      <c r="Q7" s="31">
        <f t="shared" si="7"/>
        <v>2625.5750000000003</v>
      </c>
    </row>
    <row r="8" spans="1:17" x14ac:dyDescent="0.35">
      <c r="B8" s="13" t="s">
        <v>7</v>
      </c>
      <c r="C8" s="2">
        <v>120</v>
      </c>
      <c r="D8" s="2">
        <v>33175</v>
      </c>
      <c r="E8" s="2">
        <v>36540</v>
      </c>
      <c r="F8" s="2">
        <v>37423</v>
      </c>
      <c r="G8" s="2">
        <v>30456</v>
      </c>
      <c r="H8" s="2">
        <v>13818</v>
      </c>
      <c r="I8" s="2">
        <f t="shared" si="0"/>
        <v>151412</v>
      </c>
      <c r="J8" s="18">
        <f t="shared" si="1"/>
        <v>3785.3</v>
      </c>
      <c r="K8" s="8" t="s">
        <v>124</v>
      </c>
      <c r="L8" s="29">
        <f t="shared" si="2"/>
        <v>829.375</v>
      </c>
      <c r="M8" s="29">
        <f t="shared" si="3"/>
        <v>913.5</v>
      </c>
      <c r="N8" s="29">
        <f t="shared" si="4"/>
        <v>935.57500000000005</v>
      </c>
      <c r="O8" s="29">
        <f t="shared" si="5"/>
        <v>761.4</v>
      </c>
      <c r="P8" s="29">
        <f t="shared" si="6"/>
        <v>345.45</v>
      </c>
      <c r="Q8" s="31">
        <f t="shared" si="7"/>
        <v>3785.2999999999997</v>
      </c>
    </row>
    <row r="9" spans="1:17" ht="15" thickBot="1" x14ac:dyDescent="0.4">
      <c r="B9" s="13" t="s">
        <v>8</v>
      </c>
      <c r="C9" s="2">
        <v>60</v>
      </c>
      <c r="D9" s="2">
        <v>10155</v>
      </c>
      <c r="E9" s="2">
        <v>32071</v>
      </c>
      <c r="F9" s="2">
        <v>20230</v>
      </c>
      <c r="G9" s="2">
        <v>8712</v>
      </c>
      <c r="H9" s="2"/>
      <c r="I9" s="2">
        <f t="shared" si="0"/>
        <v>71168</v>
      </c>
      <c r="J9" s="18">
        <f t="shared" si="1"/>
        <v>1779.2</v>
      </c>
      <c r="K9" s="8" t="s">
        <v>125</v>
      </c>
      <c r="L9" s="29">
        <f t="shared" si="2"/>
        <v>253.875</v>
      </c>
      <c r="M9" s="29">
        <f t="shared" si="3"/>
        <v>801.77499999999998</v>
      </c>
      <c r="N9" s="29">
        <f t="shared" si="4"/>
        <v>505.75</v>
      </c>
      <c r="O9" s="29">
        <f t="shared" si="5"/>
        <v>217.8</v>
      </c>
      <c r="P9" s="29">
        <f t="shared" si="6"/>
        <v>0</v>
      </c>
      <c r="Q9" s="32">
        <f t="shared" si="7"/>
        <v>1779.2</v>
      </c>
    </row>
    <row r="10" spans="1:17" ht="18" customHeight="1" thickBot="1" x14ac:dyDescent="0.4">
      <c r="B10" s="13" t="s">
        <v>9</v>
      </c>
      <c r="C10" s="1"/>
      <c r="D10" s="3">
        <f t="shared" ref="D10:I10" si="8">SUM(D3:D9)</f>
        <v>138713</v>
      </c>
      <c r="E10" s="3">
        <f t="shared" si="8"/>
        <v>161817</v>
      </c>
      <c r="F10" s="3">
        <f t="shared" si="8"/>
        <v>156506</v>
      </c>
      <c r="G10" s="3">
        <f t="shared" si="8"/>
        <v>128855</v>
      </c>
      <c r="H10" s="3">
        <f t="shared" si="8"/>
        <v>52053</v>
      </c>
      <c r="I10" s="3">
        <f t="shared" si="8"/>
        <v>637944</v>
      </c>
      <c r="J10" s="22">
        <f t="shared" si="1"/>
        <v>15948.6</v>
      </c>
      <c r="K10" s="8"/>
      <c r="L10" s="33">
        <f>SUM(L3:L9)</f>
        <v>3467.8249999999998</v>
      </c>
      <c r="M10" s="34">
        <f t="shared" ref="M10:Q10" si="9">SUM(M3:M9)</f>
        <v>4045.4250000000002</v>
      </c>
      <c r="N10" s="34">
        <f t="shared" si="9"/>
        <v>3912.6500000000005</v>
      </c>
      <c r="O10" s="34">
        <f t="shared" si="9"/>
        <v>3221.3750000000005</v>
      </c>
      <c r="P10" s="34">
        <f t="shared" si="9"/>
        <v>1301.325</v>
      </c>
      <c r="Q10" s="35">
        <f t="shared" si="9"/>
        <v>15948.6</v>
      </c>
    </row>
    <row r="11" spans="1:17" ht="19" customHeight="1" thickBot="1" x14ac:dyDescent="0.4">
      <c r="B11" s="14" t="s">
        <v>10</v>
      </c>
      <c r="C11" s="15"/>
      <c r="D11" s="16">
        <f>D10/40</f>
        <v>3467.8249999999998</v>
      </c>
      <c r="E11" s="16">
        <f>E10/40</f>
        <v>4045.4250000000002</v>
      </c>
      <c r="F11" s="16">
        <f>F10/40</f>
        <v>3912.65</v>
      </c>
      <c r="G11" s="16">
        <f>G10/40</f>
        <v>3221.375</v>
      </c>
      <c r="H11" s="16">
        <f>H10/40</f>
        <v>1301.325</v>
      </c>
      <c r="I11" s="17">
        <f t="shared" ref="I11" si="10">I10/40</f>
        <v>15948.6</v>
      </c>
      <c r="J11" s="19"/>
    </row>
    <row r="12" spans="1:17" x14ac:dyDescent="0.35">
      <c r="A12" s="23" t="s">
        <v>12</v>
      </c>
      <c r="B12" s="23"/>
      <c r="C12" s="23"/>
      <c r="D12" s="23"/>
      <c r="E12" s="7"/>
      <c r="F12" s="7"/>
      <c r="G12" s="7"/>
      <c r="H12" s="7"/>
    </row>
    <row r="13" spans="1:17" x14ac:dyDescent="0.35">
      <c r="A13" s="2" t="s">
        <v>11</v>
      </c>
      <c r="B13" s="2" t="s">
        <v>13</v>
      </c>
      <c r="C13" s="2" t="s">
        <v>14</v>
      </c>
      <c r="D13" s="2" t="s">
        <v>15</v>
      </c>
      <c r="E13" s="8"/>
      <c r="F13" s="8"/>
      <c r="G13" s="8"/>
      <c r="H13" s="8"/>
    </row>
    <row r="14" spans="1:17" x14ac:dyDescent="0.35">
      <c r="A14" s="4">
        <v>46239</v>
      </c>
      <c r="B14" s="1" t="s">
        <v>17</v>
      </c>
      <c r="C14" s="2">
        <v>5</v>
      </c>
      <c r="D14" s="1" t="s">
        <v>18</v>
      </c>
    </row>
    <row r="15" spans="1:17" x14ac:dyDescent="0.35">
      <c r="A15" s="4">
        <v>46239</v>
      </c>
      <c r="B15" s="1" t="s">
        <v>19</v>
      </c>
      <c r="C15" s="2">
        <v>24</v>
      </c>
      <c r="D15" s="1" t="s">
        <v>18</v>
      </c>
    </row>
    <row r="16" spans="1:17" x14ac:dyDescent="0.35">
      <c r="A16" s="4">
        <v>46240</v>
      </c>
      <c r="B16" s="1" t="s">
        <v>20</v>
      </c>
      <c r="C16" s="2">
        <v>35</v>
      </c>
      <c r="D16" s="1" t="s">
        <v>18</v>
      </c>
    </row>
    <row r="17" spans="1:4" x14ac:dyDescent="0.35">
      <c r="A17" s="4">
        <v>46240</v>
      </c>
      <c r="B17" s="1" t="s">
        <v>21</v>
      </c>
      <c r="C17" s="2">
        <v>6</v>
      </c>
      <c r="D17" s="1" t="s">
        <v>18</v>
      </c>
    </row>
    <row r="18" spans="1:4" x14ac:dyDescent="0.35">
      <c r="A18" s="4">
        <v>46240</v>
      </c>
      <c r="B18" s="1" t="s">
        <v>22</v>
      </c>
      <c r="C18" s="2">
        <v>48</v>
      </c>
      <c r="D18" s="1" t="s">
        <v>18</v>
      </c>
    </row>
    <row r="19" spans="1:4" x14ac:dyDescent="0.35">
      <c r="A19" s="4">
        <v>46240</v>
      </c>
      <c r="B19" s="1" t="s">
        <v>23</v>
      </c>
      <c r="C19" s="2">
        <v>16</v>
      </c>
      <c r="D19" s="1" t="s">
        <v>18</v>
      </c>
    </row>
    <row r="20" spans="1:4" x14ac:dyDescent="0.35">
      <c r="A20" s="4">
        <v>46240</v>
      </c>
      <c r="B20" s="1" t="s">
        <v>24</v>
      </c>
      <c r="C20" s="2">
        <v>9</v>
      </c>
      <c r="D20" s="1" t="s">
        <v>18</v>
      </c>
    </row>
    <row r="21" spans="1:4" x14ac:dyDescent="0.35">
      <c r="A21" s="4">
        <v>46241</v>
      </c>
      <c r="B21" s="1" t="s">
        <v>25</v>
      </c>
      <c r="C21" s="2">
        <v>35</v>
      </c>
      <c r="D21" s="1" t="s">
        <v>18</v>
      </c>
    </row>
    <row r="22" spans="1:4" x14ac:dyDescent="0.35">
      <c r="A22" s="4">
        <v>46241</v>
      </c>
      <c r="B22" s="1" t="s">
        <v>26</v>
      </c>
      <c r="C22" s="2">
        <v>16.5</v>
      </c>
      <c r="D22" s="1" t="s">
        <v>18</v>
      </c>
    </row>
    <row r="23" spans="1:4" x14ac:dyDescent="0.35">
      <c r="A23" s="4">
        <v>46242</v>
      </c>
      <c r="B23" s="1" t="s">
        <v>27</v>
      </c>
      <c r="C23" s="2">
        <v>21.3</v>
      </c>
      <c r="D23" s="1" t="s">
        <v>18</v>
      </c>
    </row>
    <row r="24" spans="1:4" x14ac:dyDescent="0.35">
      <c r="A24" s="4">
        <v>46242</v>
      </c>
      <c r="B24" s="1" t="s">
        <v>28</v>
      </c>
      <c r="C24" s="2">
        <v>6.55</v>
      </c>
      <c r="D24" s="1" t="s">
        <v>18</v>
      </c>
    </row>
    <row r="25" spans="1:4" x14ac:dyDescent="0.35">
      <c r="A25" s="4">
        <v>46242</v>
      </c>
      <c r="B25" s="1" t="s">
        <v>29</v>
      </c>
      <c r="C25" s="2">
        <v>21.975000000000001</v>
      </c>
      <c r="D25" s="1" t="s">
        <v>18</v>
      </c>
    </row>
    <row r="26" spans="1:4" x14ac:dyDescent="0.35">
      <c r="A26" s="4">
        <v>46242</v>
      </c>
      <c r="B26" s="1" t="s">
        <v>30</v>
      </c>
      <c r="C26" s="2">
        <v>13</v>
      </c>
      <c r="D26" s="1" t="s">
        <v>18</v>
      </c>
    </row>
    <row r="27" spans="1:4" x14ac:dyDescent="0.35">
      <c r="A27" s="4">
        <v>46242</v>
      </c>
      <c r="B27" s="1" t="s">
        <v>31</v>
      </c>
      <c r="C27" s="2">
        <v>15</v>
      </c>
      <c r="D27" s="1" t="s">
        <v>18</v>
      </c>
    </row>
    <row r="28" spans="1:4" x14ac:dyDescent="0.35">
      <c r="A28" s="4">
        <v>46242</v>
      </c>
      <c r="B28" s="1" t="s">
        <v>32</v>
      </c>
      <c r="C28" s="2">
        <v>190</v>
      </c>
      <c r="D28" s="1" t="s">
        <v>18</v>
      </c>
    </row>
    <row r="29" spans="1:4" x14ac:dyDescent="0.35">
      <c r="A29" s="4">
        <v>46244</v>
      </c>
      <c r="B29" s="1" t="s">
        <v>33</v>
      </c>
      <c r="C29" s="2">
        <v>15</v>
      </c>
      <c r="D29" s="1" t="s">
        <v>18</v>
      </c>
    </row>
    <row r="30" spans="1:4" x14ac:dyDescent="0.35">
      <c r="A30" s="4">
        <v>46244</v>
      </c>
      <c r="B30" s="1" t="s">
        <v>34</v>
      </c>
      <c r="C30" s="2">
        <v>27</v>
      </c>
      <c r="D30" s="1" t="s">
        <v>18</v>
      </c>
    </row>
    <row r="31" spans="1:4" x14ac:dyDescent="0.35">
      <c r="A31" s="4">
        <v>46244</v>
      </c>
      <c r="B31" s="1" t="s">
        <v>35</v>
      </c>
      <c r="C31" s="2">
        <v>10</v>
      </c>
      <c r="D31" s="1" t="s">
        <v>18</v>
      </c>
    </row>
    <row r="32" spans="1:4" x14ac:dyDescent="0.35">
      <c r="A32" s="4">
        <v>46244</v>
      </c>
      <c r="B32" s="1" t="s">
        <v>36</v>
      </c>
      <c r="C32" s="2">
        <v>17</v>
      </c>
      <c r="D32" s="1" t="s">
        <v>18</v>
      </c>
    </row>
    <row r="33" spans="1:4" x14ac:dyDescent="0.35">
      <c r="A33" s="4">
        <v>46244</v>
      </c>
      <c r="B33" s="1" t="s">
        <v>37</v>
      </c>
      <c r="C33" s="2">
        <v>9</v>
      </c>
      <c r="D33" s="1" t="s">
        <v>18</v>
      </c>
    </row>
    <row r="34" spans="1:4" x14ac:dyDescent="0.35">
      <c r="A34" s="4">
        <v>46245</v>
      </c>
      <c r="B34" s="1" t="s">
        <v>17</v>
      </c>
      <c r="C34" s="2">
        <v>7</v>
      </c>
      <c r="D34" s="1" t="s">
        <v>18</v>
      </c>
    </row>
    <row r="35" spans="1:4" x14ac:dyDescent="0.35">
      <c r="A35" s="4">
        <v>46245</v>
      </c>
      <c r="B35" s="1" t="s">
        <v>38</v>
      </c>
      <c r="C35" s="2">
        <v>14</v>
      </c>
      <c r="D35" s="1" t="s">
        <v>18</v>
      </c>
    </row>
    <row r="36" spans="1:4" x14ac:dyDescent="0.35">
      <c r="A36" s="4">
        <v>46246</v>
      </c>
      <c r="B36" s="1" t="s">
        <v>39</v>
      </c>
      <c r="C36" s="2">
        <v>5.5</v>
      </c>
      <c r="D36" s="1" t="s">
        <v>18</v>
      </c>
    </row>
    <row r="37" spans="1:4" x14ac:dyDescent="0.35">
      <c r="A37" s="4">
        <v>46246</v>
      </c>
      <c r="B37" s="1" t="s">
        <v>40</v>
      </c>
      <c r="C37" s="2">
        <v>30</v>
      </c>
      <c r="D37" s="1" t="s">
        <v>18</v>
      </c>
    </row>
    <row r="38" spans="1:4" x14ac:dyDescent="0.35">
      <c r="A38" s="4">
        <v>46246</v>
      </c>
      <c r="B38" s="1" t="s">
        <v>41</v>
      </c>
      <c r="C38" s="2">
        <v>6</v>
      </c>
      <c r="D38" s="1" t="s">
        <v>18</v>
      </c>
    </row>
    <row r="39" spans="1:4" x14ac:dyDescent="0.35">
      <c r="A39" s="4">
        <v>46246</v>
      </c>
      <c r="B39" s="1" t="s">
        <v>42</v>
      </c>
      <c r="C39" s="2">
        <v>16</v>
      </c>
      <c r="D39" s="1" t="s">
        <v>18</v>
      </c>
    </row>
    <row r="40" spans="1:4" x14ac:dyDescent="0.35">
      <c r="A40" s="4">
        <v>46246</v>
      </c>
      <c r="B40" s="1" t="s">
        <v>26</v>
      </c>
      <c r="C40" s="2">
        <v>17</v>
      </c>
      <c r="D40" s="1" t="s">
        <v>18</v>
      </c>
    </row>
    <row r="41" spans="1:4" x14ac:dyDescent="0.35">
      <c r="A41" s="4">
        <v>46246</v>
      </c>
      <c r="B41" s="9" t="s">
        <v>43</v>
      </c>
      <c r="C41" s="2">
        <v>60</v>
      </c>
      <c r="D41" s="1" t="s">
        <v>18</v>
      </c>
    </row>
    <row r="42" spans="1:4" x14ac:dyDescent="0.35">
      <c r="A42" s="4">
        <v>46247</v>
      </c>
      <c r="B42" s="1" t="s">
        <v>44</v>
      </c>
      <c r="C42" s="2">
        <v>10</v>
      </c>
      <c r="D42" s="1" t="s">
        <v>18</v>
      </c>
    </row>
    <row r="43" spans="1:4" x14ac:dyDescent="0.35">
      <c r="A43" s="4">
        <v>46247</v>
      </c>
      <c r="B43" s="1" t="s">
        <v>45</v>
      </c>
      <c r="C43" s="2">
        <v>7</v>
      </c>
      <c r="D43" s="1" t="s">
        <v>18</v>
      </c>
    </row>
    <row r="44" spans="1:4" x14ac:dyDescent="0.35">
      <c r="A44" s="4">
        <v>46247</v>
      </c>
      <c r="B44" s="1" t="s">
        <v>46</v>
      </c>
      <c r="C44" s="2">
        <v>6</v>
      </c>
      <c r="D44" s="1" t="s">
        <v>18</v>
      </c>
    </row>
    <row r="45" spans="1:4" x14ac:dyDescent="0.35">
      <c r="A45" s="4">
        <v>46249</v>
      </c>
      <c r="B45" s="1" t="s">
        <v>47</v>
      </c>
      <c r="C45" s="2">
        <v>5</v>
      </c>
      <c r="D45" s="1" t="s">
        <v>18</v>
      </c>
    </row>
    <row r="46" spans="1:4" x14ac:dyDescent="0.35">
      <c r="A46" s="4">
        <v>46249</v>
      </c>
      <c r="B46" s="1" t="s">
        <v>48</v>
      </c>
      <c r="C46" s="2">
        <v>12.975</v>
      </c>
      <c r="D46" s="1" t="s">
        <v>18</v>
      </c>
    </row>
    <row r="47" spans="1:4" x14ac:dyDescent="0.35">
      <c r="A47" s="4">
        <v>46249</v>
      </c>
      <c r="B47" s="1" t="s">
        <v>49</v>
      </c>
      <c r="C47" s="2">
        <v>23</v>
      </c>
      <c r="D47" s="1" t="s">
        <v>18</v>
      </c>
    </row>
    <row r="48" spans="1:4" x14ac:dyDescent="0.35">
      <c r="A48" s="4">
        <v>46251</v>
      </c>
      <c r="B48" s="1" t="s">
        <v>46</v>
      </c>
      <c r="C48" s="2">
        <v>6</v>
      </c>
      <c r="D48" s="1" t="s">
        <v>18</v>
      </c>
    </row>
    <row r="49" spans="1:4" x14ac:dyDescent="0.35">
      <c r="A49" s="4">
        <v>46252</v>
      </c>
      <c r="B49" s="1" t="s">
        <v>50</v>
      </c>
      <c r="C49" s="2">
        <v>4.9749999999999996</v>
      </c>
      <c r="D49" s="1" t="s">
        <v>18</v>
      </c>
    </row>
    <row r="50" spans="1:4" x14ac:dyDescent="0.35">
      <c r="A50" s="4">
        <v>46252</v>
      </c>
      <c r="B50" s="1" t="s">
        <v>51</v>
      </c>
      <c r="C50" s="2">
        <v>10.199999999999999</v>
      </c>
      <c r="D50" s="1" t="s">
        <v>18</v>
      </c>
    </row>
    <row r="51" spans="1:4" x14ac:dyDescent="0.35">
      <c r="A51" s="4">
        <v>46252</v>
      </c>
      <c r="B51" s="1" t="s">
        <v>52</v>
      </c>
      <c r="C51" s="2">
        <v>15</v>
      </c>
      <c r="D51" s="1" t="s">
        <v>18</v>
      </c>
    </row>
    <row r="52" spans="1:4" x14ac:dyDescent="0.35">
      <c r="A52" s="4">
        <v>46252</v>
      </c>
      <c r="B52" s="1" t="s">
        <v>53</v>
      </c>
      <c r="C52" s="2">
        <v>12</v>
      </c>
      <c r="D52" s="1" t="s">
        <v>18</v>
      </c>
    </row>
    <row r="53" spans="1:4" x14ac:dyDescent="0.35">
      <c r="A53" s="4">
        <v>46252</v>
      </c>
      <c r="B53" s="1" t="s">
        <v>54</v>
      </c>
      <c r="C53" s="2">
        <v>30</v>
      </c>
      <c r="D53" s="1" t="s">
        <v>18</v>
      </c>
    </row>
    <row r="54" spans="1:4" x14ac:dyDescent="0.35">
      <c r="A54" s="4">
        <v>46253</v>
      </c>
      <c r="B54" s="1" t="s">
        <v>46</v>
      </c>
      <c r="C54" s="2">
        <v>89.65</v>
      </c>
      <c r="D54" s="1" t="s">
        <v>18</v>
      </c>
    </row>
    <row r="55" spans="1:4" x14ac:dyDescent="0.35">
      <c r="A55" s="4">
        <v>46253</v>
      </c>
      <c r="B55" s="1" t="s">
        <v>55</v>
      </c>
      <c r="C55" s="2">
        <v>125</v>
      </c>
      <c r="D55" s="1" t="s">
        <v>18</v>
      </c>
    </row>
    <row r="56" spans="1:4" x14ac:dyDescent="0.35">
      <c r="A56" s="4">
        <v>46254</v>
      </c>
      <c r="B56" s="1" t="s">
        <v>56</v>
      </c>
      <c r="C56" s="2">
        <v>32.975000000000001</v>
      </c>
      <c r="D56" s="1" t="s">
        <v>18</v>
      </c>
    </row>
    <row r="57" spans="1:4" x14ac:dyDescent="0.35">
      <c r="A57" s="4">
        <v>46254</v>
      </c>
      <c r="B57" s="1" t="s">
        <v>28</v>
      </c>
      <c r="C57" s="2">
        <v>9</v>
      </c>
      <c r="D57" s="1" t="s">
        <v>18</v>
      </c>
    </row>
    <row r="58" spans="1:4" x14ac:dyDescent="0.35">
      <c r="A58" s="4">
        <v>46254</v>
      </c>
      <c r="B58" s="1" t="s">
        <v>57</v>
      </c>
      <c r="C58" s="2">
        <v>15</v>
      </c>
      <c r="D58" s="1" t="s">
        <v>18</v>
      </c>
    </row>
    <row r="59" spans="1:4" x14ac:dyDescent="0.35">
      <c r="A59" s="4">
        <v>46254</v>
      </c>
      <c r="B59" s="1" t="s">
        <v>58</v>
      </c>
      <c r="C59" s="2">
        <v>19.350000000000001</v>
      </c>
      <c r="D59" s="1" t="s">
        <v>18</v>
      </c>
    </row>
    <row r="60" spans="1:4" x14ac:dyDescent="0.35">
      <c r="A60" s="4">
        <v>46254</v>
      </c>
      <c r="B60" s="1" t="s">
        <v>59</v>
      </c>
      <c r="C60" s="2">
        <v>30</v>
      </c>
      <c r="D60" s="1" t="s">
        <v>18</v>
      </c>
    </row>
    <row r="61" spans="1:4" x14ac:dyDescent="0.35">
      <c r="A61" s="4">
        <v>46255</v>
      </c>
      <c r="B61" s="1" t="s">
        <v>60</v>
      </c>
      <c r="C61" s="2">
        <v>7.05</v>
      </c>
      <c r="D61" s="1" t="s">
        <v>18</v>
      </c>
    </row>
    <row r="62" spans="1:4" x14ac:dyDescent="0.35">
      <c r="A62" s="4">
        <v>46255</v>
      </c>
      <c r="B62" s="1" t="s">
        <v>61</v>
      </c>
      <c r="C62" s="2">
        <v>44</v>
      </c>
      <c r="D62" s="1" t="s">
        <v>18</v>
      </c>
    </row>
    <row r="63" spans="1:4" x14ac:dyDescent="0.35">
      <c r="A63" s="4">
        <v>46255</v>
      </c>
      <c r="B63" s="1" t="s">
        <v>62</v>
      </c>
      <c r="C63" s="2">
        <v>9</v>
      </c>
      <c r="D63" s="1" t="s">
        <v>18</v>
      </c>
    </row>
    <row r="64" spans="1:4" x14ac:dyDescent="0.35">
      <c r="A64" s="4">
        <v>46255</v>
      </c>
      <c r="B64" s="1" t="s">
        <v>63</v>
      </c>
      <c r="C64" s="2">
        <v>4</v>
      </c>
      <c r="D64" s="1" t="s">
        <v>18</v>
      </c>
    </row>
    <row r="65" spans="1:4" x14ac:dyDescent="0.35">
      <c r="A65" s="4">
        <v>46255</v>
      </c>
      <c r="B65" s="1" t="s">
        <v>64</v>
      </c>
      <c r="C65" s="2">
        <v>2</v>
      </c>
      <c r="D65" s="1" t="s">
        <v>18</v>
      </c>
    </row>
    <row r="66" spans="1:4" x14ac:dyDescent="0.35">
      <c r="A66" s="4">
        <v>46255</v>
      </c>
      <c r="B66" s="1" t="s">
        <v>65</v>
      </c>
      <c r="C66" s="2">
        <v>22</v>
      </c>
      <c r="D66" s="1" t="s">
        <v>18</v>
      </c>
    </row>
    <row r="67" spans="1:4" x14ac:dyDescent="0.35">
      <c r="A67" s="4">
        <v>46256</v>
      </c>
      <c r="B67" s="1" t="s">
        <v>66</v>
      </c>
      <c r="C67" s="2">
        <v>14</v>
      </c>
      <c r="D67" s="1" t="s">
        <v>18</v>
      </c>
    </row>
    <row r="68" spans="1:4" x14ac:dyDescent="0.35">
      <c r="A68" s="4">
        <v>46256</v>
      </c>
      <c r="B68" s="1" t="s">
        <v>67</v>
      </c>
      <c r="C68" s="2">
        <v>11</v>
      </c>
      <c r="D68" s="1" t="s">
        <v>18</v>
      </c>
    </row>
    <row r="69" spans="1:4" x14ac:dyDescent="0.35">
      <c r="A69" s="4">
        <v>46256</v>
      </c>
      <c r="B69" s="1" t="s">
        <v>68</v>
      </c>
      <c r="C69" s="2">
        <v>14</v>
      </c>
      <c r="D69" s="1" t="s">
        <v>18</v>
      </c>
    </row>
    <row r="70" spans="1:4" x14ac:dyDescent="0.35">
      <c r="A70" s="4">
        <v>46258</v>
      </c>
      <c r="B70" s="1" t="s">
        <v>56</v>
      </c>
      <c r="C70" s="2">
        <v>16.5</v>
      </c>
      <c r="D70" s="1" t="s">
        <v>18</v>
      </c>
    </row>
    <row r="71" spans="1:4" x14ac:dyDescent="0.35">
      <c r="A71" s="4">
        <v>46258</v>
      </c>
      <c r="B71" s="1" t="s">
        <v>69</v>
      </c>
      <c r="C71" s="2">
        <v>3</v>
      </c>
      <c r="D71" s="1" t="s">
        <v>18</v>
      </c>
    </row>
    <row r="72" spans="1:4" x14ac:dyDescent="0.35">
      <c r="A72" s="4">
        <v>46258</v>
      </c>
      <c r="B72" s="1" t="s">
        <v>37</v>
      </c>
      <c r="C72" s="2">
        <v>3.9750000000000001</v>
      </c>
      <c r="D72" s="1" t="s">
        <v>18</v>
      </c>
    </row>
    <row r="73" spans="1:4" x14ac:dyDescent="0.35">
      <c r="A73" s="4">
        <v>46258</v>
      </c>
      <c r="B73" s="1" t="s">
        <v>35</v>
      </c>
      <c r="C73" s="2">
        <v>4</v>
      </c>
      <c r="D73" s="1" t="s">
        <v>18</v>
      </c>
    </row>
    <row r="74" spans="1:4" x14ac:dyDescent="0.35">
      <c r="A74" s="4">
        <v>46258</v>
      </c>
      <c r="B74" s="1" t="s">
        <v>70</v>
      </c>
      <c r="C74" s="2">
        <v>13</v>
      </c>
      <c r="D74" s="1" t="s">
        <v>18</v>
      </c>
    </row>
    <row r="75" spans="1:4" x14ac:dyDescent="0.35">
      <c r="A75" s="4">
        <v>46259</v>
      </c>
      <c r="B75" s="1" t="s">
        <v>71</v>
      </c>
      <c r="C75" s="2">
        <v>4</v>
      </c>
      <c r="D75" s="1" t="s">
        <v>18</v>
      </c>
    </row>
    <row r="76" spans="1:4" x14ac:dyDescent="0.35">
      <c r="A76" s="4">
        <v>46259</v>
      </c>
      <c r="B76" s="1" t="s">
        <v>31</v>
      </c>
      <c r="C76" s="2">
        <v>4</v>
      </c>
      <c r="D76" s="1" t="s">
        <v>18</v>
      </c>
    </row>
    <row r="77" spans="1:4" x14ac:dyDescent="0.35">
      <c r="A77" s="4">
        <v>46259</v>
      </c>
      <c r="B77" s="1" t="s">
        <v>29</v>
      </c>
      <c r="C77" s="2">
        <v>6</v>
      </c>
      <c r="D77" s="1" t="s">
        <v>18</v>
      </c>
    </row>
    <row r="78" spans="1:4" x14ac:dyDescent="0.35">
      <c r="A78" s="4">
        <v>46259</v>
      </c>
      <c r="B78" s="1" t="s">
        <v>72</v>
      </c>
      <c r="C78" s="2">
        <v>5</v>
      </c>
      <c r="D78" s="1" t="s">
        <v>18</v>
      </c>
    </row>
    <row r="79" spans="1:4" x14ac:dyDescent="0.35">
      <c r="A79" s="4">
        <v>46259</v>
      </c>
      <c r="B79" s="1" t="s">
        <v>73</v>
      </c>
      <c r="C79" s="2">
        <v>13</v>
      </c>
      <c r="D79" s="1" t="s">
        <v>18</v>
      </c>
    </row>
    <row r="80" spans="1:4" x14ac:dyDescent="0.35">
      <c r="A80" s="4">
        <v>46259</v>
      </c>
      <c r="B80" s="1" t="s">
        <v>56</v>
      </c>
      <c r="C80" s="2">
        <v>13</v>
      </c>
      <c r="D80" s="1" t="s">
        <v>18</v>
      </c>
    </row>
    <row r="81" spans="1:4" x14ac:dyDescent="0.35">
      <c r="A81" s="4">
        <v>46261</v>
      </c>
      <c r="B81" s="1" t="s">
        <v>74</v>
      </c>
      <c r="C81" s="2">
        <v>18</v>
      </c>
      <c r="D81" s="1" t="s">
        <v>18</v>
      </c>
    </row>
    <row r="82" spans="1:4" x14ac:dyDescent="0.35">
      <c r="A82" s="4">
        <v>46261</v>
      </c>
      <c r="B82" s="1" t="s">
        <v>57</v>
      </c>
      <c r="C82" s="2">
        <v>19.95</v>
      </c>
      <c r="D82" s="1" t="s">
        <v>18</v>
      </c>
    </row>
    <row r="83" spans="1:4" x14ac:dyDescent="0.35">
      <c r="A83" s="4">
        <v>46261</v>
      </c>
      <c r="B83" s="1" t="s">
        <v>75</v>
      </c>
      <c r="C83" s="2">
        <v>13</v>
      </c>
      <c r="D83" s="1" t="s">
        <v>18</v>
      </c>
    </row>
    <row r="84" spans="1:4" x14ac:dyDescent="0.35">
      <c r="A84" s="4">
        <v>46261</v>
      </c>
      <c r="B84" s="1" t="s">
        <v>76</v>
      </c>
      <c r="C84" s="2">
        <v>11</v>
      </c>
      <c r="D84" s="1" t="s">
        <v>18</v>
      </c>
    </row>
    <row r="85" spans="1:4" x14ac:dyDescent="0.35">
      <c r="A85" s="4">
        <v>46261</v>
      </c>
      <c r="B85" s="1" t="s">
        <v>77</v>
      </c>
      <c r="C85" s="2">
        <v>5.9749999999999996</v>
      </c>
      <c r="D85" s="1" t="s">
        <v>18</v>
      </c>
    </row>
    <row r="86" spans="1:4" x14ac:dyDescent="0.35">
      <c r="A86" s="4">
        <v>46261</v>
      </c>
      <c r="B86" s="1" t="s">
        <v>78</v>
      </c>
      <c r="C86" s="2">
        <v>6.9749999999999996</v>
      </c>
      <c r="D86" s="1" t="s">
        <v>18</v>
      </c>
    </row>
    <row r="87" spans="1:4" x14ac:dyDescent="0.35">
      <c r="A87" s="4">
        <v>46261</v>
      </c>
      <c r="B87" s="1" t="s">
        <v>55</v>
      </c>
      <c r="C87" s="2">
        <v>140</v>
      </c>
      <c r="D87" s="1" t="s">
        <v>18</v>
      </c>
    </row>
    <row r="88" spans="1:4" x14ac:dyDescent="0.35">
      <c r="A88" s="4">
        <v>46262</v>
      </c>
      <c r="B88" s="1" t="s">
        <v>79</v>
      </c>
      <c r="C88" s="2">
        <v>20.5</v>
      </c>
      <c r="D88" s="1" t="s">
        <v>18</v>
      </c>
    </row>
    <row r="89" spans="1:4" x14ac:dyDescent="0.35">
      <c r="A89" s="4">
        <v>46262</v>
      </c>
      <c r="B89" s="1" t="s">
        <v>80</v>
      </c>
      <c r="C89" s="2">
        <v>18</v>
      </c>
      <c r="D89" s="1" t="s">
        <v>18</v>
      </c>
    </row>
    <row r="90" spans="1:4" x14ac:dyDescent="0.35">
      <c r="A90" s="4">
        <v>46263</v>
      </c>
      <c r="B90" s="1" t="s">
        <v>81</v>
      </c>
      <c r="C90" s="2">
        <v>26</v>
      </c>
      <c r="D90" s="1" t="s">
        <v>18</v>
      </c>
    </row>
    <row r="91" spans="1:4" x14ac:dyDescent="0.35">
      <c r="A91" s="4">
        <v>46265</v>
      </c>
      <c r="B91" s="1" t="s">
        <v>82</v>
      </c>
      <c r="C91" s="2">
        <v>12</v>
      </c>
      <c r="D91" s="1" t="s">
        <v>18</v>
      </c>
    </row>
    <row r="92" spans="1:4" x14ac:dyDescent="0.35">
      <c r="A92" s="4">
        <v>46265</v>
      </c>
      <c r="B92" s="1" t="s">
        <v>83</v>
      </c>
      <c r="C92" s="2">
        <v>12.9</v>
      </c>
      <c r="D92" s="1" t="s">
        <v>18</v>
      </c>
    </row>
    <row r="93" spans="1:4" x14ac:dyDescent="0.35">
      <c r="A93" s="4">
        <v>46265</v>
      </c>
      <c r="B93" s="1" t="s">
        <v>84</v>
      </c>
      <c r="C93" s="2">
        <v>5</v>
      </c>
      <c r="D93" s="1" t="s">
        <v>18</v>
      </c>
    </row>
    <row r="94" spans="1:4" x14ac:dyDescent="0.35">
      <c r="A94" s="4">
        <v>46265</v>
      </c>
      <c r="B94" s="1" t="s">
        <v>85</v>
      </c>
      <c r="C94" s="2">
        <v>3.5</v>
      </c>
      <c r="D94" s="1" t="s">
        <v>18</v>
      </c>
    </row>
    <row r="95" spans="1:4" x14ac:dyDescent="0.35">
      <c r="A95" s="4">
        <v>46265</v>
      </c>
      <c r="B95" s="1" t="s">
        <v>86</v>
      </c>
      <c r="C95" s="2">
        <v>1</v>
      </c>
      <c r="D95" s="1" t="s">
        <v>18</v>
      </c>
    </row>
    <row r="96" spans="1:4" x14ac:dyDescent="0.35">
      <c r="A96" s="4">
        <v>46265</v>
      </c>
      <c r="B96" s="1" t="s">
        <v>87</v>
      </c>
      <c r="C96" s="2">
        <v>30</v>
      </c>
      <c r="D96" s="1" t="s">
        <v>18</v>
      </c>
    </row>
    <row r="97" spans="1:4" x14ac:dyDescent="0.35">
      <c r="A97" s="4">
        <v>46265</v>
      </c>
      <c r="B97" s="1" t="s">
        <v>88</v>
      </c>
      <c r="C97" s="2">
        <v>1</v>
      </c>
      <c r="D97" s="1" t="s">
        <v>18</v>
      </c>
    </row>
    <row r="98" spans="1:4" x14ac:dyDescent="0.35">
      <c r="A98" s="4">
        <v>46265</v>
      </c>
      <c r="B98" s="1" t="s">
        <v>89</v>
      </c>
      <c r="C98" s="2">
        <v>0.75</v>
      </c>
      <c r="D98" s="1" t="s">
        <v>18</v>
      </c>
    </row>
    <row r="99" spans="1:4" x14ac:dyDescent="0.35">
      <c r="A99" s="4">
        <v>46265</v>
      </c>
      <c r="B99" s="1" t="s">
        <v>90</v>
      </c>
      <c r="C99" s="2">
        <v>1</v>
      </c>
      <c r="D99" s="1" t="s">
        <v>18</v>
      </c>
    </row>
    <row r="100" spans="1:4" x14ac:dyDescent="0.35">
      <c r="A100" s="4">
        <v>46265</v>
      </c>
      <c r="B100" s="1" t="s">
        <v>91</v>
      </c>
      <c r="C100" s="2">
        <v>1</v>
      </c>
      <c r="D100" s="1" t="s">
        <v>18</v>
      </c>
    </row>
    <row r="101" spans="1:4" x14ac:dyDescent="0.35">
      <c r="A101" s="4">
        <v>46265</v>
      </c>
      <c r="B101" s="1" t="s">
        <v>92</v>
      </c>
      <c r="C101" s="2">
        <v>0.5</v>
      </c>
      <c r="D101" s="1" t="s">
        <v>18</v>
      </c>
    </row>
    <row r="102" spans="1:4" x14ac:dyDescent="0.35">
      <c r="A102" s="4">
        <v>46265</v>
      </c>
      <c r="B102" s="1" t="s">
        <v>93</v>
      </c>
      <c r="C102" s="2">
        <v>1.75</v>
      </c>
      <c r="D102" s="1" t="s">
        <v>18</v>
      </c>
    </row>
    <row r="103" spans="1:4" x14ac:dyDescent="0.35">
      <c r="A103" s="4">
        <v>46265</v>
      </c>
      <c r="B103" s="1" t="s">
        <v>94</v>
      </c>
      <c r="C103" s="2">
        <v>0.75</v>
      </c>
      <c r="D103" s="1" t="s">
        <v>18</v>
      </c>
    </row>
    <row r="104" spans="1:4" x14ac:dyDescent="0.35">
      <c r="A104" s="4">
        <v>46265</v>
      </c>
      <c r="B104" s="1" t="s">
        <v>95</v>
      </c>
      <c r="C104" s="2">
        <v>1</v>
      </c>
      <c r="D104" s="1" t="s">
        <v>18</v>
      </c>
    </row>
    <row r="105" spans="1:4" x14ac:dyDescent="0.35">
      <c r="A105" s="4">
        <v>46265</v>
      </c>
      <c r="B105" s="1" t="s">
        <v>96</v>
      </c>
      <c r="C105" s="2">
        <v>0.75</v>
      </c>
      <c r="D105" s="1" t="s">
        <v>18</v>
      </c>
    </row>
    <row r="106" spans="1:4" x14ac:dyDescent="0.35">
      <c r="A106" s="4">
        <v>46265</v>
      </c>
      <c r="B106" s="1" t="s">
        <v>97</v>
      </c>
      <c r="C106" s="2">
        <v>0.5</v>
      </c>
      <c r="D106" s="1" t="s">
        <v>18</v>
      </c>
    </row>
    <row r="107" spans="1:4" x14ac:dyDescent="0.35">
      <c r="A107" s="4">
        <v>46265</v>
      </c>
      <c r="B107" s="1" t="s">
        <v>98</v>
      </c>
      <c r="C107" s="2">
        <v>0.5</v>
      </c>
      <c r="D107" s="1" t="s">
        <v>18</v>
      </c>
    </row>
    <row r="108" spans="1:4" x14ac:dyDescent="0.35">
      <c r="A108" s="4">
        <v>46265</v>
      </c>
      <c r="B108" s="1" t="s">
        <v>99</v>
      </c>
      <c r="C108" s="2">
        <v>1</v>
      </c>
      <c r="D108" s="1" t="s">
        <v>18</v>
      </c>
    </row>
    <row r="109" spans="1:4" x14ac:dyDescent="0.35">
      <c r="A109" s="4">
        <v>46265</v>
      </c>
      <c r="B109" s="1" t="s">
        <v>100</v>
      </c>
      <c r="C109" s="2">
        <v>1.25</v>
      </c>
      <c r="D109" s="1" t="s">
        <v>18</v>
      </c>
    </row>
    <row r="110" spans="1:4" x14ac:dyDescent="0.35">
      <c r="A110" s="4">
        <v>46265</v>
      </c>
      <c r="B110" s="1" t="s">
        <v>101</v>
      </c>
      <c r="C110" s="2">
        <v>0.5</v>
      </c>
      <c r="D110" s="1" t="s">
        <v>18</v>
      </c>
    </row>
    <row r="111" spans="1:4" x14ac:dyDescent="0.35">
      <c r="A111" s="4">
        <v>46265</v>
      </c>
      <c r="B111" s="1" t="s">
        <v>102</v>
      </c>
      <c r="C111" s="2">
        <v>2</v>
      </c>
      <c r="D111" s="1" t="s">
        <v>18</v>
      </c>
    </row>
    <row r="112" spans="1:4" x14ac:dyDescent="0.35">
      <c r="A112" s="4">
        <v>46265</v>
      </c>
      <c r="B112" s="1" t="s">
        <v>103</v>
      </c>
      <c r="C112" s="2">
        <v>0.5</v>
      </c>
      <c r="D112" s="1" t="s">
        <v>18</v>
      </c>
    </row>
    <row r="113" spans="1:4" x14ac:dyDescent="0.35">
      <c r="A113" s="4">
        <v>46265</v>
      </c>
      <c r="B113" s="1" t="s">
        <v>104</v>
      </c>
      <c r="C113" s="2">
        <v>2.5</v>
      </c>
      <c r="D113" s="1" t="s">
        <v>18</v>
      </c>
    </row>
    <row r="114" spans="1:4" x14ac:dyDescent="0.35">
      <c r="A114" s="4">
        <v>46265</v>
      </c>
      <c r="B114" s="1" t="s">
        <v>105</v>
      </c>
      <c r="C114" s="2">
        <v>1</v>
      </c>
      <c r="D114" s="1" t="s">
        <v>18</v>
      </c>
    </row>
    <row r="115" spans="1:4" x14ac:dyDescent="0.35">
      <c r="A115" s="4">
        <v>46265</v>
      </c>
      <c r="B115" s="1" t="s">
        <v>106</v>
      </c>
      <c r="C115" s="2">
        <v>1</v>
      </c>
      <c r="D115" s="1" t="s">
        <v>18</v>
      </c>
    </row>
    <row r="116" spans="1:4" x14ac:dyDescent="0.35">
      <c r="A116" s="4">
        <v>46265</v>
      </c>
      <c r="B116" s="1" t="s">
        <v>107</v>
      </c>
      <c r="C116" s="2">
        <v>1.75</v>
      </c>
      <c r="D116" s="1" t="s">
        <v>18</v>
      </c>
    </row>
    <row r="117" spans="1:4" x14ac:dyDescent="0.35">
      <c r="A117" s="4">
        <v>46265</v>
      </c>
      <c r="B117" s="1" t="s">
        <v>108</v>
      </c>
      <c r="C117" s="2">
        <v>1</v>
      </c>
      <c r="D117" s="1" t="s">
        <v>18</v>
      </c>
    </row>
    <row r="118" spans="1:4" ht="25.5" customHeight="1" x14ac:dyDescent="0.35">
      <c r="A118" s="4"/>
      <c r="B118" s="10" t="s">
        <v>16</v>
      </c>
      <c r="C118" s="6">
        <f>SUM(C14:C117)</f>
        <v>1737.2749999999996</v>
      </c>
      <c r="D118" s="1"/>
    </row>
  </sheetData>
  <mergeCells count="2">
    <mergeCell ref="A12:D12"/>
    <mergeCell ref="B1:J1"/>
  </mergeCells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cp:lastPrinted>2026-09-14T05:26:56Z</cp:lastPrinted>
  <dcterms:created xsi:type="dcterms:W3CDTF">2026-08-01T05:49:07Z</dcterms:created>
  <dcterms:modified xsi:type="dcterms:W3CDTF">2026-10-15T05:11:35Z</dcterms:modified>
</cp:coreProperties>
</file>