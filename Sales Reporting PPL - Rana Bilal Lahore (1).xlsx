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78AB3236-7793-4FDE-8F79-EAA58159FAF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(25-06-26)" sheetId="5" r:id="rId1"/>
    <sheet name="(24-06-26)" sheetId="4" r:id="rId2"/>
    <sheet name="(23-06-26)" sheetId="3" r:id="rId3"/>
    <sheet name="(22-06-26)" sheetId="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25" i="5" l="1"/>
  <c r="S25" i="5"/>
  <c r="P25" i="5"/>
  <c r="N25" i="5"/>
  <c r="L25" i="5"/>
  <c r="K25" i="5"/>
  <c r="J25" i="5"/>
  <c r="J26" i="5" s="1"/>
  <c r="H25" i="5"/>
  <c r="M25" i="5" s="1"/>
  <c r="G25" i="5"/>
  <c r="U24" i="5"/>
  <c r="R24" i="5"/>
  <c r="T24" i="5" s="1"/>
  <c r="O24" i="5"/>
  <c r="Q24" i="5" s="1"/>
  <c r="M24" i="5"/>
  <c r="L24" i="5"/>
  <c r="I24" i="5"/>
  <c r="U23" i="5"/>
  <c r="R23" i="5"/>
  <c r="T23" i="5" s="1"/>
  <c r="O23" i="5"/>
  <c r="Q23" i="5" s="1"/>
  <c r="M23" i="5"/>
  <c r="L23" i="5"/>
  <c r="I23" i="5"/>
  <c r="U22" i="5"/>
  <c r="R22" i="5"/>
  <c r="T22" i="5" s="1"/>
  <c r="O22" i="5"/>
  <c r="Q22" i="5" s="1"/>
  <c r="M22" i="5"/>
  <c r="L22" i="5"/>
  <c r="I22" i="5"/>
  <c r="U21" i="5"/>
  <c r="R21" i="5"/>
  <c r="R25" i="5" s="1"/>
  <c r="O21" i="5"/>
  <c r="O25" i="5" s="1"/>
  <c r="M21" i="5"/>
  <c r="L21" i="5"/>
  <c r="I21" i="5"/>
  <c r="V20" i="5"/>
  <c r="S20" i="5"/>
  <c r="P20" i="5"/>
  <c r="U20" i="5" s="1"/>
  <c r="N20" i="5"/>
  <c r="L20" i="5"/>
  <c r="K20" i="5"/>
  <c r="J20" i="5"/>
  <c r="H20" i="5"/>
  <c r="M20" i="5" s="1"/>
  <c r="G20" i="5"/>
  <c r="U19" i="5"/>
  <c r="R19" i="5"/>
  <c r="T19" i="5" s="1"/>
  <c r="O19" i="5"/>
  <c r="Q19" i="5" s="1"/>
  <c r="M19" i="5"/>
  <c r="L19" i="5"/>
  <c r="I19" i="5"/>
  <c r="U18" i="5"/>
  <c r="R18" i="5"/>
  <c r="T18" i="5" s="1"/>
  <c r="O18" i="5"/>
  <c r="Q18" i="5" s="1"/>
  <c r="M18" i="5"/>
  <c r="L18" i="5"/>
  <c r="I18" i="5"/>
  <c r="U17" i="5"/>
  <c r="R17" i="5"/>
  <c r="T17" i="5" s="1"/>
  <c r="O17" i="5"/>
  <c r="Q17" i="5" s="1"/>
  <c r="M17" i="5"/>
  <c r="L17" i="5"/>
  <c r="I17" i="5"/>
  <c r="U16" i="5"/>
  <c r="R16" i="5"/>
  <c r="T16" i="5" s="1"/>
  <c r="O16" i="5"/>
  <c r="Q16" i="5" s="1"/>
  <c r="M16" i="5"/>
  <c r="L16" i="5"/>
  <c r="I16" i="5"/>
  <c r="U15" i="5"/>
  <c r="R15" i="5"/>
  <c r="R20" i="5" s="1"/>
  <c r="T20" i="5" s="1"/>
  <c r="O15" i="5"/>
  <c r="O20" i="5" s="1"/>
  <c r="M15" i="5"/>
  <c r="L15" i="5"/>
  <c r="I15" i="5"/>
  <c r="S14" i="5"/>
  <c r="P14" i="5"/>
  <c r="K14" i="5"/>
  <c r="L14" i="5" s="1"/>
  <c r="J14" i="5"/>
  <c r="H14" i="5"/>
  <c r="G14" i="5"/>
  <c r="U13" i="5"/>
  <c r="T13" i="5"/>
  <c r="V13" i="5" s="1"/>
  <c r="R13" i="5"/>
  <c r="Q13" i="5"/>
  <c r="O13" i="5"/>
  <c r="N13" i="5"/>
  <c r="M13" i="5"/>
  <c r="L13" i="5"/>
  <c r="I13" i="5"/>
  <c r="U12" i="5"/>
  <c r="T12" i="5"/>
  <c r="R12" i="5"/>
  <c r="Q12" i="5"/>
  <c r="V12" i="5" s="1"/>
  <c r="O12" i="5"/>
  <c r="M12" i="5"/>
  <c r="L12" i="5"/>
  <c r="N12" i="5" s="1"/>
  <c r="I12" i="5"/>
  <c r="U11" i="5"/>
  <c r="R11" i="5"/>
  <c r="T11" i="5" s="1"/>
  <c r="O11" i="5"/>
  <c r="Q11" i="5" s="1"/>
  <c r="M11" i="5"/>
  <c r="L11" i="5"/>
  <c r="I11" i="5"/>
  <c r="U10" i="5"/>
  <c r="T10" i="5"/>
  <c r="R10" i="5"/>
  <c r="Q10" i="5"/>
  <c r="V10" i="5" s="1"/>
  <c r="O10" i="5"/>
  <c r="M10" i="5"/>
  <c r="L10" i="5"/>
  <c r="N10" i="5" s="1"/>
  <c r="I10" i="5"/>
  <c r="U9" i="5"/>
  <c r="R9" i="5"/>
  <c r="T9" i="5" s="1"/>
  <c r="O9" i="5"/>
  <c r="Q9" i="5" s="1"/>
  <c r="M9" i="5"/>
  <c r="L9" i="5"/>
  <c r="I9" i="5"/>
  <c r="N9" i="5" s="1"/>
  <c r="U8" i="5"/>
  <c r="T8" i="5"/>
  <c r="R8" i="5"/>
  <c r="R14" i="5" s="1"/>
  <c r="O8" i="5"/>
  <c r="Q8" i="5" s="1"/>
  <c r="M8" i="5"/>
  <c r="L8" i="5"/>
  <c r="I8" i="5"/>
  <c r="U7" i="5"/>
  <c r="T7" i="5"/>
  <c r="V7" i="5" s="1"/>
  <c r="R7" i="5"/>
  <c r="Q7" i="5"/>
  <c r="O7" i="5"/>
  <c r="N7" i="5"/>
  <c r="M7" i="5"/>
  <c r="L7" i="5"/>
  <c r="I7" i="5"/>
  <c r="U6" i="5"/>
  <c r="R6" i="5"/>
  <c r="T6" i="5" s="1"/>
  <c r="Q6" i="5"/>
  <c r="O6" i="5"/>
  <c r="M6" i="5"/>
  <c r="L6" i="5"/>
  <c r="N6" i="5" s="1"/>
  <c r="I6" i="5"/>
  <c r="U5" i="5"/>
  <c r="R5" i="5"/>
  <c r="T5" i="5" s="1"/>
  <c r="Q5" i="5"/>
  <c r="O5" i="5"/>
  <c r="M5" i="5"/>
  <c r="L5" i="5"/>
  <c r="I5" i="5"/>
  <c r="N5" i="5" s="1"/>
  <c r="U4" i="5"/>
  <c r="T4" i="5"/>
  <c r="R4" i="5"/>
  <c r="Q4" i="5"/>
  <c r="O4" i="5"/>
  <c r="M4" i="5"/>
  <c r="L4" i="5"/>
  <c r="I4" i="5"/>
  <c r="O10" i="4"/>
  <c r="O11" i="4"/>
  <c r="O12" i="4"/>
  <c r="O13" i="4"/>
  <c r="Q13" i="4" s="1"/>
  <c r="V13" i="4" s="1"/>
  <c r="V25" i="4"/>
  <c r="U25" i="4"/>
  <c r="S25" i="4"/>
  <c r="P25" i="4"/>
  <c r="N25" i="4"/>
  <c r="M25" i="4"/>
  <c r="L25" i="4"/>
  <c r="K25" i="4"/>
  <c r="K26" i="4" s="1"/>
  <c r="J25" i="4"/>
  <c r="I25" i="4"/>
  <c r="H25" i="4"/>
  <c r="G25" i="4"/>
  <c r="G26" i="4" s="1"/>
  <c r="U24" i="4"/>
  <c r="T24" i="4"/>
  <c r="R24" i="4"/>
  <c r="O24" i="4"/>
  <c r="Q24" i="4" s="1"/>
  <c r="M24" i="4"/>
  <c r="L24" i="4"/>
  <c r="I24" i="4"/>
  <c r="U23" i="4"/>
  <c r="T23" i="4"/>
  <c r="R23" i="4"/>
  <c r="O23" i="4"/>
  <c r="Q23" i="4" s="1"/>
  <c r="M23" i="4"/>
  <c r="L23" i="4"/>
  <c r="I23" i="4"/>
  <c r="U22" i="4"/>
  <c r="T22" i="4"/>
  <c r="R22" i="4"/>
  <c r="O22" i="4"/>
  <c r="Q22" i="4" s="1"/>
  <c r="M22" i="4"/>
  <c r="L22" i="4"/>
  <c r="I22" i="4"/>
  <c r="U21" i="4"/>
  <c r="T21" i="4"/>
  <c r="R21" i="4"/>
  <c r="R25" i="4" s="1"/>
  <c r="O21" i="4"/>
  <c r="O25" i="4" s="1"/>
  <c r="M21" i="4"/>
  <c r="L21" i="4"/>
  <c r="I21" i="4"/>
  <c r="V20" i="4"/>
  <c r="S20" i="4"/>
  <c r="U20" i="4" s="1"/>
  <c r="P20" i="4"/>
  <c r="N20" i="4"/>
  <c r="K20" i="4"/>
  <c r="J20" i="4"/>
  <c r="L20" i="4" s="1"/>
  <c r="H20" i="4"/>
  <c r="M20" i="4" s="1"/>
  <c r="G20" i="4"/>
  <c r="U19" i="4"/>
  <c r="R19" i="4"/>
  <c r="T19" i="4" s="1"/>
  <c r="O19" i="4"/>
  <c r="Q19" i="4" s="1"/>
  <c r="M19" i="4"/>
  <c r="L19" i="4"/>
  <c r="I19" i="4"/>
  <c r="U18" i="4"/>
  <c r="T18" i="4"/>
  <c r="R18" i="4"/>
  <c r="O18" i="4"/>
  <c r="Q18" i="4" s="1"/>
  <c r="M18" i="4"/>
  <c r="L18" i="4"/>
  <c r="I18" i="4"/>
  <c r="U17" i="4"/>
  <c r="R17" i="4"/>
  <c r="T17" i="4" s="1"/>
  <c r="O17" i="4"/>
  <c r="Q17" i="4" s="1"/>
  <c r="M17" i="4"/>
  <c r="L17" i="4"/>
  <c r="I17" i="4"/>
  <c r="U16" i="4"/>
  <c r="T16" i="4"/>
  <c r="R16" i="4"/>
  <c r="O16" i="4"/>
  <c r="Q16" i="4" s="1"/>
  <c r="M16" i="4"/>
  <c r="L16" i="4"/>
  <c r="I16" i="4"/>
  <c r="U15" i="4"/>
  <c r="R15" i="4"/>
  <c r="T15" i="4" s="1"/>
  <c r="O15" i="4"/>
  <c r="M15" i="4"/>
  <c r="L15" i="4"/>
  <c r="I15" i="4"/>
  <c r="S14" i="4"/>
  <c r="P14" i="4"/>
  <c r="K14" i="4"/>
  <c r="J14" i="4"/>
  <c r="H14" i="4"/>
  <c r="I14" i="4" s="1"/>
  <c r="G14" i="4"/>
  <c r="U13" i="4"/>
  <c r="T13" i="4"/>
  <c r="R13" i="4"/>
  <c r="M13" i="4"/>
  <c r="L13" i="4"/>
  <c r="N13" i="4" s="1"/>
  <c r="I13" i="4"/>
  <c r="U12" i="4"/>
  <c r="R12" i="4"/>
  <c r="T12" i="4" s="1"/>
  <c r="Q12" i="4"/>
  <c r="N12" i="4"/>
  <c r="M12" i="4"/>
  <c r="L12" i="4"/>
  <c r="I12" i="4"/>
  <c r="U11" i="4"/>
  <c r="R11" i="4"/>
  <c r="T11" i="4" s="1"/>
  <c r="Q11" i="4"/>
  <c r="M11" i="4"/>
  <c r="L11" i="4"/>
  <c r="N11" i="4" s="1"/>
  <c r="I11" i="4"/>
  <c r="U10" i="4"/>
  <c r="R10" i="4"/>
  <c r="T10" i="4" s="1"/>
  <c r="Q10" i="4"/>
  <c r="M10" i="4"/>
  <c r="L10" i="4"/>
  <c r="N10" i="4" s="1"/>
  <c r="I10" i="4"/>
  <c r="U9" i="4"/>
  <c r="R9" i="4"/>
  <c r="T9" i="4" s="1"/>
  <c r="O9" i="4"/>
  <c r="Q9" i="4" s="1"/>
  <c r="M9" i="4"/>
  <c r="L9" i="4"/>
  <c r="I9" i="4"/>
  <c r="U8" i="4"/>
  <c r="R8" i="4"/>
  <c r="T8" i="4" s="1"/>
  <c r="O8" i="4"/>
  <c r="Q8" i="4" s="1"/>
  <c r="M8" i="4"/>
  <c r="L8" i="4"/>
  <c r="I8" i="4"/>
  <c r="U7" i="4"/>
  <c r="R7" i="4"/>
  <c r="T7" i="4" s="1"/>
  <c r="O7" i="4"/>
  <c r="Q7" i="4" s="1"/>
  <c r="M7" i="4"/>
  <c r="L7" i="4"/>
  <c r="I7" i="4"/>
  <c r="U6" i="4"/>
  <c r="R6" i="4"/>
  <c r="T6" i="4" s="1"/>
  <c r="O6" i="4"/>
  <c r="Q6" i="4" s="1"/>
  <c r="M6" i="4"/>
  <c r="L6" i="4"/>
  <c r="I6" i="4"/>
  <c r="U5" i="4"/>
  <c r="R5" i="4"/>
  <c r="T5" i="4" s="1"/>
  <c r="O5" i="4"/>
  <c r="Q5" i="4" s="1"/>
  <c r="M5" i="4"/>
  <c r="L5" i="4"/>
  <c r="I5" i="4"/>
  <c r="U4" i="4"/>
  <c r="R4" i="4"/>
  <c r="O4" i="4"/>
  <c r="Q4" i="4" s="1"/>
  <c r="M4" i="4"/>
  <c r="L4" i="4"/>
  <c r="I4" i="4"/>
  <c r="R22" i="3"/>
  <c r="R23" i="3"/>
  <c r="R24" i="3"/>
  <c r="R21" i="3"/>
  <c r="T21" i="3" s="1"/>
  <c r="R16" i="3"/>
  <c r="T16" i="3" s="1"/>
  <c r="R17" i="3"/>
  <c r="R18" i="3"/>
  <c r="T18" i="3" s="1"/>
  <c r="R19" i="3"/>
  <c r="T19" i="3" s="1"/>
  <c r="R15" i="3"/>
  <c r="O22" i="3"/>
  <c r="O23" i="3"/>
  <c r="Q23" i="3" s="1"/>
  <c r="O24" i="3"/>
  <c r="O21" i="3"/>
  <c r="O16" i="3"/>
  <c r="O17" i="3"/>
  <c r="Q17" i="3" s="1"/>
  <c r="O18" i="3"/>
  <c r="Q18" i="3" s="1"/>
  <c r="O19" i="3"/>
  <c r="Q19" i="3" s="1"/>
  <c r="O15" i="3"/>
  <c r="V25" i="3"/>
  <c r="S25" i="3"/>
  <c r="P25" i="3"/>
  <c r="N25" i="3"/>
  <c r="K25" i="3"/>
  <c r="L25" i="3" s="1"/>
  <c r="J25" i="3"/>
  <c r="H25" i="3"/>
  <c r="I25" i="3" s="1"/>
  <c r="G25" i="3"/>
  <c r="G26" i="3" s="1"/>
  <c r="U24" i="3"/>
  <c r="T24" i="3"/>
  <c r="Q24" i="3"/>
  <c r="M24" i="3"/>
  <c r="L24" i="3"/>
  <c r="I24" i="3"/>
  <c r="U23" i="3"/>
  <c r="T23" i="3"/>
  <c r="M23" i="3"/>
  <c r="L23" i="3"/>
  <c r="I23" i="3"/>
  <c r="U22" i="3"/>
  <c r="Q22" i="3"/>
  <c r="M22" i="3"/>
  <c r="L22" i="3"/>
  <c r="I22" i="3"/>
  <c r="U21" i="3"/>
  <c r="Q21" i="3"/>
  <c r="M21" i="3"/>
  <c r="L21" i="3"/>
  <c r="I21" i="3"/>
  <c r="V20" i="3"/>
  <c r="S20" i="3"/>
  <c r="P20" i="3"/>
  <c r="N20" i="3"/>
  <c r="K20" i="3"/>
  <c r="L20" i="3" s="1"/>
  <c r="J20" i="3"/>
  <c r="H20" i="3"/>
  <c r="I20" i="3" s="1"/>
  <c r="G20" i="3"/>
  <c r="U19" i="3"/>
  <c r="M19" i="3"/>
  <c r="L19" i="3"/>
  <c r="I19" i="3"/>
  <c r="U18" i="3"/>
  <c r="M18" i="3"/>
  <c r="L18" i="3"/>
  <c r="I18" i="3"/>
  <c r="U17" i="3"/>
  <c r="T17" i="3"/>
  <c r="M17" i="3"/>
  <c r="L17" i="3"/>
  <c r="I17" i="3"/>
  <c r="U16" i="3"/>
  <c r="Q16" i="3"/>
  <c r="M16" i="3"/>
  <c r="L16" i="3"/>
  <c r="I16" i="3"/>
  <c r="U15" i="3"/>
  <c r="T15" i="3"/>
  <c r="M15" i="3"/>
  <c r="L15" i="3"/>
  <c r="I15" i="3"/>
  <c r="S14" i="3"/>
  <c r="P14" i="3"/>
  <c r="K14" i="3"/>
  <c r="J14" i="3"/>
  <c r="H14" i="3"/>
  <c r="I14" i="3" s="1"/>
  <c r="G14" i="3"/>
  <c r="U13" i="3"/>
  <c r="R13" i="3"/>
  <c r="T13" i="3" s="1"/>
  <c r="V13" i="3" s="1"/>
  <c r="Q13" i="3"/>
  <c r="O13" i="3"/>
  <c r="M13" i="3"/>
  <c r="L13" i="3"/>
  <c r="N13" i="3" s="1"/>
  <c r="I13" i="3"/>
  <c r="U12" i="3"/>
  <c r="R12" i="3"/>
  <c r="T12" i="3" s="1"/>
  <c r="O12" i="3"/>
  <c r="Q12" i="3" s="1"/>
  <c r="M12" i="3"/>
  <c r="L12" i="3"/>
  <c r="I12" i="3"/>
  <c r="U11" i="3"/>
  <c r="R11" i="3"/>
  <c r="T11" i="3" s="1"/>
  <c r="V11" i="3" s="1"/>
  <c r="Q11" i="3"/>
  <c r="O11" i="3"/>
  <c r="M11" i="3"/>
  <c r="L11" i="3"/>
  <c r="N11" i="3" s="1"/>
  <c r="I11" i="3"/>
  <c r="U10" i="3"/>
  <c r="R10" i="3"/>
  <c r="T10" i="3" s="1"/>
  <c r="O10" i="3"/>
  <c r="Q10" i="3" s="1"/>
  <c r="M10" i="3"/>
  <c r="L10" i="3"/>
  <c r="N10" i="3" s="1"/>
  <c r="I10" i="3"/>
  <c r="U9" i="3"/>
  <c r="R9" i="3"/>
  <c r="T9" i="3" s="1"/>
  <c r="V9" i="3" s="1"/>
  <c r="Q9" i="3"/>
  <c r="O9" i="3"/>
  <c r="N9" i="3"/>
  <c r="M9" i="3"/>
  <c r="L9" i="3"/>
  <c r="I9" i="3"/>
  <c r="U8" i="3"/>
  <c r="R8" i="3"/>
  <c r="T8" i="3" s="1"/>
  <c r="O8" i="3"/>
  <c r="Q8" i="3" s="1"/>
  <c r="M8" i="3"/>
  <c r="L8" i="3"/>
  <c r="N8" i="3" s="1"/>
  <c r="I8" i="3"/>
  <c r="U7" i="3"/>
  <c r="R7" i="3"/>
  <c r="T7" i="3" s="1"/>
  <c r="Q7" i="3"/>
  <c r="O7" i="3"/>
  <c r="M7" i="3"/>
  <c r="L7" i="3"/>
  <c r="I7" i="3"/>
  <c r="U6" i="3"/>
  <c r="R6" i="3"/>
  <c r="T6" i="3" s="1"/>
  <c r="O6" i="3"/>
  <c r="Q6" i="3" s="1"/>
  <c r="M6" i="3"/>
  <c r="L6" i="3"/>
  <c r="I6" i="3"/>
  <c r="U5" i="3"/>
  <c r="R5" i="3"/>
  <c r="O5" i="3"/>
  <c r="Q5" i="3" s="1"/>
  <c r="M5" i="3"/>
  <c r="L5" i="3"/>
  <c r="N5" i="3" s="1"/>
  <c r="I5" i="3"/>
  <c r="U4" i="3"/>
  <c r="R4" i="3"/>
  <c r="T4" i="3" s="1"/>
  <c r="O4" i="3"/>
  <c r="Q4" i="3" s="1"/>
  <c r="M4" i="3"/>
  <c r="L4" i="3"/>
  <c r="I4" i="3"/>
  <c r="R5" i="1"/>
  <c r="R6" i="1"/>
  <c r="R7" i="1"/>
  <c r="R8" i="1"/>
  <c r="R9" i="1"/>
  <c r="R10" i="1"/>
  <c r="R11" i="1"/>
  <c r="R12" i="1"/>
  <c r="T12" i="1" s="1"/>
  <c r="R13" i="1"/>
  <c r="R4" i="1"/>
  <c r="T4" i="1" s="1"/>
  <c r="O5" i="1"/>
  <c r="O6" i="1"/>
  <c r="O7" i="1"/>
  <c r="Q7" i="1" s="1"/>
  <c r="O8" i="1"/>
  <c r="O9" i="1"/>
  <c r="O10" i="1"/>
  <c r="O11" i="1"/>
  <c r="Q11" i="1" s="1"/>
  <c r="O12" i="1"/>
  <c r="O13" i="1"/>
  <c r="O4" i="1"/>
  <c r="Q4" i="1" s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V20" i="1"/>
  <c r="S20" i="1"/>
  <c r="R20" i="1"/>
  <c r="P20" i="1"/>
  <c r="O20" i="1"/>
  <c r="N20" i="1"/>
  <c r="K20" i="1"/>
  <c r="J20" i="1"/>
  <c r="H20" i="1"/>
  <c r="G20" i="1"/>
  <c r="U19" i="1"/>
  <c r="T19" i="1"/>
  <c r="Q19" i="1"/>
  <c r="M19" i="1"/>
  <c r="L19" i="1"/>
  <c r="I19" i="1"/>
  <c r="U18" i="1"/>
  <c r="T18" i="1"/>
  <c r="Q18" i="1"/>
  <c r="M18" i="1"/>
  <c r="L18" i="1"/>
  <c r="I18" i="1"/>
  <c r="U17" i="1"/>
  <c r="T17" i="1"/>
  <c r="Q17" i="1"/>
  <c r="M17" i="1"/>
  <c r="L17" i="1"/>
  <c r="I17" i="1"/>
  <c r="U16" i="1"/>
  <c r="T16" i="1"/>
  <c r="Q16" i="1"/>
  <c r="M16" i="1"/>
  <c r="L16" i="1"/>
  <c r="I16" i="1"/>
  <c r="U15" i="1"/>
  <c r="T15" i="1"/>
  <c r="Q15" i="1"/>
  <c r="M15" i="1"/>
  <c r="L15" i="1"/>
  <c r="I15" i="1"/>
  <c r="S14" i="1"/>
  <c r="R14" i="1"/>
  <c r="P14" i="1"/>
  <c r="K14" i="1"/>
  <c r="J14" i="1"/>
  <c r="H14" i="1"/>
  <c r="G14" i="1"/>
  <c r="U13" i="1"/>
  <c r="T13" i="1"/>
  <c r="Q13" i="1"/>
  <c r="M13" i="1"/>
  <c r="L13" i="1"/>
  <c r="I13" i="1"/>
  <c r="U12" i="1"/>
  <c r="Q12" i="1"/>
  <c r="M12" i="1"/>
  <c r="L12" i="1"/>
  <c r="I12" i="1"/>
  <c r="U11" i="1"/>
  <c r="T11" i="1"/>
  <c r="M11" i="1"/>
  <c r="L11" i="1"/>
  <c r="I11" i="1"/>
  <c r="U10" i="1"/>
  <c r="T10" i="1"/>
  <c r="Q10" i="1"/>
  <c r="M10" i="1"/>
  <c r="L10" i="1"/>
  <c r="I10" i="1"/>
  <c r="U9" i="1"/>
  <c r="T9" i="1"/>
  <c r="Q9" i="1"/>
  <c r="M9" i="1"/>
  <c r="L9" i="1"/>
  <c r="I9" i="1"/>
  <c r="U8" i="1"/>
  <c r="T8" i="1"/>
  <c r="Q8" i="1"/>
  <c r="M8" i="1"/>
  <c r="L8" i="1"/>
  <c r="I8" i="1"/>
  <c r="U7" i="1"/>
  <c r="T7" i="1"/>
  <c r="M7" i="1"/>
  <c r="L7" i="1"/>
  <c r="I7" i="1"/>
  <c r="U6" i="1"/>
  <c r="T6" i="1"/>
  <c r="Q6" i="1"/>
  <c r="M6" i="1"/>
  <c r="L6" i="1"/>
  <c r="I6" i="1"/>
  <c r="U5" i="1"/>
  <c r="T5" i="1"/>
  <c r="Q5" i="1"/>
  <c r="M5" i="1"/>
  <c r="L5" i="1"/>
  <c r="I5" i="1"/>
  <c r="U4" i="1"/>
  <c r="M4" i="1"/>
  <c r="L4" i="1"/>
  <c r="I4" i="1"/>
  <c r="G26" i="5" l="1"/>
  <c r="N11" i="5"/>
  <c r="V11" i="5"/>
  <c r="O14" i="5"/>
  <c r="O26" i="5" s="1"/>
  <c r="V9" i="5"/>
  <c r="V5" i="5"/>
  <c r="V6" i="5"/>
  <c r="S26" i="5"/>
  <c r="U14" i="5"/>
  <c r="V8" i="5"/>
  <c r="M14" i="5"/>
  <c r="N8" i="5"/>
  <c r="T14" i="5"/>
  <c r="P26" i="5"/>
  <c r="V4" i="5"/>
  <c r="V14" i="5" s="1"/>
  <c r="K26" i="5"/>
  <c r="L26" i="5" s="1"/>
  <c r="N4" i="5"/>
  <c r="N14" i="5" s="1"/>
  <c r="R26" i="5"/>
  <c r="T25" i="5"/>
  <c r="H26" i="5"/>
  <c r="I26" i="5" s="1"/>
  <c r="I14" i="5"/>
  <c r="T15" i="5"/>
  <c r="I20" i="5"/>
  <c r="Q20" i="5"/>
  <c r="T21" i="5"/>
  <c r="I25" i="5"/>
  <c r="Q25" i="5"/>
  <c r="U25" i="5"/>
  <c r="Q15" i="5"/>
  <c r="Q21" i="5"/>
  <c r="I20" i="4"/>
  <c r="U14" i="4"/>
  <c r="O20" i="4"/>
  <c r="Q20" i="4" s="1"/>
  <c r="R20" i="4"/>
  <c r="T20" i="4" s="1"/>
  <c r="P26" i="4"/>
  <c r="L14" i="4"/>
  <c r="R14" i="4"/>
  <c r="T14" i="4" s="1"/>
  <c r="N9" i="4"/>
  <c r="V6" i="4"/>
  <c r="N4" i="4"/>
  <c r="S26" i="4"/>
  <c r="J26" i="4"/>
  <c r="L26" i="4" s="1"/>
  <c r="V11" i="4"/>
  <c r="N6" i="4"/>
  <c r="N14" i="4" s="1"/>
  <c r="N8" i="4"/>
  <c r="M14" i="4"/>
  <c r="N5" i="4"/>
  <c r="H26" i="4"/>
  <c r="I26" i="4" s="1"/>
  <c r="N7" i="4"/>
  <c r="T25" i="4"/>
  <c r="R26" i="4"/>
  <c r="V8" i="4"/>
  <c r="V7" i="4"/>
  <c r="V5" i="4"/>
  <c r="V10" i="4"/>
  <c r="V9" i="4"/>
  <c r="V12" i="4"/>
  <c r="Q25" i="4"/>
  <c r="T4" i="4"/>
  <c r="V4" i="4" s="1"/>
  <c r="O14" i="4"/>
  <c r="Q14" i="4" s="1"/>
  <c r="Q15" i="4"/>
  <c r="Q21" i="4"/>
  <c r="M20" i="3"/>
  <c r="U20" i="3"/>
  <c r="R20" i="3"/>
  <c r="T20" i="3" s="1"/>
  <c r="U25" i="3"/>
  <c r="R25" i="3"/>
  <c r="T22" i="3"/>
  <c r="M25" i="3"/>
  <c r="O25" i="3"/>
  <c r="Q25" i="3" s="1"/>
  <c r="N12" i="3"/>
  <c r="J26" i="3"/>
  <c r="L14" i="3"/>
  <c r="N7" i="3"/>
  <c r="V7" i="3"/>
  <c r="N6" i="3"/>
  <c r="U14" i="3"/>
  <c r="P26" i="3"/>
  <c r="V10" i="3"/>
  <c r="V8" i="3"/>
  <c r="V6" i="3"/>
  <c r="V12" i="3"/>
  <c r="R14" i="3"/>
  <c r="T14" i="3" s="1"/>
  <c r="V4" i="3"/>
  <c r="N4" i="3"/>
  <c r="H26" i="3"/>
  <c r="I26" i="3" s="1"/>
  <c r="T25" i="3"/>
  <c r="O20" i="3"/>
  <c r="Q20" i="3" s="1"/>
  <c r="Q15" i="3"/>
  <c r="N14" i="3"/>
  <c r="O14" i="3"/>
  <c r="S26" i="3"/>
  <c r="M14" i="3"/>
  <c r="K26" i="3"/>
  <c r="T5" i="3"/>
  <c r="V5" i="3" s="1"/>
  <c r="O14" i="1"/>
  <c r="V13" i="1"/>
  <c r="T20" i="1"/>
  <c r="M20" i="1"/>
  <c r="U25" i="1"/>
  <c r="T25" i="1"/>
  <c r="V10" i="1"/>
  <c r="V9" i="1"/>
  <c r="V12" i="1"/>
  <c r="V11" i="1"/>
  <c r="V8" i="1"/>
  <c r="V7" i="1"/>
  <c r="V6" i="1"/>
  <c r="V5" i="1"/>
  <c r="V4" i="1"/>
  <c r="N10" i="1"/>
  <c r="N9" i="1"/>
  <c r="N8" i="1"/>
  <c r="N7" i="1"/>
  <c r="N6" i="1"/>
  <c r="N5" i="1"/>
  <c r="N4" i="1"/>
  <c r="N13" i="1"/>
  <c r="N12" i="1"/>
  <c r="N11" i="1"/>
  <c r="O26" i="1"/>
  <c r="U14" i="1"/>
  <c r="I14" i="1"/>
  <c r="L20" i="1"/>
  <c r="M25" i="1"/>
  <c r="Q14" i="1"/>
  <c r="M14" i="1"/>
  <c r="L14" i="1"/>
  <c r="S26" i="1"/>
  <c r="G26" i="1"/>
  <c r="J26" i="1"/>
  <c r="T14" i="1"/>
  <c r="U20" i="1"/>
  <c r="K26" i="1"/>
  <c r="L25" i="1"/>
  <c r="P26" i="1"/>
  <c r="H26" i="1"/>
  <c r="I20" i="1"/>
  <c r="Q20" i="1"/>
  <c r="I25" i="1"/>
  <c r="Q25" i="1"/>
  <c r="R26" i="1"/>
  <c r="T26" i="5" l="1"/>
  <c r="Q14" i="5"/>
  <c r="Q26" i="5"/>
  <c r="U26" i="5"/>
  <c r="M26" i="5"/>
  <c r="U26" i="4"/>
  <c r="M26" i="4"/>
  <c r="T26" i="4"/>
  <c r="V14" i="4"/>
  <c r="O26" i="4"/>
  <c r="Q26" i="4" s="1"/>
  <c r="O26" i="3"/>
  <c r="Q26" i="3" s="1"/>
  <c r="R26" i="3"/>
  <c r="T26" i="3" s="1"/>
  <c r="Q14" i="3"/>
  <c r="V14" i="3"/>
  <c r="L26" i="3"/>
  <c r="M26" i="3"/>
  <c r="U26" i="3"/>
  <c r="V14" i="1"/>
  <c r="N14" i="1"/>
  <c r="T26" i="1"/>
  <c r="U26" i="1"/>
  <c r="Q26" i="1"/>
  <c r="M26" i="1"/>
  <c r="I26" i="1"/>
  <c r="L26" i="1"/>
</calcChain>
</file>

<file path=xl/sharedStrings.xml><?xml version="1.0" encoding="utf-8"?>
<sst xmlns="http://schemas.openxmlformats.org/spreadsheetml/2006/main" count="636" uniqueCount="54">
  <si>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</si>
  <si>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</si>
  <si>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</si>
  <si>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</si>
  <si>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</si>
  <si>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</si>
  <si>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</si>
  <si>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</si>
  <si>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</si>
  <si>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</si>
  <si>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</si>
  <si>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</si>
  <si>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</si>
  <si>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</si>
  <si>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</si>
  <si>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</si>
  <si>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</si>
  <si>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</si>
  <si>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</si>
  <si>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</si>
  <si>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</si>
  <si>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</si>
  <si>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</si>
  <si>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</si>
  <si>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</si>
  <si>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</si>
  <si>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</si>
  <si>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</si>
  <si>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</si>
  <si>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</si>
  <si>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</si>
  <si>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</si>
  <si>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</si>
  <si>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</si>
  <si>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</si>
  <si>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</si>
  <si>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</si>
  <si>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</si>
  <si>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Muhammad Saleh</t>
  </si>
  <si>
    <t>Lahore Total</t>
  </si>
  <si>
    <t>Noman Younus</t>
  </si>
  <si>
    <t>Shahzad Nayyar</t>
  </si>
  <si>
    <t xml:space="preserve">Muhammad Hassan </t>
  </si>
  <si>
    <t xml:space="preserve">Umar Nawaz </t>
  </si>
  <si>
    <t>22-06-26</t>
  </si>
  <si>
    <t>Booked CTN</t>
  </si>
  <si>
    <t>Executed Orders</t>
  </si>
  <si>
    <t>Executed CTN</t>
  </si>
  <si>
    <t>Booked    Orders</t>
  </si>
  <si>
    <t>23-06-26</t>
  </si>
  <si>
    <t xml:space="preserve">Pending For Monday </t>
  </si>
  <si>
    <t>Area Closed</t>
  </si>
  <si>
    <t>24-06-26</t>
  </si>
  <si>
    <t>25-06-26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</si>
</sst>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5" xfId="0" applyBorder="1"/>
    <xf numFmtId="0" fontId="0" fillId="0" borderId="6" xfId="0" applyBorder="1"/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9" fontId="0" fillId="0" borderId="16" xfId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1" fontId="2" fillId="5" borderId="20" xfId="0" applyNumberFormat="1" applyFont="1" applyFill="1" applyBorder="1" applyAlignment="1">
      <alignment horizontal="center"/>
    </xf>
    <xf numFmtId="1" fontId="2" fillId="5" borderId="18" xfId="0" applyNumberFormat="1" applyFont="1" applyFill="1" applyBorder="1" applyAlignment="1">
      <alignment horizontal="center"/>
    </xf>
    <xf numFmtId="9" fontId="2" fillId="5" borderId="21" xfId="1" applyFont="1" applyFill="1" applyBorder="1" applyAlignment="1">
      <alignment horizontal="center"/>
    </xf>
    <xf numFmtId="1" fontId="2" fillId="5" borderId="22" xfId="0" applyNumberFormat="1" applyFont="1" applyFill="1" applyBorder="1" applyAlignment="1">
      <alignment horizontal="center"/>
    </xf>
    <xf numFmtId="1" fontId="2" fillId="5" borderId="21" xfId="0" applyNumberFormat="1" applyFont="1" applyFill="1" applyBorder="1" applyAlignment="1">
      <alignment horizontal="center"/>
    </xf>
    <xf numFmtId="1" fontId="2" fillId="5" borderId="25" xfId="0" applyNumberFormat="1" applyFont="1" applyFill="1" applyBorder="1" applyAlignment="1">
      <alignment horizontal="center"/>
    </xf>
    <xf numFmtId="1" fontId="2" fillId="5" borderId="23" xfId="0" applyNumberFormat="1" applyFont="1" applyFill="1" applyBorder="1" applyAlignment="1">
      <alignment horizontal="center"/>
    </xf>
    <xf numFmtId="9" fontId="2" fillId="5" borderId="26" xfId="1" applyFont="1" applyFill="1" applyBorder="1" applyAlignment="1">
      <alignment horizontal="center"/>
    </xf>
    <xf numFmtId="1" fontId="2" fillId="5" borderId="27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6" borderId="13" xfId="0" applyFill="1" applyBorder="1" applyAlignment="1">
      <alignment vertical="center"/>
    </xf>
    <xf numFmtId="0" fontId="3" fillId="6" borderId="14" xfId="0" applyFont="1" applyFill="1" applyBorder="1"/>
    <xf numFmtId="0" fontId="0" fillId="6" borderId="18" xfId="0" applyFill="1" applyBorder="1" applyAlignment="1">
      <alignment vertical="center"/>
    </xf>
    <xf numFmtId="0" fontId="3" fillId="6" borderId="19" xfId="0" applyFont="1" applyFill="1" applyBorder="1"/>
    <xf numFmtId="0" fontId="4" fillId="6" borderId="19" xfId="0" applyFont="1" applyFill="1" applyBorder="1"/>
    <xf numFmtId="0" fontId="0" fillId="6" borderId="23" xfId="0" applyFill="1" applyBorder="1" applyAlignment="1">
      <alignment vertical="center"/>
    </xf>
    <xf numFmtId="1" fontId="2" fillId="7" borderId="8" xfId="0" applyNumberFormat="1" applyFont="1" applyFill="1" applyBorder="1" applyAlignment="1">
      <alignment horizontal="center"/>
    </xf>
    <xf numFmtId="1" fontId="2" fillId="7" borderId="9" xfId="0" applyNumberFormat="1" applyFont="1" applyFill="1" applyBorder="1" applyAlignment="1">
      <alignment horizontal="center"/>
    </xf>
    <xf numFmtId="9" fontId="2" fillId="7" borderId="11" xfId="1" applyFont="1" applyFill="1" applyBorder="1" applyAlignment="1">
      <alignment horizontal="center"/>
    </xf>
    <xf numFmtId="1" fontId="2" fillId="7" borderId="12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" fontId="0" fillId="7" borderId="15" xfId="0" applyNumberFormat="1" applyFill="1" applyBorder="1" applyAlignment="1">
      <alignment horizontal="center"/>
    </xf>
    <xf numFmtId="1" fontId="0" fillId="7" borderId="20" xfId="0" applyNumberFormat="1" applyFill="1" applyBorder="1" applyAlignment="1">
      <alignment horizontal="center"/>
    </xf>
    <xf numFmtId="1" fontId="0" fillId="5" borderId="13" xfId="0" applyNumberFormat="1" applyFill="1" applyBorder="1" applyAlignment="1">
      <alignment horizontal="center"/>
    </xf>
    <xf numFmtId="1" fontId="0" fillId="5" borderId="18" xfId="0" applyNumberFormat="1" applyFill="1" applyBorder="1" applyAlignment="1">
      <alignment horizontal="center"/>
    </xf>
    <xf numFmtId="1" fontId="0" fillId="7" borderId="17" xfId="0" applyNumberFormat="1" applyFill="1" applyBorder="1" applyAlignment="1">
      <alignment horizontal="center"/>
    </xf>
    <xf numFmtId="1" fontId="0" fillId="7" borderId="22" xfId="0" applyNumberFormat="1" applyFill="1" applyBorder="1" applyAlignment="1">
      <alignment horizontal="center"/>
    </xf>
    <xf numFmtId="1" fontId="0" fillId="8" borderId="15" xfId="0" applyNumberFormat="1" applyFill="1" applyBorder="1" applyAlignment="1">
      <alignment horizontal="center"/>
    </xf>
    <xf numFmtId="1" fontId="0" fillId="8" borderId="20" xfId="0" applyNumberFormat="1" applyFill="1" applyBorder="1" applyAlignment="1">
      <alignment horizontal="center"/>
    </xf>
    <xf numFmtId="1" fontId="0" fillId="8" borderId="17" xfId="0" applyNumberFormat="1" applyFill="1" applyBorder="1" applyAlignment="1">
      <alignment horizontal="center"/>
    </xf>
    <xf numFmtId="0" fontId="2" fillId="7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1" fontId="0" fillId="8" borderId="13" xfId="0" applyNumberFormat="1" applyFill="1" applyBorder="1" applyAlignment="1">
      <alignment horizontal="center"/>
    </xf>
    <xf numFmtId="1" fontId="0" fillId="8" borderId="18" xfId="0" applyNumberFormat="1" applyFill="1" applyBorder="1" applyAlignment="1">
      <alignment horizontal="center"/>
    </xf>
    <xf numFmtId="1" fontId="2" fillId="8" borderId="22" xfId="0" applyNumberFormat="1" applyFont="1" applyFill="1" applyBorder="1" applyAlignment="1">
      <alignment horizontal="center"/>
    </xf>
    <xf numFmtId="164" fontId="0" fillId="8" borderId="13" xfId="0" applyNumberFormat="1" applyFill="1" applyBorder="1" applyAlignment="1">
      <alignment horizontal="center"/>
    </xf>
    <xf numFmtId="164" fontId="0" fillId="8" borderId="17" xfId="0" applyNumberFormat="1" applyFill="1" applyBorder="1" applyAlignment="1">
      <alignment horizontal="center"/>
    </xf>
    <xf numFmtId="164" fontId="0" fillId="5" borderId="13" xfId="0" applyNumberFormat="1" applyFill="1" applyBorder="1" applyAlignment="1">
      <alignment horizontal="center"/>
    </xf>
    <xf numFmtId="164" fontId="0" fillId="8" borderId="18" xfId="0" applyNumberFormat="1" applyFill="1" applyBorder="1" applyAlignment="1">
      <alignment horizontal="center"/>
    </xf>
    <xf numFmtId="164" fontId="0" fillId="5" borderId="18" xfId="0" applyNumberFormat="1" applyFill="1" applyBorder="1" applyAlignment="1">
      <alignment horizontal="center"/>
    </xf>
    <xf numFmtId="164" fontId="0" fillId="8" borderId="22" xfId="0" applyNumberFormat="1" applyFill="1" applyBorder="1" applyAlignment="1">
      <alignment horizontal="center"/>
    </xf>
    <xf numFmtId="164" fontId="2" fillId="5" borderId="18" xfId="0" applyNumberFormat="1" applyFont="1" applyFill="1" applyBorder="1" applyAlignment="1">
      <alignment horizontal="center"/>
    </xf>
    <xf numFmtId="164" fontId="2" fillId="5" borderId="22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3984-EA48-457F-9A17-F0D733832855}">
  <dimension ref="A1:W26"/>
  <sheetViews>
    <sheetView tabSelected="1" topLeftCell="D1" zoomScaleNormal="100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N5" sqref="N5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18.7265625" bestFit="1" customWidth="1"/>
  </cols>
  <sheetData>
    <row r="1" spans="1:23" ht="15" thickBot="1" x14ac:dyDescent="0.4">
      <c r="G1" s="79" t="s">
        <v>0</v>
      </c>
      <c r="H1" s="80"/>
      <c r="I1" s="80"/>
      <c r="J1" s="80"/>
      <c r="K1" s="80"/>
      <c r="L1" s="80"/>
      <c r="M1" s="80"/>
      <c r="N1" s="81"/>
      <c r="O1" s="65" t="s">
        <v>1</v>
      </c>
      <c r="P1" s="66"/>
      <c r="Q1" s="66"/>
      <c r="R1" s="66"/>
      <c r="S1" s="66"/>
      <c r="T1" s="66"/>
      <c r="U1" s="66"/>
      <c r="V1" s="67"/>
    </row>
    <row r="2" spans="1:23" ht="16" thickBot="1" x14ac:dyDescent="0.4">
      <c r="E2" s="68" t="s">
        <v>53</v>
      </c>
      <c r="F2" s="69"/>
      <c r="G2" s="70" t="s">
        <v>2</v>
      </c>
      <c r="H2" s="71"/>
      <c r="I2" s="72"/>
      <c r="J2" s="71" t="s">
        <v>3</v>
      </c>
      <c r="K2" s="71"/>
      <c r="L2" s="72"/>
      <c r="M2" s="1"/>
      <c r="N2" s="2"/>
      <c r="O2" s="70" t="s">
        <v>2</v>
      </c>
      <c r="P2" s="71"/>
      <c r="Q2" s="72"/>
      <c r="R2" s="71" t="s">
        <v>3</v>
      </c>
      <c r="S2" s="71"/>
      <c r="T2" s="72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7</v>
      </c>
      <c r="I4" s="10">
        <f t="shared" ref="I4:I26" si="0">H4/G4</f>
        <v>0.14000000000000001</v>
      </c>
      <c r="J4" s="44">
        <v>40</v>
      </c>
      <c r="K4" s="57">
        <v>14.25</v>
      </c>
      <c r="L4" s="10">
        <f t="shared" ref="L4:L24" si="1">K4/J4</f>
        <v>0.35625000000000001</v>
      </c>
      <c r="M4" s="11">
        <f t="shared" ref="M4:N13" si="2">K4/H4</f>
        <v>2.0357142857142856</v>
      </c>
      <c r="N4" s="12">
        <f t="shared" si="2"/>
        <v>2.5446428571428568</v>
      </c>
      <c r="O4" s="46">
        <f>H4</f>
        <v>7</v>
      </c>
      <c r="P4" s="42">
        <v>2</v>
      </c>
      <c r="Q4" s="10">
        <f t="shared" ref="Q4:Q26" si="3">P4/O4</f>
        <v>0.2857142857142857</v>
      </c>
      <c r="R4" s="58">
        <f>K4</f>
        <v>14.25</v>
      </c>
      <c r="S4" s="59">
        <v>4</v>
      </c>
      <c r="T4" s="10">
        <f t="shared" ref="T4:T13" si="4">S4/R4</f>
        <v>0.2807017543859649</v>
      </c>
      <c r="U4" s="11">
        <f t="shared" ref="U4:V13" si="5">S4/P4</f>
        <v>2</v>
      </c>
      <c r="V4" s="12">
        <f t="shared" si="5"/>
        <v>0.98245614035087714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5</v>
      </c>
      <c r="I5" s="15">
        <f t="shared" si="0"/>
        <v>0.1</v>
      </c>
      <c r="J5" s="45">
        <v>30</v>
      </c>
      <c r="K5" s="60">
        <v>5.7</v>
      </c>
      <c r="L5" s="15">
        <f t="shared" si="1"/>
        <v>0.19</v>
      </c>
      <c r="M5" s="16">
        <f t="shared" si="2"/>
        <v>1.1400000000000001</v>
      </c>
      <c r="N5" s="17">
        <f t="shared" si="2"/>
        <v>1.9</v>
      </c>
      <c r="O5" s="46">
        <f t="shared" ref="O5:O13" si="6">H5</f>
        <v>5</v>
      </c>
      <c r="P5" s="43">
        <v>3</v>
      </c>
      <c r="Q5" s="15">
        <f t="shared" si="3"/>
        <v>0.6</v>
      </c>
      <c r="R5" s="58">
        <f t="shared" ref="R5:R13" si="7">K5</f>
        <v>5.7</v>
      </c>
      <c r="S5" s="61">
        <v>4.7</v>
      </c>
      <c r="T5" s="15">
        <f t="shared" si="4"/>
        <v>0.82456140350877194</v>
      </c>
      <c r="U5" s="16">
        <f t="shared" si="5"/>
        <v>1.5666666666666667</v>
      </c>
      <c r="V5" s="17">
        <f t="shared" si="5"/>
        <v>1.3742690058479532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4</v>
      </c>
      <c r="I6" s="15">
        <f t="shared" si="0"/>
        <v>0.08</v>
      </c>
      <c r="J6" s="45">
        <v>25</v>
      </c>
      <c r="K6" s="60">
        <v>6.5</v>
      </c>
      <c r="L6" s="15">
        <f t="shared" si="1"/>
        <v>0.26</v>
      </c>
      <c r="M6" s="16">
        <f t="shared" si="2"/>
        <v>1.625</v>
      </c>
      <c r="N6" s="17">
        <f t="shared" si="2"/>
        <v>3.25</v>
      </c>
      <c r="O6" s="46">
        <f t="shared" si="6"/>
        <v>4</v>
      </c>
      <c r="P6" s="43">
        <v>0</v>
      </c>
      <c r="Q6" s="15">
        <f t="shared" si="3"/>
        <v>0</v>
      </c>
      <c r="R6" s="58">
        <f t="shared" si="7"/>
        <v>6.5</v>
      </c>
      <c r="S6" s="61">
        <v>0</v>
      </c>
      <c r="T6" s="15">
        <f t="shared" si="4"/>
        <v>0</v>
      </c>
      <c r="U6" s="16" t="e">
        <f t="shared" si="5"/>
        <v>#DIV/0!</v>
      </c>
      <c r="V6" s="17" t="e">
        <f t="shared" si="5"/>
        <v>#DIV/0!</v>
      </c>
      <c r="W6" s="17" t="s">
        <v>50</v>
      </c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0</v>
      </c>
      <c r="I7" s="15">
        <f t="shared" si="0"/>
        <v>0</v>
      </c>
      <c r="J7" s="45">
        <v>30</v>
      </c>
      <c r="K7" s="60">
        <v>0</v>
      </c>
      <c r="L7" s="15">
        <f t="shared" si="1"/>
        <v>0</v>
      </c>
      <c r="M7" s="16" t="e">
        <f t="shared" si="2"/>
        <v>#DIV/0!</v>
      </c>
      <c r="N7" s="17" t="e">
        <f t="shared" si="2"/>
        <v>#DIV/0!</v>
      </c>
      <c r="O7" s="46">
        <f t="shared" si="6"/>
        <v>0</v>
      </c>
      <c r="P7" s="43">
        <v>0</v>
      </c>
      <c r="Q7" s="15" t="e">
        <f t="shared" si="3"/>
        <v>#DIV/0!</v>
      </c>
      <c r="R7" s="58">
        <f t="shared" si="7"/>
        <v>0</v>
      </c>
      <c r="S7" s="61">
        <v>0</v>
      </c>
      <c r="T7" s="15" t="e">
        <f t="shared" si="4"/>
        <v>#DIV/0!</v>
      </c>
      <c r="U7" s="16" t="e">
        <f t="shared" si="5"/>
        <v>#DIV/0!</v>
      </c>
      <c r="V7" s="17" t="e">
        <f t="shared" si="5"/>
        <v>#DIV/0!</v>
      </c>
      <c r="W7" s="17" t="s">
        <v>51</v>
      </c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10</v>
      </c>
      <c r="I8" s="15">
        <f t="shared" si="0"/>
        <v>0.2</v>
      </c>
      <c r="J8" s="45">
        <v>20</v>
      </c>
      <c r="K8" s="60">
        <v>22.8</v>
      </c>
      <c r="L8" s="15">
        <f t="shared" si="1"/>
        <v>1.1400000000000001</v>
      </c>
      <c r="M8" s="16">
        <f t="shared" si="2"/>
        <v>2.2800000000000002</v>
      </c>
      <c r="N8" s="17">
        <f t="shared" si="2"/>
        <v>5.7</v>
      </c>
      <c r="O8" s="46">
        <f t="shared" si="6"/>
        <v>10</v>
      </c>
      <c r="P8" s="43">
        <v>8</v>
      </c>
      <c r="Q8" s="15">
        <f t="shared" si="3"/>
        <v>0.8</v>
      </c>
      <c r="R8" s="58">
        <f t="shared" si="7"/>
        <v>22.8</v>
      </c>
      <c r="S8" s="61">
        <v>21.8</v>
      </c>
      <c r="T8" s="15">
        <f t="shared" si="4"/>
        <v>0.95614035087719296</v>
      </c>
      <c r="U8" s="16">
        <f t="shared" si="5"/>
        <v>2.7250000000000001</v>
      </c>
      <c r="V8" s="17">
        <f t="shared" si="5"/>
        <v>1.1951754385964912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0</v>
      </c>
      <c r="I9" s="15" t="e">
        <f t="shared" si="0"/>
        <v>#DIV/0!</v>
      </c>
      <c r="J9" s="45">
        <v>20</v>
      </c>
      <c r="K9" s="60">
        <v>0</v>
      </c>
      <c r="L9" s="15">
        <f t="shared" si="1"/>
        <v>0</v>
      </c>
      <c r="M9" s="16" t="e">
        <f t="shared" si="2"/>
        <v>#DIV/0!</v>
      </c>
      <c r="N9" s="17" t="e">
        <f t="shared" si="2"/>
        <v>#DIV/0!</v>
      </c>
      <c r="O9" s="46">
        <f t="shared" si="6"/>
        <v>0</v>
      </c>
      <c r="P9" s="43">
        <v>0</v>
      </c>
      <c r="Q9" s="15" t="e">
        <f t="shared" si="3"/>
        <v>#DIV/0!</v>
      </c>
      <c r="R9" s="58">
        <f t="shared" si="7"/>
        <v>0</v>
      </c>
      <c r="S9" s="61">
        <v>0</v>
      </c>
      <c r="T9" s="15" t="e">
        <f t="shared" si="4"/>
        <v>#DIV/0!</v>
      </c>
      <c r="U9" s="16" t="e">
        <f t="shared" si="5"/>
        <v>#DIV/0!</v>
      </c>
      <c r="V9" s="17" t="e">
        <f t="shared" si="5"/>
        <v>#DIV/0!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60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/>
      <c r="Q10" s="15" t="e">
        <f t="shared" si="3"/>
        <v>#DIV/0!</v>
      </c>
      <c r="R10" s="58">
        <f t="shared" si="7"/>
        <v>0</v>
      </c>
      <c r="S10" s="61"/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25</v>
      </c>
      <c r="H11" s="55">
        <v>20</v>
      </c>
      <c r="I11" s="15">
        <f t="shared" si="0"/>
        <v>0.8</v>
      </c>
      <c r="J11" s="45">
        <v>220</v>
      </c>
      <c r="K11" s="60">
        <v>180</v>
      </c>
      <c r="L11" s="15">
        <f t="shared" si="1"/>
        <v>0.81818181818181823</v>
      </c>
      <c r="M11" s="16">
        <f t="shared" si="2"/>
        <v>9</v>
      </c>
      <c r="N11" s="17">
        <f t="shared" si="2"/>
        <v>1.0227272727272727</v>
      </c>
      <c r="O11" s="46">
        <f t="shared" si="6"/>
        <v>20</v>
      </c>
      <c r="P11" s="43">
        <v>16</v>
      </c>
      <c r="Q11" s="15">
        <f t="shared" si="3"/>
        <v>0.8</v>
      </c>
      <c r="R11" s="58">
        <f t="shared" si="7"/>
        <v>180</v>
      </c>
      <c r="S11" s="61">
        <v>131</v>
      </c>
      <c r="T11" s="15">
        <f t="shared" si="4"/>
        <v>0.72777777777777775</v>
      </c>
      <c r="U11" s="16">
        <f t="shared" si="5"/>
        <v>8.1875</v>
      </c>
      <c r="V11" s="17">
        <f t="shared" si="5"/>
        <v>0.9097222222222221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>
        <v>16</v>
      </c>
      <c r="I12" s="15">
        <f t="shared" si="0"/>
        <v>0.32</v>
      </c>
      <c r="J12" s="45">
        <v>30</v>
      </c>
      <c r="K12" s="60">
        <v>21</v>
      </c>
      <c r="L12" s="15">
        <f t="shared" si="1"/>
        <v>0.7</v>
      </c>
      <c r="M12" s="16">
        <f t="shared" si="2"/>
        <v>1.3125</v>
      </c>
      <c r="N12" s="17">
        <f t="shared" si="2"/>
        <v>2.1875</v>
      </c>
      <c r="O12" s="46">
        <f t="shared" si="6"/>
        <v>16</v>
      </c>
      <c r="P12" s="43">
        <v>16</v>
      </c>
      <c r="Q12" s="15">
        <f t="shared" si="3"/>
        <v>1</v>
      </c>
      <c r="R12" s="58">
        <f t="shared" si="7"/>
        <v>21</v>
      </c>
      <c r="S12" s="61">
        <v>21</v>
      </c>
      <c r="T12" s="15">
        <f t="shared" si="4"/>
        <v>1</v>
      </c>
      <c r="U12" s="16">
        <f t="shared" si="5"/>
        <v>1.3125</v>
      </c>
      <c r="V12" s="17">
        <f t="shared" si="5"/>
        <v>1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60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58">
        <f t="shared" si="7"/>
        <v>0</v>
      </c>
      <c r="S13" s="61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73" t="s">
        <v>17</v>
      </c>
      <c r="E14" s="73"/>
      <c r="F14" s="74"/>
      <c r="G14" s="18">
        <f>SUM(G4:G13)</f>
        <v>325</v>
      </c>
      <c r="H14" s="19">
        <f t="shared" ref="H14:K14" si="8">SUM(H4:H13)</f>
        <v>62</v>
      </c>
      <c r="I14" s="20">
        <f t="shared" si="0"/>
        <v>0.19076923076923077</v>
      </c>
      <c r="J14" s="21">
        <f t="shared" si="8"/>
        <v>415</v>
      </c>
      <c r="K14" s="63">
        <f t="shared" si="8"/>
        <v>250.25</v>
      </c>
      <c r="L14" s="20">
        <f>K14/J14</f>
        <v>0.6030120481927711</v>
      </c>
      <c r="M14" s="21">
        <f>K14/H14</f>
        <v>4.036290322580645</v>
      </c>
      <c r="N14" s="22" t="e">
        <f>AVERAGE(N4:N13)</f>
        <v>#DIV/0!</v>
      </c>
      <c r="O14" s="18">
        <f>SUM(O4:O13)</f>
        <v>62</v>
      </c>
      <c r="P14" s="19">
        <f t="shared" ref="P14" si="9">SUM(P4:P13)</f>
        <v>45</v>
      </c>
      <c r="Q14" s="20">
        <f t="shared" si="3"/>
        <v>0.72580645161290325</v>
      </c>
      <c r="R14" s="64">
        <f t="shared" ref="R14:S14" si="10">SUM(R4:R13)</f>
        <v>250.25</v>
      </c>
      <c r="S14" s="63">
        <f t="shared" si="10"/>
        <v>182.5</v>
      </c>
      <c r="T14" s="20">
        <f>S14/R14</f>
        <v>0.72927072927072922</v>
      </c>
      <c r="U14" s="21">
        <f>S14/P14</f>
        <v>4.0555555555555554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/>
      <c r="I15" s="15">
        <f t="shared" si="0"/>
        <v>0</v>
      </c>
      <c r="J15" s="45">
        <v>30</v>
      </c>
      <c r="K15" s="60"/>
      <c r="L15" s="15">
        <f t="shared" si="1"/>
        <v>0</v>
      </c>
      <c r="M15" s="16" t="e">
        <f t="shared" ref="M15:M19" si="11">K15/H15</f>
        <v>#DIV/0!</v>
      </c>
      <c r="N15" s="17">
        <v>1</v>
      </c>
      <c r="O15" s="47">
        <f>H15</f>
        <v>0</v>
      </c>
      <c r="P15" s="43"/>
      <c r="Q15" s="15" t="e">
        <f t="shared" si="3"/>
        <v>#DIV/0!</v>
      </c>
      <c r="R15" s="62">
        <f>K15</f>
        <v>0</v>
      </c>
      <c r="S15" s="61"/>
      <c r="T15" s="15" t="e">
        <f t="shared" ref="T15:T19" si="12">S15/R15</f>
        <v>#DIV/0!</v>
      </c>
      <c r="U15" s="16" t="e">
        <f t="shared" ref="U15:U19" si="13">S15/P15</f>
        <v>#DIV/0!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/>
      <c r="I16" s="15">
        <f t="shared" si="0"/>
        <v>0</v>
      </c>
      <c r="J16" s="45">
        <v>30</v>
      </c>
      <c r="K16" s="60"/>
      <c r="L16" s="15">
        <f t="shared" si="1"/>
        <v>0</v>
      </c>
      <c r="M16" s="16" t="e">
        <f t="shared" si="11"/>
        <v>#DIV/0!</v>
      </c>
      <c r="N16" s="17">
        <v>1</v>
      </c>
      <c r="O16" s="47">
        <f t="shared" ref="O16:O19" si="14">H16</f>
        <v>0</v>
      </c>
      <c r="P16" s="43"/>
      <c r="Q16" s="15" t="e">
        <f t="shared" si="3"/>
        <v>#DIV/0!</v>
      </c>
      <c r="R16" s="62">
        <f t="shared" ref="R16:R19" si="15">K16</f>
        <v>0</v>
      </c>
      <c r="S16" s="61"/>
      <c r="T16" s="15" t="e">
        <f t="shared" si="12"/>
        <v>#DIV/0!</v>
      </c>
      <c r="U16" s="16" t="e">
        <f t="shared" si="13"/>
        <v>#DIV/0!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/>
      <c r="I17" s="15">
        <f t="shared" si="0"/>
        <v>0</v>
      </c>
      <c r="J17" s="45">
        <v>30</v>
      </c>
      <c r="K17" s="60"/>
      <c r="L17" s="15">
        <f t="shared" si="1"/>
        <v>0</v>
      </c>
      <c r="M17" s="16" t="e">
        <f t="shared" si="11"/>
        <v>#DIV/0!</v>
      </c>
      <c r="N17" s="17">
        <v>1</v>
      </c>
      <c r="O17" s="47">
        <f t="shared" si="14"/>
        <v>0</v>
      </c>
      <c r="P17" s="43"/>
      <c r="Q17" s="15" t="e">
        <f t="shared" si="3"/>
        <v>#DIV/0!</v>
      </c>
      <c r="R17" s="62">
        <f t="shared" si="15"/>
        <v>0</v>
      </c>
      <c r="S17" s="61"/>
      <c r="T17" s="15" t="e">
        <f t="shared" si="12"/>
        <v>#DIV/0!</v>
      </c>
      <c r="U17" s="16" t="e">
        <f t="shared" si="13"/>
        <v>#DIV/0!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/>
      <c r="I18" s="15">
        <f t="shared" si="0"/>
        <v>0</v>
      </c>
      <c r="J18" s="45">
        <v>30</v>
      </c>
      <c r="K18" s="60"/>
      <c r="L18" s="15">
        <f t="shared" si="1"/>
        <v>0</v>
      </c>
      <c r="M18" s="16" t="e">
        <f t="shared" si="11"/>
        <v>#DIV/0!</v>
      </c>
      <c r="N18" s="17">
        <v>1</v>
      </c>
      <c r="O18" s="47">
        <f t="shared" si="14"/>
        <v>0</v>
      </c>
      <c r="P18" s="43"/>
      <c r="Q18" s="15" t="e">
        <f t="shared" si="3"/>
        <v>#DIV/0!</v>
      </c>
      <c r="R18" s="62">
        <f t="shared" si="15"/>
        <v>0</v>
      </c>
      <c r="S18" s="61"/>
      <c r="T18" s="15" t="e">
        <f t="shared" si="12"/>
        <v>#DIV/0!</v>
      </c>
      <c r="U18" s="16" t="e">
        <f t="shared" si="13"/>
        <v>#DIV/0!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/>
      <c r="I19" s="15">
        <f t="shared" si="0"/>
        <v>0</v>
      </c>
      <c r="J19" s="45">
        <v>30</v>
      </c>
      <c r="K19" s="60"/>
      <c r="L19" s="15">
        <f t="shared" si="1"/>
        <v>0</v>
      </c>
      <c r="M19" s="16" t="e">
        <f t="shared" si="11"/>
        <v>#DIV/0!</v>
      </c>
      <c r="N19" s="17">
        <v>1</v>
      </c>
      <c r="O19" s="47">
        <f t="shared" si="14"/>
        <v>0</v>
      </c>
      <c r="P19" s="43"/>
      <c r="Q19" s="15" t="e">
        <f t="shared" si="3"/>
        <v>#DIV/0!</v>
      </c>
      <c r="R19" s="62">
        <f t="shared" si="15"/>
        <v>0</v>
      </c>
      <c r="S19" s="61"/>
      <c r="T19" s="15" t="e">
        <f t="shared" si="12"/>
        <v>#DIV/0!</v>
      </c>
      <c r="U19" s="16" t="e">
        <f t="shared" si="13"/>
        <v>#DIV/0!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73" t="s">
        <v>17</v>
      </c>
      <c r="E20" s="73"/>
      <c r="F20" s="74"/>
      <c r="G20" s="18">
        <f>SUM(G15:G19)</f>
        <v>250</v>
      </c>
      <c r="H20" s="19">
        <f t="shared" ref="H20:K20" si="16">SUM(H15:H19)</f>
        <v>0</v>
      </c>
      <c r="I20" s="20">
        <f t="shared" si="0"/>
        <v>0</v>
      </c>
      <c r="J20" s="21">
        <f t="shared" si="16"/>
        <v>150</v>
      </c>
      <c r="K20" s="19">
        <f t="shared" si="16"/>
        <v>0</v>
      </c>
      <c r="L20" s="20">
        <f>K20/J20</f>
        <v>0</v>
      </c>
      <c r="M20" s="21" t="e">
        <f>K20/H20</f>
        <v>#DIV/0!</v>
      </c>
      <c r="N20" s="22">
        <f>AVERAGE(N15:N19)</f>
        <v>1</v>
      </c>
      <c r="O20" s="18">
        <f>SUM(O15:O19)</f>
        <v>0</v>
      </c>
      <c r="P20" s="19">
        <f t="shared" ref="P20" si="17">SUM(P15:P19)</f>
        <v>0</v>
      </c>
      <c r="Q20" s="20" t="e">
        <f t="shared" si="3"/>
        <v>#DIV/0!</v>
      </c>
      <c r="R20" s="56">
        <f t="shared" ref="R20:S20" si="18">SUM(R15:R19)</f>
        <v>0</v>
      </c>
      <c r="S20" s="19">
        <f t="shared" si="18"/>
        <v>0</v>
      </c>
      <c r="T20" s="20" t="e">
        <f>S20/R20</f>
        <v>#DIV/0!</v>
      </c>
      <c r="U20" s="21" t="e">
        <f>S20/P20</f>
        <v>#DIV/0!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14</v>
      </c>
      <c r="I21" s="15">
        <f t="shared" si="0"/>
        <v>0.28000000000000003</v>
      </c>
      <c r="J21" s="45">
        <v>60</v>
      </c>
      <c r="K21" s="60">
        <v>25</v>
      </c>
      <c r="L21" s="15">
        <f t="shared" si="1"/>
        <v>0.41666666666666669</v>
      </c>
      <c r="M21" s="16">
        <f t="shared" ref="M21:M24" si="19">K21/H21</f>
        <v>1.7857142857142858</v>
      </c>
      <c r="N21" s="17">
        <v>1</v>
      </c>
      <c r="O21" s="47">
        <f>H21</f>
        <v>14</v>
      </c>
      <c r="P21" s="43">
        <v>7</v>
      </c>
      <c r="Q21" s="15">
        <f t="shared" si="3"/>
        <v>0.5</v>
      </c>
      <c r="R21" s="62">
        <f>K21</f>
        <v>25</v>
      </c>
      <c r="S21" s="61">
        <v>15</v>
      </c>
      <c r="T21" s="15">
        <f t="shared" ref="T21:T24" si="20">S21/R21</f>
        <v>0.6</v>
      </c>
      <c r="U21" s="16">
        <f t="shared" ref="U21:U24" si="21">S21/P21</f>
        <v>2.1428571428571428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4</v>
      </c>
      <c r="I22" s="15">
        <f t="shared" si="0"/>
        <v>0.08</v>
      </c>
      <c r="J22" s="45">
        <v>40</v>
      </c>
      <c r="K22" s="60">
        <v>7</v>
      </c>
      <c r="L22" s="15">
        <f t="shared" si="1"/>
        <v>0.17499999999999999</v>
      </c>
      <c r="M22" s="16">
        <f t="shared" si="19"/>
        <v>1.75</v>
      </c>
      <c r="N22" s="17">
        <v>1</v>
      </c>
      <c r="O22" s="47">
        <f t="shared" ref="O22:O24" si="22">H22</f>
        <v>4</v>
      </c>
      <c r="P22" s="43">
        <v>3</v>
      </c>
      <c r="Q22" s="15">
        <f t="shared" si="3"/>
        <v>0.75</v>
      </c>
      <c r="R22" s="62">
        <f t="shared" ref="R22:R24" si="23">K22</f>
        <v>7</v>
      </c>
      <c r="S22" s="61">
        <v>6</v>
      </c>
      <c r="T22" s="15">
        <f t="shared" si="20"/>
        <v>0.8571428571428571</v>
      </c>
      <c r="U22" s="16">
        <f t="shared" si="21"/>
        <v>2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4</v>
      </c>
      <c r="I23" s="15">
        <f t="shared" si="0"/>
        <v>0.08</v>
      </c>
      <c r="J23" s="45">
        <v>40</v>
      </c>
      <c r="K23" s="60">
        <v>7</v>
      </c>
      <c r="L23" s="15">
        <f t="shared" si="1"/>
        <v>0.17499999999999999</v>
      </c>
      <c r="M23" s="16">
        <f t="shared" si="19"/>
        <v>1.75</v>
      </c>
      <c r="N23" s="17">
        <v>1</v>
      </c>
      <c r="O23" s="47">
        <f t="shared" si="22"/>
        <v>4</v>
      </c>
      <c r="P23" s="43">
        <v>3</v>
      </c>
      <c r="Q23" s="15">
        <f t="shared" si="3"/>
        <v>0.75</v>
      </c>
      <c r="R23" s="62">
        <f t="shared" si="23"/>
        <v>7</v>
      </c>
      <c r="S23" s="61">
        <v>4</v>
      </c>
      <c r="T23" s="15">
        <f t="shared" si="20"/>
        <v>0.5714285714285714</v>
      </c>
      <c r="U23" s="16">
        <f t="shared" si="21"/>
        <v>1.3333333333333333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0</v>
      </c>
      <c r="I24" s="15">
        <f t="shared" si="0"/>
        <v>0</v>
      </c>
      <c r="J24" s="45">
        <v>30</v>
      </c>
      <c r="K24" s="60">
        <v>0</v>
      </c>
      <c r="L24" s="15">
        <f t="shared" si="1"/>
        <v>0</v>
      </c>
      <c r="M24" s="16" t="e">
        <f t="shared" si="19"/>
        <v>#DIV/0!</v>
      </c>
      <c r="N24" s="17">
        <v>1</v>
      </c>
      <c r="O24" s="47">
        <f t="shared" si="22"/>
        <v>0</v>
      </c>
      <c r="P24" s="43">
        <v>0</v>
      </c>
      <c r="Q24" s="15" t="e">
        <f t="shared" si="3"/>
        <v>#DIV/0!</v>
      </c>
      <c r="R24" s="62">
        <f t="shared" si="23"/>
        <v>0</v>
      </c>
      <c r="S24" s="61">
        <v>0</v>
      </c>
      <c r="T24" s="15" t="e">
        <f t="shared" si="20"/>
        <v>#DIV/0!</v>
      </c>
      <c r="U24" s="16" t="e">
        <f t="shared" si="21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75" t="s">
        <v>17</v>
      </c>
      <c r="E25" s="75"/>
      <c r="F25" s="76"/>
      <c r="G25" s="23">
        <f>SUM(G21:G24)</f>
        <v>200</v>
      </c>
      <c r="H25" s="24">
        <f t="shared" ref="H25:K25" si="24">SUM(H21:H24)</f>
        <v>22</v>
      </c>
      <c r="I25" s="25">
        <f t="shared" si="0"/>
        <v>0.11</v>
      </c>
      <c r="J25" s="26">
        <f t="shared" si="24"/>
        <v>170</v>
      </c>
      <c r="K25" s="24">
        <f t="shared" si="24"/>
        <v>39</v>
      </c>
      <c r="L25" s="25">
        <f>K25/J25</f>
        <v>0.22941176470588234</v>
      </c>
      <c r="M25" s="26">
        <f>K25/H25</f>
        <v>1.7727272727272727</v>
      </c>
      <c r="N25" s="27">
        <f>AVERAGE(N21:N24)</f>
        <v>1</v>
      </c>
      <c r="O25" s="23">
        <f>SUM(O21:O24)</f>
        <v>22</v>
      </c>
      <c r="P25" s="24">
        <f t="shared" ref="P25" si="25">SUM(P21:P24)</f>
        <v>13</v>
      </c>
      <c r="Q25" s="25">
        <f t="shared" si="3"/>
        <v>0.59090909090909094</v>
      </c>
      <c r="R25" s="26">
        <f t="shared" ref="R25:S25" si="26">SUM(R21:R24)</f>
        <v>39</v>
      </c>
      <c r="S25" s="24">
        <f t="shared" si="26"/>
        <v>25</v>
      </c>
      <c r="T25" s="25">
        <f>S25/R25</f>
        <v>0.64102564102564108</v>
      </c>
      <c r="U25" s="26">
        <f>S25/P25</f>
        <v>1.9230769230769231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77" t="s">
        <v>39</v>
      </c>
      <c r="C26" s="78"/>
      <c r="D26" s="78"/>
      <c r="E26" s="78"/>
      <c r="F26" s="78"/>
      <c r="G26" s="34">
        <f>+G25+G20+G14</f>
        <v>775</v>
      </c>
      <c r="H26" s="35">
        <f t="shared" ref="H26:K26" si="27">+H25+H20+H14</f>
        <v>84</v>
      </c>
      <c r="I26" s="36">
        <f t="shared" si="0"/>
        <v>0.10838709677419354</v>
      </c>
      <c r="J26" s="37">
        <f t="shared" si="27"/>
        <v>735</v>
      </c>
      <c r="K26" s="35">
        <f t="shared" si="27"/>
        <v>289.25</v>
      </c>
      <c r="L26" s="36">
        <f>K26/J26</f>
        <v>0.39353741496598638</v>
      </c>
      <c r="M26" s="37">
        <f>K26/H26</f>
        <v>3.4434523809523809</v>
      </c>
      <c r="N26" s="38"/>
      <c r="O26" s="34">
        <f>+O25+O20+O14</f>
        <v>84</v>
      </c>
      <c r="P26" s="35">
        <f t="shared" ref="P26" si="28">+P25+P20+P14</f>
        <v>58</v>
      </c>
      <c r="Q26" s="36">
        <f t="shared" si="3"/>
        <v>0.69047619047619047</v>
      </c>
      <c r="R26" s="37">
        <f t="shared" ref="R26:S26" si="29">+R25+R20+R14</f>
        <v>289.25</v>
      </c>
      <c r="S26" s="35">
        <f t="shared" si="29"/>
        <v>207.5</v>
      </c>
      <c r="T26" s="36">
        <f>S26/R26</f>
        <v>0.71737251512532407</v>
      </c>
      <c r="U26" s="37">
        <f>S26/P26</f>
        <v>3.5775862068965516</v>
      </c>
      <c r="V26" s="38"/>
      <c r="W26" s="38"/>
    </row>
  </sheetData>
  <mergeCells count="11">
    <mergeCell ref="D14:F14"/>
    <mergeCell ref="D20:F20"/>
    <mergeCell ref="D25:F25"/>
    <mergeCell ref="B26:F26"/>
    <mergeCell ref="G1:N1"/>
    <mergeCell ref="O1:V1"/>
    <mergeCell ref="E2:F2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16F7-6F3B-4807-80F6-5003860986DF}">
  <dimension ref="A1:W26"/>
  <sheetViews>
    <sheetView topLeftCell="D1" zoomScaleNormal="100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K16" sqref="K16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18.7265625" bestFit="1" customWidth="1"/>
  </cols>
  <sheetData>
    <row r="1" spans="1:23" ht="15" thickBot="1" x14ac:dyDescent="0.4">
      <c r="G1" s="79" t="s">
        <v>0</v>
      </c>
      <c r="H1" s="80"/>
      <c r="I1" s="80"/>
      <c r="J1" s="80"/>
      <c r="K1" s="80"/>
      <c r="L1" s="80"/>
      <c r="M1" s="80"/>
      <c r="N1" s="81"/>
      <c r="O1" s="65" t="s">
        <v>1</v>
      </c>
      <c r="P1" s="66"/>
      <c r="Q1" s="66"/>
      <c r="R1" s="66"/>
      <c r="S1" s="66"/>
      <c r="T1" s="66"/>
      <c r="U1" s="66"/>
      <c r="V1" s="67"/>
    </row>
    <row r="2" spans="1:23" ht="16" thickBot="1" x14ac:dyDescent="0.4">
      <c r="E2" s="68" t="s">
        <v>52</v>
      </c>
      <c r="F2" s="69"/>
      <c r="G2" s="70" t="s">
        <v>2</v>
      </c>
      <c r="H2" s="71"/>
      <c r="I2" s="72"/>
      <c r="J2" s="71" t="s">
        <v>3</v>
      </c>
      <c r="K2" s="71"/>
      <c r="L2" s="72"/>
      <c r="M2" s="1"/>
      <c r="N2" s="2"/>
      <c r="O2" s="70" t="s">
        <v>2</v>
      </c>
      <c r="P2" s="71"/>
      <c r="Q2" s="72"/>
      <c r="R2" s="71" t="s">
        <v>3</v>
      </c>
      <c r="S2" s="71"/>
      <c r="T2" s="72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11</v>
      </c>
      <c r="I4" s="10">
        <f t="shared" ref="I4:I26" si="0">H4/G4</f>
        <v>0.22</v>
      </c>
      <c r="J4" s="44">
        <v>40</v>
      </c>
      <c r="K4" s="57">
        <v>9.75</v>
      </c>
      <c r="L4" s="10">
        <f t="shared" ref="L4:L24" si="1">K4/J4</f>
        <v>0.24374999999999999</v>
      </c>
      <c r="M4" s="11">
        <f t="shared" ref="M4:N13" si="2">K4/H4</f>
        <v>0.88636363636363635</v>
      </c>
      <c r="N4" s="12">
        <f t="shared" si="2"/>
        <v>1.1079545454545454</v>
      </c>
      <c r="O4" s="46">
        <f>H4</f>
        <v>11</v>
      </c>
      <c r="P4" s="42">
        <v>9</v>
      </c>
      <c r="Q4" s="10">
        <f t="shared" ref="Q4:Q26" si="3">P4/O4</f>
        <v>0.81818181818181823</v>
      </c>
      <c r="R4" s="58">
        <f>K4</f>
        <v>9.75</v>
      </c>
      <c r="S4" s="59">
        <v>7.5</v>
      </c>
      <c r="T4" s="10">
        <f t="shared" ref="T4:T13" si="4">S4/R4</f>
        <v>0.76923076923076927</v>
      </c>
      <c r="U4" s="11">
        <f t="shared" ref="U4:V13" si="5">S4/P4</f>
        <v>0.83333333333333337</v>
      </c>
      <c r="V4" s="12">
        <f t="shared" si="5"/>
        <v>0.94017094017094016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7</v>
      </c>
      <c r="I5" s="15">
        <f t="shared" si="0"/>
        <v>0.14000000000000001</v>
      </c>
      <c r="J5" s="45">
        <v>30</v>
      </c>
      <c r="K5" s="60">
        <v>7.5</v>
      </c>
      <c r="L5" s="15">
        <f t="shared" si="1"/>
        <v>0.25</v>
      </c>
      <c r="M5" s="16">
        <f t="shared" si="2"/>
        <v>1.0714285714285714</v>
      </c>
      <c r="N5" s="17">
        <f t="shared" si="2"/>
        <v>1.7857142857142856</v>
      </c>
      <c r="O5" s="46">
        <f t="shared" ref="O5:O13" si="6">H5</f>
        <v>7</v>
      </c>
      <c r="P5" s="43">
        <v>5</v>
      </c>
      <c r="Q5" s="15">
        <f t="shared" si="3"/>
        <v>0.7142857142857143</v>
      </c>
      <c r="R5" s="58">
        <f t="shared" ref="R5:R13" si="7">K5</f>
        <v>7.5</v>
      </c>
      <c r="S5" s="61">
        <v>6.5</v>
      </c>
      <c r="T5" s="15">
        <f t="shared" si="4"/>
        <v>0.8666666666666667</v>
      </c>
      <c r="U5" s="16">
        <f t="shared" si="5"/>
        <v>1.3</v>
      </c>
      <c r="V5" s="17">
        <f t="shared" si="5"/>
        <v>1.2133333333333334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6</v>
      </c>
      <c r="I6" s="15">
        <f t="shared" si="0"/>
        <v>0.12</v>
      </c>
      <c r="J6" s="45">
        <v>25</v>
      </c>
      <c r="K6" s="60">
        <v>7.35</v>
      </c>
      <c r="L6" s="15">
        <f t="shared" si="1"/>
        <v>0.29399999999999998</v>
      </c>
      <c r="M6" s="16">
        <f t="shared" si="2"/>
        <v>1.2249999999999999</v>
      </c>
      <c r="N6" s="17">
        <f t="shared" si="2"/>
        <v>2.4499999999999997</v>
      </c>
      <c r="O6" s="46">
        <f t="shared" si="6"/>
        <v>6</v>
      </c>
      <c r="P6" s="43">
        <v>0</v>
      </c>
      <c r="Q6" s="15">
        <f t="shared" si="3"/>
        <v>0</v>
      </c>
      <c r="R6" s="58">
        <f t="shared" si="7"/>
        <v>7.35</v>
      </c>
      <c r="S6" s="61">
        <v>0</v>
      </c>
      <c r="T6" s="15">
        <f t="shared" si="4"/>
        <v>0</v>
      </c>
      <c r="U6" s="16" t="e">
        <f t="shared" si="5"/>
        <v>#DIV/0!</v>
      </c>
      <c r="V6" s="17" t="e">
        <f t="shared" si="5"/>
        <v>#DIV/0!</v>
      </c>
      <c r="W6" s="17" t="s">
        <v>50</v>
      </c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0</v>
      </c>
      <c r="I7" s="15">
        <f t="shared" si="0"/>
        <v>0</v>
      </c>
      <c r="J7" s="45">
        <v>30</v>
      </c>
      <c r="K7" s="60">
        <v>0</v>
      </c>
      <c r="L7" s="15">
        <f t="shared" si="1"/>
        <v>0</v>
      </c>
      <c r="M7" s="16" t="e">
        <f t="shared" si="2"/>
        <v>#DIV/0!</v>
      </c>
      <c r="N7" s="17" t="e">
        <f t="shared" si="2"/>
        <v>#DIV/0!</v>
      </c>
      <c r="O7" s="46">
        <f t="shared" si="6"/>
        <v>0</v>
      </c>
      <c r="P7" s="43">
        <v>0</v>
      </c>
      <c r="Q7" s="15" t="e">
        <f t="shared" si="3"/>
        <v>#DIV/0!</v>
      </c>
      <c r="R7" s="58">
        <f t="shared" si="7"/>
        <v>0</v>
      </c>
      <c r="S7" s="61">
        <v>0</v>
      </c>
      <c r="T7" s="15" t="e">
        <f t="shared" si="4"/>
        <v>#DIV/0!</v>
      </c>
      <c r="U7" s="16" t="e">
        <f t="shared" si="5"/>
        <v>#DIV/0!</v>
      </c>
      <c r="V7" s="17" t="e">
        <f t="shared" si="5"/>
        <v>#DIV/0!</v>
      </c>
      <c r="W7" s="17" t="s">
        <v>51</v>
      </c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6</v>
      </c>
      <c r="I8" s="15">
        <f t="shared" si="0"/>
        <v>0.12</v>
      </c>
      <c r="J8" s="45">
        <v>20</v>
      </c>
      <c r="K8" s="60">
        <v>16.149999999999999</v>
      </c>
      <c r="L8" s="15">
        <f t="shared" si="1"/>
        <v>0.80749999999999988</v>
      </c>
      <c r="M8" s="16">
        <f t="shared" si="2"/>
        <v>2.6916666666666664</v>
      </c>
      <c r="N8" s="17">
        <f t="shared" si="2"/>
        <v>6.7291666666666661</v>
      </c>
      <c r="O8" s="46">
        <f t="shared" si="6"/>
        <v>6</v>
      </c>
      <c r="P8" s="43">
        <v>3</v>
      </c>
      <c r="Q8" s="15">
        <f t="shared" si="3"/>
        <v>0.5</v>
      </c>
      <c r="R8" s="58">
        <f t="shared" si="7"/>
        <v>16.149999999999999</v>
      </c>
      <c r="S8" s="61">
        <v>8</v>
      </c>
      <c r="T8" s="15">
        <f t="shared" si="4"/>
        <v>0.49535603715170284</v>
      </c>
      <c r="U8" s="16">
        <f t="shared" si="5"/>
        <v>2.6666666666666665</v>
      </c>
      <c r="V8" s="17">
        <f t="shared" si="5"/>
        <v>0.99071207430340569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6</v>
      </c>
      <c r="I9" s="15" t="e">
        <f t="shared" si="0"/>
        <v>#DIV/0!</v>
      </c>
      <c r="J9" s="45">
        <v>20</v>
      </c>
      <c r="K9" s="60">
        <v>5.5</v>
      </c>
      <c r="L9" s="15">
        <f t="shared" si="1"/>
        <v>0.27500000000000002</v>
      </c>
      <c r="M9" s="16">
        <f t="shared" si="2"/>
        <v>0.91666666666666663</v>
      </c>
      <c r="N9" s="17" t="e">
        <f t="shared" si="2"/>
        <v>#DIV/0!</v>
      </c>
      <c r="O9" s="46">
        <f t="shared" si="6"/>
        <v>6</v>
      </c>
      <c r="P9" s="43">
        <v>3</v>
      </c>
      <c r="Q9" s="15">
        <f t="shared" si="3"/>
        <v>0.5</v>
      </c>
      <c r="R9" s="58">
        <f t="shared" si="7"/>
        <v>5.5</v>
      </c>
      <c r="S9" s="61">
        <v>3.45</v>
      </c>
      <c r="T9" s="15">
        <f t="shared" si="4"/>
        <v>0.62727272727272732</v>
      </c>
      <c r="U9" s="16">
        <f t="shared" si="5"/>
        <v>1.1500000000000001</v>
      </c>
      <c r="V9" s="17">
        <f t="shared" si="5"/>
        <v>1.2545454545454546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60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/>
      <c r="Q10" s="15" t="e">
        <f t="shared" si="3"/>
        <v>#DIV/0!</v>
      </c>
      <c r="R10" s="58">
        <f t="shared" si="7"/>
        <v>0</v>
      </c>
      <c r="S10" s="61"/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10</v>
      </c>
      <c r="H11" s="55">
        <v>10</v>
      </c>
      <c r="I11" s="15">
        <f t="shared" si="0"/>
        <v>1</v>
      </c>
      <c r="J11" s="45">
        <v>220</v>
      </c>
      <c r="K11" s="60">
        <v>200</v>
      </c>
      <c r="L11" s="15">
        <f t="shared" si="1"/>
        <v>0.90909090909090906</v>
      </c>
      <c r="M11" s="16">
        <f t="shared" si="2"/>
        <v>20</v>
      </c>
      <c r="N11" s="17">
        <f t="shared" si="2"/>
        <v>0.90909090909090906</v>
      </c>
      <c r="O11" s="46">
        <f t="shared" si="6"/>
        <v>10</v>
      </c>
      <c r="P11" s="43">
        <v>6</v>
      </c>
      <c r="Q11" s="15">
        <f t="shared" si="3"/>
        <v>0.6</v>
      </c>
      <c r="R11" s="58">
        <f t="shared" si="7"/>
        <v>200</v>
      </c>
      <c r="S11" s="61">
        <v>56</v>
      </c>
      <c r="T11" s="15">
        <f t="shared" si="4"/>
        <v>0.28000000000000003</v>
      </c>
      <c r="U11" s="16">
        <f t="shared" si="5"/>
        <v>9.3333333333333339</v>
      </c>
      <c r="V11" s="17">
        <f t="shared" si="5"/>
        <v>0.46666666666666673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>
        <v>16</v>
      </c>
      <c r="I12" s="15">
        <f t="shared" si="0"/>
        <v>0.32</v>
      </c>
      <c r="J12" s="45">
        <v>30</v>
      </c>
      <c r="K12" s="60">
        <v>21</v>
      </c>
      <c r="L12" s="15">
        <f t="shared" si="1"/>
        <v>0.7</v>
      </c>
      <c r="M12" s="16">
        <f t="shared" si="2"/>
        <v>1.3125</v>
      </c>
      <c r="N12" s="17">
        <f t="shared" si="2"/>
        <v>2.1875</v>
      </c>
      <c r="O12" s="46">
        <f t="shared" si="6"/>
        <v>16</v>
      </c>
      <c r="P12" s="43">
        <v>16</v>
      </c>
      <c r="Q12" s="15">
        <f t="shared" si="3"/>
        <v>1</v>
      </c>
      <c r="R12" s="58">
        <f t="shared" si="7"/>
        <v>21</v>
      </c>
      <c r="S12" s="61">
        <v>21</v>
      </c>
      <c r="T12" s="15">
        <f t="shared" si="4"/>
        <v>1</v>
      </c>
      <c r="U12" s="16">
        <f t="shared" si="5"/>
        <v>1.3125</v>
      </c>
      <c r="V12" s="17">
        <f t="shared" si="5"/>
        <v>1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60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58">
        <f t="shared" si="7"/>
        <v>0</v>
      </c>
      <c r="S13" s="61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73" t="s">
        <v>17</v>
      </c>
      <c r="E14" s="73"/>
      <c r="F14" s="74"/>
      <c r="G14" s="18">
        <f>SUM(G4:G13)</f>
        <v>310</v>
      </c>
      <c r="H14" s="19">
        <f t="shared" ref="H14:K14" si="8">SUM(H4:H13)</f>
        <v>62</v>
      </c>
      <c r="I14" s="20">
        <f t="shared" si="0"/>
        <v>0.2</v>
      </c>
      <c r="J14" s="21">
        <f t="shared" si="8"/>
        <v>415</v>
      </c>
      <c r="K14" s="63">
        <f t="shared" si="8"/>
        <v>267.25</v>
      </c>
      <c r="L14" s="20">
        <f>K14/J14</f>
        <v>0.64397590361445778</v>
      </c>
      <c r="M14" s="21">
        <f>K14/H14</f>
        <v>4.310483870967742</v>
      </c>
      <c r="N14" s="22" t="e">
        <f>AVERAGE(N4:N13)</f>
        <v>#DIV/0!</v>
      </c>
      <c r="O14" s="18">
        <f>SUM(O4:O13)</f>
        <v>62</v>
      </c>
      <c r="P14" s="19">
        <f t="shared" ref="P14" si="9">SUM(P4:P13)</f>
        <v>42</v>
      </c>
      <c r="Q14" s="20">
        <f t="shared" si="3"/>
        <v>0.67741935483870963</v>
      </c>
      <c r="R14" s="64">
        <f t="shared" ref="R14:S14" si="10">SUM(R4:R13)</f>
        <v>267.25</v>
      </c>
      <c r="S14" s="63">
        <f t="shared" si="10"/>
        <v>102.45</v>
      </c>
      <c r="T14" s="20">
        <f>S14/R14</f>
        <v>0.38334892422825073</v>
      </c>
      <c r="U14" s="21">
        <f>S14/P14</f>
        <v>2.4392857142857145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>
        <v>17</v>
      </c>
      <c r="I15" s="15">
        <f t="shared" si="0"/>
        <v>0.34</v>
      </c>
      <c r="J15" s="45">
        <v>30</v>
      </c>
      <c r="K15" s="60"/>
      <c r="L15" s="15">
        <f t="shared" si="1"/>
        <v>0</v>
      </c>
      <c r="M15" s="16">
        <f t="shared" ref="M15:M19" si="11">K15/H15</f>
        <v>0</v>
      </c>
      <c r="N15" s="17">
        <v>1</v>
      </c>
      <c r="O15" s="47">
        <f>H15</f>
        <v>17</v>
      </c>
      <c r="P15" s="43"/>
      <c r="Q15" s="15">
        <f t="shared" si="3"/>
        <v>0</v>
      </c>
      <c r="R15" s="62">
        <f>K15</f>
        <v>0</v>
      </c>
      <c r="S15" s="61"/>
      <c r="T15" s="15" t="e">
        <f t="shared" ref="T15:T19" si="12">S15/R15</f>
        <v>#DIV/0!</v>
      </c>
      <c r="U15" s="16" t="e">
        <f t="shared" ref="U15:U19" si="13">S15/P15</f>
        <v>#DIV/0!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>
        <v>15</v>
      </c>
      <c r="I16" s="15">
        <f t="shared" si="0"/>
        <v>0.3</v>
      </c>
      <c r="J16" s="45">
        <v>30</v>
      </c>
      <c r="K16" s="60"/>
      <c r="L16" s="15">
        <f t="shared" si="1"/>
        <v>0</v>
      </c>
      <c r="M16" s="16">
        <f t="shared" si="11"/>
        <v>0</v>
      </c>
      <c r="N16" s="17">
        <v>1</v>
      </c>
      <c r="O16" s="47">
        <f t="shared" ref="O16:O19" si="14">H16</f>
        <v>15</v>
      </c>
      <c r="P16" s="43"/>
      <c r="Q16" s="15">
        <f t="shared" si="3"/>
        <v>0</v>
      </c>
      <c r="R16" s="62">
        <f t="shared" ref="R16:R19" si="15">K16</f>
        <v>0</v>
      </c>
      <c r="S16" s="61"/>
      <c r="T16" s="15" t="e">
        <f t="shared" si="12"/>
        <v>#DIV/0!</v>
      </c>
      <c r="U16" s="16" t="e">
        <f t="shared" si="13"/>
        <v>#DIV/0!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>
        <v>14</v>
      </c>
      <c r="I17" s="15">
        <f t="shared" si="0"/>
        <v>0.28000000000000003</v>
      </c>
      <c r="J17" s="45">
        <v>30</v>
      </c>
      <c r="K17" s="60"/>
      <c r="L17" s="15">
        <f t="shared" si="1"/>
        <v>0</v>
      </c>
      <c r="M17" s="16">
        <f t="shared" si="11"/>
        <v>0</v>
      </c>
      <c r="N17" s="17">
        <v>1</v>
      </c>
      <c r="O17" s="47">
        <f t="shared" si="14"/>
        <v>14</v>
      </c>
      <c r="P17" s="43"/>
      <c r="Q17" s="15">
        <f t="shared" si="3"/>
        <v>0</v>
      </c>
      <c r="R17" s="62">
        <f t="shared" si="15"/>
        <v>0</v>
      </c>
      <c r="S17" s="61"/>
      <c r="T17" s="15" t="e">
        <f t="shared" si="12"/>
        <v>#DIV/0!</v>
      </c>
      <c r="U17" s="16" t="e">
        <f t="shared" si="13"/>
        <v>#DIV/0!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>
        <v>17</v>
      </c>
      <c r="I18" s="15">
        <f t="shared" si="0"/>
        <v>0.34</v>
      </c>
      <c r="J18" s="45">
        <v>30</v>
      </c>
      <c r="K18" s="60"/>
      <c r="L18" s="15">
        <f t="shared" si="1"/>
        <v>0</v>
      </c>
      <c r="M18" s="16">
        <f t="shared" si="11"/>
        <v>0</v>
      </c>
      <c r="N18" s="17">
        <v>1</v>
      </c>
      <c r="O18" s="47">
        <f t="shared" si="14"/>
        <v>17</v>
      </c>
      <c r="P18" s="43"/>
      <c r="Q18" s="15">
        <f t="shared" si="3"/>
        <v>0</v>
      </c>
      <c r="R18" s="62">
        <f t="shared" si="15"/>
        <v>0</v>
      </c>
      <c r="S18" s="61"/>
      <c r="T18" s="15" t="e">
        <f t="shared" si="12"/>
        <v>#DIV/0!</v>
      </c>
      <c r="U18" s="16" t="e">
        <f t="shared" si="13"/>
        <v>#DIV/0!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>
        <v>10</v>
      </c>
      <c r="I19" s="15">
        <f t="shared" si="0"/>
        <v>0.2</v>
      </c>
      <c r="J19" s="45">
        <v>30</v>
      </c>
      <c r="K19" s="60"/>
      <c r="L19" s="15">
        <f t="shared" si="1"/>
        <v>0</v>
      </c>
      <c r="M19" s="16">
        <f t="shared" si="11"/>
        <v>0</v>
      </c>
      <c r="N19" s="17">
        <v>1</v>
      </c>
      <c r="O19" s="47">
        <f t="shared" si="14"/>
        <v>10</v>
      </c>
      <c r="P19" s="43"/>
      <c r="Q19" s="15">
        <f t="shared" si="3"/>
        <v>0</v>
      </c>
      <c r="R19" s="62">
        <f t="shared" si="15"/>
        <v>0</v>
      </c>
      <c r="S19" s="61"/>
      <c r="T19" s="15" t="e">
        <f t="shared" si="12"/>
        <v>#DIV/0!</v>
      </c>
      <c r="U19" s="16" t="e">
        <f t="shared" si="13"/>
        <v>#DIV/0!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73" t="s">
        <v>17</v>
      </c>
      <c r="E20" s="73"/>
      <c r="F20" s="74"/>
      <c r="G20" s="18">
        <f>SUM(G15:G19)</f>
        <v>250</v>
      </c>
      <c r="H20" s="19">
        <f t="shared" ref="H20:K20" si="16">SUM(H15:H19)</f>
        <v>73</v>
      </c>
      <c r="I20" s="20">
        <f t="shared" si="0"/>
        <v>0.29199999999999998</v>
      </c>
      <c r="J20" s="21">
        <f t="shared" si="16"/>
        <v>150</v>
      </c>
      <c r="K20" s="19">
        <f t="shared" si="16"/>
        <v>0</v>
      </c>
      <c r="L20" s="20">
        <f>K20/J20</f>
        <v>0</v>
      </c>
      <c r="M20" s="21">
        <f>K20/H20</f>
        <v>0</v>
      </c>
      <c r="N20" s="22">
        <f>AVERAGE(N15:N19)</f>
        <v>1</v>
      </c>
      <c r="O20" s="18">
        <f>SUM(O15:O19)</f>
        <v>73</v>
      </c>
      <c r="P20" s="19">
        <f t="shared" ref="P20" si="17">SUM(P15:P19)</f>
        <v>0</v>
      </c>
      <c r="Q20" s="20">
        <f t="shared" si="3"/>
        <v>0</v>
      </c>
      <c r="R20" s="56">
        <f t="shared" ref="R20:S20" si="18">SUM(R15:R19)</f>
        <v>0</v>
      </c>
      <c r="S20" s="19">
        <f t="shared" si="18"/>
        <v>0</v>
      </c>
      <c r="T20" s="20" t="e">
        <f>S20/R20</f>
        <v>#DIV/0!</v>
      </c>
      <c r="U20" s="21" t="e">
        <f>S20/P20</f>
        <v>#DIV/0!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14</v>
      </c>
      <c r="I21" s="15">
        <f t="shared" si="0"/>
        <v>0.28000000000000003</v>
      </c>
      <c r="J21" s="45">
        <v>60</v>
      </c>
      <c r="K21" s="60">
        <v>25</v>
      </c>
      <c r="L21" s="15">
        <f t="shared" si="1"/>
        <v>0.41666666666666669</v>
      </c>
      <c r="M21" s="16">
        <f t="shared" ref="M21:M24" si="19">K21/H21</f>
        <v>1.7857142857142858</v>
      </c>
      <c r="N21" s="17">
        <v>1</v>
      </c>
      <c r="O21" s="47">
        <f>H21</f>
        <v>14</v>
      </c>
      <c r="P21" s="43">
        <v>7</v>
      </c>
      <c r="Q21" s="15">
        <f t="shared" si="3"/>
        <v>0.5</v>
      </c>
      <c r="R21" s="62">
        <f>K21</f>
        <v>25</v>
      </c>
      <c r="S21" s="61">
        <v>15</v>
      </c>
      <c r="T21" s="15">
        <f t="shared" ref="T21:T24" si="20">S21/R21</f>
        <v>0.6</v>
      </c>
      <c r="U21" s="16">
        <f t="shared" ref="U21:U24" si="21">S21/P21</f>
        <v>2.1428571428571428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4</v>
      </c>
      <c r="I22" s="15">
        <f t="shared" si="0"/>
        <v>0.08</v>
      </c>
      <c r="J22" s="45">
        <v>40</v>
      </c>
      <c r="K22" s="60">
        <v>7</v>
      </c>
      <c r="L22" s="15">
        <f t="shared" si="1"/>
        <v>0.17499999999999999</v>
      </c>
      <c r="M22" s="16">
        <f t="shared" si="19"/>
        <v>1.75</v>
      </c>
      <c r="N22" s="17">
        <v>1</v>
      </c>
      <c r="O22" s="47">
        <f t="shared" ref="O22:O24" si="22">H22</f>
        <v>4</v>
      </c>
      <c r="P22" s="43">
        <v>3</v>
      </c>
      <c r="Q22" s="15">
        <f t="shared" si="3"/>
        <v>0.75</v>
      </c>
      <c r="R22" s="62">
        <f t="shared" ref="R22:R24" si="23">K22</f>
        <v>7</v>
      </c>
      <c r="S22" s="61">
        <v>6</v>
      </c>
      <c r="T22" s="15">
        <f t="shared" si="20"/>
        <v>0.8571428571428571</v>
      </c>
      <c r="U22" s="16">
        <f t="shared" si="21"/>
        <v>2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4</v>
      </c>
      <c r="I23" s="15">
        <f t="shared" si="0"/>
        <v>0.08</v>
      </c>
      <c r="J23" s="45">
        <v>40</v>
      </c>
      <c r="K23" s="60">
        <v>7</v>
      </c>
      <c r="L23" s="15">
        <f t="shared" si="1"/>
        <v>0.17499999999999999</v>
      </c>
      <c r="M23" s="16">
        <f t="shared" si="19"/>
        <v>1.75</v>
      </c>
      <c r="N23" s="17">
        <v>1</v>
      </c>
      <c r="O23" s="47">
        <f t="shared" si="22"/>
        <v>4</v>
      </c>
      <c r="P23" s="43">
        <v>3</v>
      </c>
      <c r="Q23" s="15">
        <f t="shared" si="3"/>
        <v>0.75</v>
      </c>
      <c r="R23" s="62">
        <f t="shared" si="23"/>
        <v>7</v>
      </c>
      <c r="S23" s="61">
        <v>4</v>
      </c>
      <c r="T23" s="15">
        <f t="shared" si="20"/>
        <v>0.5714285714285714</v>
      </c>
      <c r="U23" s="16">
        <f t="shared" si="21"/>
        <v>1.3333333333333333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0</v>
      </c>
      <c r="I24" s="15">
        <f t="shared" si="0"/>
        <v>0</v>
      </c>
      <c r="J24" s="45">
        <v>30</v>
      </c>
      <c r="K24" s="60">
        <v>0</v>
      </c>
      <c r="L24" s="15">
        <f t="shared" si="1"/>
        <v>0</v>
      </c>
      <c r="M24" s="16" t="e">
        <f t="shared" si="19"/>
        <v>#DIV/0!</v>
      </c>
      <c r="N24" s="17">
        <v>1</v>
      </c>
      <c r="O24" s="47">
        <f t="shared" si="22"/>
        <v>0</v>
      </c>
      <c r="P24" s="43">
        <v>0</v>
      </c>
      <c r="Q24" s="15" t="e">
        <f t="shared" si="3"/>
        <v>#DIV/0!</v>
      </c>
      <c r="R24" s="62">
        <f t="shared" si="23"/>
        <v>0</v>
      </c>
      <c r="S24" s="61">
        <v>0</v>
      </c>
      <c r="T24" s="15" t="e">
        <f t="shared" si="20"/>
        <v>#DIV/0!</v>
      </c>
      <c r="U24" s="16" t="e">
        <f t="shared" si="21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75" t="s">
        <v>17</v>
      </c>
      <c r="E25" s="75"/>
      <c r="F25" s="76"/>
      <c r="G25" s="23">
        <f>SUM(G21:G24)</f>
        <v>200</v>
      </c>
      <c r="H25" s="24">
        <f t="shared" ref="H25:K25" si="24">SUM(H21:H24)</f>
        <v>22</v>
      </c>
      <c r="I25" s="25">
        <f t="shared" si="0"/>
        <v>0.11</v>
      </c>
      <c r="J25" s="26">
        <f t="shared" si="24"/>
        <v>170</v>
      </c>
      <c r="K25" s="24">
        <f t="shared" si="24"/>
        <v>39</v>
      </c>
      <c r="L25" s="25">
        <f>K25/J25</f>
        <v>0.22941176470588234</v>
      </c>
      <c r="M25" s="26">
        <f>K25/H25</f>
        <v>1.7727272727272727</v>
      </c>
      <c r="N25" s="27">
        <f>AVERAGE(N21:N24)</f>
        <v>1</v>
      </c>
      <c r="O25" s="23">
        <f>SUM(O21:O24)</f>
        <v>22</v>
      </c>
      <c r="P25" s="24">
        <f t="shared" ref="P25" si="25">SUM(P21:P24)</f>
        <v>13</v>
      </c>
      <c r="Q25" s="25">
        <f t="shared" si="3"/>
        <v>0.59090909090909094</v>
      </c>
      <c r="R25" s="26">
        <f t="shared" ref="R25:S25" si="26">SUM(R21:R24)</f>
        <v>39</v>
      </c>
      <c r="S25" s="24">
        <f t="shared" si="26"/>
        <v>25</v>
      </c>
      <c r="T25" s="25">
        <f>S25/R25</f>
        <v>0.64102564102564108</v>
      </c>
      <c r="U25" s="26">
        <f>S25/P25</f>
        <v>1.9230769230769231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77" t="s">
        <v>39</v>
      </c>
      <c r="C26" s="78"/>
      <c r="D26" s="78"/>
      <c r="E26" s="78"/>
      <c r="F26" s="78"/>
      <c r="G26" s="34">
        <f>+G25+G20+G14</f>
        <v>760</v>
      </c>
      <c r="H26" s="35">
        <f t="shared" ref="H26:K26" si="27">+H25+H20+H14</f>
        <v>157</v>
      </c>
      <c r="I26" s="36">
        <f t="shared" si="0"/>
        <v>0.20657894736842106</v>
      </c>
      <c r="J26" s="37">
        <f t="shared" si="27"/>
        <v>735</v>
      </c>
      <c r="K26" s="35">
        <f t="shared" si="27"/>
        <v>306.25</v>
      </c>
      <c r="L26" s="36">
        <f>K26/J26</f>
        <v>0.41666666666666669</v>
      </c>
      <c r="M26" s="37">
        <f>K26/H26</f>
        <v>1.9506369426751593</v>
      </c>
      <c r="N26" s="38"/>
      <c r="O26" s="34">
        <f>+O25+O20+O14</f>
        <v>157</v>
      </c>
      <c r="P26" s="35">
        <f t="shared" ref="P26" si="28">+P25+P20+P14</f>
        <v>55</v>
      </c>
      <c r="Q26" s="36">
        <f t="shared" si="3"/>
        <v>0.3503184713375796</v>
      </c>
      <c r="R26" s="37">
        <f t="shared" ref="R26:S26" si="29">+R25+R20+R14</f>
        <v>306.25</v>
      </c>
      <c r="S26" s="35">
        <f t="shared" si="29"/>
        <v>127.45</v>
      </c>
      <c r="T26" s="36">
        <f>S26/R26</f>
        <v>0.41616326530612247</v>
      </c>
      <c r="U26" s="37">
        <f>S26/P26</f>
        <v>2.3172727272727274</v>
      </c>
      <c r="V26" s="38"/>
      <c r="W26" s="38"/>
    </row>
  </sheetData>
  <mergeCells count="11">
    <mergeCell ref="D14:F14"/>
    <mergeCell ref="D20:F20"/>
    <mergeCell ref="D25:F25"/>
    <mergeCell ref="B26:F26"/>
    <mergeCell ref="G1:N1"/>
    <mergeCell ref="O1:V1"/>
    <mergeCell ref="E2:F2"/>
    <mergeCell ref="G2:I2"/>
    <mergeCell ref="J2:L2"/>
    <mergeCell ref="O2:Q2"/>
    <mergeCell ref="R2:T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674A7-3942-47E0-8E65-980F1C82B5F1}">
  <dimension ref="A1:W26"/>
  <sheetViews>
    <sheetView topLeftCell="D1" zoomScale="85" zoomScaleNormal="85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W10" sqref="W10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8.54296875" bestFit="1" customWidth="1"/>
  </cols>
  <sheetData>
    <row r="1" spans="1:23" ht="15" thickBot="1" x14ac:dyDescent="0.4">
      <c r="G1" s="79" t="s">
        <v>0</v>
      </c>
      <c r="H1" s="80"/>
      <c r="I1" s="80"/>
      <c r="J1" s="80"/>
      <c r="K1" s="80"/>
      <c r="L1" s="80"/>
      <c r="M1" s="80"/>
      <c r="N1" s="81"/>
      <c r="O1" s="65" t="s">
        <v>1</v>
      </c>
      <c r="P1" s="66"/>
      <c r="Q1" s="66"/>
      <c r="R1" s="66"/>
      <c r="S1" s="66"/>
      <c r="T1" s="66"/>
      <c r="U1" s="66"/>
      <c r="V1" s="67"/>
    </row>
    <row r="2" spans="1:23" ht="16" thickBot="1" x14ac:dyDescent="0.4">
      <c r="E2" s="68" t="s">
        <v>49</v>
      </c>
      <c r="F2" s="69"/>
      <c r="G2" s="70" t="s">
        <v>2</v>
      </c>
      <c r="H2" s="71"/>
      <c r="I2" s="72"/>
      <c r="J2" s="71" t="s">
        <v>3</v>
      </c>
      <c r="K2" s="71"/>
      <c r="L2" s="72"/>
      <c r="M2" s="1"/>
      <c r="N2" s="2"/>
      <c r="O2" s="70" t="s">
        <v>2</v>
      </c>
      <c r="P2" s="71"/>
      <c r="Q2" s="72"/>
      <c r="R2" s="71" t="s">
        <v>3</v>
      </c>
      <c r="S2" s="71"/>
      <c r="T2" s="72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8</v>
      </c>
      <c r="I4" s="10">
        <f t="shared" ref="I4:I26" si="0">H4/G4</f>
        <v>0.16</v>
      </c>
      <c r="J4" s="44">
        <v>30</v>
      </c>
      <c r="K4" s="57">
        <v>12.5</v>
      </c>
      <c r="L4" s="10">
        <f t="shared" ref="L4:L24" si="1">K4/J4</f>
        <v>0.41666666666666669</v>
      </c>
      <c r="M4" s="11">
        <f t="shared" ref="M4:N13" si="2">K4/H4</f>
        <v>1.5625</v>
      </c>
      <c r="N4" s="12">
        <f t="shared" si="2"/>
        <v>2.6041666666666665</v>
      </c>
      <c r="O4" s="46">
        <f>H4</f>
        <v>8</v>
      </c>
      <c r="P4" s="42">
        <v>8</v>
      </c>
      <c r="Q4" s="10">
        <f t="shared" ref="Q4:Q26" si="3">P4/O4</f>
        <v>1</v>
      </c>
      <c r="R4" s="58">
        <f>K4</f>
        <v>12.5</v>
      </c>
      <c r="S4" s="59">
        <v>12.5</v>
      </c>
      <c r="T4" s="10">
        <f t="shared" ref="T4:T13" si="4">S4/R4</f>
        <v>1</v>
      </c>
      <c r="U4" s="11">
        <f t="shared" ref="U4:V13" si="5">S4/P4</f>
        <v>1.5625</v>
      </c>
      <c r="V4" s="12">
        <f t="shared" si="5"/>
        <v>1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3</v>
      </c>
      <c r="I5" s="15">
        <f t="shared" si="0"/>
        <v>0.06</v>
      </c>
      <c r="J5" s="45">
        <v>20</v>
      </c>
      <c r="K5" s="60">
        <v>18</v>
      </c>
      <c r="L5" s="15">
        <f t="shared" si="1"/>
        <v>0.9</v>
      </c>
      <c r="M5" s="16">
        <f t="shared" si="2"/>
        <v>6</v>
      </c>
      <c r="N5" s="17">
        <f t="shared" si="2"/>
        <v>15.000000000000002</v>
      </c>
      <c r="O5" s="46">
        <f t="shared" ref="O5:O13" si="6">H5</f>
        <v>3</v>
      </c>
      <c r="P5" s="43">
        <v>2</v>
      </c>
      <c r="Q5" s="15">
        <f t="shared" si="3"/>
        <v>0.66666666666666663</v>
      </c>
      <c r="R5" s="58">
        <f t="shared" ref="R5:R13" si="7">K5</f>
        <v>18</v>
      </c>
      <c r="S5" s="61">
        <v>17</v>
      </c>
      <c r="T5" s="15">
        <f t="shared" si="4"/>
        <v>0.94444444444444442</v>
      </c>
      <c r="U5" s="16">
        <f t="shared" si="5"/>
        <v>8.5</v>
      </c>
      <c r="V5" s="17">
        <f t="shared" si="5"/>
        <v>1.4166666666666667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3</v>
      </c>
      <c r="I6" s="15">
        <f t="shared" si="0"/>
        <v>0.06</v>
      </c>
      <c r="J6" s="45">
        <v>20</v>
      </c>
      <c r="K6" s="60">
        <v>3.2</v>
      </c>
      <c r="L6" s="15">
        <f t="shared" si="1"/>
        <v>0.16</v>
      </c>
      <c r="M6" s="16">
        <f t="shared" si="2"/>
        <v>1.0666666666666667</v>
      </c>
      <c r="N6" s="17">
        <f t="shared" si="2"/>
        <v>2.666666666666667</v>
      </c>
      <c r="O6" s="46">
        <f t="shared" si="6"/>
        <v>3</v>
      </c>
      <c r="P6" s="43">
        <v>2</v>
      </c>
      <c r="Q6" s="15">
        <f t="shared" si="3"/>
        <v>0.66666666666666663</v>
      </c>
      <c r="R6" s="58">
        <f t="shared" si="7"/>
        <v>3.2</v>
      </c>
      <c r="S6" s="61">
        <v>1.6</v>
      </c>
      <c r="T6" s="15">
        <f t="shared" si="4"/>
        <v>0.5</v>
      </c>
      <c r="U6" s="16">
        <f t="shared" si="5"/>
        <v>0.8</v>
      </c>
      <c r="V6" s="17">
        <f t="shared" si="5"/>
        <v>0.75</v>
      </c>
      <c r="W6" s="17"/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5</v>
      </c>
      <c r="I7" s="15">
        <f t="shared" si="0"/>
        <v>0.1</v>
      </c>
      <c r="J7" s="45">
        <v>20</v>
      </c>
      <c r="K7" s="60">
        <v>12</v>
      </c>
      <c r="L7" s="15">
        <f t="shared" si="1"/>
        <v>0.6</v>
      </c>
      <c r="M7" s="16">
        <f t="shared" si="2"/>
        <v>2.4</v>
      </c>
      <c r="N7" s="17">
        <f t="shared" si="2"/>
        <v>5.9999999999999991</v>
      </c>
      <c r="O7" s="46">
        <f t="shared" si="6"/>
        <v>5</v>
      </c>
      <c r="P7" s="43">
        <v>3</v>
      </c>
      <c r="Q7" s="15">
        <f t="shared" si="3"/>
        <v>0.6</v>
      </c>
      <c r="R7" s="58">
        <f t="shared" si="7"/>
        <v>12</v>
      </c>
      <c r="S7" s="61">
        <v>11</v>
      </c>
      <c r="T7" s="15">
        <f t="shared" si="4"/>
        <v>0.91666666666666663</v>
      </c>
      <c r="U7" s="16">
        <f t="shared" si="5"/>
        <v>3.6666666666666665</v>
      </c>
      <c r="V7" s="17">
        <f t="shared" si="5"/>
        <v>1.5277777777777777</v>
      </c>
      <c r="W7" s="17"/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6</v>
      </c>
      <c r="I8" s="15">
        <f t="shared" si="0"/>
        <v>0.12</v>
      </c>
      <c r="J8" s="45">
        <v>20</v>
      </c>
      <c r="K8" s="60">
        <v>9</v>
      </c>
      <c r="L8" s="15">
        <f t="shared" si="1"/>
        <v>0.45</v>
      </c>
      <c r="M8" s="16">
        <f t="shared" si="2"/>
        <v>1.5</v>
      </c>
      <c r="N8" s="17">
        <f t="shared" si="2"/>
        <v>3.7500000000000004</v>
      </c>
      <c r="O8" s="46">
        <f t="shared" si="6"/>
        <v>6</v>
      </c>
      <c r="P8" s="43">
        <v>4</v>
      </c>
      <c r="Q8" s="15">
        <f t="shared" si="3"/>
        <v>0.66666666666666663</v>
      </c>
      <c r="R8" s="58">
        <f t="shared" si="7"/>
        <v>9</v>
      </c>
      <c r="S8" s="61">
        <v>7</v>
      </c>
      <c r="T8" s="15">
        <f t="shared" si="4"/>
        <v>0.77777777777777779</v>
      </c>
      <c r="U8" s="16">
        <f t="shared" si="5"/>
        <v>1.75</v>
      </c>
      <c r="V8" s="17">
        <f t="shared" si="5"/>
        <v>1.1666666666666667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0</v>
      </c>
      <c r="I9" s="15" t="e">
        <f t="shared" si="0"/>
        <v>#DIV/0!</v>
      </c>
      <c r="J9" s="45">
        <v>0</v>
      </c>
      <c r="K9" s="60">
        <v>0</v>
      </c>
      <c r="L9" s="15" t="e">
        <f t="shared" si="1"/>
        <v>#DIV/0!</v>
      </c>
      <c r="M9" s="16" t="e">
        <f t="shared" si="2"/>
        <v>#DIV/0!</v>
      </c>
      <c r="N9" s="17" t="e">
        <f t="shared" si="2"/>
        <v>#DIV/0!</v>
      </c>
      <c r="O9" s="46">
        <f t="shared" si="6"/>
        <v>0</v>
      </c>
      <c r="P9" s="43">
        <v>0</v>
      </c>
      <c r="Q9" s="15" t="e">
        <f t="shared" si="3"/>
        <v>#DIV/0!</v>
      </c>
      <c r="R9" s="58">
        <f t="shared" si="7"/>
        <v>0</v>
      </c>
      <c r="S9" s="61">
        <v>0</v>
      </c>
      <c r="T9" s="15" t="e">
        <f t="shared" si="4"/>
        <v>#DIV/0!</v>
      </c>
      <c r="U9" s="16" t="e">
        <f t="shared" si="5"/>
        <v>#DIV/0!</v>
      </c>
      <c r="V9" s="17" t="e">
        <f t="shared" si="5"/>
        <v>#DIV/0!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60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>
        <v>0</v>
      </c>
      <c r="Q10" s="15" t="e">
        <f t="shared" si="3"/>
        <v>#DIV/0!</v>
      </c>
      <c r="R10" s="58">
        <f t="shared" si="7"/>
        <v>0</v>
      </c>
      <c r="S10" s="61">
        <v>0</v>
      </c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10</v>
      </c>
      <c r="H11" s="55">
        <v>2</v>
      </c>
      <c r="I11" s="15">
        <f t="shared" si="0"/>
        <v>0.2</v>
      </c>
      <c r="J11" s="45">
        <v>220</v>
      </c>
      <c r="K11" s="60">
        <v>200</v>
      </c>
      <c r="L11" s="15">
        <f t="shared" si="1"/>
        <v>0.90909090909090906</v>
      </c>
      <c r="M11" s="16">
        <f t="shared" si="2"/>
        <v>100</v>
      </c>
      <c r="N11" s="17">
        <f t="shared" si="2"/>
        <v>4.545454545454545</v>
      </c>
      <c r="O11" s="46">
        <f t="shared" si="6"/>
        <v>2</v>
      </c>
      <c r="P11" s="43">
        <v>2</v>
      </c>
      <c r="Q11" s="15">
        <f t="shared" si="3"/>
        <v>1</v>
      </c>
      <c r="R11" s="58">
        <f t="shared" si="7"/>
        <v>200</v>
      </c>
      <c r="S11" s="61">
        <v>124</v>
      </c>
      <c r="T11" s="15">
        <f t="shared" si="4"/>
        <v>0.62</v>
      </c>
      <c r="U11" s="16">
        <f t="shared" si="5"/>
        <v>62</v>
      </c>
      <c r="V11" s="17">
        <f t="shared" si="5"/>
        <v>0.62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/>
      <c r="I12" s="15">
        <f t="shared" si="0"/>
        <v>0</v>
      </c>
      <c r="J12" s="45">
        <v>20</v>
      </c>
      <c r="K12" s="60"/>
      <c r="L12" s="15">
        <f t="shared" si="1"/>
        <v>0</v>
      </c>
      <c r="M12" s="16" t="e">
        <f t="shared" si="2"/>
        <v>#DIV/0!</v>
      </c>
      <c r="N12" s="17" t="e">
        <f t="shared" si="2"/>
        <v>#DIV/0!</v>
      </c>
      <c r="O12" s="46">
        <f t="shared" si="6"/>
        <v>0</v>
      </c>
      <c r="P12" s="43"/>
      <c r="Q12" s="15" t="e">
        <f t="shared" si="3"/>
        <v>#DIV/0!</v>
      </c>
      <c r="R12" s="58">
        <f t="shared" si="7"/>
        <v>0</v>
      </c>
      <c r="S12" s="61"/>
      <c r="T12" s="15" t="e">
        <f t="shared" si="4"/>
        <v>#DIV/0!</v>
      </c>
      <c r="U12" s="16" t="e">
        <f t="shared" si="5"/>
        <v>#DIV/0!</v>
      </c>
      <c r="V12" s="17" t="e">
        <f t="shared" si="5"/>
        <v>#DIV/0!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60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58">
        <f t="shared" si="7"/>
        <v>0</v>
      </c>
      <c r="S13" s="61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73" t="s">
        <v>17</v>
      </c>
      <c r="E14" s="73"/>
      <c r="F14" s="74"/>
      <c r="G14" s="18">
        <f>SUM(G4:G13)</f>
        <v>310</v>
      </c>
      <c r="H14" s="19">
        <f t="shared" ref="H14:K14" si="8">SUM(H4:H13)</f>
        <v>27</v>
      </c>
      <c r="I14" s="20">
        <f t="shared" si="0"/>
        <v>8.7096774193548387E-2</v>
      </c>
      <c r="J14" s="21">
        <f t="shared" si="8"/>
        <v>350</v>
      </c>
      <c r="K14" s="19">
        <f t="shared" si="8"/>
        <v>254.7</v>
      </c>
      <c r="L14" s="20">
        <f>K14/J14</f>
        <v>0.72771428571428565</v>
      </c>
      <c r="M14" s="21">
        <f>K14/H14</f>
        <v>9.4333333333333336</v>
      </c>
      <c r="N14" s="22" t="e">
        <f>AVERAGE(N4:N13)</f>
        <v>#DIV/0!</v>
      </c>
      <c r="O14" s="18">
        <f>SUM(O4:O13)</f>
        <v>27</v>
      </c>
      <c r="P14" s="19">
        <f t="shared" ref="P14" si="9">SUM(P4:P13)</f>
        <v>21</v>
      </c>
      <c r="Q14" s="20">
        <f t="shared" si="3"/>
        <v>0.77777777777777779</v>
      </c>
      <c r="R14" s="21">
        <f t="shared" ref="R14:S14" si="10">SUM(R4:R13)</f>
        <v>254.7</v>
      </c>
      <c r="S14" s="19">
        <f t="shared" si="10"/>
        <v>173.1</v>
      </c>
      <c r="T14" s="20">
        <f>S14/R14</f>
        <v>0.67962308598351007</v>
      </c>
      <c r="U14" s="21">
        <f>S14/P14</f>
        <v>8.242857142857142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>
        <v>17</v>
      </c>
      <c r="I15" s="15">
        <f t="shared" si="0"/>
        <v>0.34</v>
      </c>
      <c r="J15" s="45">
        <v>30</v>
      </c>
      <c r="K15" s="60">
        <v>14</v>
      </c>
      <c r="L15" s="15">
        <f t="shared" si="1"/>
        <v>0.46666666666666667</v>
      </c>
      <c r="M15" s="16">
        <f t="shared" ref="M15:M19" si="11">K15/H15</f>
        <v>0.82352941176470584</v>
      </c>
      <c r="N15" s="17">
        <v>1</v>
      </c>
      <c r="O15" s="47">
        <f>H15</f>
        <v>17</v>
      </c>
      <c r="P15" s="43">
        <v>17</v>
      </c>
      <c r="Q15" s="15">
        <f t="shared" si="3"/>
        <v>1</v>
      </c>
      <c r="R15" s="62">
        <f>K15</f>
        <v>14</v>
      </c>
      <c r="S15" s="61">
        <v>14</v>
      </c>
      <c r="T15" s="15">
        <f t="shared" ref="T15:T19" si="12">S15/R15</f>
        <v>1</v>
      </c>
      <c r="U15" s="16">
        <f t="shared" ref="U15:U19" si="13">S15/P15</f>
        <v>0.82352941176470584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>
        <v>15</v>
      </c>
      <c r="I16" s="15">
        <f t="shared" si="0"/>
        <v>0.3</v>
      </c>
      <c r="J16" s="45">
        <v>30</v>
      </c>
      <c r="K16" s="60">
        <v>19</v>
      </c>
      <c r="L16" s="15">
        <f t="shared" si="1"/>
        <v>0.6333333333333333</v>
      </c>
      <c r="M16" s="16">
        <f t="shared" si="11"/>
        <v>1.2666666666666666</v>
      </c>
      <c r="N16" s="17">
        <v>1</v>
      </c>
      <c r="O16" s="47">
        <f t="shared" ref="O16:O19" si="14">H16</f>
        <v>15</v>
      </c>
      <c r="P16" s="43">
        <v>14</v>
      </c>
      <c r="Q16" s="15">
        <f t="shared" si="3"/>
        <v>0.93333333333333335</v>
      </c>
      <c r="R16" s="62">
        <f t="shared" ref="R16:R19" si="15">K16</f>
        <v>19</v>
      </c>
      <c r="S16" s="61">
        <v>17</v>
      </c>
      <c r="T16" s="15">
        <f t="shared" si="12"/>
        <v>0.89473684210526316</v>
      </c>
      <c r="U16" s="16">
        <f t="shared" si="13"/>
        <v>1.2142857142857142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>
        <v>14</v>
      </c>
      <c r="I17" s="15">
        <f t="shared" si="0"/>
        <v>0.28000000000000003</v>
      </c>
      <c r="J17" s="45">
        <v>30</v>
      </c>
      <c r="K17" s="60">
        <v>13</v>
      </c>
      <c r="L17" s="15">
        <f t="shared" si="1"/>
        <v>0.43333333333333335</v>
      </c>
      <c r="M17" s="16">
        <f t="shared" si="11"/>
        <v>0.9285714285714286</v>
      </c>
      <c r="N17" s="17">
        <v>1</v>
      </c>
      <c r="O17" s="47">
        <f t="shared" si="14"/>
        <v>14</v>
      </c>
      <c r="P17" s="43">
        <v>14</v>
      </c>
      <c r="Q17" s="15">
        <f t="shared" si="3"/>
        <v>1</v>
      </c>
      <c r="R17" s="62">
        <f t="shared" si="15"/>
        <v>13</v>
      </c>
      <c r="S17" s="61">
        <v>13</v>
      </c>
      <c r="T17" s="15">
        <f t="shared" si="12"/>
        <v>1</v>
      </c>
      <c r="U17" s="16">
        <f t="shared" si="13"/>
        <v>0.9285714285714286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>
        <v>17</v>
      </c>
      <c r="I18" s="15">
        <f t="shared" si="0"/>
        <v>0.34</v>
      </c>
      <c r="J18" s="45">
        <v>30</v>
      </c>
      <c r="K18" s="60">
        <v>20</v>
      </c>
      <c r="L18" s="15">
        <f t="shared" si="1"/>
        <v>0.66666666666666663</v>
      </c>
      <c r="M18" s="16">
        <f t="shared" si="11"/>
        <v>1.1764705882352942</v>
      </c>
      <c r="N18" s="17">
        <v>1</v>
      </c>
      <c r="O18" s="47">
        <f t="shared" si="14"/>
        <v>17</v>
      </c>
      <c r="P18" s="43">
        <v>16</v>
      </c>
      <c r="Q18" s="15">
        <f t="shared" si="3"/>
        <v>0.94117647058823528</v>
      </c>
      <c r="R18" s="62">
        <f t="shared" si="15"/>
        <v>20</v>
      </c>
      <c r="S18" s="61">
        <v>18</v>
      </c>
      <c r="T18" s="15">
        <f t="shared" si="12"/>
        <v>0.9</v>
      </c>
      <c r="U18" s="16">
        <f t="shared" si="13"/>
        <v>1.125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>
        <v>10</v>
      </c>
      <c r="I19" s="15">
        <f t="shared" si="0"/>
        <v>0.2</v>
      </c>
      <c r="J19" s="45">
        <v>30</v>
      </c>
      <c r="K19" s="60">
        <v>15</v>
      </c>
      <c r="L19" s="15">
        <f t="shared" si="1"/>
        <v>0.5</v>
      </c>
      <c r="M19" s="16">
        <f t="shared" si="11"/>
        <v>1.5</v>
      </c>
      <c r="N19" s="17">
        <v>1</v>
      </c>
      <c r="O19" s="47">
        <f t="shared" si="14"/>
        <v>10</v>
      </c>
      <c r="P19" s="43">
        <v>10</v>
      </c>
      <c r="Q19" s="15">
        <f t="shared" si="3"/>
        <v>1</v>
      </c>
      <c r="R19" s="62">
        <f t="shared" si="15"/>
        <v>15</v>
      </c>
      <c r="S19" s="61">
        <v>15</v>
      </c>
      <c r="T19" s="15">
        <f t="shared" si="12"/>
        <v>1</v>
      </c>
      <c r="U19" s="16">
        <f t="shared" si="13"/>
        <v>1.5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73" t="s">
        <v>17</v>
      </c>
      <c r="E20" s="73"/>
      <c r="F20" s="74"/>
      <c r="G20" s="18">
        <f>SUM(G15:G19)</f>
        <v>250</v>
      </c>
      <c r="H20" s="19">
        <f t="shared" ref="H20:K20" si="16">SUM(H15:H19)</f>
        <v>73</v>
      </c>
      <c r="I20" s="20">
        <f t="shared" si="0"/>
        <v>0.29199999999999998</v>
      </c>
      <c r="J20" s="21">
        <f t="shared" si="16"/>
        <v>150</v>
      </c>
      <c r="K20" s="19">
        <f t="shared" si="16"/>
        <v>81</v>
      </c>
      <c r="L20" s="20">
        <f>K20/J20</f>
        <v>0.54</v>
      </c>
      <c r="M20" s="21">
        <f>K20/H20</f>
        <v>1.1095890410958904</v>
      </c>
      <c r="N20" s="22">
        <f>AVERAGE(N15:N19)</f>
        <v>1</v>
      </c>
      <c r="O20" s="18">
        <f>SUM(O15:O19)</f>
        <v>73</v>
      </c>
      <c r="P20" s="19">
        <f t="shared" ref="P20" si="17">SUM(P15:P19)</f>
        <v>71</v>
      </c>
      <c r="Q20" s="20">
        <f t="shared" si="3"/>
        <v>0.9726027397260274</v>
      </c>
      <c r="R20" s="56">
        <f t="shared" ref="R20:S20" si="18">SUM(R15:R19)</f>
        <v>81</v>
      </c>
      <c r="S20" s="19">
        <f t="shared" si="18"/>
        <v>77</v>
      </c>
      <c r="T20" s="20">
        <f>S20/R20</f>
        <v>0.95061728395061729</v>
      </c>
      <c r="U20" s="21">
        <f>S20/P20</f>
        <v>1.0845070422535212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14</v>
      </c>
      <c r="I21" s="15">
        <f t="shared" si="0"/>
        <v>0.28000000000000003</v>
      </c>
      <c r="J21" s="45">
        <v>60</v>
      </c>
      <c r="K21" s="60">
        <v>25</v>
      </c>
      <c r="L21" s="15">
        <f t="shared" si="1"/>
        <v>0.41666666666666669</v>
      </c>
      <c r="M21" s="16">
        <f t="shared" ref="M21:M24" si="19">K21/H21</f>
        <v>1.7857142857142858</v>
      </c>
      <c r="N21" s="17">
        <v>1</v>
      </c>
      <c r="O21" s="47">
        <f>H21</f>
        <v>14</v>
      </c>
      <c r="P21" s="43">
        <v>7</v>
      </c>
      <c r="Q21" s="15">
        <f t="shared" si="3"/>
        <v>0.5</v>
      </c>
      <c r="R21" s="62">
        <f>K21</f>
        <v>25</v>
      </c>
      <c r="S21" s="61">
        <v>15</v>
      </c>
      <c r="T21" s="15">
        <f t="shared" ref="T21:T24" si="20">S21/R21</f>
        <v>0.6</v>
      </c>
      <c r="U21" s="16">
        <f t="shared" ref="U21:U24" si="21">S21/P21</f>
        <v>2.1428571428571428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4</v>
      </c>
      <c r="I22" s="15">
        <f t="shared" si="0"/>
        <v>0.08</v>
      </c>
      <c r="J22" s="45">
        <v>40</v>
      </c>
      <c r="K22" s="60">
        <v>7</v>
      </c>
      <c r="L22" s="15">
        <f t="shared" si="1"/>
        <v>0.17499999999999999</v>
      </c>
      <c r="M22" s="16">
        <f t="shared" si="19"/>
        <v>1.75</v>
      </c>
      <c r="N22" s="17">
        <v>1</v>
      </c>
      <c r="O22" s="47">
        <f t="shared" ref="O22:O24" si="22">H22</f>
        <v>4</v>
      </c>
      <c r="P22" s="43">
        <v>3</v>
      </c>
      <c r="Q22" s="15">
        <f t="shared" si="3"/>
        <v>0.75</v>
      </c>
      <c r="R22" s="62">
        <f t="shared" ref="R22:R24" si="23">K22</f>
        <v>7</v>
      </c>
      <c r="S22" s="61">
        <v>6</v>
      </c>
      <c r="T22" s="15">
        <f t="shared" si="20"/>
        <v>0.8571428571428571</v>
      </c>
      <c r="U22" s="16">
        <f t="shared" si="21"/>
        <v>2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4</v>
      </c>
      <c r="I23" s="15">
        <f t="shared" si="0"/>
        <v>0.08</v>
      </c>
      <c r="J23" s="45">
        <v>40</v>
      </c>
      <c r="K23" s="60">
        <v>7</v>
      </c>
      <c r="L23" s="15">
        <f t="shared" si="1"/>
        <v>0.17499999999999999</v>
      </c>
      <c r="M23" s="16">
        <f t="shared" si="19"/>
        <v>1.75</v>
      </c>
      <c r="N23" s="17">
        <v>1</v>
      </c>
      <c r="O23" s="47">
        <f t="shared" si="22"/>
        <v>4</v>
      </c>
      <c r="P23" s="43">
        <v>3</v>
      </c>
      <c r="Q23" s="15">
        <f t="shared" si="3"/>
        <v>0.75</v>
      </c>
      <c r="R23" s="62">
        <f t="shared" si="23"/>
        <v>7</v>
      </c>
      <c r="S23" s="61">
        <v>4</v>
      </c>
      <c r="T23" s="15">
        <f t="shared" si="20"/>
        <v>0.5714285714285714</v>
      </c>
      <c r="U23" s="16">
        <f t="shared" si="21"/>
        <v>1.3333333333333333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0</v>
      </c>
      <c r="I24" s="15">
        <f t="shared" si="0"/>
        <v>0</v>
      </c>
      <c r="J24" s="45">
        <v>30</v>
      </c>
      <c r="K24" s="60">
        <v>0</v>
      </c>
      <c r="L24" s="15">
        <f t="shared" si="1"/>
        <v>0</v>
      </c>
      <c r="M24" s="16" t="e">
        <f t="shared" si="19"/>
        <v>#DIV/0!</v>
      </c>
      <c r="N24" s="17">
        <v>1</v>
      </c>
      <c r="O24" s="47">
        <f t="shared" si="22"/>
        <v>0</v>
      </c>
      <c r="P24" s="43">
        <v>0</v>
      </c>
      <c r="Q24" s="15" t="e">
        <f t="shared" si="3"/>
        <v>#DIV/0!</v>
      </c>
      <c r="R24" s="62">
        <f t="shared" si="23"/>
        <v>0</v>
      </c>
      <c r="S24" s="61">
        <v>0</v>
      </c>
      <c r="T24" s="15" t="e">
        <f t="shared" si="20"/>
        <v>#DIV/0!</v>
      </c>
      <c r="U24" s="16" t="e">
        <f t="shared" si="21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75" t="s">
        <v>17</v>
      </c>
      <c r="E25" s="75"/>
      <c r="F25" s="76"/>
      <c r="G25" s="23">
        <f>SUM(G21:G24)</f>
        <v>200</v>
      </c>
      <c r="H25" s="24">
        <f t="shared" ref="H25:K25" si="24">SUM(H21:H24)</f>
        <v>22</v>
      </c>
      <c r="I25" s="25">
        <f t="shared" si="0"/>
        <v>0.11</v>
      </c>
      <c r="J25" s="26">
        <f t="shared" si="24"/>
        <v>170</v>
      </c>
      <c r="K25" s="24">
        <f t="shared" si="24"/>
        <v>39</v>
      </c>
      <c r="L25" s="25">
        <f>K25/J25</f>
        <v>0.22941176470588234</v>
      </c>
      <c r="M25" s="26">
        <f>K25/H25</f>
        <v>1.7727272727272727</v>
      </c>
      <c r="N25" s="27">
        <f>AVERAGE(N21:N24)</f>
        <v>1</v>
      </c>
      <c r="O25" s="23">
        <f>SUM(O21:O24)</f>
        <v>22</v>
      </c>
      <c r="P25" s="24">
        <f t="shared" ref="P25" si="25">SUM(P21:P24)</f>
        <v>13</v>
      </c>
      <c r="Q25" s="25">
        <f t="shared" si="3"/>
        <v>0.59090909090909094</v>
      </c>
      <c r="R25" s="26">
        <f t="shared" ref="R25:S25" si="26">SUM(R21:R24)</f>
        <v>39</v>
      </c>
      <c r="S25" s="24">
        <f t="shared" si="26"/>
        <v>25</v>
      </c>
      <c r="T25" s="25">
        <f>S25/R25</f>
        <v>0.64102564102564108</v>
      </c>
      <c r="U25" s="26">
        <f>S25/P25</f>
        <v>1.9230769230769231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77" t="s">
        <v>39</v>
      </c>
      <c r="C26" s="78"/>
      <c r="D26" s="78"/>
      <c r="E26" s="78"/>
      <c r="F26" s="78"/>
      <c r="G26" s="34">
        <f>+G25+G20+G14</f>
        <v>760</v>
      </c>
      <c r="H26" s="35">
        <f t="shared" ref="H26:K26" si="27">+H25+H20+H14</f>
        <v>122</v>
      </c>
      <c r="I26" s="36">
        <f t="shared" si="0"/>
        <v>0.16052631578947368</v>
      </c>
      <c r="J26" s="37">
        <f t="shared" si="27"/>
        <v>670</v>
      </c>
      <c r="K26" s="35">
        <f t="shared" si="27"/>
        <v>374.7</v>
      </c>
      <c r="L26" s="36">
        <f>K26/J26</f>
        <v>0.5592537313432836</v>
      </c>
      <c r="M26" s="37">
        <f>K26/H26</f>
        <v>3.0713114754098361</v>
      </c>
      <c r="N26" s="38"/>
      <c r="O26" s="34">
        <f>+O25+O20+O14</f>
        <v>122</v>
      </c>
      <c r="P26" s="35">
        <f t="shared" ref="P26" si="28">+P25+P20+P14</f>
        <v>105</v>
      </c>
      <c r="Q26" s="36">
        <f t="shared" si="3"/>
        <v>0.86065573770491799</v>
      </c>
      <c r="R26" s="37">
        <f t="shared" ref="R26:S26" si="29">+R25+R20+R14</f>
        <v>374.7</v>
      </c>
      <c r="S26" s="35">
        <f t="shared" si="29"/>
        <v>275.10000000000002</v>
      </c>
      <c r="T26" s="36">
        <f>S26/R26</f>
        <v>0.73418734987990397</v>
      </c>
      <c r="U26" s="37">
        <f>S26/P26</f>
        <v>2.62</v>
      </c>
      <c r="V26" s="38"/>
      <c r="W26" s="38"/>
    </row>
  </sheetData>
  <mergeCells count="11">
    <mergeCell ref="O1:V1"/>
    <mergeCell ref="E2:F2"/>
    <mergeCell ref="G2:I2"/>
    <mergeCell ref="J2:L2"/>
    <mergeCell ref="O2:Q2"/>
    <mergeCell ref="R2:T2"/>
    <mergeCell ref="D14:F14"/>
    <mergeCell ref="D20:F20"/>
    <mergeCell ref="D25:F25"/>
    <mergeCell ref="B26:F26"/>
    <mergeCell ref="G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6"/>
  <sheetViews>
    <sheetView topLeftCell="D1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F24" sqref="F24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8.54296875" bestFit="1" customWidth="1"/>
  </cols>
  <sheetData>
    <row r="1" spans="1:23" ht="15" thickBot="1" x14ac:dyDescent="0.4">
      <c r="G1" s="79" t="s">
        <v>0</v>
      </c>
      <c r="H1" s="80"/>
      <c r="I1" s="80"/>
      <c r="J1" s="80"/>
      <c r="K1" s="80"/>
      <c r="L1" s="80"/>
      <c r="M1" s="80"/>
      <c r="N1" s="81"/>
      <c r="O1" s="65" t="s">
        <v>1</v>
      </c>
      <c r="P1" s="66"/>
      <c r="Q1" s="66"/>
      <c r="R1" s="66"/>
      <c r="S1" s="66"/>
      <c r="T1" s="66"/>
      <c r="U1" s="66"/>
      <c r="V1" s="67"/>
    </row>
    <row r="2" spans="1:23" ht="16" thickBot="1" x14ac:dyDescent="0.4">
      <c r="E2" s="68" t="s">
        <v>44</v>
      </c>
      <c r="F2" s="69"/>
      <c r="G2" s="70" t="s">
        <v>2</v>
      </c>
      <c r="H2" s="71"/>
      <c r="I2" s="72"/>
      <c r="J2" s="71" t="s">
        <v>3</v>
      </c>
      <c r="K2" s="71"/>
      <c r="L2" s="72"/>
      <c r="M2" s="1"/>
      <c r="N2" s="2"/>
      <c r="O2" s="70" t="s">
        <v>2</v>
      </c>
      <c r="P2" s="71"/>
      <c r="Q2" s="72"/>
      <c r="R2" s="71" t="s">
        <v>3</v>
      </c>
      <c r="S2" s="71"/>
      <c r="T2" s="72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11</v>
      </c>
      <c r="I4" s="10">
        <f t="shared" ref="I4:I26" si="0">H4/G4</f>
        <v>0.22</v>
      </c>
      <c r="J4" s="44">
        <v>30</v>
      </c>
      <c r="K4" s="54">
        <v>15.75</v>
      </c>
      <c r="L4" s="10">
        <f t="shared" ref="L4:L24" si="1">K4/J4</f>
        <v>0.52500000000000002</v>
      </c>
      <c r="M4" s="11">
        <f t="shared" ref="M4:N13" si="2">K4/H4</f>
        <v>1.4318181818181819</v>
      </c>
      <c r="N4" s="12">
        <f t="shared" si="2"/>
        <v>2.3863636363636362</v>
      </c>
      <c r="O4" s="46">
        <f>H4</f>
        <v>11</v>
      </c>
      <c r="P4" s="42">
        <v>11</v>
      </c>
      <c r="Q4" s="10">
        <f t="shared" ref="Q4:Q26" si="3">P4/O4</f>
        <v>1</v>
      </c>
      <c r="R4" s="48">
        <f>K4</f>
        <v>15.75</v>
      </c>
      <c r="S4" s="42">
        <v>16</v>
      </c>
      <c r="T4" s="10">
        <f t="shared" ref="T4:T13" si="4">S4/R4</f>
        <v>1.0158730158730158</v>
      </c>
      <c r="U4" s="11">
        <f t="shared" ref="U4:V13" si="5">S4/P4</f>
        <v>1.4545454545454546</v>
      </c>
      <c r="V4" s="12">
        <f t="shared" si="5"/>
        <v>1.0158730158730158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8</v>
      </c>
      <c r="I5" s="15">
        <f t="shared" si="0"/>
        <v>0.16</v>
      </c>
      <c r="J5" s="45">
        <v>20</v>
      </c>
      <c r="K5" s="55">
        <v>11.75</v>
      </c>
      <c r="L5" s="15">
        <f t="shared" si="1"/>
        <v>0.58750000000000002</v>
      </c>
      <c r="M5" s="16">
        <f t="shared" si="2"/>
        <v>1.46875</v>
      </c>
      <c r="N5" s="17">
        <f t="shared" si="2"/>
        <v>3.671875</v>
      </c>
      <c r="O5" s="46">
        <f t="shared" ref="O5:O13" si="6">H5</f>
        <v>8</v>
      </c>
      <c r="P5" s="43">
        <v>6</v>
      </c>
      <c r="Q5" s="15">
        <f t="shared" si="3"/>
        <v>0.75</v>
      </c>
      <c r="R5" s="48">
        <f t="shared" ref="R5:R13" si="7">K5</f>
        <v>11.75</v>
      </c>
      <c r="S5" s="43">
        <v>6.6</v>
      </c>
      <c r="T5" s="15">
        <f t="shared" si="4"/>
        <v>0.56170212765957439</v>
      </c>
      <c r="U5" s="16">
        <f t="shared" si="5"/>
        <v>1.0999999999999999</v>
      </c>
      <c r="V5" s="17">
        <f t="shared" si="5"/>
        <v>0.74893617021276582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5</v>
      </c>
      <c r="I6" s="15">
        <f t="shared" si="0"/>
        <v>0.1</v>
      </c>
      <c r="J6" s="45">
        <v>20</v>
      </c>
      <c r="K6" s="55">
        <v>11.3</v>
      </c>
      <c r="L6" s="15">
        <f t="shared" si="1"/>
        <v>0.56500000000000006</v>
      </c>
      <c r="M6" s="16">
        <f t="shared" si="2"/>
        <v>2.2600000000000002</v>
      </c>
      <c r="N6" s="17">
        <f t="shared" si="2"/>
        <v>5.65</v>
      </c>
      <c r="O6" s="46">
        <f t="shared" si="6"/>
        <v>5</v>
      </c>
      <c r="P6" s="43">
        <v>4</v>
      </c>
      <c r="Q6" s="15">
        <f t="shared" si="3"/>
        <v>0.8</v>
      </c>
      <c r="R6" s="48">
        <f t="shared" si="7"/>
        <v>11.3</v>
      </c>
      <c r="S6" s="43">
        <v>9</v>
      </c>
      <c r="T6" s="15">
        <f t="shared" si="4"/>
        <v>0.79646017699115035</v>
      </c>
      <c r="U6" s="16">
        <f t="shared" si="5"/>
        <v>2.25</v>
      </c>
      <c r="V6" s="17">
        <f t="shared" si="5"/>
        <v>0.99557522123893794</v>
      </c>
      <c r="W6" s="17"/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7</v>
      </c>
      <c r="I7" s="15">
        <f t="shared" si="0"/>
        <v>0.14000000000000001</v>
      </c>
      <c r="J7" s="45">
        <v>20</v>
      </c>
      <c r="K7" s="55">
        <v>12</v>
      </c>
      <c r="L7" s="15">
        <f t="shared" si="1"/>
        <v>0.6</v>
      </c>
      <c r="M7" s="16">
        <f t="shared" si="2"/>
        <v>1.7142857142857142</v>
      </c>
      <c r="N7" s="17">
        <f t="shared" si="2"/>
        <v>4.2857142857142856</v>
      </c>
      <c r="O7" s="46">
        <f t="shared" si="6"/>
        <v>7</v>
      </c>
      <c r="P7" s="43">
        <v>5</v>
      </c>
      <c r="Q7" s="15">
        <f t="shared" si="3"/>
        <v>0.7142857142857143</v>
      </c>
      <c r="R7" s="48">
        <f t="shared" si="7"/>
        <v>12</v>
      </c>
      <c r="S7" s="43">
        <v>7.75</v>
      </c>
      <c r="T7" s="15">
        <f t="shared" si="4"/>
        <v>0.64583333333333337</v>
      </c>
      <c r="U7" s="16">
        <f t="shared" si="5"/>
        <v>1.55</v>
      </c>
      <c r="V7" s="17">
        <f t="shared" si="5"/>
        <v>0.90416666666666667</v>
      </c>
      <c r="W7" s="17"/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8</v>
      </c>
      <c r="I8" s="15">
        <f t="shared" si="0"/>
        <v>0.16</v>
      </c>
      <c r="J8" s="45">
        <v>20</v>
      </c>
      <c r="K8" s="55">
        <v>12.85</v>
      </c>
      <c r="L8" s="15">
        <f t="shared" si="1"/>
        <v>0.64249999999999996</v>
      </c>
      <c r="M8" s="16">
        <f t="shared" si="2"/>
        <v>1.60625</v>
      </c>
      <c r="N8" s="17">
        <f t="shared" si="2"/>
        <v>4.015625</v>
      </c>
      <c r="O8" s="46">
        <f t="shared" si="6"/>
        <v>8</v>
      </c>
      <c r="P8" s="43">
        <v>7</v>
      </c>
      <c r="Q8" s="15">
        <f t="shared" si="3"/>
        <v>0.875</v>
      </c>
      <c r="R8" s="48">
        <f t="shared" si="7"/>
        <v>12.85</v>
      </c>
      <c r="S8" s="43">
        <v>10.7</v>
      </c>
      <c r="T8" s="15">
        <f t="shared" si="4"/>
        <v>0.83268482490272366</v>
      </c>
      <c r="U8" s="16">
        <f t="shared" si="5"/>
        <v>1.5285714285714285</v>
      </c>
      <c r="V8" s="17">
        <f t="shared" si="5"/>
        <v>0.95163979988882708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0</v>
      </c>
      <c r="I9" s="15" t="e">
        <f t="shared" si="0"/>
        <v>#DIV/0!</v>
      </c>
      <c r="J9" s="45">
        <v>0</v>
      </c>
      <c r="K9" s="55">
        <v>0</v>
      </c>
      <c r="L9" s="15" t="e">
        <f t="shared" si="1"/>
        <v>#DIV/0!</v>
      </c>
      <c r="M9" s="16" t="e">
        <f t="shared" si="2"/>
        <v>#DIV/0!</v>
      </c>
      <c r="N9" s="17" t="e">
        <f t="shared" si="2"/>
        <v>#DIV/0!</v>
      </c>
      <c r="O9" s="46">
        <f t="shared" si="6"/>
        <v>0</v>
      </c>
      <c r="P9" s="43">
        <v>0</v>
      </c>
      <c r="Q9" s="15" t="e">
        <f t="shared" si="3"/>
        <v>#DIV/0!</v>
      </c>
      <c r="R9" s="48">
        <f t="shared" si="7"/>
        <v>0</v>
      </c>
      <c r="S9" s="43">
        <v>0</v>
      </c>
      <c r="T9" s="15" t="e">
        <f t="shared" si="4"/>
        <v>#DIV/0!</v>
      </c>
      <c r="U9" s="16" t="e">
        <f t="shared" si="5"/>
        <v>#DIV/0!</v>
      </c>
      <c r="V9" s="17" t="e">
        <f t="shared" si="5"/>
        <v>#DIV/0!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55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>
        <v>0</v>
      </c>
      <c r="Q10" s="15" t="e">
        <f t="shared" si="3"/>
        <v>#DIV/0!</v>
      </c>
      <c r="R10" s="48">
        <f t="shared" si="7"/>
        <v>0</v>
      </c>
      <c r="S10" s="43">
        <v>0</v>
      </c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10</v>
      </c>
      <c r="H11" s="55">
        <v>2</v>
      </c>
      <c r="I11" s="15">
        <f t="shared" si="0"/>
        <v>0.2</v>
      </c>
      <c r="J11" s="45">
        <v>67</v>
      </c>
      <c r="K11" s="55">
        <v>67</v>
      </c>
      <c r="L11" s="15">
        <f t="shared" si="1"/>
        <v>1</v>
      </c>
      <c r="M11" s="16">
        <f t="shared" si="2"/>
        <v>33.5</v>
      </c>
      <c r="N11" s="17">
        <f t="shared" si="2"/>
        <v>5</v>
      </c>
      <c r="O11" s="46">
        <f t="shared" si="6"/>
        <v>2</v>
      </c>
      <c r="P11" s="43">
        <v>2</v>
      </c>
      <c r="Q11" s="15">
        <f t="shared" si="3"/>
        <v>1</v>
      </c>
      <c r="R11" s="48">
        <f t="shared" si="7"/>
        <v>67</v>
      </c>
      <c r="S11" s="43">
        <v>67</v>
      </c>
      <c r="T11" s="15">
        <f t="shared" si="4"/>
        <v>1</v>
      </c>
      <c r="U11" s="16">
        <f t="shared" si="5"/>
        <v>33.5</v>
      </c>
      <c r="V11" s="17">
        <f t="shared" si="5"/>
        <v>1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>
        <v>18</v>
      </c>
      <c r="I12" s="15">
        <f t="shared" si="0"/>
        <v>0.36</v>
      </c>
      <c r="J12" s="45">
        <v>20</v>
      </c>
      <c r="K12" s="55">
        <v>29</v>
      </c>
      <c r="L12" s="15">
        <f t="shared" si="1"/>
        <v>1.45</v>
      </c>
      <c r="M12" s="16">
        <f t="shared" si="2"/>
        <v>1.6111111111111112</v>
      </c>
      <c r="N12" s="17">
        <f t="shared" si="2"/>
        <v>4.0277777777777777</v>
      </c>
      <c r="O12" s="46">
        <f t="shared" si="6"/>
        <v>18</v>
      </c>
      <c r="P12" s="43">
        <v>17</v>
      </c>
      <c r="Q12" s="15">
        <f t="shared" si="3"/>
        <v>0.94444444444444442</v>
      </c>
      <c r="R12" s="48">
        <f t="shared" si="7"/>
        <v>29</v>
      </c>
      <c r="S12" s="43">
        <v>27</v>
      </c>
      <c r="T12" s="15">
        <f t="shared" si="4"/>
        <v>0.93103448275862066</v>
      </c>
      <c r="U12" s="16">
        <f t="shared" si="5"/>
        <v>1.588235294117647</v>
      </c>
      <c r="V12" s="17">
        <f t="shared" si="5"/>
        <v>0.98580121703853951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55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48">
        <f t="shared" si="7"/>
        <v>0</v>
      </c>
      <c r="S13" s="43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73" t="s">
        <v>17</v>
      </c>
      <c r="E14" s="73"/>
      <c r="F14" s="74"/>
      <c r="G14" s="18">
        <f>SUM(G4:G13)</f>
        <v>310</v>
      </c>
      <c r="H14" s="19">
        <f t="shared" ref="H14:K14" si="8">SUM(H4:H13)</f>
        <v>59</v>
      </c>
      <c r="I14" s="20">
        <f t="shared" si="0"/>
        <v>0.19032258064516128</v>
      </c>
      <c r="J14" s="21">
        <f t="shared" si="8"/>
        <v>197</v>
      </c>
      <c r="K14" s="19">
        <f t="shared" si="8"/>
        <v>159.65</v>
      </c>
      <c r="L14" s="20">
        <f>K14/J14</f>
        <v>0.81040609137055841</v>
      </c>
      <c r="M14" s="21">
        <f>K14/H14</f>
        <v>2.7059322033898305</v>
      </c>
      <c r="N14" s="22" t="e">
        <f>AVERAGE(N4:N13)</f>
        <v>#DIV/0!</v>
      </c>
      <c r="O14" s="18">
        <f>SUM(O4:O13)</f>
        <v>59</v>
      </c>
      <c r="P14" s="19">
        <f t="shared" ref="P14" si="9">SUM(P4:P13)</f>
        <v>52</v>
      </c>
      <c r="Q14" s="20">
        <f t="shared" si="3"/>
        <v>0.88135593220338981</v>
      </c>
      <c r="R14" s="21">
        <f t="shared" ref="R14:S14" si="10">SUM(R4:R13)</f>
        <v>159.65</v>
      </c>
      <c r="S14" s="19">
        <f t="shared" si="10"/>
        <v>144.05000000000001</v>
      </c>
      <c r="T14" s="20">
        <f>S14/R14</f>
        <v>0.90228625117444416</v>
      </c>
      <c r="U14" s="21">
        <f>S14/P14</f>
        <v>2.7701923076923078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>
        <v>14</v>
      </c>
      <c r="I15" s="15">
        <f t="shared" si="0"/>
        <v>0.28000000000000003</v>
      </c>
      <c r="J15" s="45">
        <v>30</v>
      </c>
      <c r="K15" s="55">
        <v>13</v>
      </c>
      <c r="L15" s="15">
        <f t="shared" si="1"/>
        <v>0.43333333333333335</v>
      </c>
      <c r="M15" s="16">
        <f t="shared" ref="M15:M19" si="11">K15/H15</f>
        <v>0.9285714285714286</v>
      </c>
      <c r="N15" s="17">
        <v>1</v>
      </c>
      <c r="O15" s="13">
        <v>14</v>
      </c>
      <c r="P15" s="14">
        <v>12</v>
      </c>
      <c r="Q15" s="15">
        <f t="shared" si="3"/>
        <v>0.8571428571428571</v>
      </c>
      <c r="R15" s="16">
        <v>13</v>
      </c>
      <c r="S15" s="14">
        <v>11</v>
      </c>
      <c r="T15" s="15">
        <f t="shared" ref="T15:T19" si="12">S15/R15</f>
        <v>0.84615384615384615</v>
      </c>
      <c r="U15" s="16">
        <f t="shared" ref="U15:U19" si="13">S15/P15</f>
        <v>0.91666666666666663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>
        <v>15</v>
      </c>
      <c r="I16" s="15">
        <f t="shared" si="0"/>
        <v>0.3</v>
      </c>
      <c r="J16" s="45">
        <v>30</v>
      </c>
      <c r="K16" s="55">
        <v>32.5</v>
      </c>
      <c r="L16" s="15">
        <f t="shared" si="1"/>
        <v>1.0833333333333333</v>
      </c>
      <c r="M16" s="16">
        <f t="shared" si="11"/>
        <v>2.1666666666666665</v>
      </c>
      <c r="N16" s="17">
        <v>1</v>
      </c>
      <c r="O16" s="13">
        <v>15</v>
      </c>
      <c r="P16" s="14">
        <v>13</v>
      </c>
      <c r="Q16" s="15">
        <f t="shared" si="3"/>
        <v>0.8666666666666667</v>
      </c>
      <c r="R16" s="16">
        <v>32.5</v>
      </c>
      <c r="S16" s="14">
        <v>31</v>
      </c>
      <c r="T16" s="15">
        <f t="shared" si="12"/>
        <v>0.9538461538461539</v>
      </c>
      <c r="U16" s="16">
        <f t="shared" si="13"/>
        <v>2.3846153846153846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>
        <v>13</v>
      </c>
      <c r="I17" s="15">
        <f t="shared" si="0"/>
        <v>0.26</v>
      </c>
      <c r="J17" s="45">
        <v>30</v>
      </c>
      <c r="K17" s="55">
        <v>14</v>
      </c>
      <c r="L17" s="15">
        <f t="shared" si="1"/>
        <v>0.46666666666666667</v>
      </c>
      <c r="M17" s="16">
        <f t="shared" si="11"/>
        <v>1.0769230769230769</v>
      </c>
      <c r="N17" s="17">
        <v>1</v>
      </c>
      <c r="O17" s="13">
        <v>13</v>
      </c>
      <c r="P17" s="14">
        <v>12</v>
      </c>
      <c r="Q17" s="15">
        <f t="shared" si="3"/>
        <v>0.92307692307692313</v>
      </c>
      <c r="R17" s="16">
        <v>14</v>
      </c>
      <c r="S17" s="14">
        <v>13</v>
      </c>
      <c r="T17" s="15">
        <f t="shared" si="12"/>
        <v>0.9285714285714286</v>
      </c>
      <c r="U17" s="16">
        <f t="shared" si="13"/>
        <v>1.0833333333333333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>
        <v>12</v>
      </c>
      <c r="I18" s="15">
        <f t="shared" si="0"/>
        <v>0.24</v>
      </c>
      <c r="J18" s="45">
        <v>30</v>
      </c>
      <c r="K18" s="55">
        <v>15</v>
      </c>
      <c r="L18" s="15">
        <f t="shared" si="1"/>
        <v>0.5</v>
      </c>
      <c r="M18" s="16">
        <f t="shared" si="11"/>
        <v>1.25</v>
      </c>
      <c r="N18" s="17">
        <v>1</v>
      </c>
      <c r="O18" s="13">
        <v>12</v>
      </c>
      <c r="P18" s="14">
        <v>12</v>
      </c>
      <c r="Q18" s="15">
        <f t="shared" si="3"/>
        <v>1</v>
      </c>
      <c r="R18" s="16">
        <v>15</v>
      </c>
      <c r="S18" s="14">
        <v>15</v>
      </c>
      <c r="T18" s="15">
        <f t="shared" si="12"/>
        <v>1</v>
      </c>
      <c r="U18" s="16">
        <f t="shared" si="13"/>
        <v>1.25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>
        <v>15</v>
      </c>
      <c r="I19" s="15">
        <f t="shared" si="0"/>
        <v>0.3</v>
      </c>
      <c r="J19" s="45">
        <v>30</v>
      </c>
      <c r="K19" s="55">
        <v>13</v>
      </c>
      <c r="L19" s="15">
        <f t="shared" si="1"/>
        <v>0.43333333333333335</v>
      </c>
      <c r="M19" s="16">
        <f t="shared" si="11"/>
        <v>0.8666666666666667</v>
      </c>
      <c r="N19" s="17">
        <v>1</v>
      </c>
      <c r="O19" s="13">
        <v>15</v>
      </c>
      <c r="P19" s="14">
        <v>13</v>
      </c>
      <c r="Q19" s="15">
        <f t="shared" si="3"/>
        <v>0.8666666666666667</v>
      </c>
      <c r="R19" s="16">
        <v>13</v>
      </c>
      <c r="S19" s="14">
        <v>11</v>
      </c>
      <c r="T19" s="15">
        <f t="shared" si="12"/>
        <v>0.84615384615384615</v>
      </c>
      <c r="U19" s="16">
        <f t="shared" si="13"/>
        <v>0.84615384615384615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73" t="s">
        <v>17</v>
      </c>
      <c r="E20" s="73"/>
      <c r="F20" s="74"/>
      <c r="G20" s="18">
        <f>SUM(G15:G19)</f>
        <v>250</v>
      </c>
      <c r="H20" s="19">
        <f t="shared" ref="H20:K20" si="14">SUM(H15:H19)</f>
        <v>69</v>
      </c>
      <c r="I20" s="20">
        <f t="shared" si="0"/>
        <v>0.27600000000000002</v>
      </c>
      <c r="J20" s="21">
        <f t="shared" si="14"/>
        <v>150</v>
      </c>
      <c r="K20" s="19">
        <f t="shared" si="14"/>
        <v>87.5</v>
      </c>
      <c r="L20" s="20">
        <f>K20/J20</f>
        <v>0.58333333333333337</v>
      </c>
      <c r="M20" s="21">
        <f>K20/H20</f>
        <v>1.2681159420289856</v>
      </c>
      <c r="N20" s="22">
        <f>AVERAGE(N15:N19)</f>
        <v>1</v>
      </c>
      <c r="O20" s="18">
        <f>SUM(O15:O19)</f>
        <v>69</v>
      </c>
      <c r="P20" s="19">
        <f t="shared" ref="P20" si="15">SUM(P15:P19)</f>
        <v>62</v>
      </c>
      <c r="Q20" s="20">
        <f t="shared" si="3"/>
        <v>0.89855072463768115</v>
      </c>
      <c r="R20" s="21">
        <f t="shared" ref="R20:S20" si="16">SUM(R15:R19)</f>
        <v>87.5</v>
      </c>
      <c r="S20" s="19">
        <f t="shared" si="16"/>
        <v>81</v>
      </c>
      <c r="T20" s="20">
        <f>S20/R20</f>
        <v>0.92571428571428571</v>
      </c>
      <c r="U20" s="21">
        <f>S20/P20</f>
        <v>1.3064516129032258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7</v>
      </c>
      <c r="I21" s="15">
        <f t="shared" si="0"/>
        <v>0.14000000000000001</v>
      </c>
      <c r="J21" s="16">
        <v>60</v>
      </c>
      <c r="K21" s="14">
        <v>9</v>
      </c>
      <c r="L21" s="15">
        <f t="shared" si="1"/>
        <v>0.15</v>
      </c>
      <c r="M21" s="16">
        <f t="shared" ref="M21:M24" si="17">K21/H21</f>
        <v>1.2857142857142858</v>
      </c>
      <c r="N21" s="17">
        <v>1</v>
      </c>
      <c r="O21" s="13">
        <v>7</v>
      </c>
      <c r="P21" s="14">
        <v>5</v>
      </c>
      <c r="Q21" s="15">
        <f t="shared" si="3"/>
        <v>0.7142857142857143</v>
      </c>
      <c r="R21" s="16">
        <v>9</v>
      </c>
      <c r="S21" s="14">
        <v>4</v>
      </c>
      <c r="T21" s="15">
        <f t="shared" ref="T21:T24" si="18">S21/R21</f>
        <v>0.44444444444444442</v>
      </c>
      <c r="U21" s="16">
        <f t="shared" ref="U21:U24" si="19">S21/P21</f>
        <v>0.8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5</v>
      </c>
      <c r="I22" s="15">
        <f t="shared" si="0"/>
        <v>0.1</v>
      </c>
      <c r="J22" s="16">
        <v>40</v>
      </c>
      <c r="K22" s="14">
        <v>8</v>
      </c>
      <c r="L22" s="15">
        <f t="shared" si="1"/>
        <v>0.2</v>
      </c>
      <c r="M22" s="16">
        <f t="shared" si="17"/>
        <v>1.6</v>
      </c>
      <c r="N22" s="17">
        <v>1</v>
      </c>
      <c r="O22" s="13">
        <v>5</v>
      </c>
      <c r="P22" s="14">
        <v>3</v>
      </c>
      <c r="Q22" s="15">
        <f t="shared" si="3"/>
        <v>0.6</v>
      </c>
      <c r="R22" s="16">
        <v>8</v>
      </c>
      <c r="S22" s="14">
        <v>5</v>
      </c>
      <c r="T22" s="15">
        <f t="shared" si="18"/>
        <v>0.625</v>
      </c>
      <c r="U22" s="16">
        <f t="shared" si="19"/>
        <v>1.6666666666666667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8</v>
      </c>
      <c r="I23" s="15">
        <f t="shared" si="0"/>
        <v>0.16</v>
      </c>
      <c r="J23" s="16">
        <v>40</v>
      </c>
      <c r="K23" s="14">
        <v>10</v>
      </c>
      <c r="L23" s="15">
        <f t="shared" si="1"/>
        <v>0.25</v>
      </c>
      <c r="M23" s="16">
        <f t="shared" si="17"/>
        <v>1.25</v>
      </c>
      <c r="N23" s="17">
        <v>1</v>
      </c>
      <c r="O23" s="13">
        <v>8</v>
      </c>
      <c r="P23" s="14">
        <v>5</v>
      </c>
      <c r="Q23" s="15">
        <f t="shared" si="3"/>
        <v>0.625</v>
      </c>
      <c r="R23" s="16">
        <v>10</v>
      </c>
      <c r="S23" s="14">
        <v>7</v>
      </c>
      <c r="T23" s="15">
        <f t="shared" si="18"/>
        <v>0.7</v>
      </c>
      <c r="U23" s="16">
        <f t="shared" si="19"/>
        <v>1.4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4</v>
      </c>
      <c r="I24" s="15">
        <f t="shared" si="0"/>
        <v>0.08</v>
      </c>
      <c r="J24" s="16">
        <v>30</v>
      </c>
      <c r="K24" s="14">
        <v>6</v>
      </c>
      <c r="L24" s="15">
        <f t="shared" si="1"/>
        <v>0.2</v>
      </c>
      <c r="M24" s="16">
        <f t="shared" si="17"/>
        <v>1.5</v>
      </c>
      <c r="N24" s="17">
        <v>1</v>
      </c>
      <c r="O24" s="13">
        <v>4</v>
      </c>
      <c r="P24" s="14">
        <v>0</v>
      </c>
      <c r="Q24" s="15">
        <f t="shared" si="3"/>
        <v>0</v>
      </c>
      <c r="R24" s="16">
        <v>6</v>
      </c>
      <c r="S24" s="14">
        <v>0</v>
      </c>
      <c r="T24" s="15">
        <f t="shared" si="18"/>
        <v>0</v>
      </c>
      <c r="U24" s="16" t="e">
        <f t="shared" si="19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75" t="s">
        <v>17</v>
      </c>
      <c r="E25" s="75"/>
      <c r="F25" s="76"/>
      <c r="G25" s="23">
        <f>SUM(G21:G24)</f>
        <v>200</v>
      </c>
      <c r="H25" s="24">
        <f t="shared" ref="H25:K25" si="20">SUM(H21:H24)</f>
        <v>24</v>
      </c>
      <c r="I25" s="25">
        <f t="shared" si="0"/>
        <v>0.12</v>
      </c>
      <c r="J25" s="26">
        <f t="shared" si="20"/>
        <v>170</v>
      </c>
      <c r="K25" s="24">
        <f t="shared" si="20"/>
        <v>33</v>
      </c>
      <c r="L25" s="25">
        <f>K25/J25</f>
        <v>0.19411764705882353</v>
      </c>
      <c r="M25" s="26">
        <f>K25/H25</f>
        <v>1.375</v>
      </c>
      <c r="N25" s="27">
        <f>AVERAGE(N21:N24)</f>
        <v>1</v>
      </c>
      <c r="O25" s="23">
        <f>SUM(O21:O24)</f>
        <v>24</v>
      </c>
      <c r="P25" s="24">
        <f t="shared" ref="P25" si="21">SUM(P21:P24)</f>
        <v>13</v>
      </c>
      <c r="Q25" s="25">
        <f t="shared" si="3"/>
        <v>0.54166666666666663</v>
      </c>
      <c r="R25" s="26">
        <f t="shared" ref="R25:S25" si="22">SUM(R21:R24)</f>
        <v>33</v>
      </c>
      <c r="S25" s="24">
        <f t="shared" si="22"/>
        <v>16</v>
      </c>
      <c r="T25" s="25">
        <f>S25/R25</f>
        <v>0.48484848484848486</v>
      </c>
      <c r="U25" s="26">
        <f>S25/P25</f>
        <v>1.2307692307692308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77" t="s">
        <v>39</v>
      </c>
      <c r="C26" s="78"/>
      <c r="D26" s="78"/>
      <c r="E26" s="78"/>
      <c r="F26" s="78"/>
      <c r="G26" s="34">
        <f>+G25+G20+G14</f>
        <v>760</v>
      </c>
      <c r="H26" s="35">
        <f t="shared" ref="H26:K26" si="23">+H25+H20+H14</f>
        <v>152</v>
      </c>
      <c r="I26" s="36">
        <f t="shared" si="0"/>
        <v>0.2</v>
      </c>
      <c r="J26" s="37">
        <f t="shared" si="23"/>
        <v>517</v>
      </c>
      <c r="K26" s="35">
        <f t="shared" si="23"/>
        <v>280.14999999999998</v>
      </c>
      <c r="L26" s="36">
        <f>K26/J26</f>
        <v>0.54187620889748545</v>
      </c>
      <c r="M26" s="37">
        <f>K26/H26</f>
        <v>1.8430921052631577</v>
      </c>
      <c r="N26" s="38"/>
      <c r="O26" s="34">
        <f>+O25+O20+O14</f>
        <v>152</v>
      </c>
      <c r="P26" s="35">
        <f t="shared" ref="P26" si="24">+P25+P20+P14</f>
        <v>127</v>
      </c>
      <c r="Q26" s="36">
        <f t="shared" si="3"/>
        <v>0.83552631578947367</v>
      </c>
      <c r="R26" s="37">
        <f t="shared" ref="R26:S26" si="25">+R25+R20+R14</f>
        <v>280.14999999999998</v>
      </c>
      <c r="S26" s="35">
        <f t="shared" si="25"/>
        <v>241.05</v>
      </c>
      <c r="T26" s="36">
        <f>S26/R26</f>
        <v>0.86043191147599507</v>
      </c>
      <c r="U26" s="37">
        <f>S26/P26</f>
        <v>1.8980314960629923</v>
      </c>
      <c r="V26" s="38"/>
      <c r="W26" s="38"/>
    </row>
  </sheetData>
  <mergeCells count="11">
    <mergeCell ref="D20:F20"/>
    <mergeCell ref="D14:F14"/>
    <mergeCell ref="D25:F25"/>
    <mergeCell ref="B26:F26"/>
    <mergeCell ref="E2:F2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(25-06-26)</vt:lpstr>
      <vt:lpstr>(24-06-26)</vt:lpstr>
      <vt:lpstr>(23-06-26)</vt:lpstr>
      <vt:lpstr>(22-06-26)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2026-06-29T13:07:33Z</dcterms:modified>
</cp:coreProperties>
</file>