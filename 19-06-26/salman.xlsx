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82F642CB-5779-4947-B85B-63661D2D04D4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8" l="1"/>
  <c r="L18" i="18"/>
  <c r="L19" i="18"/>
  <c r="L20" i="18"/>
  <c r="L21" i="18"/>
  <c r="L16" i="18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5" i="19" l="1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5" i="20" l="1"/>
  <c r="P22" i="20"/>
  <c r="M16" i="15"/>
  <c r="P19" i="18"/>
  <c r="M25" i="18"/>
  <c r="M18" i="15"/>
  <c r="N16" i="18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<sst xmlns="http://schemas.openxmlformats.org/spreadsheetml/2006/main" count="1580" uniqueCount="116">
  <si>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</si>
  <si>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</si>
  <si>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</si>
  <si>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</si>
  <si>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</si>
  <si>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</si>
  <si>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</si>
  <si>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</si>
  <si>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</si>
  <si>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</si>
  <si>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</si>
  <si>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</si>
  <si>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</si>
  <si>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</si>
  <si>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</si>
  <si>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</si>
  <si>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</si>
  <si>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</si>
  <si>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</si>
  <si>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</si>
  <si>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</si>
  <si>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</si>
  <si>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</si>
  <si>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</si>
  <si>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</si>
  <si>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</si>
  <si>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</si>
  <si>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</si>
  <si>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</si>
  <si>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</si>
  <si>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</si>
  <si>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</si>
  <si>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</si>
  <si>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</si>
  <si>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</si>
  <si>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</si>
  <si>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</si>
  <si>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</si>
  <si>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</si>
  <si>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</si>
  <si>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</si>
  <si>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</si>
  <si>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</si>
  <si>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</si>
  <si>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</si>
  <si>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</si>
  <si>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</si>
  <si>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</si>
  <si>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</si>
  <si>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</si>
  <si>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</si>
  <si>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</si>
  <si>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</si>
  <si>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</si>
  <si>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</si>
  <si>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</si>
  <si>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</si>
  <si>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</si>
  <si>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</si>
  <si>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</si>
  <si>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</si>
  <si>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</si>
  <si>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</si>
  <si>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</si>
  <si>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</si>
  <si>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</si>
  <si>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</si>
  <si>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</si>
  <si>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</si>
  <si>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</si>
  <si>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</si>
  <si>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</si>
  <si>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</si>
  <si>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</si>
  <si>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</si>
  <si>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</si>
  <si>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</si>
  <si>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</si>
  <si>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</si>
  <si>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</si>
  <si>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</si>
  <si>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</si>
  <si>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</si>
  <si>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</si>
  <si>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</si>
  <si>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</si>
  <si>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</si>
  <si>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</si>
  <si>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</si>
  <si>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</si>
  <si>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</si>
  <si>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</si>
  <si>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</si>
  <si>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</si>
  <si>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</si>
  <si>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</si>
  <si>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</si>
  <si>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</si>
  <si>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</si>
  <si>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</si>
  <si>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</si>
  <si>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</si>
  <si>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</si>
  <si>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</si>
  <si>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Shop Bill Summary (Salman)</t>
  </si>
  <si>
    <t>Salman</t>
  </si>
  <si>
    <t>Customer Name : Ahmad IT Zone GS</t>
  </si>
  <si>
    <t>Address: Academy Road</t>
  </si>
  <si>
    <t>Customer Name : Alfallah Bakes</t>
  </si>
  <si>
    <t>Address: Aacademi Road</t>
  </si>
  <si>
    <t>2222730-0</t>
  </si>
  <si>
    <t>Address: Academi Road</t>
  </si>
  <si>
    <t>Customer Name : Haji General Store</t>
  </si>
  <si>
    <t>Customer Name : Euro Store</t>
  </si>
  <si>
    <t>8062267-4</t>
  </si>
  <si>
    <t>Customer Name : Khan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</si>
</sst>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9" fontId="13" fillId="0" borderId="45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zoomScale="70" zoomScaleNormal="70" workbookViewId="0">
      <selection activeCell="V16" sqref="V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105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104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Ahmad IT Zone GS</v>
      </c>
      <c r="U14" s="164">
        <f>+'1'!P35</f>
        <v>2390.3320994999999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Alfallah Bakes</v>
      </c>
      <c r="U15" s="164">
        <f>+'2'!P35</f>
        <v>3007.9812005999997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196</v>
      </c>
      <c r="I16" s="1">
        <f>(G16*D16)*F16+H16*F16</f>
        <v>10282.65</v>
      </c>
      <c r="J16" s="172">
        <f>+'1'!J16+'2'!J16+'4'!J16+'3'!J16+'5'!J16+'6'!J16+'7'!J16+'8'!J16+'9'!J16+'10'!J16+'11'!J16+'12'!J16+'13'!J16+'14'!J16+'15'!J16+'16'!J16+'17'!J16+'18'!J16</f>
        <v>11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1074.4319999999998</v>
      </c>
      <c r="M16" s="106">
        <f>I16-K16-L16</f>
        <v>9208.2180000000008</v>
      </c>
      <c r="N16" s="101">
        <f>+'1'!N16+'2'!N16+'4'!N16+'3'!N16+'5'!N16+'6'!N16+'7'!N16+'8'!N16+'9'!N16+'10'!N16</f>
        <v>1837.15281</v>
      </c>
      <c r="O16" s="101">
        <f>+'1'!O16+'2'!O16+'4'!O16+'3'!O16+'5'!O16+'6'!O16+'7'!O16+'8'!O16+'9'!O16+'10'!O16</f>
        <v>101.16721604999999</v>
      </c>
      <c r="P16" s="105">
        <f t="shared" ref="P16:P24" si="0">M16+N16+O16</f>
        <v>11146.538026050001</v>
      </c>
      <c r="Q16" s="108"/>
      <c r="T16" s="163" t="str">
        <f>+'4'!A5</f>
        <v>Customer Name : Euro Store</v>
      </c>
      <c r="U16" s="164">
        <f>+'4'!P35</f>
        <v>47407.507305299994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193</v>
      </c>
      <c r="I17" s="1">
        <f t="shared" ref="I17:I23" si="1">(G17*D17)*F17+H17*F17</f>
        <v>10125.262499999999</v>
      </c>
      <c r="J17" s="172">
        <f>+'1'!J17+'2'!J17+'4'!J17+'3'!J17+'5'!J17+'6'!J17+'7'!J17+'8'!J17+'9'!J17+'10'!J17+'11'!J17+'12'!J17+'13'!J17+'14'!J17+'15'!J17+'16'!J17+'17'!J17+'18'!J17</f>
        <v>10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1061.8409999999999</v>
      </c>
      <c r="M17" s="118">
        <f t="shared" ref="M17:M23" si="2">I17-K17-L17</f>
        <v>9063.4214999999986</v>
      </c>
      <c r="N17" s="101">
        <f>+'1'!N17+'2'!N17+'4'!N17+'3'!N17+'5'!N17+'6'!N17+'7'!N17+'8'!N17+'9'!N17+'10'!N17</f>
        <v>1793.7558300000001</v>
      </c>
      <c r="O17" s="101">
        <f>+'1'!O17+'2'!O17+'4'!O17+'3'!O17+'5'!O17+'6'!O17+'7'!O17+'8'!O17+'9'!O17+'10'!O17</f>
        <v>100.22624865</v>
      </c>
      <c r="P17" s="120">
        <f t="shared" si="0"/>
        <v>10957.403578649999</v>
      </c>
      <c r="S17" s="64"/>
      <c r="T17" s="163" t="str">
        <f>+'3'!A5</f>
        <v>Customer Name : Haji General Store</v>
      </c>
      <c r="U17" s="164">
        <f>+'3'!P35</f>
        <v>2850.0025873499994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154</v>
      </c>
      <c r="I18" s="1">
        <f t="shared" si="1"/>
        <v>8079.2249999999995</v>
      </c>
      <c r="J18" s="172">
        <f>+'1'!J18+'2'!J18+'4'!J18+'3'!J18+'5'!J18+'6'!J18+'7'!J18+'8'!J18+'9'!J18+'10'!J18+'11'!J18+'12'!J18+'13'!J18+'14'!J18+'15'!J18+'16'!J18+'17'!J18+'18'!J18</f>
        <v>7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898.1579999999999</v>
      </c>
      <c r="M18" s="118">
        <f t="shared" si="2"/>
        <v>7181.0669999999991</v>
      </c>
      <c r="N18" s="101">
        <f>+'1'!N18+'2'!N18+'4'!N18+'3'!N18+'5'!N18+'6'!N18+'7'!N18+'8'!N18+'9'!N18+'10'!N18</f>
        <v>1424.3358900000001</v>
      </c>
      <c r="O18" s="101">
        <f>+'1'!O18+'2'!O18+'4'!O18+'3'!O18+'5'!O18+'6'!O18+'7'!O18+'8'!O18+'9'!O18+'10'!O18</f>
        <v>43.215879450000003</v>
      </c>
      <c r="P18" s="120">
        <f t="shared" si="0"/>
        <v>8648.6187694499986</v>
      </c>
      <c r="T18" s="163" t="str">
        <f>+'5'!A5</f>
        <v>Customer Name : Khan Store</v>
      </c>
      <c r="U18" s="164">
        <f>+'5'!P35</f>
        <v>14711.773186249999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170</v>
      </c>
      <c r="I19" s="1">
        <f t="shared" si="1"/>
        <v>12348.8</v>
      </c>
      <c r="J19" s="172">
        <f>+'1'!J19+'2'!J19+'4'!J19+'3'!J19+'5'!J19+'6'!J19+'7'!J19+'8'!J19+'9'!J19+'10'!J19+'11'!J19+'12'!J19+'13'!J19+'14'!J19+'15'!J19+'16'!J19+'17'!J19+'18'!J19</f>
        <v>9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1336.576</v>
      </c>
      <c r="M19" s="118">
        <f t="shared" si="2"/>
        <v>11012.223999999998</v>
      </c>
      <c r="N19" s="101">
        <f>+'1'!N19+'2'!N19+'4'!N19+'3'!N19+'5'!N19+'6'!N19+'7'!N19+'8'!N19+'9'!N19+'10'!N19</f>
        <v>2129.51424</v>
      </c>
      <c r="O19" s="101">
        <f>+'1'!O19+'2'!O19+'4'!O19+'3'!O19+'5'!O19+'6'!O19+'7'!O19+'8'!O19+'9'!O19+'10'!O19</f>
        <v>129.3180864</v>
      </c>
      <c r="P19" s="120">
        <f t="shared" si="0"/>
        <v>13271.056326399999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145</v>
      </c>
      <c r="I20" s="1">
        <f t="shared" si="1"/>
        <v>10532.8</v>
      </c>
      <c r="J20" s="172">
        <f>+'1'!J20+'2'!J20+'4'!J20+'3'!J20+'5'!J20+'6'!J20+'7'!J20+'8'!J20+'9'!J20+'10'!J20+'11'!J20+'12'!J20+'13'!J20+'14'!J20+'15'!J20+'16'!J20+'17'!J20+'18'!J20</f>
        <v>7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1191.2959999999998</v>
      </c>
      <c r="M20" s="118">
        <f t="shared" si="2"/>
        <v>9341.503999999999</v>
      </c>
      <c r="N20" s="101">
        <f>+'1'!N20+'2'!N20+'4'!N20+'3'!N20+'5'!N20+'6'!N20+'7'!N20+'8'!N20+'9'!N20+'10'!N20</f>
        <v>1786.3628799999999</v>
      </c>
      <c r="O20" s="101">
        <f>+'1'!O20+'2'!O20+'4'!O20+'3'!O20+'5'!O20+'6'!O20+'7'!O20+'8'!O20+'9'!O20+'10'!O20</f>
        <v>87.444032000000007</v>
      </c>
      <c r="P20" s="120">
        <f t="shared" si="0"/>
        <v>11215.310911999999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145</v>
      </c>
      <c r="I21" s="1">
        <f t="shared" si="1"/>
        <v>10532.8</v>
      </c>
      <c r="J21" s="172">
        <f>+'1'!J21+'2'!J21+'4'!J21+'3'!J21+'5'!J21+'6'!J21+'7'!J21+'8'!J21+'9'!J21+'10'!J21+'11'!J21+'12'!J21+'13'!J21+'14'!J21+'15'!J21+'16'!J21+'17'!J21+'18'!J21</f>
        <v>7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1191.2959999999998</v>
      </c>
      <c r="M21" s="118">
        <f t="shared" si="2"/>
        <v>9341.503999999999</v>
      </c>
      <c r="N21" s="101">
        <f>+'1'!N21+'2'!N21+'4'!N21+'3'!N21+'5'!N21+'6'!N21+'7'!N21+'8'!N21+'9'!N21+'10'!N21</f>
        <v>1786.3628799999999</v>
      </c>
      <c r="O21" s="101">
        <f>+'1'!O21+'2'!O21+'4'!O21+'3'!O21+'5'!O21+'6'!O21+'7'!O21+'8'!O21+'9'!O21+'10'!O21</f>
        <v>87.444032000000007</v>
      </c>
      <c r="P21" s="120">
        <f t="shared" si="0"/>
        <v>11215.310911999999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90</v>
      </c>
      <c r="I22" s="1">
        <f t="shared" si="1"/>
        <v>3530.7000000000003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123.57450000000003</v>
      </c>
      <c r="L22" s="175">
        <f>+'1'!L22+'2'!L22+'4'!L22+'3'!L22+'5'!L22+'6'!L22+'7'!L22+'8'!L22+'9'!L22+'10'!L22</f>
        <v>176.53500000000005</v>
      </c>
      <c r="M22" s="118">
        <f t="shared" si="2"/>
        <v>3230.5905000000002</v>
      </c>
      <c r="N22" s="101">
        <f>+'1'!N22+'2'!N22+'4'!N22+'3'!N22+'5'!N22+'6'!N22+'7'!N22+'8'!N22+'9'!N22+'10'!N22</f>
        <v>595.8644700000001</v>
      </c>
      <c r="O22" s="101">
        <f>+'1'!O22+'2'!O22+'4'!O22+'3'!O22+'5'!O22+'6'!O22+'7'!O22+'8'!O22+'9'!O22+'10'!O22</f>
        <v>86.902884450000016</v>
      </c>
      <c r="P22" s="120">
        <f t="shared" si="0"/>
        <v>3913.3578544500001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27.324999999999999</v>
      </c>
      <c r="D25" s="205"/>
      <c r="E25" s="205"/>
      <c r="F25" s="205"/>
      <c r="G25" s="176">
        <f t="shared" ref="G25:M25" si="3">SUM(G16:G24)</f>
        <v>0</v>
      </c>
      <c r="H25" s="177">
        <f t="shared" si="3"/>
        <v>1093</v>
      </c>
      <c r="I25" s="178">
        <f t="shared" si="3"/>
        <v>65432.237500000003</v>
      </c>
      <c r="J25" s="177">
        <f t="shared" si="3"/>
        <v>51</v>
      </c>
      <c r="K25" s="178">
        <f t="shared" si="3"/>
        <v>123.57450000000003</v>
      </c>
      <c r="L25" s="179">
        <f t="shared" si="3"/>
        <v>6930.134</v>
      </c>
      <c r="M25" s="141">
        <f t="shared" si="3"/>
        <v>58378.528999999995</v>
      </c>
      <c r="N25" s="142">
        <f>SUM(N16:N24)</f>
        <v>11353.349000000002</v>
      </c>
      <c r="O25" s="143">
        <f>SUM(O16:O24)</f>
        <v>635.71837899999991</v>
      </c>
      <c r="P25" s="144">
        <f>SUM(P16:P24)</f>
        <v>70367.596378999995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70367.596378999995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2">
        <f>I25</f>
        <v>65432.237500000003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3">
        <f>L25</f>
        <v>6930.134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4">
        <f>K25</f>
        <v>123.57450000000003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3">
        <f>P32-P33-P34</f>
        <v>58378.529000000002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5" t="s">
        <v>89</v>
      </c>
      <c r="O36" s="156">
        <f>IF(B12="Registered",18%,22%)</f>
        <v>0.22</v>
      </c>
      <c r="P36" s="153">
        <f>N25</f>
        <v>11353.349000000002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3">
        <f>P35+P36</f>
        <v>69731.877999999997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7"/>
      <c r="N38" s="158" t="s">
        <v>91</v>
      </c>
      <c r="O38" s="159">
        <f>IF(B11="Filer",0.5%,2.5%)</f>
        <v>2.5000000000000001E-2</v>
      </c>
      <c r="P38" s="153">
        <f>O38*P37</f>
        <v>1743.2969499999999</v>
      </c>
    </row>
    <row r="39" spans="2:16" ht="15.75" customHeight="1" thickBot="1" x14ac:dyDescent="0.4">
      <c r="N39" s="203" t="s">
        <v>92</v>
      </c>
      <c r="O39" s="204"/>
      <c r="P39" s="160">
        <f>P37+P38</f>
        <v>71475.174950000001</v>
      </c>
    </row>
    <row r="40" spans="2:16" ht="15" thickBot="1" x14ac:dyDescent="0.4">
      <c r="B40" s="161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5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98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3520122130563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13</v>
      </c>
      <c r="I16" s="102">
        <f>(G16*D16)*F16+H16*F16</f>
        <v>682.01249999999993</v>
      </c>
      <c r="J16" s="103">
        <v>1</v>
      </c>
      <c r="K16" s="104">
        <f>I16*$K$13</f>
        <v>0</v>
      </c>
      <c r="L16" s="105">
        <f>I16*8%</f>
        <v>54.560999999999993</v>
      </c>
      <c r="M16" s="106">
        <f>I16-K16-L16</f>
        <v>627.4514999999999</v>
      </c>
      <c r="N16" s="106">
        <f t="shared" ref="N16:N24" si="0">(M16*$N$15)+(J16*F16)*$N$15</f>
        <v>149.58107999999999</v>
      </c>
      <c r="O16" s="107">
        <f t="shared" ref="O16:O24" si="1">(N16+M16)*$O$15</f>
        <v>3.8851628999999992</v>
      </c>
      <c r="P16" s="105">
        <f t="shared" ref="P16:P24" si="2">M16+N16+O16</f>
        <v>780.91774289999978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13</v>
      </c>
      <c r="I17" s="116">
        <f t="shared" ref="I17:I23" si="3">(G17*D17)*F17+H17*F17</f>
        <v>682.01249999999993</v>
      </c>
      <c r="J17" s="117">
        <v>1</v>
      </c>
      <c r="K17" s="1">
        <f t="shared" ref="K17:K21" si="4">I17*$K$13</f>
        <v>0</v>
      </c>
      <c r="L17" s="105">
        <f t="shared" ref="L17:L21" si="5">I17*8%</f>
        <v>54.560999999999993</v>
      </c>
      <c r="M17" s="118">
        <f t="shared" ref="M17:M23" si="6">I17-K17-L17</f>
        <v>627.4514999999999</v>
      </c>
      <c r="N17" s="118">
        <f t="shared" si="0"/>
        <v>149.58107999999999</v>
      </c>
      <c r="O17" s="119">
        <f t="shared" si="1"/>
        <v>3.8851628999999992</v>
      </c>
      <c r="P17" s="120">
        <f t="shared" si="2"/>
        <v>780.91774289999978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14</v>
      </c>
      <c r="I18" s="116">
        <f t="shared" si="3"/>
        <v>734.47500000000002</v>
      </c>
      <c r="J18" s="117"/>
      <c r="K18" s="1">
        <f t="shared" si="4"/>
        <v>0</v>
      </c>
      <c r="L18" s="105">
        <f t="shared" si="5"/>
        <v>58.758000000000003</v>
      </c>
      <c r="M18" s="118">
        <f t="shared" si="6"/>
        <v>675.71699999999998</v>
      </c>
      <c r="N18" s="118">
        <f t="shared" si="0"/>
        <v>148.65773999999999</v>
      </c>
      <c r="O18" s="119">
        <f t="shared" si="1"/>
        <v>4.1218737000000001</v>
      </c>
      <c r="P18" s="120">
        <f t="shared" si="2"/>
        <v>828.49661370000001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167.88</v>
      </c>
      <c r="M25" s="141">
        <f t="shared" si="9"/>
        <v>1930.62</v>
      </c>
      <c r="N25" s="142">
        <f>SUM(N16:N24)</f>
        <v>447.81989999999996</v>
      </c>
      <c r="O25" s="143">
        <f>SUM(O16:O24)</f>
        <v>11.892199499999998</v>
      </c>
      <c r="P25" s="144">
        <f>SUM(P16:P24)</f>
        <v>2390.3320994999995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2098.5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167.88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1930.62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447.81989999999996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2378.4398999999999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11.8921995</v>
      </c>
    </row>
    <row r="35" spans="2:16" ht="15.75" customHeight="1" thickBot="1" x14ac:dyDescent="0.4">
      <c r="N35" s="203" t="s">
        <v>92</v>
      </c>
      <c r="O35" s="204"/>
      <c r="P35" s="160">
        <f>P33+P34</f>
        <v>2390.3320994999999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3" workbookViewId="0">
      <selection activeCell="E10" sqref="E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98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110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13</v>
      </c>
      <c r="I16" s="102">
        <f>(G16*D16)*F16+H16*F16</f>
        <v>682.01249999999993</v>
      </c>
      <c r="J16" s="103">
        <v>1</v>
      </c>
      <c r="K16" s="104">
        <f>I16*$K$13</f>
        <v>0</v>
      </c>
      <c r="L16" s="105">
        <f>I16*8%</f>
        <v>54.560999999999993</v>
      </c>
      <c r="M16" s="106">
        <f>I16-K16-L16</f>
        <v>627.4514999999999</v>
      </c>
      <c r="N16" s="106">
        <f t="shared" ref="N16:N24" si="0">(M16*$N$15)+(J16*F16)*$N$15</f>
        <v>149.58107999999999</v>
      </c>
      <c r="O16" s="107">
        <f>(N16+M16)*$O$15</f>
        <v>3.8851628999999992</v>
      </c>
      <c r="P16" s="105">
        <f t="shared" ref="P16:P24" si="1">M16+N16+O16</f>
        <v>780.91774289999978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15</v>
      </c>
      <c r="I17" s="116">
        <f t="shared" ref="I17:I23" si="2">(G17*D17)*F17+H17*F17</f>
        <v>786.9375</v>
      </c>
      <c r="J17" s="117">
        <v>1</v>
      </c>
      <c r="K17" s="1">
        <f t="shared" ref="K17:K21" si="3">I17*$K$13</f>
        <v>0</v>
      </c>
      <c r="L17" s="105">
        <f t="shared" ref="L17:L21" si="4">I17*8%</f>
        <v>62.954999999999998</v>
      </c>
      <c r="M17" s="118">
        <f t="shared" ref="M17:M23" si="5">I17-K17-L17</f>
        <v>723.98249999999996</v>
      </c>
      <c r="N17" s="118">
        <f t="shared" si="0"/>
        <v>170.81790000000001</v>
      </c>
      <c r="O17" s="119">
        <f t="shared" ref="O17:O24" si="6">(N17+M17)*$O$15</f>
        <v>4.4740019999999996</v>
      </c>
      <c r="P17" s="120">
        <f t="shared" si="1"/>
        <v>899.27440200000001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15</v>
      </c>
      <c r="I18" s="116">
        <f t="shared" si="2"/>
        <v>786.9375</v>
      </c>
      <c r="J18" s="117"/>
      <c r="K18" s="1">
        <f t="shared" si="3"/>
        <v>0</v>
      </c>
      <c r="L18" s="105">
        <f t="shared" si="4"/>
        <v>62.954999999999998</v>
      </c>
      <c r="M18" s="118">
        <f t="shared" si="5"/>
        <v>723.98249999999996</v>
      </c>
      <c r="N18" s="118">
        <f t="shared" si="0"/>
        <v>159.27615</v>
      </c>
      <c r="O18" s="119">
        <f t="shared" si="6"/>
        <v>4.4162932499999998</v>
      </c>
      <c r="P18" s="120">
        <f t="shared" si="1"/>
        <v>887.67494324999996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2.1896224500000003</v>
      </c>
      <c r="P22" s="120">
        <f t="shared" si="1"/>
        <v>440.11411245000005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53</v>
      </c>
      <c r="I25" s="137">
        <f t="shared" si="9"/>
        <v>2648.1875</v>
      </c>
      <c r="J25" s="138"/>
      <c r="K25" s="139">
        <f t="shared" si="9"/>
        <v>13.730500000000003</v>
      </c>
      <c r="L25" s="140">
        <f t="shared" si="9"/>
        <v>200.08600000000001</v>
      </c>
      <c r="M25" s="141">
        <f t="shared" si="9"/>
        <v>2434.3710000000001</v>
      </c>
      <c r="N25" s="142">
        <f>SUM(N16:N24)</f>
        <v>558.64512000000002</v>
      </c>
      <c r="O25" s="143">
        <f>SUM(O16:O24)</f>
        <v>14.965080599999999</v>
      </c>
      <c r="P25" s="144">
        <f>SUM(P16:P24)</f>
        <v>3007.9812005999997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2648.1875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200.08600000000001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2434.3709999999996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558.64512000000002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2993.0161199999998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14.965080599999999</v>
      </c>
    </row>
    <row r="35" spans="2:16" ht="15.75" customHeight="1" thickBot="1" x14ac:dyDescent="0.4">
      <c r="N35" s="203" t="s">
        <v>92</v>
      </c>
      <c r="O35" s="204"/>
      <c r="P35" s="160">
        <f>P33+P34</f>
        <v>3007.9812005999997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3" workbookViewId="0">
      <selection activeCell="H9" sqref="H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111</v>
      </c>
      <c r="B6" s="229"/>
      <c r="C6" s="229"/>
      <c r="F6" s="70"/>
      <c r="G6" s="74"/>
      <c r="K6" s="229" t="s">
        <v>52</v>
      </c>
      <c r="L6" s="229"/>
      <c r="M6" s="229"/>
      <c r="N6" s="242" t="s">
        <v>98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3520256212131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>
        <v>1</v>
      </c>
      <c r="K16" s="104">
        <f>I16*$K$13</f>
        <v>0</v>
      </c>
      <c r="L16" s="105">
        <f>I16*8%</f>
        <v>41.97</v>
      </c>
      <c r="M16" s="106">
        <f>I16-K16-L16</f>
        <v>482.65499999999997</v>
      </c>
      <c r="N16" s="106">
        <f t="shared" ref="N16:N24" si="0">(M16*$N$15)+(J16*F16)*$N$15</f>
        <v>117.72585000000001</v>
      </c>
      <c r="O16" s="107">
        <f>(N16+M16)*$O$15</f>
        <v>3.0019042499999999</v>
      </c>
      <c r="P16" s="105">
        <f t="shared" ref="P16:P24" si="1">M16+N16+O16</f>
        <v>603.38275425000006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5</v>
      </c>
      <c r="I17" s="116">
        <f t="shared" ref="I17:I23" si="2">(G17*D17)*F17+H17*F17</f>
        <v>262.3125</v>
      </c>
      <c r="J17" s="117"/>
      <c r="K17" s="1">
        <f t="shared" ref="K17:K21" si="3">I17*$K$13</f>
        <v>0</v>
      </c>
      <c r="L17" s="105">
        <f t="shared" ref="L17:L21" si="4">I17*8%</f>
        <v>20.984999999999999</v>
      </c>
      <c r="M17" s="118">
        <f t="shared" ref="M17:M23" si="5">I17-K17-L17</f>
        <v>241.32749999999999</v>
      </c>
      <c r="N17" s="118">
        <f t="shared" si="0"/>
        <v>53.09205</v>
      </c>
      <c r="O17" s="119">
        <f t="shared" ref="O17:O24" si="6">(N17+M17)*$O$15</f>
        <v>1.4720977499999999</v>
      </c>
      <c r="P17" s="120">
        <f t="shared" si="1"/>
        <v>295.89164774999995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5</v>
      </c>
      <c r="I18" s="116">
        <f t="shared" si="2"/>
        <v>262.3125</v>
      </c>
      <c r="J18" s="117"/>
      <c r="K18" s="1">
        <f t="shared" si="3"/>
        <v>0</v>
      </c>
      <c r="L18" s="105">
        <f t="shared" si="4"/>
        <v>20.984999999999999</v>
      </c>
      <c r="M18" s="118">
        <f t="shared" si="5"/>
        <v>241.32749999999999</v>
      </c>
      <c r="N18" s="118">
        <f t="shared" si="0"/>
        <v>53.09205</v>
      </c>
      <c r="O18" s="119">
        <f t="shared" si="6"/>
        <v>1.4720977499999999</v>
      </c>
      <c r="P18" s="120">
        <f t="shared" si="1"/>
        <v>295.89164774999995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>
        <v>1</v>
      </c>
      <c r="K19" s="1">
        <f t="shared" si="3"/>
        <v>0</v>
      </c>
      <c r="L19" s="105">
        <f t="shared" si="4"/>
        <v>58.112000000000002</v>
      </c>
      <c r="M19" s="118">
        <f t="shared" si="5"/>
        <v>668.28800000000001</v>
      </c>
      <c r="N19" s="118">
        <f t="shared" si="0"/>
        <v>163.00415999999998</v>
      </c>
      <c r="O19" s="119">
        <f t="shared" si="6"/>
        <v>4.1564607999999996</v>
      </c>
      <c r="P19" s="120">
        <f t="shared" si="1"/>
        <v>835.44862079999996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5</v>
      </c>
      <c r="I20" s="116">
        <f t="shared" si="2"/>
        <v>363.2</v>
      </c>
      <c r="J20" s="117"/>
      <c r="K20" s="1">
        <f t="shared" si="3"/>
        <v>0</v>
      </c>
      <c r="L20" s="105">
        <f t="shared" si="4"/>
        <v>29.056000000000001</v>
      </c>
      <c r="M20" s="118">
        <f t="shared" si="5"/>
        <v>334.14400000000001</v>
      </c>
      <c r="N20" s="118">
        <f t="shared" si="0"/>
        <v>73.511679999999998</v>
      </c>
      <c r="O20" s="119">
        <f t="shared" si="6"/>
        <v>2.0382784000000003</v>
      </c>
      <c r="P20" s="120">
        <f t="shared" si="1"/>
        <v>409.69395840000004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5</v>
      </c>
      <c r="I21" s="116">
        <f t="shared" si="2"/>
        <v>363.2</v>
      </c>
      <c r="J21" s="117"/>
      <c r="K21" s="1">
        <f t="shared" si="3"/>
        <v>0</v>
      </c>
      <c r="L21" s="105">
        <f t="shared" si="4"/>
        <v>29.056000000000001</v>
      </c>
      <c r="M21" s="118">
        <f t="shared" si="5"/>
        <v>334.14400000000001</v>
      </c>
      <c r="N21" s="118">
        <f t="shared" si="0"/>
        <v>73.511679999999998</v>
      </c>
      <c r="O21" s="119">
        <f t="shared" si="6"/>
        <v>2.0382784000000003</v>
      </c>
      <c r="P21" s="120">
        <f t="shared" si="1"/>
        <v>409.69395840000004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2502.0499999999997</v>
      </c>
      <c r="J25" s="138"/>
      <c r="K25" s="139">
        <f t="shared" si="9"/>
        <v>0</v>
      </c>
      <c r="L25" s="140">
        <f t="shared" si="9"/>
        <v>200.16400000000002</v>
      </c>
      <c r="M25" s="141">
        <f t="shared" si="9"/>
        <v>2301.886</v>
      </c>
      <c r="N25" s="142">
        <f>SUM(N16:N24)</f>
        <v>533.93746999999996</v>
      </c>
      <c r="O25" s="143">
        <f>SUM(O16:O24)</f>
        <v>14.179117349999999</v>
      </c>
      <c r="P25" s="144">
        <f>SUM(P16:P24)</f>
        <v>2850.0025873500003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2502.0499999999997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200.16400000000002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2301.8859999999995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533.93746999999996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2835.8234699999994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14.179117349999997</v>
      </c>
    </row>
    <row r="35" spans="2:16" ht="15.75" customHeight="1" thickBot="1" x14ac:dyDescent="0.4">
      <c r="N35" s="203" t="s">
        <v>92</v>
      </c>
      <c r="O35" s="204"/>
      <c r="P35" s="160">
        <f>P33+P34</f>
        <v>2850.0025873499994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7" workbookViewId="0">
      <selection activeCell="F26" sqref="F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111</v>
      </c>
      <c r="B6" s="229"/>
      <c r="C6" s="229"/>
      <c r="F6" s="70"/>
      <c r="G6" s="74"/>
      <c r="K6" s="229" t="s">
        <v>52</v>
      </c>
      <c r="L6" s="229"/>
      <c r="M6" s="229"/>
      <c r="N6" s="242" t="s">
        <v>98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114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3277876226322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253">
        <v>0.12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120</v>
      </c>
      <c r="I16" s="102">
        <f>(G16*D16)*F16+H16*F16</f>
        <v>6295.5</v>
      </c>
      <c r="J16" s="103">
        <v>6</v>
      </c>
      <c r="K16" s="104">
        <f>I16*$K$13</f>
        <v>0</v>
      </c>
      <c r="L16" s="105">
        <f>I16*12%</f>
        <v>755.45999999999992</v>
      </c>
      <c r="M16" s="106">
        <f>I16-K16-L16</f>
        <v>5540.04</v>
      </c>
      <c r="N16" s="106">
        <f t="shared" ref="N16:N24" si="0">(M16*$N$15)+(J16*F16)*$N$15</f>
        <v>1053.8667</v>
      </c>
      <c r="O16" s="107">
        <f>(N16+M16)*$O$15</f>
        <v>32.969533499999997</v>
      </c>
      <c r="P16" s="105">
        <f t="shared" ref="P16:P24" si="1">M16+N16+O16</f>
        <v>6626.8762334999992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120</v>
      </c>
      <c r="I17" s="116">
        <f t="shared" ref="I17:I23" si="2">(G17*D17)*F17+H17*F17</f>
        <v>6295.5</v>
      </c>
      <c r="J17" s="117">
        <v>6</v>
      </c>
      <c r="K17" s="1">
        <f t="shared" ref="K17:K21" si="3">I17*$K$13</f>
        <v>0</v>
      </c>
      <c r="L17" s="105">
        <f t="shared" ref="L17:L21" si="4">I17*12%</f>
        <v>755.45999999999992</v>
      </c>
      <c r="M17" s="118">
        <f t="shared" ref="M17:M23" si="5">I17-K17-L17</f>
        <v>5540.04</v>
      </c>
      <c r="N17" s="118">
        <f t="shared" si="0"/>
        <v>1053.8667</v>
      </c>
      <c r="O17" s="119">
        <f t="shared" ref="O17:O24" si="6">(N17+M17)*$O$15</f>
        <v>32.969533499999997</v>
      </c>
      <c r="P17" s="120">
        <f t="shared" si="1"/>
        <v>6626.8762334999992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120</v>
      </c>
      <c r="I18" s="116">
        <f t="shared" si="2"/>
        <v>6295.5</v>
      </c>
      <c r="J18" s="117">
        <v>6</v>
      </c>
      <c r="K18" s="1">
        <f t="shared" si="3"/>
        <v>0</v>
      </c>
      <c r="L18" s="105">
        <f t="shared" si="4"/>
        <v>755.45999999999992</v>
      </c>
      <c r="M18" s="118">
        <f t="shared" si="5"/>
        <v>5540.04</v>
      </c>
      <c r="N18" s="118">
        <f t="shared" si="0"/>
        <v>1053.8667</v>
      </c>
      <c r="O18" s="119">
        <f t="shared" si="6"/>
        <v>32.969533499999997</v>
      </c>
      <c r="P18" s="120">
        <f t="shared" si="1"/>
        <v>6626.8762334999992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120</v>
      </c>
      <c r="I19" s="116">
        <f t="shared" si="2"/>
        <v>8716.7999999999993</v>
      </c>
      <c r="J19" s="117">
        <v>6</v>
      </c>
      <c r="K19" s="1">
        <f t="shared" si="3"/>
        <v>0</v>
      </c>
      <c r="L19" s="105">
        <f t="shared" si="4"/>
        <v>1046.0159999999998</v>
      </c>
      <c r="M19" s="118">
        <f t="shared" si="5"/>
        <v>7670.7839999999997</v>
      </c>
      <c r="N19" s="118">
        <f t="shared" si="0"/>
        <v>1459.1923199999999</v>
      </c>
      <c r="O19" s="119">
        <f t="shared" si="6"/>
        <v>45.649881600000001</v>
      </c>
      <c r="P19" s="120">
        <f t="shared" si="1"/>
        <v>9175.6262016000001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120</v>
      </c>
      <c r="I20" s="116">
        <f t="shared" si="2"/>
        <v>8716.7999999999993</v>
      </c>
      <c r="J20" s="117">
        <v>6</v>
      </c>
      <c r="K20" s="1">
        <f t="shared" si="3"/>
        <v>0</v>
      </c>
      <c r="L20" s="105">
        <f t="shared" si="4"/>
        <v>1046.0159999999998</v>
      </c>
      <c r="M20" s="118">
        <f t="shared" si="5"/>
        <v>7670.7839999999997</v>
      </c>
      <c r="N20" s="118">
        <f t="shared" si="0"/>
        <v>1459.1923199999999</v>
      </c>
      <c r="O20" s="119">
        <f t="shared" si="6"/>
        <v>45.649881600000001</v>
      </c>
      <c r="P20" s="120">
        <f t="shared" si="1"/>
        <v>9175.6262016000001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120</v>
      </c>
      <c r="I21" s="116">
        <f t="shared" si="2"/>
        <v>8716.7999999999993</v>
      </c>
      <c r="J21" s="117">
        <v>6</v>
      </c>
      <c r="K21" s="1">
        <f t="shared" si="3"/>
        <v>0</v>
      </c>
      <c r="L21" s="105">
        <f t="shared" si="4"/>
        <v>1046.0159999999998</v>
      </c>
      <c r="M21" s="118">
        <f t="shared" si="5"/>
        <v>7670.7839999999997</v>
      </c>
      <c r="N21" s="118">
        <f t="shared" si="0"/>
        <v>1459.1923199999999</v>
      </c>
      <c r="O21" s="119">
        <f t="shared" si="6"/>
        <v>45.649881600000001</v>
      </c>
      <c r="P21" s="120">
        <f t="shared" si="1"/>
        <v>9175.6262016000001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720</v>
      </c>
      <c r="I25" s="137">
        <f t="shared" si="9"/>
        <v>45036.899999999994</v>
      </c>
      <c r="J25" s="138"/>
      <c r="K25" s="139">
        <f t="shared" si="9"/>
        <v>0</v>
      </c>
      <c r="L25" s="140">
        <f t="shared" si="9"/>
        <v>5404.427999999999</v>
      </c>
      <c r="M25" s="141">
        <f t="shared" si="9"/>
        <v>39632.471999999994</v>
      </c>
      <c r="N25" s="142">
        <f>SUM(N16:N24)</f>
        <v>7539.17706</v>
      </c>
      <c r="O25" s="143">
        <f>SUM(O16:O24)</f>
        <v>235.85824530000002</v>
      </c>
      <c r="P25" s="144">
        <f>SUM(P16:P24)</f>
        <v>47407.507305299994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45036.899999999994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5404.427999999999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39632.471999999994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7539.17706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47171.649059999996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235.85824529999999</v>
      </c>
    </row>
    <row r="35" spans="2:16" ht="15.75" customHeight="1" thickBot="1" x14ac:dyDescent="0.4">
      <c r="N35" s="203" t="s">
        <v>92</v>
      </c>
      <c r="O35" s="204"/>
      <c r="P35" s="160">
        <f>P33+P34</f>
        <v>47407.507305299994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9" workbookViewId="0">
      <selection activeCell="F26" sqref="F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111</v>
      </c>
      <c r="B6" s="229"/>
      <c r="C6" s="229"/>
      <c r="F6" s="70"/>
      <c r="G6" s="74"/>
      <c r="K6" s="229" t="s">
        <v>52</v>
      </c>
      <c r="L6" s="229"/>
      <c r="M6" s="229"/>
      <c r="N6" s="242" t="s">
        <v>98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3520296393577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>
        <v>2</v>
      </c>
      <c r="K16" s="104">
        <f>I16*$K$13</f>
        <v>0</v>
      </c>
      <c r="L16" s="105">
        <f>I16*8%</f>
        <v>167.88</v>
      </c>
      <c r="M16" s="106">
        <f>I16-K16-L16</f>
        <v>1930.62</v>
      </c>
      <c r="N16" s="106">
        <f t="shared" ref="N16:N24" si="0">(M16*$N$15)+(J16*F16)*$N$15</f>
        <v>366.3981</v>
      </c>
      <c r="O16" s="107">
        <f>(N16+M16)*$O$15</f>
        <v>57.425452499999999</v>
      </c>
      <c r="P16" s="105">
        <f t="shared" ref="P16:P24" si="1">M16+N16+O16</f>
        <v>2354.4435524999999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>
        <v>2</v>
      </c>
      <c r="K17" s="1">
        <f t="shared" ref="K17:K21" si="3">I17*$K$13</f>
        <v>0</v>
      </c>
      <c r="L17" s="105">
        <f t="shared" ref="L17:L21" si="4">I17*8%</f>
        <v>167.88</v>
      </c>
      <c r="M17" s="118">
        <f t="shared" ref="M17:M23" si="5">I17-K17-L17</f>
        <v>1930.62</v>
      </c>
      <c r="N17" s="118">
        <f t="shared" si="0"/>
        <v>366.3981</v>
      </c>
      <c r="O17" s="119">
        <f t="shared" ref="O17:O24" si="6">(N17+M17)*$O$15</f>
        <v>57.425452499999999</v>
      </c>
      <c r="P17" s="120">
        <f t="shared" si="1"/>
        <v>2354.4435524999999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1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9.443249999999999</v>
      </c>
      <c r="O18" s="119">
        <f t="shared" si="6"/>
        <v>0.23608124999999999</v>
      </c>
      <c r="P18" s="120">
        <f t="shared" si="1"/>
        <v>9.6793312499999988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507.31775999999996</v>
      </c>
      <c r="O19" s="119">
        <f t="shared" si="6"/>
        <v>79.511744000000007</v>
      </c>
      <c r="P19" s="120">
        <f t="shared" si="1"/>
        <v>3259.9815039999999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1</v>
      </c>
      <c r="K20" s="1">
        <f t="shared" si="3"/>
        <v>0</v>
      </c>
      <c r="L20" s="105">
        <f t="shared" si="4"/>
        <v>116.224</v>
      </c>
      <c r="M20" s="118">
        <f t="shared" si="5"/>
        <v>1336.576</v>
      </c>
      <c r="N20" s="118">
        <f t="shared" si="0"/>
        <v>253.65887999999998</v>
      </c>
      <c r="O20" s="119">
        <f t="shared" si="6"/>
        <v>39.755872000000004</v>
      </c>
      <c r="P20" s="120">
        <f t="shared" si="1"/>
        <v>1629.9907519999999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>
        <v>1</v>
      </c>
      <c r="K21" s="1">
        <f t="shared" si="3"/>
        <v>0</v>
      </c>
      <c r="L21" s="105">
        <f t="shared" si="4"/>
        <v>116.224</v>
      </c>
      <c r="M21" s="118">
        <f t="shared" si="5"/>
        <v>1336.576</v>
      </c>
      <c r="N21" s="118">
        <f t="shared" si="0"/>
        <v>253.65887999999998</v>
      </c>
      <c r="O21" s="119">
        <f t="shared" si="6"/>
        <v>39.755872000000004</v>
      </c>
      <c r="P21" s="120">
        <f t="shared" si="1"/>
        <v>1629.9907519999999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2"/>
        <v>3138.4000000000005</v>
      </c>
      <c r="J22" s="117"/>
      <c r="K22" s="1">
        <f>I22*3.5%</f>
        <v>109.84400000000002</v>
      </c>
      <c r="L22" s="120">
        <f>I22*5%</f>
        <v>156.92000000000004</v>
      </c>
      <c r="M22" s="118">
        <f t="shared" si="5"/>
        <v>2871.6360000000004</v>
      </c>
      <c r="N22" s="118">
        <f t="shared" si="0"/>
        <v>516.89448000000004</v>
      </c>
      <c r="O22" s="119">
        <f t="shared" si="6"/>
        <v>84.713262000000014</v>
      </c>
      <c r="P22" s="120">
        <f t="shared" si="1"/>
        <v>3473.2437420000006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240</v>
      </c>
      <c r="I25" s="137">
        <f t="shared" si="9"/>
        <v>13146.599999999999</v>
      </c>
      <c r="J25" s="138"/>
      <c r="K25" s="139">
        <f t="shared" si="9"/>
        <v>109.84400000000002</v>
      </c>
      <c r="L25" s="140">
        <f t="shared" si="9"/>
        <v>957.57600000000014</v>
      </c>
      <c r="M25" s="141">
        <f t="shared" si="9"/>
        <v>12079.18</v>
      </c>
      <c r="N25" s="142">
        <f>SUM(N16:N24)</f>
        <v>2273.7694499999998</v>
      </c>
      <c r="O25" s="143">
        <f>SUM(O16:O24)</f>
        <v>358.82373625000002</v>
      </c>
      <c r="P25" s="144">
        <f>SUM(P16:P24)</f>
        <v>14711.77318625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13146.599999999999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957.57600000000014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109.84400000000002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12079.179999999998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2273.7694499999998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14352.949449999998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358.82373624999997</v>
      </c>
    </row>
    <row r="35" spans="2:16" ht="15.75" customHeight="1" thickBot="1" x14ac:dyDescent="0.4">
      <c r="N35" s="203" t="s">
        <v>92</v>
      </c>
      <c r="O35" s="204"/>
      <c r="P35" s="160">
        <f>P33+P34</f>
        <v>14711.773186249999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2026-06-19T06:17:11Z</dcterms:modified>
</cp:coreProperties>
</file>