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D5F7E7F-613F-44A0-AB05-3209D34D1D8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5" l="1"/>
  <c r="L18" i="25"/>
  <c r="L19" i="25"/>
  <c r="L20" i="25"/>
  <c r="L21" i="25"/>
  <c r="L16" i="2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17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M19" i="25" l="1"/>
  <c r="N19" i="25" s="1"/>
  <c r="O19" i="25" s="1"/>
  <c r="L21" i="15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2" i="15"/>
  <c r="P19" i="18"/>
  <c r="M25" i="18"/>
  <c r="M18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<sst xmlns="http://schemas.openxmlformats.org/spreadsheetml/2006/main" count="1585" uniqueCount="124">
  <si>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</si>
  <si>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</si>
  <si>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</si>
  <si>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</si>
  <si>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</si>
  <si>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</si>
  <si>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</si>
  <si>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</si>
  <si>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</si>
  <si>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</si>
  <si>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</si>
  <si>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</si>
  <si>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</si>
  <si>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</si>
  <si>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</si>
  <si>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</si>
  <si>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</si>
  <si>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</si>
  <si>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</si>
  <si>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</si>
  <si>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</si>
  <si>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</si>
  <si>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</si>
  <si>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</si>
  <si>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</si>
  <si>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</si>
  <si>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</si>
  <si>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</si>
  <si>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</si>
  <si>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</si>
  <si>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</si>
  <si>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</si>
  <si>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</si>
  <si>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</si>
  <si>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</si>
  <si>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</si>
  <si>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</si>
  <si>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</si>
  <si>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</si>
  <si>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</si>
  <si>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</si>
  <si>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</si>
  <si>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</si>
  <si>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</si>
  <si>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</si>
  <si>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</si>
  <si>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</si>
  <si>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</si>
  <si>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</si>
  <si>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</si>
  <si>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</si>
  <si>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</si>
  <si>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</si>
  <si>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</si>
  <si>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</si>
  <si>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</si>
  <si>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</si>
  <si>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</si>
  <si>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</si>
  <si>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</si>
  <si>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</si>
  <si>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</si>
  <si>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</si>
  <si>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</si>
  <si>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</si>
  <si>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</si>
  <si>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</si>
  <si>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</si>
  <si>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</si>
  <si>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</si>
  <si>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</si>
  <si>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</si>
  <si>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</si>
  <si>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</si>
  <si>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</si>
  <si>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</si>
  <si>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</si>
  <si>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</si>
  <si>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</si>
  <si>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</si>
  <si>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</si>
  <si>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</si>
  <si>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</si>
  <si>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</si>
  <si>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</si>
  <si>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</si>
  <si>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</si>
  <si>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</si>
  <si>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</si>
  <si>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</si>
  <si>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</si>
  <si>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</si>
  <si>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</si>
  <si>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</si>
  <si>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</si>
  <si>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</si>
  <si>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</si>
  <si>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</si>
  <si>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</si>
  <si>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</si>
  <si>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</si>
  <si>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</si>
  <si>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</si>
  <si>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</si>
  <si>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Mubeen</t>
  </si>
  <si>
    <t>Shop Bill Summary (Mubeen)</t>
  </si>
  <si>
    <t>Customer Name : Haji Mart</t>
  </si>
  <si>
    <t xml:space="preserve">Address: Green City </t>
  </si>
  <si>
    <t xml:space="preserve">Customer Name : Al Mustafa Mart </t>
  </si>
  <si>
    <t xml:space="preserve">Customer Name : K mart </t>
  </si>
  <si>
    <t>3255339-7</t>
  </si>
  <si>
    <t>5265164-2</t>
  </si>
  <si>
    <t>Customer Name : Hikma Super Store</t>
  </si>
  <si>
    <t xml:space="preserve">Customer Name : Pick &amp; Pack </t>
  </si>
  <si>
    <t>Address: Paragon</t>
  </si>
  <si>
    <t>4357664-8</t>
  </si>
  <si>
    <t>Customer Name : Umaima Store</t>
  </si>
  <si>
    <t xml:space="preserve">Address: Paragon </t>
  </si>
  <si>
    <t>Customer Name : Hikma Store</t>
  </si>
  <si>
    <t>2302644-8</t>
  </si>
  <si>
    <t>Customer Name : Zee Mart</t>
  </si>
  <si>
    <t>Customer Name : Al Rehman Store</t>
  </si>
  <si>
    <t xml:space="preserve">Address: Tajhpura Phatak </t>
  </si>
  <si>
    <t>Address: Paragon Brobdway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</si>
</sst>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104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105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Haji Mart</v>
      </c>
      <c r="U14" s="164">
        <f>+'1'!P35</f>
        <v>9078.1446969900007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Al Mustafa Mart </v>
      </c>
      <c r="U15" s="164">
        <f>+'2'!P35</f>
        <v>4784.6632829399996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67</v>
      </c>
      <c r="I16" s="1">
        <f>(G16*D16)*F16+H16*F16</f>
        <v>3514.9874999999997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312.67649999999998</v>
      </c>
      <c r="M16" s="106">
        <f>I16-K16-L16</f>
        <v>3202.3109999999997</v>
      </c>
      <c r="N16" s="101">
        <f>+'1'!N16+'2'!N16+'4'!N16+'3'!N16+'5'!N16+'6'!N16+'7'!N16+'8'!N16+'9'!N16+'10'!N16</f>
        <v>711.43347000000006</v>
      </c>
      <c r="O16" s="101">
        <f>+'1'!O16+'2'!O16+'4'!O16+'3'!O16+'5'!O16+'6'!O16+'7'!O16+'8'!O16+'9'!O16+'10'!O16</f>
        <v>31.576339350000001</v>
      </c>
      <c r="P16" s="105">
        <f t="shared" ref="P16:P24" si="0">M16+N16+O16</f>
        <v>3945.3208093499998</v>
      </c>
      <c r="Q16" s="108"/>
      <c r="T16" s="163" t="str">
        <f>+'4'!A5</f>
        <v>Customer Name : Hikma Super Store</v>
      </c>
      <c r="U16" s="164">
        <f>+'4'!P35</f>
        <v>5133.1347874499997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57</v>
      </c>
      <c r="I17" s="1">
        <f t="shared" ref="I17:I23" si="1">(G17*D17)*F17+H17*F17</f>
        <v>2990.3624999999997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260.214</v>
      </c>
      <c r="M17" s="118">
        <f t="shared" ref="M17:M23" si="2">I17-K17-L17</f>
        <v>2730.1484999999998</v>
      </c>
      <c r="N17" s="101">
        <f>+'1'!N17+'2'!N17+'4'!N17+'3'!N17+'5'!N17+'6'!N17+'7'!N17+'8'!N17+'9'!N17+'10'!N17</f>
        <v>612.59411999999998</v>
      </c>
      <c r="O17" s="101">
        <f>+'1'!O17+'2'!O17+'4'!O17+'3'!O17+'5'!O17+'6'!O17+'7'!O17+'8'!O17+'9'!O17+'10'!O17</f>
        <v>22.602104099999998</v>
      </c>
      <c r="P17" s="120">
        <f t="shared" si="0"/>
        <v>3365.3447240999999</v>
      </c>
      <c r="S17" s="64"/>
      <c r="T17" s="163" t="str">
        <f>+'3'!A5</f>
        <v xml:space="preserve">Customer Name : K mart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54</v>
      </c>
      <c r="I18" s="1">
        <f t="shared" si="1"/>
        <v>2832.9749999999999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258.11549999999994</v>
      </c>
      <c r="M18" s="118">
        <f t="shared" si="2"/>
        <v>2574.8595</v>
      </c>
      <c r="N18" s="101">
        <f>+'1'!N18+'2'!N18+'4'!N18+'3'!N18+'5'!N18+'6'!N18+'7'!N18+'8'!N18+'9'!N18+'10'!N18</f>
        <v>550.31064000000003</v>
      </c>
      <c r="O18" s="101">
        <f>+'1'!O18+'2'!O18+'4'!O18+'3'!O18+'5'!O18+'6'!O18+'7'!O18+'8'!O18+'9'!O18+'10'!O18</f>
        <v>21.514241699999999</v>
      </c>
      <c r="P18" s="120">
        <f t="shared" si="0"/>
        <v>3146.6843817000004</v>
      </c>
      <c r="T18" s="163" t="str">
        <f>+'5'!A5</f>
        <v xml:space="preserve">Customer Name : Pick &amp; Pack </v>
      </c>
      <c r="U18" s="164">
        <f>+'5'!P35</f>
        <v>2679.2133355800001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132</v>
      </c>
      <c r="I19" s="1">
        <f t="shared" si="1"/>
        <v>9588.48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810.66240000000005</v>
      </c>
      <c r="M19" s="118">
        <f t="shared" si="2"/>
        <v>8777.8176000000003</v>
      </c>
      <c r="N19" s="101">
        <f>+'1'!N19+'2'!N19+'4'!N19+'3'!N19+'5'!N19+'6'!N19+'7'!N19+'8'!N19+'9'!N19+'10'!N19</f>
        <v>1988.6507519999998</v>
      </c>
      <c r="O19" s="101">
        <f>+'1'!O19+'2'!O19+'4'!O19+'3'!O19+'5'!O19+'6'!O19+'7'!O19+'8'!O19+'9'!O19+'10'!O19</f>
        <v>144.79505536000002</v>
      </c>
      <c r="P19" s="120">
        <f t="shared" si="0"/>
        <v>10911.26340736</v>
      </c>
      <c r="T19" s="163" t="str">
        <f>+'6'!A5</f>
        <v>Customer Name : Umaima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112</v>
      </c>
      <c r="I20" s="1">
        <f t="shared" si="1"/>
        <v>8135.68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679.9104000000001</v>
      </c>
      <c r="M20" s="118">
        <f t="shared" si="2"/>
        <v>7455.7696000000005</v>
      </c>
      <c r="N20" s="101">
        <f>+'1'!N20+'2'!N20+'4'!N20+'3'!N20+'5'!N20+'6'!N20+'7'!N20+'8'!N20+'9'!N20+'10'!N20</f>
        <v>1720.754432</v>
      </c>
      <c r="O20" s="101">
        <f>+'1'!O20+'2'!O20+'4'!O20+'3'!O20+'5'!O20+'6'!O20+'7'!O20+'8'!O20+'9'!O20+'10'!O20</f>
        <v>128.05298816000001</v>
      </c>
      <c r="P20" s="120">
        <f t="shared" si="0"/>
        <v>9304.5770201600008</v>
      </c>
      <c r="T20" s="163" t="str">
        <f>+'7'!A5</f>
        <v>Customer Name : Hikma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126</v>
      </c>
      <c r="I21" s="1">
        <f t="shared" si="1"/>
        <v>9152.64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775.79520000000002</v>
      </c>
      <c r="M21" s="118">
        <f t="shared" si="2"/>
        <v>8376.8447999999989</v>
      </c>
      <c r="N21" s="101">
        <f>+'1'!N21+'2'!N21+'4'!N21+'3'!N21+'5'!N21+'6'!N21+'7'!N21+'8'!N21+'9'!N21+'10'!N21</f>
        <v>1868.4751359999998</v>
      </c>
      <c r="O21" s="101">
        <f>+'1'!O21+'2'!O21+'4'!O21+'3'!O21+'5'!O21+'6'!O21+'7'!O21+'8'!O21+'9'!O21+'10'!O21</f>
        <v>141.55008128</v>
      </c>
      <c r="P21" s="120">
        <f t="shared" si="0"/>
        <v>10386.870017279998</v>
      </c>
      <c r="T21" s="163" t="str">
        <f>+'8'!A5</f>
        <v>Customer Name : Zee Mart</v>
      </c>
      <c r="U21" s="164">
        <f>+'8'!P35</f>
        <v>3332.3135845500005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100</v>
      </c>
      <c r="I22" s="1">
        <f t="shared" si="1"/>
        <v>3923.0000000000005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137.30500000000004</v>
      </c>
      <c r="L22" s="175">
        <f>+'1'!L22+'2'!L22+'4'!L22+'3'!L22+'5'!L22+'6'!L22+'7'!L22+'8'!L22+'9'!L22+'10'!L22</f>
        <v>196.15000000000003</v>
      </c>
      <c r="M22" s="118">
        <f t="shared" si="2"/>
        <v>3589.5450000000005</v>
      </c>
      <c r="N22" s="101">
        <f>+'1'!N22+'2'!N22+'4'!N22+'3'!N22+'5'!N22+'6'!N22+'7'!N22+'8'!N22+'9'!N22+'10'!N22</f>
        <v>732.26718000000005</v>
      </c>
      <c r="O22" s="101">
        <f>+'1'!O22+'2'!O22+'4'!O22+'3'!O22+'5'!O22+'6'!O22+'7'!O22+'8'!O22+'9'!O22+'10'!O22</f>
        <v>32.119248660000004</v>
      </c>
      <c r="P22" s="120">
        <f t="shared" si="0"/>
        <v>4353.9314286600011</v>
      </c>
      <c r="T22" s="163" t="str">
        <f>+'9'!A5</f>
        <v>Customer Name : Al Rehman Store</v>
      </c>
      <c r="U22" s="164">
        <f>+'9'!P35</f>
        <v>10126.611648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Hikma Store</v>
      </c>
      <c r="U23" s="164">
        <f>+'10'!P35</f>
        <v>6970.2373779000009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16.2</v>
      </c>
      <c r="D25" s="222"/>
      <c r="E25" s="222"/>
      <c r="F25" s="222"/>
      <c r="G25" s="176">
        <f t="shared" ref="G25:M25" si="3">SUM(G16:G24)</f>
        <v>0</v>
      </c>
      <c r="H25" s="177">
        <f t="shared" si="3"/>
        <v>648</v>
      </c>
      <c r="I25" s="178">
        <f t="shared" si="3"/>
        <v>40138.125</v>
      </c>
      <c r="J25" s="177">
        <f t="shared" si="3"/>
        <v>24</v>
      </c>
      <c r="K25" s="178">
        <f t="shared" si="3"/>
        <v>137.30500000000004</v>
      </c>
      <c r="L25" s="179">
        <f t="shared" si="3"/>
        <v>3293.5240000000003</v>
      </c>
      <c r="M25" s="141">
        <f t="shared" si="3"/>
        <v>36707.295999999995</v>
      </c>
      <c r="N25" s="142">
        <f>SUM(N16:N24)</f>
        <v>8184.4857299999994</v>
      </c>
      <c r="O25" s="143">
        <f>SUM(O16:O24)</f>
        <v>522.21005861000003</v>
      </c>
      <c r="P25" s="144">
        <f>SUM(P16:P24)</f>
        <v>45413.991788610001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45413.991788610001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9" t="s">
        <v>85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N32" s="238" t="s">
        <v>86</v>
      </c>
      <c r="O32" s="239"/>
      <c r="P32" s="152">
        <f>I25</f>
        <v>40138.125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N33" s="240" t="s">
        <v>87</v>
      </c>
      <c r="O33" s="241"/>
      <c r="P33" s="153">
        <f>L25</f>
        <v>3293.5240000000003</v>
      </c>
    </row>
    <row r="34" spans="2:16" ht="15" customHeight="1" x14ac:dyDescent="0.3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N34" s="240" t="s">
        <v>4</v>
      </c>
      <c r="O34" s="241"/>
      <c r="P34" s="154">
        <f>K25</f>
        <v>137.30500000000004</v>
      </c>
    </row>
    <row r="35" spans="2:16" ht="15" customHeight="1" x14ac:dyDescent="0.3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"/>
      <c r="N35" s="240" t="s">
        <v>88</v>
      </c>
      <c r="O35" s="241"/>
      <c r="P35" s="153">
        <f>P32-P33-P34</f>
        <v>36707.296000000002</v>
      </c>
    </row>
    <row r="36" spans="2:16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"/>
      <c r="N36" s="155" t="s">
        <v>89</v>
      </c>
      <c r="O36" s="156">
        <f>IF(B12="Registered",18%,22%)</f>
        <v>0.22</v>
      </c>
      <c r="P36" s="153">
        <f>N25</f>
        <v>8184.4857299999994</v>
      </c>
    </row>
    <row r="37" spans="2:16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"/>
      <c r="N37" s="242" t="s">
        <v>90</v>
      </c>
      <c r="O37" s="243"/>
      <c r="P37" s="153">
        <f>P35+P36</f>
        <v>44891.781730000002</v>
      </c>
    </row>
    <row r="38" spans="2:16" ht="15" customHeight="1" thickBot="1" x14ac:dyDescent="0.4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7"/>
      <c r="M38" s="157"/>
      <c r="N38" s="158" t="s">
        <v>91</v>
      </c>
      <c r="O38" s="159">
        <f>IF(B11="Filer",0.5%,2.5%)</f>
        <v>2.5000000000000001E-2</v>
      </c>
      <c r="P38" s="153">
        <f>O38*P37</f>
        <v>1122.2945432500001</v>
      </c>
    </row>
    <row r="39" spans="2:16" ht="15.75" customHeight="1" thickBot="1" x14ac:dyDescent="0.4">
      <c r="N39" s="220" t="s">
        <v>92</v>
      </c>
      <c r="O39" s="221"/>
      <c r="P39" s="160">
        <f>P37+P38</f>
        <v>46014.076273250001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23"/>
      <c r="J40" s="224"/>
      <c r="K40" s="225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5.9460997500000001</v>
      </c>
      <c r="P18" s="120">
        <f t="shared" si="2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8.2330176000000002</v>
      </c>
      <c r="P19" s="120">
        <f t="shared" si="2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132</v>
      </c>
      <c r="I25" s="137">
        <f t="shared" si="9"/>
        <v>7976.9100000000008</v>
      </c>
      <c r="J25" s="138"/>
      <c r="K25" s="139">
        <f t="shared" si="9"/>
        <v>16.476600000000005</v>
      </c>
      <c r="L25" s="140">
        <f t="shared" si="9"/>
        <v>624.03</v>
      </c>
      <c r="M25" s="141">
        <f t="shared" si="9"/>
        <v>7336.4033999999992</v>
      </c>
      <c r="N25" s="142">
        <f>SUM(N16:N24)</f>
        <v>1696.5763979999999</v>
      </c>
      <c r="O25" s="143">
        <f>SUM(O16:O24)</f>
        <v>45.164898989999998</v>
      </c>
      <c r="P25" s="144">
        <f>SUM(P16:P24)</f>
        <v>9078.1446969900007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7976.9100000000008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624.03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16.476600000000005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7336.4034000000011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1696.5763979999999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9032.9797980000003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45.164898990000005</v>
      </c>
    </row>
    <row r="35" spans="2:16" ht="15.75" customHeight="1" thickBot="1" x14ac:dyDescent="0.4">
      <c r="N35" s="220" t="s">
        <v>92</v>
      </c>
      <c r="O35" s="221"/>
      <c r="P35" s="160">
        <f>P33+P34</f>
        <v>9078.1446969900007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D26" sqref="D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1330260649301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</v>
      </c>
      <c r="I16" s="102">
        <f>(G16*D16)*F16+H16*F16</f>
        <v>209.85</v>
      </c>
      <c r="J16" s="103"/>
      <c r="K16" s="104">
        <f>I16*$K$13</f>
        <v>0</v>
      </c>
      <c r="L16" s="105">
        <f>I16*8%</f>
        <v>16.788</v>
      </c>
      <c r="M16" s="106">
        <f>I16-K16-L16</f>
        <v>193.06199999999998</v>
      </c>
      <c r="N16" s="106">
        <f t="shared" ref="N16:N24" si="0">(M16*$N$15)+(J16*F16)*$N$15</f>
        <v>42.473639999999996</v>
      </c>
      <c r="O16" s="107">
        <f>(N16+M16)*$O$15</f>
        <v>1.1776781999999999</v>
      </c>
      <c r="P16" s="105">
        <f t="shared" ref="P16:P24" si="1">M16+N16+O16</f>
        <v>236.71331819999997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</v>
      </c>
      <c r="I17" s="116">
        <f t="shared" ref="I17:I23" si="2">(G17*D17)*F17+H17*F17</f>
        <v>209.85</v>
      </c>
      <c r="J17" s="117"/>
      <c r="K17" s="1">
        <f t="shared" ref="K17:K21" si="3">I17*$K$13</f>
        <v>0</v>
      </c>
      <c r="L17" s="105">
        <f t="shared" ref="L17:L21" si="4">I17*8%</f>
        <v>16.788</v>
      </c>
      <c r="M17" s="118">
        <f t="shared" ref="M17:M23" si="5">I17-K17-L17</f>
        <v>193.06199999999998</v>
      </c>
      <c r="N17" s="118">
        <f t="shared" si="0"/>
        <v>42.473639999999996</v>
      </c>
      <c r="O17" s="119">
        <f t="shared" ref="O17:O24" si="6">(N17+M17)*$O$15</f>
        <v>1.1776781999999999</v>
      </c>
      <c r="P17" s="120">
        <f t="shared" si="1"/>
        <v>236.71331819999997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</v>
      </c>
      <c r="I18" s="116">
        <f t="shared" si="2"/>
        <v>419.7</v>
      </c>
      <c r="J18" s="117"/>
      <c r="K18" s="1">
        <f t="shared" si="3"/>
        <v>0</v>
      </c>
      <c r="L18" s="105">
        <f t="shared" si="4"/>
        <v>33.576000000000001</v>
      </c>
      <c r="M18" s="118">
        <f t="shared" si="5"/>
        <v>386.12399999999997</v>
      </c>
      <c r="N18" s="118">
        <f t="shared" si="0"/>
        <v>84.947279999999992</v>
      </c>
      <c r="O18" s="119">
        <f t="shared" si="6"/>
        <v>2.3553563999999998</v>
      </c>
      <c r="P18" s="120">
        <f t="shared" si="1"/>
        <v>473.42663639999995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68</v>
      </c>
      <c r="I25" s="137">
        <f t="shared" si="9"/>
        <v>4215.76</v>
      </c>
      <c r="J25" s="138"/>
      <c r="K25" s="139">
        <f t="shared" si="9"/>
        <v>16.476600000000005</v>
      </c>
      <c r="L25" s="140">
        <f t="shared" si="9"/>
        <v>323.13799999999998</v>
      </c>
      <c r="M25" s="141">
        <f t="shared" si="9"/>
        <v>3876.1453999999994</v>
      </c>
      <c r="N25" s="142">
        <f>SUM(N16:N24)</f>
        <v>884.71358799999996</v>
      </c>
      <c r="O25" s="143">
        <f>SUM(O16:O24)</f>
        <v>23.804294939999998</v>
      </c>
      <c r="P25" s="144">
        <f>SUM(P16:P24)</f>
        <v>4784.6632829399996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4215.76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323.13799999999998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16.476600000000005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3876.1454000000003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884.71358799999996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4760.858988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23.804294940000002</v>
      </c>
    </row>
    <row r="35" spans="2:16" ht="15.75" customHeight="1" thickBot="1" x14ac:dyDescent="0.4">
      <c r="N35" s="220" t="s">
        <v>92</v>
      </c>
      <c r="O35" s="221"/>
      <c r="P35" s="160">
        <f>P33+P34</f>
        <v>4784.6632829399996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109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111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6.194739199999999</v>
      </c>
      <c r="P21" s="120">
        <f t="shared" si="1"/>
        <v>1245.1425791999998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2905.6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232.44799999999998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2673.152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3293.2070400000002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20" t="s">
        <v>92</v>
      </c>
      <c r="O35" s="221"/>
      <c r="P35" s="160">
        <f>P33+P34</f>
        <v>3309.6730752000003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15.009521250000001</v>
      </c>
      <c r="P16" s="105">
        <f t="shared" ref="P16:P24" si="1">M16+N16+O16</f>
        <v>615.39037125000004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/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53.09205</v>
      </c>
      <c r="O17" s="119">
        <f t="shared" ref="O17:O24" si="6">(N17+M17)*$O$15</f>
        <v>7.3604887499999991</v>
      </c>
      <c r="P17" s="120">
        <f t="shared" si="1"/>
        <v>301.78003874999996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5</v>
      </c>
      <c r="I18" s="116">
        <f t="shared" si="2"/>
        <v>262.3125</v>
      </c>
      <c r="J18" s="117"/>
      <c r="K18" s="1">
        <f t="shared" si="3"/>
        <v>0</v>
      </c>
      <c r="L18" s="105">
        <f t="shared" si="4"/>
        <v>20.984999999999999</v>
      </c>
      <c r="M18" s="118">
        <f t="shared" si="5"/>
        <v>241.32749999999999</v>
      </c>
      <c r="N18" s="118">
        <f t="shared" si="0"/>
        <v>53.09205</v>
      </c>
      <c r="O18" s="119">
        <f t="shared" si="6"/>
        <v>7.3604887499999991</v>
      </c>
      <c r="P18" s="120">
        <f t="shared" si="1"/>
        <v>301.78003874999996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2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252.49663999999999</v>
      </c>
      <c r="O19" s="119">
        <f t="shared" si="6"/>
        <v>31.373215999999999</v>
      </c>
      <c r="P19" s="120">
        <f t="shared" si="1"/>
        <v>1286.3018559999998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72</v>
      </c>
      <c r="I25" s="137">
        <f t="shared" si="9"/>
        <v>4425.6099999999997</v>
      </c>
      <c r="J25" s="138"/>
      <c r="K25" s="139">
        <f t="shared" si="9"/>
        <v>16.476600000000005</v>
      </c>
      <c r="L25" s="140">
        <f t="shared" si="9"/>
        <v>339.92599999999999</v>
      </c>
      <c r="M25" s="141">
        <f t="shared" si="9"/>
        <v>4069.2073999999993</v>
      </c>
      <c r="N25" s="142">
        <f>SUM(N16:N24)</f>
        <v>938.72897799999998</v>
      </c>
      <c r="O25" s="143">
        <f>SUM(O16:O24)</f>
        <v>125.19840945000001</v>
      </c>
      <c r="P25" s="144">
        <f>SUM(P16:P24)</f>
        <v>5133.1347874500007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4425.6099999999997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339.92599999999999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16.476600000000005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4069.2073999999998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938.72897799999998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5007.9363779999994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125.19840944999999</v>
      </c>
    </row>
    <row r="35" spans="2:16" ht="15.75" customHeight="1" thickBot="1" x14ac:dyDescent="0.4">
      <c r="N35" s="220" t="s">
        <v>92</v>
      </c>
      <c r="O35" s="221"/>
      <c r="P35" s="160">
        <f>P33+P34</f>
        <v>5133.1347874499997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114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>
        <v>1</v>
      </c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138.96266999999997</v>
      </c>
      <c r="O16" s="107">
        <f>(N16+M16)*$O$15</f>
        <v>3.5907433499999999</v>
      </c>
      <c r="P16" s="105">
        <f t="shared" ref="P16:P24" si="1">M16+N16+O16</f>
        <v>721.73941334999995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127.42091999999998</v>
      </c>
      <c r="O17" s="119">
        <f t="shared" ref="O17:O24" si="6">(N17+M17)*$O$15</f>
        <v>3.5330345999999997</v>
      </c>
      <c r="P17" s="120">
        <f t="shared" si="1"/>
        <v>710.1399545999999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1.3137734700000001</v>
      </c>
      <c r="P22" s="120">
        <f t="shared" si="1"/>
        <v>264.06846747000003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42</v>
      </c>
      <c r="I25" s="137">
        <f t="shared" si="9"/>
        <v>2366.1600000000003</v>
      </c>
      <c r="J25" s="138"/>
      <c r="K25" s="139">
        <f t="shared" si="9"/>
        <v>8.2383000000000024</v>
      </c>
      <c r="L25" s="140">
        <f t="shared" si="9"/>
        <v>182.23140000000001</v>
      </c>
      <c r="M25" s="141">
        <f t="shared" si="9"/>
        <v>2175.6902999999998</v>
      </c>
      <c r="N25" s="142">
        <f>SUM(N16:N24)</f>
        <v>490.19361600000002</v>
      </c>
      <c r="O25" s="143">
        <f>SUM(O16:O24)</f>
        <v>13.32941958</v>
      </c>
      <c r="P25" s="144">
        <f>SUM(P16:P24)</f>
        <v>2679.2133355800001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2366.1600000000003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182.23140000000001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8.2383000000000024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2175.6903000000002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490.19361600000002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2665.8839160000002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13.329419580000001</v>
      </c>
    </row>
    <row r="35" spans="2:16" ht="15.75" customHeight="1" thickBot="1" x14ac:dyDescent="0.4">
      <c r="N35" s="220" t="s">
        <v>92</v>
      </c>
      <c r="O35" s="221"/>
      <c r="P35" s="160">
        <f>P33+P34</f>
        <v>2679.2133355800001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16" sqref="J16: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117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J17" sqref="J17: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114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119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activeCell="H37" sqref="H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120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117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119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1.7665172999999998</v>
      </c>
      <c r="P17" s="120">
        <f t="shared" si="1"/>
        <v>355.06997729999995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18</v>
      </c>
      <c r="I22" s="116">
        <f t="shared" si="2"/>
        <v>706.1400000000001</v>
      </c>
      <c r="J22" s="117"/>
      <c r="K22" s="1">
        <f>I22*3.5%</f>
        <v>24.714900000000007</v>
      </c>
      <c r="L22" s="120">
        <f>I22*5%</f>
        <v>35.307000000000009</v>
      </c>
      <c r="M22" s="118">
        <f t="shared" si="5"/>
        <v>646.11810000000003</v>
      </c>
      <c r="N22" s="118">
        <f t="shared" si="0"/>
        <v>142.145982</v>
      </c>
      <c r="O22" s="119">
        <f t="shared" si="6"/>
        <v>3.9413204100000003</v>
      </c>
      <c r="P22" s="120">
        <f t="shared" si="1"/>
        <v>792.20540241000003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54</v>
      </c>
      <c r="I25" s="137">
        <f t="shared" si="9"/>
        <v>2957.9850000000006</v>
      </c>
      <c r="J25" s="138"/>
      <c r="K25" s="139">
        <f t="shared" si="9"/>
        <v>24.714900000000007</v>
      </c>
      <c r="L25" s="140">
        <f t="shared" si="9"/>
        <v>215.4546</v>
      </c>
      <c r="M25" s="141">
        <f t="shared" si="9"/>
        <v>2717.8155000000002</v>
      </c>
      <c r="N25" s="142">
        <f>SUM(N16:N24)</f>
        <v>597.91940999999997</v>
      </c>
      <c r="O25" s="143">
        <f>SUM(O16:O24)</f>
        <v>16.578674550000002</v>
      </c>
      <c r="P25" s="144">
        <f>SUM(P16:P24)</f>
        <v>3332.3135845500001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2957.9850000000006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215.4546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24.714900000000007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2717.8155000000006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597.91940999999997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3315.7349100000006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16.578674550000002</v>
      </c>
    </row>
    <row r="35" spans="2:16" ht="15.75" customHeight="1" thickBot="1" x14ac:dyDescent="0.4">
      <c r="N35" s="220" t="s">
        <v>92</v>
      </c>
      <c r="O35" s="221"/>
      <c r="P35" s="160">
        <f>P33+P34</f>
        <v>3332.3135845500005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8" workbookViewId="0">
      <selection activeCell="E27" sqref="E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121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122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246.99052800000004</v>
      </c>
      <c r="P25" s="144">
        <f>SUM(P16:P24)</f>
        <v>10126.611648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8716.7999999999993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697.34400000000005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8019.4559999999992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9879.6211199999998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246.99052800000001</v>
      </c>
    </row>
    <row r="35" spans="2:16" ht="15.75" customHeight="1" thickBot="1" x14ac:dyDescent="0.4">
      <c r="N35" s="220" t="s">
        <v>92</v>
      </c>
      <c r="O35" s="221"/>
      <c r="P35" s="160">
        <f>P33+P34</f>
        <v>10126.611648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123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119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119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I16*12%</f>
        <v>94.43249999999999</v>
      </c>
      <c r="M16" s="106">
        <f>I16-K16-L16</f>
        <v>692.505</v>
      </c>
      <c r="N16" s="106">
        <f t="shared" ref="N16:N24" si="0">(M16*$N$15)+(J16*F16)*$N$15</f>
        <v>124.65089999999999</v>
      </c>
      <c r="O16" s="107">
        <f>(N16+M16)*$O$15</f>
        <v>4.0857795000000001</v>
      </c>
      <c r="P16" s="105">
        <f t="shared" ref="P16:P24" si="1">M16+N16+O16</f>
        <v>821.24167949999992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I17*12%</f>
        <v>62.954999999999998</v>
      </c>
      <c r="M17" s="118">
        <f t="shared" ref="M17:M23" si="5">I17-K17-L17</f>
        <v>461.67</v>
      </c>
      <c r="N17" s="118">
        <f t="shared" si="0"/>
        <v>101.9871</v>
      </c>
      <c r="O17" s="119">
        <f t="shared" ref="O17:O24" si="6">(N17+M17)*$O$15</f>
        <v>2.8182855</v>
      </c>
      <c r="P17" s="120">
        <f t="shared" si="1"/>
        <v>566.47538550000002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94.43249999999999</v>
      </c>
      <c r="M18" s="118">
        <f t="shared" si="5"/>
        <v>692.505</v>
      </c>
      <c r="N18" s="118">
        <f t="shared" si="0"/>
        <v>124.65089999999999</v>
      </c>
      <c r="O18" s="119">
        <f t="shared" si="6"/>
        <v>4.0857795000000001</v>
      </c>
      <c r="P18" s="120">
        <f t="shared" si="1"/>
        <v>821.24167949999992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130.75199999999998</v>
      </c>
      <c r="M19" s="118">
        <f t="shared" si="5"/>
        <v>958.84799999999996</v>
      </c>
      <c r="N19" s="118">
        <f t="shared" si="0"/>
        <v>172.59263999999999</v>
      </c>
      <c r="O19" s="119">
        <f t="shared" si="6"/>
        <v>5.6572032000000005</v>
      </c>
      <c r="P19" s="120">
        <f t="shared" si="1"/>
        <v>1137.0978431999999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639.23199999999997</v>
      </c>
      <c r="N20" s="118">
        <f t="shared" si="0"/>
        <v>141.21215999999998</v>
      </c>
      <c r="O20" s="119">
        <f t="shared" si="6"/>
        <v>3.9022208000000003</v>
      </c>
      <c r="P20" s="120">
        <f t="shared" si="1"/>
        <v>784.34638080000002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130.75199999999998</v>
      </c>
      <c r="M21" s="118">
        <f t="shared" si="5"/>
        <v>958.84799999999996</v>
      </c>
      <c r="N21" s="118">
        <f t="shared" si="0"/>
        <v>172.59263999999999</v>
      </c>
      <c r="O21" s="119">
        <f t="shared" si="6"/>
        <v>5.6572032000000005</v>
      </c>
      <c r="P21" s="120">
        <f t="shared" si="1"/>
        <v>1137.0978431999999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678.952</v>
      </c>
      <c r="M25" s="141">
        <f t="shared" si="9"/>
        <v>5839.4260000000004</v>
      </c>
      <c r="N25" s="142">
        <f>SUM(N16:N24)</f>
        <v>1096.1335799999999</v>
      </c>
      <c r="O25" s="143">
        <f>SUM(O16:O24)</f>
        <v>34.677797900000009</v>
      </c>
      <c r="P25" s="144">
        <f>SUM(P16:P24)</f>
        <v>6970.2373779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6573.3000000000011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678.952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54.922000000000011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5839.4260000000013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1096.1335799999999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6935.559580000001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34.677797900000009</v>
      </c>
    </row>
    <row r="35" spans="2:16" ht="15.75" customHeight="1" thickBot="1" x14ac:dyDescent="0.4">
      <c r="N35" s="220" t="s">
        <v>92</v>
      </c>
      <c r="O35" s="221"/>
      <c r="P35" s="160">
        <f>P33+P34</f>
        <v>6970.2373779000009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7" sqref="L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46193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46192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2026-06-20T05:37:35Z</dcterms:modified>
</cp:coreProperties>
</file>