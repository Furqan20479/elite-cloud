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6360944-4AB5-4064-BA4A-805E14327B2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<sst xmlns="http://schemas.openxmlformats.org/spreadsheetml/2006/main" count="1583" uniqueCount="115">
  <si>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</si>
  <si>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</si>
  <si>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</si>
  <si>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</si>
  <si>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</si>
  <si>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</si>
  <si>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</si>
  <si>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</si>
  <si>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</si>
  <si>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</si>
  <si>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</si>
  <si>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</si>
  <si>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</si>
  <si>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</si>
  <si>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</si>
  <si>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</si>
  <si>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</si>
  <si>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</si>
  <si>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</si>
  <si>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</si>
  <si>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</si>
  <si>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</si>
  <si>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</si>
  <si>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</si>
  <si>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</si>
  <si>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</si>
  <si>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</si>
  <si>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</si>
  <si>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</si>
  <si>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</si>
  <si>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</si>
  <si>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</si>
  <si>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</si>
  <si>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</si>
  <si>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</si>
  <si>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</si>
  <si>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</si>
  <si>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</si>
  <si>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</si>
  <si>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</si>
  <si>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</si>
  <si>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</si>
  <si>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</si>
  <si>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</si>
  <si>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</si>
  <si>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</si>
  <si>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</si>
  <si>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</si>
  <si>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</si>
  <si>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</si>
  <si>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</si>
  <si>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</si>
  <si>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</si>
  <si>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</si>
  <si>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</si>
  <si>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</si>
  <si>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</si>
  <si>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</si>
  <si>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</si>
  <si>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</si>
  <si>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</si>
  <si>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</si>
  <si>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</si>
  <si>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</si>
  <si>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</si>
  <si>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</si>
  <si>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</si>
  <si>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</si>
  <si>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</si>
  <si>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</si>
  <si>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</si>
  <si>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</si>
  <si>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</si>
  <si>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</si>
  <si>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</si>
  <si>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</si>
  <si>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</si>
  <si>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</si>
  <si>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</si>
  <si>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</si>
  <si>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</si>
  <si>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</si>
  <si>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</si>
  <si>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</si>
  <si>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</si>
  <si>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</si>
  <si>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</si>
  <si>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</si>
  <si>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</si>
  <si>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</si>
  <si>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</si>
  <si>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</si>
  <si>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</si>
  <si>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</si>
  <si>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</si>
  <si>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</si>
  <si>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</si>
  <si>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</si>
  <si>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</si>
  <si>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</si>
  <si>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</si>
  <si>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</si>
  <si>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</si>
  <si>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</si>
  <si>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</si>
  <si>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Shell Pump</t>
  </si>
  <si>
    <t xml:space="preserve">Address: Shimla Pahari </t>
  </si>
  <si>
    <t>Customer Name : Hasmart Hascol Pump</t>
  </si>
  <si>
    <t>352022714740-3</t>
  </si>
  <si>
    <t>Address: Bibi Pak Daman Darbar</t>
  </si>
  <si>
    <t>Customer Name : Star Bakery</t>
  </si>
  <si>
    <t xml:space="preserve">Address: Darbar Bibi Pak Daman </t>
  </si>
  <si>
    <t>Customer Name : Iqbal Store</t>
  </si>
  <si>
    <t>Address: Habibullah Road Near Sultan Chany Wala</t>
  </si>
  <si>
    <t>352020834134-7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</si>
</sst>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Shell Pump</v>
      </c>
      <c r="U14" s="164">
        <f>+'1'!P35</f>
        <v>6751.0744320000003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Hasmart Hascol Pump</v>
      </c>
      <c r="U15" s="164">
        <f>+'2'!P35</f>
        <v>1702.7365662000002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Iqbal Store</v>
      </c>
      <c r="U16" s="164">
        <f>+'4'!P35</f>
        <v>1021.6419397200001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Star Bakery</v>
      </c>
      <c r="U17" s="164">
        <f>+'3'!P35</f>
        <v>6751.0744320000003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60</v>
      </c>
      <c r="I19" s="1">
        <f t="shared" si="1"/>
        <v>4358.3999999999996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348.67200000000003</v>
      </c>
      <c r="M19" s="118">
        <f t="shared" si="2"/>
        <v>4009.7279999999996</v>
      </c>
      <c r="N19" s="101">
        <f>+'1'!N19+'2'!N19+'4'!N19+'3'!N19+'5'!N19+'6'!N19+'7'!N19+'8'!N19+'9'!N19+'10'!N19</f>
        <v>930.08255999999994</v>
      </c>
      <c r="O19" s="101">
        <f>+'1'!O19+'2'!O19+'4'!O19+'3'!O19+'5'!O19+'6'!O19+'7'!O19+'8'!O19+'9'!O19+'10'!O19</f>
        <v>123.49526400000002</v>
      </c>
      <c r="P19" s="120">
        <f t="shared" si="0"/>
        <v>5063.305824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620.05503999999996</v>
      </c>
      <c r="O20" s="101">
        <f>+'1'!O20+'2'!O20+'4'!O20+'3'!O20+'5'!O20+'6'!O20+'7'!O20+'8'!O20+'9'!O20+'10'!O20</f>
        <v>82.330176000000009</v>
      </c>
      <c r="P20" s="120">
        <f t="shared" si="0"/>
        <v>3375.5372160000002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60</v>
      </c>
      <c r="I21" s="1">
        <f t="shared" si="1"/>
        <v>4358.3999999999996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348.67200000000003</v>
      </c>
      <c r="M21" s="118">
        <f t="shared" si="2"/>
        <v>4009.7279999999996</v>
      </c>
      <c r="N21" s="101">
        <f>+'1'!N21+'2'!N21+'4'!N21+'3'!N21+'5'!N21+'6'!N21+'7'!N21+'8'!N21+'9'!N21+'10'!N21</f>
        <v>930.08255999999994</v>
      </c>
      <c r="O21" s="101">
        <f>+'1'!O21+'2'!O21+'4'!O21+'3'!O21+'5'!O21+'6'!O21+'7'!O21+'8'!O21+'9'!O21+'10'!O21</f>
        <v>123.49526400000002</v>
      </c>
      <c r="P21" s="120">
        <f t="shared" si="0"/>
        <v>5063.305824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64</v>
      </c>
      <c r="I22" s="1">
        <f t="shared" si="1"/>
        <v>2510.7200000000003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87.875200000000021</v>
      </c>
      <c r="L22" s="175">
        <f>+'1'!L22+'2'!L22+'4'!L22+'3'!L22+'5'!L22+'6'!L22+'7'!L22+'8'!L22+'9'!L22+'10'!L22</f>
        <v>125.53600000000003</v>
      </c>
      <c r="M22" s="118">
        <f t="shared" si="2"/>
        <v>2297.3088000000002</v>
      </c>
      <c r="N22" s="101">
        <f>+'1'!N22+'2'!N22+'4'!N22+'3'!N22+'5'!N22+'6'!N22+'7'!N22+'8'!N22+'9'!N22+'10'!N22</f>
        <v>413.51558399999999</v>
      </c>
      <c r="O22" s="101">
        <f>+'1'!O22+'2'!O22+'4'!O22+'3'!O22+'5'!O22+'6'!O22+'7'!O22+'8'!O22+'9'!O22+'10'!O22</f>
        <v>13.554121920000002</v>
      </c>
      <c r="P22" s="120">
        <f t="shared" si="0"/>
        <v>2724.3785059200004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5.6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224</v>
      </c>
      <c r="I25" s="178">
        <f t="shared" si="3"/>
        <v>14133.119999999999</v>
      </c>
      <c r="J25" s="177">
        <f t="shared" si="3"/>
        <v>8</v>
      </c>
      <c r="K25" s="178">
        <f t="shared" si="3"/>
        <v>87.875200000000021</v>
      </c>
      <c r="L25" s="179">
        <f t="shared" si="3"/>
        <v>1055.328</v>
      </c>
      <c r="M25" s="141">
        <f t="shared" si="3"/>
        <v>12989.916799999999</v>
      </c>
      <c r="N25" s="142">
        <f>SUM(N16:N24)</f>
        <v>2893.7357439999996</v>
      </c>
      <c r="O25" s="143">
        <f>SUM(O16:O24)</f>
        <v>342.87482592000003</v>
      </c>
      <c r="P25" s="144">
        <f>SUM(P16:P24)</f>
        <v>16226.527369919999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16226.527369920001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14133.119999999999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1055.328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87.875200000000021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12989.916799999999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2893.7357439999996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15883.652543999999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397.09131359999998</v>
      </c>
    </row>
    <row r="39" spans="2:16" ht="15.75" customHeight="1" thickBot="1" x14ac:dyDescent="0.4">
      <c r="N39" s="219" t="s">
        <v>92</v>
      </c>
      <c r="O39" s="220"/>
      <c r="P39" s="160">
        <f>P37+P38</f>
        <v>16280.743857599999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41.165088000000004</v>
      </c>
      <c r="P19" s="120">
        <f t="shared" si="2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41.165088000000004</v>
      </c>
      <c r="P20" s="120">
        <f t="shared" si="2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82.330176000000009</v>
      </c>
      <c r="P21" s="120">
        <f t="shared" si="2"/>
        <v>3375.5372160000002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19" t="s">
        <v>92</v>
      </c>
      <c r="O35" s="220"/>
      <c r="P35" s="160">
        <f>P33+P34</f>
        <v>6751.0744320000003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 t="s">
        <v>108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1694.2652400000002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19" t="s">
        <v>92</v>
      </c>
      <c r="O35" s="220"/>
      <c r="P35" s="160">
        <f>P33+P34</f>
        <v>1702.7365662000002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M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19" t="s">
        <v>92</v>
      </c>
      <c r="O35" s="220"/>
      <c r="P35" s="160">
        <f>P33+P34</f>
        <v>6751.0744320000003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activeCell="D27" sqref="D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155.068344</v>
      </c>
      <c r="O22" s="119">
        <f t="shared" si="6"/>
        <v>5.08279572</v>
      </c>
      <c r="P22" s="120">
        <f t="shared" si="1"/>
        <v>1021.6419397200001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155.068344</v>
      </c>
      <c r="O25" s="143">
        <f>SUM(O16:O24)</f>
        <v>5.08279572</v>
      </c>
      <c r="P25" s="144">
        <f>SUM(P16:P24)</f>
        <v>1021.6419397200001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941.5200000000001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47.076000000000008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32.95320000000001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861.49080000000004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155.068344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1016.5591440000001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5.08279572</v>
      </c>
    </row>
    <row r="35" spans="2:16" ht="15.75" customHeight="1" thickBot="1" x14ac:dyDescent="0.4">
      <c r="N35" s="219" t="s">
        <v>92</v>
      </c>
      <c r="O35" s="220"/>
      <c r="P35" s="160">
        <f>P33+P34</f>
        <v>1021.6419397200001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2026-06-20T05:30:22Z</dcterms:modified>
</cp:coreProperties>
</file>