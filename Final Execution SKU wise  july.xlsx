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FC54DA5C-2431-400D-97C0-7B5D1D076EF9}" xr6:coauthVersionLast="47" xr6:coauthVersionMax="47" xr10:uidLastSave="{00000000-0000-0000-0000-000000000000}"/>
  <bookViews>
    <workbookView xWindow="-110" yWindow="-110" windowWidth="19420" windowHeight="10420" tabRatio="887" activeTab="1" xr2:uid="{6D56E189-8B51-44FA-B14F-5373D35B2784}"/>
  </bookViews>
  <sheets>
    <sheet name="last month" sheetId="1" r:id="rId1"/>
    <sheet name="01" sheetId="31" r:id="rId2"/>
    <sheet name="02" sheetId="30" r:id="rId3"/>
    <sheet name="03" sheetId="29" r:id="rId4"/>
    <sheet name="04" sheetId="28" r:id="rId5"/>
    <sheet name="05" sheetId="2" r:id="rId6"/>
    <sheet name="06" sheetId="3" r:id="rId7"/>
    <sheet name="07" sheetId="4" r:id="rId8"/>
    <sheet name="08" sheetId="5" r:id="rId9"/>
    <sheet name="09" sheetId="6" r:id="rId10"/>
    <sheet name="10" sheetId="7" r:id="rId11"/>
    <sheet name="11" sheetId="8" r:id="rId12"/>
    <sheet name="12" sheetId="9" r:id="rId13"/>
    <sheet name="13" sheetId="10" r:id="rId14"/>
    <sheet name="14" sheetId="11" r:id="rId15"/>
    <sheet name="15" sheetId="12" r:id="rId16"/>
    <sheet name="16" sheetId="13" r:id="rId17"/>
    <sheet name="17" sheetId="14" r:id="rId18"/>
    <sheet name="18" sheetId="15" r:id="rId19"/>
    <sheet name="19" sheetId="16" r:id="rId20"/>
    <sheet name="20" sheetId="17" r:id="rId21"/>
    <sheet name="21" sheetId="18" r:id="rId22"/>
    <sheet name="22" sheetId="19" r:id="rId23"/>
    <sheet name="23" sheetId="20" r:id="rId24"/>
    <sheet name="24" sheetId="21" r:id="rId25"/>
    <sheet name="25" sheetId="22" r:id="rId26"/>
    <sheet name="26" sheetId="23" r:id="rId27"/>
    <sheet name="27" sheetId="24" r:id="rId28"/>
    <sheet name="28" sheetId="25" r:id="rId29"/>
    <sheet name="29" sheetId="26" r:id="rId30"/>
    <sheet name="30" sheetId="27" r:id="rId31"/>
    <sheet name="31" sheetId="32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9" i="30" l="1"/>
  <c r="X10" i="30"/>
  <c r="X11" i="30"/>
  <c r="X12" i="30"/>
  <c r="X13" i="30"/>
  <c r="X9" i="29"/>
  <c r="X10" i="29"/>
  <c r="X11" i="29"/>
  <c r="X12" i="29"/>
  <c r="X13" i="29"/>
  <c r="X9" i="28"/>
  <c r="X10" i="28"/>
  <c r="X11" i="28"/>
  <c r="X12" i="28"/>
  <c r="X13" i="28"/>
  <c r="X9" i="6"/>
  <c r="X10" i="6"/>
  <c r="X11" i="6"/>
  <c r="X12" i="6"/>
  <c r="X13" i="6"/>
  <c r="X9" i="7"/>
  <c r="X10" i="7"/>
  <c r="X11" i="7"/>
  <c r="X12" i="7"/>
  <c r="X13" i="7"/>
  <c r="X9" i="8"/>
  <c r="X10" i="8"/>
  <c r="X11" i="8"/>
  <c r="X12" i="8"/>
  <c r="X13" i="8"/>
  <c r="X9" i="9"/>
  <c r="X10" i="9"/>
  <c r="X11" i="9"/>
  <c r="X12" i="9"/>
  <c r="X13" i="9"/>
  <c r="X9" i="10"/>
  <c r="X10" i="10"/>
  <c r="X11" i="10"/>
  <c r="X12" i="10"/>
  <c r="X13" i="10"/>
  <c r="X9" i="11"/>
  <c r="X10" i="11"/>
  <c r="X11" i="11"/>
  <c r="X12" i="11"/>
  <c r="X13" i="11"/>
  <c r="X9" i="12"/>
  <c r="X10" i="12"/>
  <c r="X11" i="12"/>
  <c r="X12" i="12"/>
  <c r="X13" i="12"/>
  <c r="X9" i="13"/>
  <c r="X10" i="13"/>
  <c r="X11" i="13"/>
  <c r="X12" i="13"/>
  <c r="X13" i="13"/>
  <c r="X9" i="14"/>
  <c r="X10" i="14"/>
  <c r="X11" i="14"/>
  <c r="X12" i="14"/>
  <c r="X13" i="14"/>
  <c r="X9" i="15"/>
  <c r="X10" i="15"/>
  <c r="X11" i="15"/>
  <c r="X12" i="15"/>
  <c r="X13" i="15"/>
  <c r="X9" i="16"/>
  <c r="X10" i="16"/>
  <c r="X11" i="16"/>
  <c r="X12" i="16"/>
  <c r="X13" i="16"/>
  <c r="X9" i="17"/>
  <c r="X10" i="17"/>
  <c r="X11" i="17"/>
  <c r="X12" i="17"/>
  <c r="X13" i="17"/>
  <c r="X9" i="18"/>
  <c r="X10" i="18"/>
  <c r="X11" i="18"/>
  <c r="X12" i="18"/>
  <c r="X13" i="18"/>
  <c r="X9" i="19"/>
  <c r="X10" i="19"/>
  <c r="X11" i="19"/>
  <c r="X12" i="19"/>
  <c r="X13" i="19"/>
  <c r="X9" i="20"/>
  <c r="X10" i="20"/>
  <c r="X11" i="20"/>
  <c r="X12" i="20"/>
  <c r="X13" i="20"/>
  <c r="X9" i="21"/>
  <c r="X10" i="21"/>
  <c r="X11" i="21"/>
  <c r="X12" i="21"/>
  <c r="X13" i="21"/>
  <c r="X9" i="22"/>
  <c r="X10" i="22"/>
  <c r="X11" i="22"/>
  <c r="X12" i="22"/>
  <c r="X13" i="22"/>
  <c r="X9" i="23"/>
  <c r="X10" i="23"/>
  <c r="X11" i="23"/>
  <c r="X12" i="23"/>
  <c r="X13" i="23"/>
  <c r="X9" i="24"/>
  <c r="X10" i="24"/>
  <c r="X11" i="24"/>
  <c r="X12" i="24"/>
  <c r="X13" i="24"/>
  <c r="X9" i="25"/>
  <c r="X10" i="25"/>
  <c r="X11" i="25"/>
  <c r="X12" i="25"/>
  <c r="X13" i="25"/>
  <c r="X9" i="26"/>
  <c r="X10" i="26"/>
  <c r="X11" i="26"/>
  <c r="X12" i="26"/>
  <c r="X13" i="26"/>
  <c r="X9" i="27"/>
  <c r="X10" i="27"/>
  <c r="X11" i="27"/>
  <c r="X12" i="27"/>
  <c r="X13" i="27"/>
  <c r="X9" i="32"/>
  <c r="X10" i="32"/>
  <c r="X11" i="32"/>
  <c r="X12" i="32"/>
  <c r="X13" i="32"/>
  <c r="X9" i="31"/>
  <c r="X10" i="31"/>
  <c r="X11" i="31"/>
  <c r="X12" i="31"/>
  <c r="X13" i="31"/>
  <c r="T9" i="30"/>
  <c r="T10" i="30"/>
  <c r="T11" i="30"/>
  <c r="T12" i="30"/>
  <c r="T13" i="30"/>
  <c r="T9" i="29"/>
  <c r="T10" i="29"/>
  <c r="T11" i="29"/>
  <c r="T12" i="29"/>
  <c r="T13" i="29"/>
  <c r="T9" i="28"/>
  <c r="T10" i="28"/>
  <c r="T11" i="28"/>
  <c r="T12" i="28"/>
  <c r="T13" i="28"/>
  <c r="T9" i="6"/>
  <c r="T10" i="6"/>
  <c r="T11" i="6"/>
  <c r="T12" i="6"/>
  <c r="T13" i="6"/>
  <c r="T9" i="7"/>
  <c r="T10" i="7"/>
  <c r="T11" i="7"/>
  <c r="T12" i="7"/>
  <c r="T13" i="7"/>
  <c r="T9" i="8"/>
  <c r="T10" i="8"/>
  <c r="T11" i="8"/>
  <c r="T12" i="8"/>
  <c r="T13" i="8"/>
  <c r="T9" i="9"/>
  <c r="T10" i="9"/>
  <c r="T11" i="9"/>
  <c r="T12" i="9"/>
  <c r="T13" i="9"/>
  <c r="T9" i="10"/>
  <c r="T10" i="10"/>
  <c r="T11" i="10"/>
  <c r="T12" i="10"/>
  <c r="T13" i="10"/>
  <c r="T9" i="11"/>
  <c r="T10" i="11"/>
  <c r="T11" i="11"/>
  <c r="T12" i="11"/>
  <c r="T13" i="11"/>
  <c r="T9" i="12"/>
  <c r="T10" i="12"/>
  <c r="T11" i="12"/>
  <c r="T12" i="12"/>
  <c r="T13" i="12"/>
  <c r="T9" i="13"/>
  <c r="T10" i="13"/>
  <c r="T11" i="13"/>
  <c r="T12" i="13"/>
  <c r="T13" i="13"/>
  <c r="T9" i="14"/>
  <c r="T10" i="14"/>
  <c r="T11" i="14"/>
  <c r="T12" i="14"/>
  <c r="T13" i="14"/>
  <c r="T9" i="15"/>
  <c r="T10" i="15"/>
  <c r="T11" i="15"/>
  <c r="T12" i="15"/>
  <c r="T13" i="15"/>
  <c r="T9" i="16"/>
  <c r="T10" i="16"/>
  <c r="T11" i="16"/>
  <c r="T12" i="16"/>
  <c r="T13" i="16"/>
  <c r="T9" i="17"/>
  <c r="T10" i="17"/>
  <c r="T11" i="17"/>
  <c r="T12" i="17"/>
  <c r="T13" i="17"/>
  <c r="T9" i="18"/>
  <c r="T10" i="18"/>
  <c r="T11" i="18"/>
  <c r="T12" i="18"/>
  <c r="T13" i="18"/>
  <c r="T9" i="19"/>
  <c r="T10" i="19"/>
  <c r="T11" i="19"/>
  <c r="T12" i="19"/>
  <c r="T13" i="19"/>
  <c r="T9" i="20"/>
  <c r="T10" i="20"/>
  <c r="T11" i="20"/>
  <c r="T12" i="20"/>
  <c r="T13" i="20"/>
  <c r="T9" i="21"/>
  <c r="T10" i="21"/>
  <c r="T11" i="21"/>
  <c r="T12" i="21"/>
  <c r="T13" i="21"/>
  <c r="T9" i="22"/>
  <c r="T10" i="22"/>
  <c r="T11" i="22"/>
  <c r="T12" i="22"/>
  <c r="T13" i="22"/>
  <c r="T9" i="23"/>
  <c r="T10" i="23"/>
  <c r="T11" i="23"/>
  <c r="T12" i="23"/>
  <c r="T13" i="23"/>
  <c r="T9" i="24"/>
  <c r="T10" i="24"/>
  <c r="T11" i="24"/>
  <c r="T12" i="24"/>
  <c r="T13" i="24"/>
  <c r="T9" i="25"/>
  <c r="T10" i="25"/>
  <c r="T11" i="25"/>
  <c r="T12" i="25"/>
  <c r="T13" i="25"/>
  <c r="T9" i="26"/>
  <c r="T10" i="26"/>
  <c r="T11" i="26"/>
  <c r="T12" i="26"/>
  <c r="T13" i="26"/>
  <c r="T9" i="27"/>
  <c r="T10" i="27"/>
  <c r="T11" i="27"/>
  <c r="T12" i="27"/>
  <c r="T13" i="27"/>
  <c r="T9" i="32"/>
  <c r="T10" i="32"/>
  <c r="T11" i="32"/>
  <c r="T12" i="32"/>
  <c r="T13" i="32"/>
  <c r="T9" i="31"/>
  <c r="T10" i="31"/>
  <c r="T11" i="31"/>
  <c r="T12" i="31"/>
  <c r="T13" i="31"/>
  <c r="K9" i="30"/>
  <c r="K10" i="30"/>
  <c r="K11" i="30"/>
  <c r="K12" i="30"/>
  <c r="K13" i="30"/>
  <c r="K9" i="29"/>
  <c r="K10" i="29"/>
  <c r="K11" i="29"/>
  <c r="K12" i="29"/>
  <c r="K13" i="29"/>
  <c r="K9" i="28"/>
  <c r="K10" i="28"/>
  <c r="K11" i="28"/>
  <c r="K12" i="28"/>
  <c r="K13" i="28"/>
  <c r="K9" i="6"/>
  <c r="K10" i="6"/>
  <c r="K11" i="6"/>
  <c r="K12" i="6"/>
  <c r="K13" i="6"/>
  <c r="K9" i="7"/>
  <c r="K10" i="7"/>
  <c r="K11" i="7"/>
  <c r="K12" i="7"/>
  <c r="K13" i="7"/>
  <c r="K9" i="8"/>
  <c r="K10" i="8"/>
  <c r="K11" i="8"/>
  <c r="K12" i="8"/>
  <c r="K13" i="8"/>
  <c r="K9" i="9"/>
  <c r="K10" i="9"/>
  <c r="K11" i="9"/>
  <c r="K12" i="9"/>
  <c r="K13" i="9"/>
  <c r="K9" i="10"/>
  <c r="K10" i="10"/>
  <c r="K11" i="10"/>
  <c r="K12" i="10"/>
  <c r="K13" i="10"/>
  <c r="K9" i="11"/>
  <c r="K10" i="11"/>
  <c r="K11" i="11"/>
  <c r="K12" i="11"/>
  <c r="K13" i="11"/>
  <c r="K9" i="12"/>
  <c r="K10" i="12"/>
  <c r="K11" i="12"/>
  <c r="K12" i="12"/>
  <c r="K13" i="12"/>
  <c r="K9" i="13"/>
  <c r="K10" i="13"/>
  <c r="K11" i="13"/>
  <c r="K12" i="13"/>
  <c r="K13" i="13"/>
  <c r="K9" i="14"/>
  <c r="K10" i="14"/>
  <c r="K11" i="14"/>
  <c r="K12" i="14"/>
  <c r="K13" i="14"/>
  <c r="K9" i="15"/>
  <c r="K10" i="15"/>
  <c r="K11" i="15"/>
  <c r="K12" i="15"/>
  <c r="K13" i="15"/>
  <c r="K9" i="16"/>
  <c r="K10" i="16"/>
  <c r="K11" i="16"/>
  <c r="K12" i="16"/>
  <c r="K13" i="16"/>
  <c r="K9" i="17"/>
  <c r="K10" i="17"/>
  <c r="K11" i="17"/>
  <c r="K12" i="17"/>
  <c r="K13" i="17"/>
  <c r="K9" i="18"/>
  <c r="K10" i="18"/>
  <c r="K11" i="18"/>
  <c r="K12" i="18"/>
  <c r="K13" i="18"/>
  <c r="K9" i="19"/>
  <c r="K10" i="19"/>
  <c r="K11" i="19"/>
  <c r="K12" i="19"/>
  <c r="K13" i="19"/>
  <c r="K9" i="20"/>
  <c r="K10" i="20"/>
  <c r="K11" i="20"/>
  <c r="K12" i="20"/>
  <c r="K13" i="20"/>
  <c r="K9" i="21"/>
  <c r="K10" i="21"/>
  <c r="K11" i="21"/>
  <c r="K12" i="21"/>
  <c r="K13" i="21"/>
  <c r="K9" i="22"/>
  <c r="K10" i="22"/>
  <c r="K11" i="22"/>
  <c r="K12" i="22"/>
  <c r="K13" i="22"/>
  <c r="K9" i="23"/>
  <c r="K10" i="23"/>
  <c r="K11" i="23"/>
  <c r="K12" i="23"/>
  <c r="K13" i="23"/>
  <c r="K9" i="24"/>
  <c r="K10" i="24"/>
  <c r="K11" i="24"/>
  <c r="K12" i="24"/>
  <c r="K13" i="24"/>
  <c r="K9" i="25"/>
  <c r="K10" i="25"/>
  <c r="K11" i="25"/>
  <c r="K12" i="25"/>
  <c r="K13" i="25"/>
  <c r="K9" i="26"/>
  <c r="K10" i="26"/>
  <c r="K11" i="26"/>
  <c r="K12" i="26"/>
  <c r="K13" i="26"/>
  <c r="K9" i="27"/>
  <c r="K10" i="27"/>
  <c r="K11" i="27"/>
  <c r="K12" i="27"/>
  <c r="K13" i="27"/>
  <c r="K9" i="32"/>
  <c r="K10" i="32"/>
  <c r="K11" i="32"/>
  <c r="K12" i="32"/>
  <c r="K13" i="32"/>
  <c r="K9" i="31"/>
  <c r="K10" i="31"/>
  <c r="K11" i="31"/>
  <c r="K12" i="31"/>
  <c r="K13" i="31"/>
  <c r="G9" i="30"/>
  <c r="G10" i="30"/>
  <c r="G11" i="30"/>
  <c r="G12" i="30"/>
  <c r="G13" i="30"/>
  <c r="G9" i="29"/>
  <c r="G10" i="29"/>
  <c r="G11" i="29"/>
  <c r="G12" i="29"/>
  <c r="G13" i="29"/>
  <c r="G9" i="28"/>
  <c r="G10" i="28"/>
  <c r="G11" i="28"/>
  <c r="G12" i="28"/>
  <c r="G13" i="28"/>
  <c r="G9" i="6"/>
  <c r="G10" i="6"/>
  <c r="G11" i="6"/>
  <c r="G12" i="6"/>
  <c r="G13" i="6"/>
  <c r="G9" i="7"/>
  <c r="G10" i="7"/>
  <c r="G11" i="7"/>
  <c r="G12" i="7"/>
  <c r="G13" i="7"/>
  <c r="G9" i="8"/>
  <c r="G10" i="8"/>
  <c r="G11" i="8"/>
  <c r="G12" i="8"/>
  <c r="G13" i="8"/>
  <c r="G9" i="9"/>
  <c r="G10" i="9"/>
  <c r="G11" i="9"/>
  <c r="G12" i="9"/>
  <c r="G13" i="9"/>
  <c r="G9" i="10"/>
  <c r="G10" i="10"/>
  <c r="G11" i="10"/>
  <c r="G12" i="10"/>
  <c r="G13" i="10"/>
  <c r="G9" i="11"/>
  <c r="G10" i="11"/>
  <c r="G11" i="11"/>
  <c r="G12" i="11"/>
  <c r="G13" i="11"/>
  <c r="G9" i="12"/>
  <c r="G10" i="12"/>
  <c r="G11" i="12"/>
  <c r="G12" i="12"/>
  <c r="G13" i="12"/>
  <c r="G9" i="13"/>
  <c r="G10" i="13"/>
  <c r="G11" i="13"/>
  <c r="G12" i="13"/>
  <c r="G13" i="13"/>
  <c r="G9" i="14"/>
  <c r="G10" i="14"/>
  <c r="G11" i="14"/>
  <c r="G12" i="14"/>
  <c r="G13" i="14"/>
  <c r="G9" i="15"/>
  <c r="G10" i="15"/>
  <c r="G11" i="15"/>
  <c r="G12" i="15"/>
  <c r="G13" i="15"/>
  <c r="G9" i="16"/>
  <c r="G10" i="16"/>
  <c r="G11" i="16"/>
  <c r="G12" i="16"/>
  <c r="G13" i="16"/>
  <c r="G9" i="17"/>
  <c r="G10" i="17"/>
  <c r="G11" i="17"/>
  <c r="G12" i="17"/>
  <c r="G13" i="17"/>
  <c r="G9" i="18"/>
  <c r="G10" i="18"/>
  <c r="G11" i="18"/>
  <c r="G12" i="18"/>
  <c r="G13" i="18"/>
  <c r="G9" i="19"/>
  <c r="G10" i="19"/>
  <c r="G11" i="19"/>
  <c r="G12" i="19"/>
  <c r="G13" i="19"/>
  <c r="G9" i="20"/>
  <c r="G10" i="20"/>
  <c r="G11" i="20"/>
  <c r="G12" i="20"/>
  <c r="G13" i="20"/>
  <c r="G9" i="21"/>
  <c r="G10" i="21"/>
  <c r="G11" i="21"/>
  <c r="G12" i="21"/>
  <c r="G13" i="21"/>
  <c r="G9" i="22"/>
  <c r="G10" i="22"/>
  <c r="G11" i="22"/>
  <c r="G12" i="22"/>
  <c r="G13" i="22"/>
  <c r="G9" i="23"/>
  <c r="G10" i="23"/>
  <c r="G11" i="23"/>
  <c r="G12" i="23"/>
  <c r="G13" i="23"/>
  <c r="G9" i="24"/>
  <c r="G10" i="24"/>
  <c r="G11" i="24"/>
  <c r="G12" i="24"/>
  <c r="G13" i="24"/>
  <c r="G9" i="25"/>
  <c r="G10" i="25"/>
  <c r="G11" i="25"/>
  <c r="G12" i="25"/>
  <c r="G13" i="25"/>
  <c r="G9" i="26"/>
  <c r="G10" i="26"/>
  <c r="G11" i="26"/>
  <c r="G12" i="26"/>
  <c r="G13" i="26"/>
  <c r="G9" i="27"/>
  <c r="G10" i="27"/>
  <c r="G11" i="27"/>
  <c r="G12" i="27"/>
  <c r="G13" i="27"/>
  <c r="G9" i="32"/>
  <c r="G10" i="32"/>
  <c r="G11" i="32"/>
  <c r="G12" i="32"/>
  <c r="G13" i="32"/>
  <c r="G9" i="31"/>
  <c r="G10" i="31"/>
  <c r="G11" i="31"/>
  <c r="G12" i="31"/>
  <c r="G13" i="31"/>
  <c r="W14" i="30" l="1"/>
  <c r="W17" i="30" s="1"/>
  <c r="V14" i="30"/>
  <c r="V15" i="30" s="1"/>
  <c r="V16" i="30" s="1"/>
  <c r="U14" i="30"/>
  <c r="U15" i="30" s="1"/>
  <c r="U16" i="30" s="1"/>
  <c r="S14" i="30"/>
  <c r="R14" i="30"/>
  <c r="R17" i="30" s="1"/>
  <c r="Q14" i="30"/>
  <c r="Q15" i="30" s="1"/>
  <c r="Q16" i="30" s="1"/>
  <c r="P14" i="30"/>
  <c r="Y12" i="30"/>
  <c r="Y11" i="30"/>
  <c r="Y10" i="30"/>
  <c r="Y9" i="30"/>
  <c r="Y8" i="30"/>
  <c r="X8" i="30"/>
  <c r="X14" i="30" s="1"/>
  <c r="T8" i="30"/>
  <c r="W14" i="29"/>
  <c r="W15" i="29" s="1"/>
  <c r="W16" i="29" s="1"/>
  <c r="V14" i="29"/>
  <c r="V15" i="29" s="1"/>
  <c r="V16" i="29" s="1"/>
  <c r="U14" i="29"/>
  <c r="U17" i="29" s="1"/>
  <c r="S14" i="29"/>
  <c r="S15" i="29" s="1"/>
  <c r="S16" i="29" s="1"/>
  <c r="R14" i="29"/>
  <c r="R15" i="29" s="1"/>
  <c r="R16" i="29" s="1"/>
  <c r="Q14" i="29"/>
  <c r="P14" i="29"/>
  <c r="P16" i="29" s="1"/>
  <c r="Y12" i="29"/>
  <c r="Y11" i="29"/>
  <c r="Y10" i="29"/>
  <c r="Y9" i="29"/>
  <c r="Y8" i="29"/>
  <c r="X8" i="29"/>
  <c r="T8" i="29"/>
  <c r="W14" i="28"/>
  <c r="V14" i="28"/>
  <c r="V15" i="28" s="1"/>
  <c r="V16" i="28" s="1"/>
  <c r="U14" i="28"/>
  <c r="U15" i="28" s="1"/>
  <c r="U16" i="28" s="1"/>
  <c r="S14" i="28"/>
  <c r="R14" i="28"/>
  <c r="R17" i="28" s="1"/>
  <c r="Q14" i="28"/>
  <c r="Q15" i="28" s="1"/>
  <c r="Q16" i="28" s="1"/>
  <c r="P14" i="28"/>
  <c r="P16" i="28" s="1"/>
  <c r="Y12" i="28"/>
  <c r="Y11" i="28"/>
  <c r="Y10" i="28"/>
  <c r="Y9" i="28"/>
  <c r="Y8" i="28"/>
  <c r="X8" i="28"/>
  <c r="T8" i="28"/>
  <c r="T14" i="28" s="1"/>
  <c r="Y17" i="2"/>
  <c r="U16" i="2"/>
  <c r="W15" i="2"/>
  <c r="W16" i="2" s="1"/>
  <c r="V15" i="2"/>
  <c r="V16" i="2" s="1"/>
  <c r="U15" i="2"/>
  <c r="S15" i="2"/>
  <c r="S16" i="2" s="1"/>
  <c r="R15" i="2"/>
  <c r="R16" i="2" s="1"/>
  <c r="Q15" i="2"/>
  <c r="Q16" i="2" s="1"/>
  <c r="P15" i="2"/>
  <c r="P16" i="2" s="1"/>
  <c r="Y14" i="2"/>
  <c r="Y12" i="2"/>
  <c r="Y11" i="2"/>
  <c r="Y10" i="2"/>
  <c r="Y9" i="2"/>
  <c r="Y8" i="2"/>
  <c r="Y17" i="3"/>
  <c r="W16" i="3"/>
  <c r="U16" i="3"/>
  <c r="R16" i="3"/>
  <c r="P16" i="3"/>
  <c r="W15" i="3"/>
  <c r="V15" i="3"/>
  <c r="V16" i="3" s="1"/>
  <c r="U15" i="3"/>
  <c r="S15" i="3"/>
  <c r="S16" i="3" s="1"/>
  <c r="R15" i="3"/>
  <c r="Q15" i="3"/>
  <c r="Q16" i="3" s="1"/>
  <c r="Y14" i="3"/>
  <c r="Y12" i="3"/>
  <c r="Y11" i="3"/>
  <c r="Y10" i="3"/>
  <c r="Y9" i="3"/>
  <c r="Y8" i="3"/>
  <c r="X14" i="4"/>
  <c r="W14" i="4"/>
  <c r="W17" i="4" s="1"/>
  <c r="V14" i="4"/>
  <c r="V17" i="4" s="1"/>
  <c r="U14" i="4"/>
  <c r="U15" i="4" s="1"/>
  <c r="U16" i="4" s="1"/>
  <c r="T14" i="4"/>
  <c r="S14" i="4"/>
  <c r="S15" i="4" s="1"/>
  <c r="S16" i="4" s="1"/>
  <c r="R14" i="4"/>
  <c r="Q14" i="4"/>
  <c r="Q17" i="4" s="1"/>
  <c r="P14" i="4"/>
  <c r="Y12" i="4"/>
  <c r="Y11" i="4"/>
  <c r="Y10" i="4"/>
  <c r="Y9" i="4"/>
  <c r="Y8" i="4"/>
  <c r="S17" i="5"/>
  <c r="X14" i="5"/>
  <c r="W14" i="5"/>
  <c r="W17" i="5" s="1"/>
  <c r="V14" i="5"/>
  <c r="V17" i="5" s="1"/>
  <c r="U14" i="5"/>
  <c r="U15" i="5" s="1"/>
  <c r="U16" i="5" s="1"/>
  <c r="T14" i="5"/>
  <c r="S14" i="5"/>
  <c r="S15" i="5" s="1"/>
  <c r="S16" i="5" s="1"/>
  <c r="R14" i="5"/>
  <c r="Q14" i="5"/>
  <c r="Q17" i="5" s="1"/>
  <c r="P14" i="5"/>
  <c r="Y12" i="5"/>
  <c r="Y11" i="5"/>
  <c r="Y10" i="5"/>
  <c r="Y9" i="5"/>
  <c r="Y8" i="5"/>
  <c r="W14" i="6"/>
  <c r="W17" i="6" s="1"/>
  <c r="V14" i="6"/>
  <c r="V15" i="6" s="1"/>
  <c r="V16" i="6" s="1"/>
  <c r="U14" i="6"/>
  <c r="U15" i="6" s="1"/>
  <c r="U16" i="6" s="1"/>
  <c r="S14" i="6"/>
  <c r="S15" i="6" s="1"/>
  <c r="S16" i="6" s="1"/>
  <c r="R14" i="6"/>
  <c r="Q14" i="6"/>
  <c r="Q17" i="6" s="1"/>
  <c r="P14" i="6"/>
  <c r="Y12" i="6"/>
  <c r="Y11" i="6"/>
  <c r="Y10" i="6"/>
  <c r="Y9" i="6"/>
  <c r="Y8" i="6"/>
  <c r="X8" i="6"/>
  <c r="T8" i="6"/>
  <c r="S17" i="7"/>
  <c r="W14" i="7"/>
  <c r="W17" i="7" s="1"/>
  <c r="V14" i="7"/>
  <c r="V17" i="7" s="1"/>
  <c r="U14" i="7"/>
  <c r="U15" i="7" s="1"/>
  <c r="U16" i="7" s="1"/>
  <c r="T14" i="7"/>
  <c r="S14" i="7"/>
  <c r="S15" i="7" s="1"/>
  <c r="S16" i="7" s="1"/>
  <c r="R14" i="7"/>
  <c r="Q14" i="7"/>
  <c r="Q17" i="7" s="1"/>
  <c r="P14" i="7"/>
  <c r="Y12" i="7"/>
  <c r="Y11" i="7"/>
  <c r="Y10" i="7"/>
  <c r="Y9" i="7"/>
  <c r="Y8" i="7"/>
  <c r="X8" i="7"/>
  <c r="X14" i="7" s="1"/>
  <c r="T8" i="7"/>
  <c r="W14" i="8"/>
  <c r="W15" i="8" s="1"/>
  <c r="W16" i="8" s="1"/>
  <c r="V14" i="8"/>
  <c r="V15" i="8" s="1"/>
  <c r="V16" i="8" s="1"/>
  <c r="U14" i="8"/>
  <c r="U17" i="8" s="1"/>
  <c r="S14" i="8"/>
  <c r="S17" i="8" s="1"/>
  <c r="R14" i="8"/>
  <c r="R15" i="8" s="1"/>
  <c r="R16" i="8" s="1"/>
  <c r="Q14" i="8"/>
  <c r="Q17" i="8" s="1"/>
  <c r="P14" i="8"/>
  <c r="P16" i="8" s="1"/>
  <c r="Y12" i="8"/>
  <c r="Y11" i="8"/>
  <c r="Y10" i="8"/>
  <c r="Y9" i="8"/>
  <c r="Y8" i="8"/>
  <c r="X8" i="8"/>
  <c r="T8" i="8"/>
  <c r="W14" i="9"/>
  <c r="W17" i="9" s="1"/>
  <c r="V14" i="9"/>
  <c r="V17" i="9" s="1"/>
  <c r="U14" i="9"/>
  <c r="U15" i="9" s="1"/>
  <c r="U16" i="9" s="1"/>
  <c r="S14" i="9"/>
  <c r="S15" i="9" s="1"/>
  <c r="S16" i="9" s="1"/>
  <c r="R14" i="9"/>
  <c r="Q14" i="9"/>
  <c r="Q17" i="9" s="1"/>
  <c r="P14" i="9"/>
  <c r="Y12" i="9"/>
  <c r="Y11" i="9"/>
  <c r="Y10" i="9"/>
  <c r="Y9" i="9"/>
  <c r="Y8" i="9"/>
  <c r="X8" i="9"/>
  <c r="T8" i="9"/>
  <c r="W14" i="10"/>
  <c r="W17" i="10" s="1"/>
  <c r="V14" i="10"/>
  <c r="V17" i="10" s="1"/>
  <c r="U14" i="10"/>
  <c r="U15" i="10" s="1"/>
  <c r="U16" i="10" s="1"/>
  <c r="S14" i="10"/>
  <c r="S15" i="10" s="1"/>
  <c r="S16" i="10" s="1"/>
  <c r="R14" i="10"/>
  <c r="Q14" i="10"/>
  <c r="Q17" i="10" s="1"/>
  <c r="P14" i="10"/>
  <c r="Y12" i="10"/>
  <c r="Y11" i="10"/>
  <c r="Y10" i="10"/>
  <c r="Y9" i="10"/>
  <c r="Y8" i="10"/>
  <c r="X8" i="10"/>
  <c r="T8" i="10"/>
  <c r="W14" i="11"/>
  <c r="W17" i="11" s="1"/>
  <c r="V14" i="11"/>
  <c r="V17" i="11" s="1"/>
  <c r="U14" i="11"/>
  <c r="U15" i="11" s="1"/>
  <c r="U16" i="11" s="1"/>
  <c r="T14" i="11"/>
  <c r="S14" i="11"/>
  <c r="S15" i="11" s="1"/>
  <c r="S16" i="11" s="1"/>
  <c r="R14" i="11"/>
  <c r="Q14" i="11"/>
  <c r="Q15" i="11" s="1"/>
  <c r="Q16" i="11" s="1"/>
  <c r="P14" i="11"/>
  <c r="Y12" i="11"/>
  <c r="Y11" i="11"/>
  <c r="Y10" i="11"/>
  <c r="Y9" i="11"/>
  <c r="Y8" i="11"/>
  <c r="X8" i="11"/>
  <c r="X14" i="11" s="1"/>
  <c r="T8" i="11"/>
  <c r="W14" i="12"/>
  <c r="W15" i="12" s="1"/>
  <c r="W16" i="12" s="1"/>
  <c r="V14" i="12"/>
  <c r="V15" i="12" s="1"/>
  <c r="V16" i="12" s="1"/>
  <c r="U14" i="12"/>
  <c r="U17" i="12" s="1"/>
  <c r="S14" i="12"/>
  <c r="S17" i="12" s="1"/>
  <c r="R14" i="12"/>
  <c r="R15" i="12" s="1"/>
  <c r="R16" i="12" s="1"/>
  <c r="Q14" i="12"/>
  <c r="Q15" i="12" s="1"/>
  <c r="Q16" i="12" s="1"/>
  <c r="P14" i="12"/>
  <c r="P16" i="12" s="1"/>
  <c r="Y12" i="12"/>
  <c r="Y11" i="12"/>
  <c r="Y10" i="12"/>
  <c r="X14" i="12"/>
  <c r="Y9" i="12"/>
  <c r="Y8" i="12"/>
  <c r="X8" i="12"/>
  <c r="T8" i="12"/>
  <c r="W14" i="13"/>
  <c r="W17" i="13" s="1"/>
  <c r="V14" i="13"/>
  <c r="V17" i="13" s="1"/>
  <c r="U14" i="13"/>
  <c r="U15" i="13" s="1"/>
  <c r="U16" i="13" s="1"/>
  <c r="S14" i="13"/>
  <c r="S17" i="13" s="1"/>
  <c r="R14" i="13"/>
  <c r="Q14" i="13"/>
  <c r="Q15" i="13" s="1"/>
  <c r="Q16" i="13" s="1"/>
  <c r="P14" i="13"/>
  <c r="Y12" i="13"/>
  <c r="Y11" i="13"/>
  <c r="Y10" i="13"/>
  <c r="Y9" i="13"/>
  <c r="Y8" i="13"/>
  <c r="X8" i="13"/>
  <c r="T8" i="13"/>
  <c r="Q15" i="14"/>
  <c r="Q16" i="14" s="1"/>
  <c r="W14" i="14"/>
  <c r="W15" i="14" s="1"/>
  <c r="W16" i="14" s="1"/>
  <c r="V14" i="14"/>
  <c r="V15" i="14" s="1"/>
  <c r="V16" i="14" s="1"/>
  <c r="U14" i="14"/>
  <c r="U17" i="14" s="1"/>
  <c r="S14" i="14"/>
  <c r="S17" i="14" s="1"/>
  <c r="R14" i="14"/>
  <c r="R15" i="14" s="1"/>
  <c r="R16" i="14" s="1"/>
  <c r="Q14" i="14"/>
  <c r="Q17" i="14" s="1"/>
  <c r="P14" i="14"/>
  <c r="Y12" i="14"/>
  <c r="Y11" i="14"/>
  <c r="Y10" i="14"/>
  <c r="X14" i="14"/>
  <c r="Y9" i="14"/>
  <c r="Y8" i="14"/>
  <c r="X8" i="14"/>
  <c r="T8" i="14"/>
  <c r="Q15" i="15"/>
  <c r="Q16" i="15" s="1"/>
  <c r="W14" i="15"/>
  <c r="V14" i="15"/>
  <c r="V17" i="15" s="1"/>
  <c r="U14" i="15"/>
  <c r="U17" i="15" s="1"/>
  <c r="S14" i="15"/>
  <c r="S17" i="15" s="1"/>
  <c r="R14" i="15"/>
  <c r="Q14" i="15"/>
  <c r="Q17" i="15" s="1"/>
  <c r="P14" i="15"/>
  <c r="P17" i="15" s="1"/>
  <c r="Y12" i="15"/>
  <c r="Y11" i="15"/>
  <c r="Y10" i="15"/>
  <c r="Y9" i="15"/>
  <c r="Y8" i="15"/>
  <c r="X8" i="15"/>
  <c r="T8" i="15"/>
  <c r="Q17" i="16"/>
  <c r="W14" i="16"/>
  <c r="W15" i="16" s="1"/>
  <c r="W16" i="16" s="1"/>
  <c r="V14" i="16"/>
  <c r="V15" i="16" s="1"/>
  <c r="V16" i="16" s="1"/>
  <c r="U14" i="16"/>
  <c r="U17" i="16" s="1"/>
  <c r="S14" i="16"/>
  <c r="S17" i="16" s="1"/>
  <c r="R14" i="16"/>
  <c r="R15" i="16" s="1"/>
  <c r="R16" i="16" s="1"/>
  <c r="Q14" i="16"/>
  <c r="Q15" i="16" s="1"/>
  <c r="Q16" i="16" s="1"/>
  <c r="P14" i="16"/>
  <c r="Y12" i="16"/>
  <c r="Y11" i="16"/>
  <c r="Y10" i="16"/>
  <c r="X14" i="16"/>
  <c r="Y9" i="16"/>
  <c r="Y8" i="16"/>
  <c r="X8" i="16"/>
  <c r="T8" i="16"/>
  <c r="W14" i="17"/>
  <c r="W17" i="17" s="1"/>
  <c r="V14" i="17"/>
  <c r="V17" i="17" s="1"/>
  <c r="U14" i="17"/>
  <c r="U15" i="17" s="1"/>
  <c r="U16" i="17" s="1"/>
  <c r="S14" i="17"/>
  <c r="S15" i="17" s="1"/>
  <c r="S16" i="17" s="1"/>
  <c r="R14" i="17"/>
  <c r="Q14" i="17"/>
  <c r="Q17" i="17" s="1"/>
  <c r="P14" i="17"/>
  <c r="Y13" i="17"/>
  <c r="Y12" i="17"/>
  <c r="Y11" i="17"/>
  <c r="Y10" i="17"/>
  <c r="Y9" i="17"/>
  <c r="Y8" i="17"/>
  <c r="X8" i="17"/>
  <c r="T8" i="17"/>
  <c r="T14" i="17" s="1"/>
  <c r="U17" i="18"/>
  <c r="W14" i="18"/>
  <c r="W17" i="18" s="1"/>
  <c r="V14" i="18"/>
  <c r="V15" i="18" s="1"/>
  <c r="V16" i="18" s="1"/>
  <c r="U14" i="18"/>
  <c r="U15" i="18" s="1"/>
  <c r="U16" i="18" s="1"/>
  <c r="S14" i="18"/>
  <c r="R14" i="18"/>
  <c r="R17" i="18" s="1"/>
  <c r="Q14" i="18"/>
  <c r="Q15" i="18" s="1"/>
  <c r="Q16" i="18" s="1"/>
  <c r="P14" i="18"/>
  <c r="P17" i="18" s="1"/>
  <c r="Y12" i="18"/>
  <c r="Y11" i="18"/>
  <c r="Y10" i="18"/>
  <c r="Y9" i="18"/>
  <c r="Y8" i="18"/>
  <c r="X8" i="18"/>
  <c r="X14" i="18" s="1"/>
  <c r="T8" i="18"/>
  <c r="T14" i="18" s="1"/>
  <c r="W14" i="19"/>
  <c r="W15" i="19" s="1"/>
  <c r="W16" i="19" s="1"/>
  <c r="V14" i="19"/>
  <c r="V17" i="19" s="1"/>
  <c r="U14" i="19"/>
  <c r="U17" i="19" s="1"/>
  <c r="S14" i="19"/>
  <c r="S15" i="19" s="1"/>
  <c r="S16" i="19" s="1"/>
  <c r="R14" i="19"/>
  <c r="R15" i="19" s="1"/>
  <c r="R16" i="19" s="1"/>
  <c r="Q14" i="19"/>
  <c r="P14" i="19"/>
  <c r="P16" i="19" s="1"/>
  <c r="Y12" i="19"/>
  <c r="Y11" i="19"/>
  <c r="Y10" i="19"/>
  <c r="Y9" i="19"/>
  <c r="Y8" i="19"/>
  <c r="X8" i="19"/>
  <c r="T8" i="19"/>
  <c r="U17" i="20"/>
  <c r="W14" i="20"/>
  <c r="W17" i="20" s="1"/>
  <c r="V14" i="20"/>
  <c r="V15" i="20" s="1"/>
  <c r="V16" i="20" s="1"/>
  <c r="U14" i="20"/>
  <c r="U15" i="20" s="1"/>
  <c r="U16" i="20" s="1"/>
  <c r="S14" i="20"/>
  <c r="R14" i="20"/>
  <c r="R17" i="20" s="1"/>
  <c r="Q14" i="20"/>
  <c r="Q15" i="20" s="1"/>
  <c r="Q16" i="20" s="1"/>
  <c r="P14" i="20"/>
  <c r="Y12" i="20"/>
  <c r="Y11" i="20"/>
  <c r="Y10" i="20"/>
  <c r="Y9" i="20"/>
  <c r="Y8" i="20"/>
  <c r="X8" i="20"/>
  <c r="T8" i="20"/>
  <c r="W14" i="21"/>
  <c r="W15" i="21" s="1"/>
  <c r="W16" i="21" s="1"/>
  <c r="V14" i="21"/>
  <c r="V17" i="21" s="1"/>
  <c r="U14" i="21"/>
  <c r="U17" i="21" s="1"/>
  <c r="S14" i="21"/>
  <c r="S15" i="21" s="1"/>
  <c r="S16" i="21" s="1"/>
  <c r="R14" i="21"/>
  <c r="R15" i="21" s="1"/>
  <c r="R16" i="21" s="1"/>
  <c r="Q14" i="21"/>
  <c r="P14" i="21"/>
  <c r="P16" i="21" s="1"/>
  <c r="Y12" i="21"/>
  <c r="Y11" i="21"/>
  <c r="Y10" i="21"/>
  <c r="Y9" i="21"/>
  <c r="Y8" i="21"/>
  <c r="X8" i="21"/>
  <c r="T8" i="21"/>
  <c r="R15" i="22"/>
  <c r="R16" i="22" s="1"/>
  <c r="W14" i="22"/>
  <c r="W17" i="22" s="1"/>
  <c r="V14" i="22"/>
  <c r="V15" i="22" s="1"/>
  <c r="V16" i="22" s="1"/>
  <c r="U14" i="22"/>
  <c r="U15" i="22" s="1"/>
  <c r="U16" i="22" s="1"/>
  <c r="S14" i="22"/>
  <c r="R14" i="22"/>
  <c r="R17" i="22" s="1"/>
  <c r="Q14" i="22"/>
  <c r="Q15" i="22" s="1"/>
  <c r="Q16" i="22" s="1"/>
  <c r="P14" i="22"/>
  <c r="P17" i="22" s="1"/>
  <c r="Y12" i="22"/>
  <c r="Y11" i="22"/>
  <c r="Y10" i="22"/>
  <c r="Y9" i="22"/>
  <c r="Y8" i="22"/>
  <c r="X8" i="22"/>
  <c r="X14" i="22" s="1"/>
  <c r="T8" i="22"/>
  <c r="T14" i="22" s="1"/>
  <c r="R17" i="23"/>
  <c r="W14" i="23"/>
  <c r="W15" i="23" s="1"/>
  <c r="W16" i="23" s="1"/>
  <c r="V14" i="23"/>
  <c r="V17" i="23" s="1"/>
  <c r="U14" i="23"/>
  <c r="U17" i="23" s="1"/>
  <c r="S14" i="23"/>
  <c r="S15" i="23" s="1"/>
  <c r="S16" i="23" s="1"/>
  <c r="R14" i="23"/>
  <c r="R15" i="23" s="1"/>
  <c r="R16" i="23" s="1"/>
  <c r="Q14" i="23"/>
  <c r="P14" i="23"/>
  <c r="P16" i="23" s="1"/>
  <c r="Y12" i="23"/>
  <c r="Y11" i="23"/>
  <c r="Y10" i="23"/>
  <c r="Y9" i="23"/>
  <c r="Y8" i="23"/>
  <c r="X8" i="23"/>
  <c r="X14" i="23" s="1"/>
  <c r="T8" i="23"/>
  <c r="T14" i="23" s="1"/>
  <c r="W14" i="24"/>
  <c r="W17" i="24" s="1"/>
  <c r="V14" i="24"/>
  <c r="V15" i="24" s="1"/>
  <c r="V16" i="24" s="1"/>
  <c r="U14" i="24"/>
  <c r="U15" i="24" s="1"/>
  <c r="U16" i="24" s="1"/>
  <c r="S14" i="24"/>
  <c r="R14" i="24"/>
  <c r="R17" i="24" s="1"/>
  <c r="Q14" i="24"/>
  <c r="Q15" i="24" s="1"/>
  <c r="Q16" i="24" s="1"/>
  <c r="P14" i="24"/>
  <c r="P17" i="24" s="1"/>
  <c r="Y12" i="24"/>
  <c r="Y11" i="24"/>
  <c r="Y10" i="24"/>
  <c r="Y9" i="24"/>
  <c r="Y8" i="24"/>
  <c r="X8" i="24"/>
  <c r="T8" i="24"/>
  <c r="W14" i="25"/>
  <c r="W15" i="25" s="1"/>
  <c r="W16" i="25" s="1"/>
  <c r="V14" i="25"/>
  <c r="V17" i="25" s="1"/>
  <c r="U14" i="25"/>
  <c r="U17" i="25" s="1"/>
  <c r="S14" i="25"/>
  <c r="S15" i="25" s="1"/>
  <c r="S16" i="25" s="1"/>
  <c r="R14" i="25"/>
  <c r="R15" i="25" s="1"/>
  <c r="R16" i="25" s="1"/>
  <c r="Q14" i="25"/>
  <c r="P14" i="25"/>
  <c r="P16" i="25" s="1"/>
  <c r="Y12" i="25"/>
  <c r="Y11" i="25"/>
  <c r="Y10" i="25"/>
  <c r="Y9" i="25"/>
  <c r="Y8" i="25"/>
  <c r="X8" i="25"/>
  <c r="T8" i="25"/>
  <c r="W14" i="26"/>
  <c r="W17" i="26" s="1"/>
  <c r="V14" i="26"/>
  <c r="V15" i="26" s="1"/>
  <c r="V16" i="26" s="1"/>
  <c r="U14" i="26"/>
  <c r="U15" i="26" s="1"/>
  <c r="U16" i="26" s="1"/>
  <c r="S14" i="26"/>
  <c r="R14" i="26"/>
  <c r="R17" i="26" s="1"/>
  <c r="Q14" i="26"/>
  <c r="Q15" i="26" s="1"/>
  <c r="Q16" i="26" s="1"/>
  <c r="P14" i="26"/>
  <c r="P17" i="26" s="1"/>
  <c r="Y12" i="26"/>
  <c r="Y11" i="26"/>
  <c r="Y10" i="26"/>
  <c r="Y9" i="26"/>
  <c r="Y8" i="26"/>
  <c r="X8" i="26"/>
  <c r="X14" i="26" s="1"/>
  <c r="T8" i="26"/>
  <c r="T14" i="26" s="1"/>
  <c r="W14" i="27"/>
  <c r="W15" i="27" s="1"/>
  <c r="W16" i="27" s="1"/>
  <c r="V14" i="27"/>
  <c r="V17" i="27" s="1"/>
  <c r="U14" i="27"/>
  <c r="U17" i="27" s="1"/>
  <c r="S14" i="27"/>
  <c r="S15" i="27" s="1"/>
  <c r="S16" i="27" s="1"/>
  <c r="R14" i="27"/>
  <c r="R15" i="27" s="1"/>
  <c r="R16" i="27" s="1"/>
  <c r="Q14" i="27"/>
  <c r="P14" i="27"/>
  <c r="P16" i="27" s="1"/>
  <c r="Y12" i="27"/>
  <c r="Y11" i="27"/>
  <c r="Y10" i="27"/>
  <c r="Y9" i="27"/>
  <c r="Y8" i="27"/>
  <c r="X8" i="27"/>
  <c r="X14" i="27" s="1"/>
  <c r="T8" i="27"/>
  <c r="T14" i="27" s="1"/>
  <c r="X14" i="32"/>
  <c r="W14" i="32"/>
  <c r="W17" i="32" s="1"/>
  <c r="V14" i="32"/>
  <c r="U14" i="32"/>
  <c r="U17" i="32" s="1"/>
  <c r="T14" i="32"/>
  <c r="S14" i="32"/>
  <c r="S17" i="32" s="1"/>
  <c r="R14" i="32"/>
  <c r="R17" i="32" s="1"/>
  <c r="Q14" i="32"/>
  <c r="Q17" i="32" s="1"/>
  <c r="P14" i="32"/>
  <c r="P16" i="32" s="1"/>
  <c r="Y12" i="32"/>
  <c r="Y11" i="32"/>
  <c r="Y10" i="32"/>
  <c r="Y9" i="32"/>
  <c r="Y8" i="32"/>
  <c r="X8" i="32"/>
  <c r="T8" i="32"/>
  <c r="S17" i="31"/>
  <c r="V15" i="31"/>
  <c r="V16" i="31" s="1"/>
  <c r="W14" i="31"/>
  <c r="W17" i="31" s="1"/>
  <c r="V14" i="31"/>
  <c r="V17" i="31" s="1"/>
  <c r="U14" i="31"/>
  <c r="U15" i="31" s="1"/>
  <c r="U16" i="31" s="1"/>
  <c r="S14" i="31"/>
  <c r="S15" i="31" s="1"/>
  <c r="S16" i="31" s="1"/>
  <c r="R14" i="31"/>
  <c r="R17" i="31" s="1"/>
  <c r="Q14" i="31"/>
  <c r="Q17" i="31" s="1"/>
  <c r="P14" i="31"/>
  <c r="Y12" i="31"/>
  <c r="Y11" i="31"/>
  <c r="Y10" i="31"/>
  <c r="Y9" i="31"/>
  <c r="Y8" i="31"/>
  <c r="X8" i="31"/>
  <c r="T8" i="31"/>
  <c r="W17" i="25" l="1"/>
  <c r="W17" i="21"/>
  <c r="U17" i="26"/>
  <c r="V17" i="16"/>
  <c r="V15" i="15"/>
  <c r="V16" i="15" s="1"/>
  <c r="V17" i="14"/>
  <c r="W17" i="23"/>
  <c r="X14" i="17"/>
  <c r="U17" i="28"/>
  <c r="Q17" i="11"/>
  <c r="Q15" i="7"/>
  <c r="Q16" i="7" s="1"/>
  <c r="S17" i="4"/>
  <c r="R17" i="29"/>
  <c r="T14" i="25"/>
  <c r="T14" i="29"/>
  <c r="S15" i="13"/>
  <c r="S16" i="13" s="1"/>
  <c r="S15" i="12"/>
  <c r="S16" i="12" s="1"/>
  <c r="S17" i="6"/>
  <c r="R15" i="28"/>
  <c r="R16" i="28" s="1"/>
  <c r="T14" i="31"/>
  <c r="S15" i="32"/>
  <c r="S16" i="32" s="1"/>
  <c r="R17" i="25"/>
  <c r="R15" i="24"/>
  <c r="R16" i="24" s="1"/>
  <c r="S17" i="17"/>
  <c r="T14" i="16"/>
  <c r="T14" i="13"/>
  <c r="T14" i="12"/>
  <c r="Q17" i="12"/>
  <c r="Q15" i="8"/>
  <c r="Q16" i="8" s="1"/>
  <c r="R15" i="30"/>
  <c r="R16" i="30" s="1"/>
  <c r="U17" i="22"/>
  <c r="V17" i="12"/>
  <c r="X14" i="20"/>
  <c r="X14" i="15"/>
  <c r="X14" i="8"/>
  <c r="Y14" i="6"/>
  <c r="X14" i="29"/>
  <c r="W17" i="29"/>
  <c r="W15" i="30"/>
  <c r="W16" i="30" s="1"/>
  <c r="U17" i="24"/>
  <c r="Y14" i="29"/>
  <c r="V17" i="29"/>
  <c r="W17" i="27"/>
  <c r="X14" i="13"/>
  <c r="X14" i="31"/>
  <c r="W15" i="32"/>
  <c r="W16" i="32" s="1"/>
  <c r="X14" i="25"/>
  <c r="X14" i="24"/>
  <c r="X14" i="21"/>
  <c r="W15" i="20"/>
  <c r="W16" i="20" s="1"/>
  <c r="W17" i="19"/>
  <c r="V17" i="8"/>
  <c r="Y14" i="7"/>
  <c r="X14" i="28"/>
  <c r="U17" i="30"/>
  <c r="R17" i="27"/>
  <c r="R15" i="26"/>
  <c r="R16" i="26" s="1"/>
  <c r="R17" i="21"/>
  <c r="R15" i="20"/>
  <c r="R16" i="20" s="1"/>
  <c r="T14" i="19"/>
  <c r="T14" i="14"/>
  <c r="S15" i="14"/>
  <c r="S16" i="14" s="1"/>
  <c r="Q17" i="13"/>
  <c r="S17" i="11"/>
  <c r="T14" i="10"/>
  <c r="S17" i="10"/>
  <c r="T14" i="9"/>
  <c r="S17" i="9"/>
  <c r="T14" i="8"/>
  <c r="S15" i="8"/>
  <c r="S16" i="8" s="1"/>
  <c r="P17" i="28"/>
  <c r="Y14" i="30"/>
  <c r="Q15" i="31"/>
  <c r="Q16" i="31" s="1"/>
  <c r="Y14" i="20"/>
  <c r="Y14" i="11"/>
  <c r="Q15" i="10"/>
  <c r="Q16" i="10" s="1"/>
  <c r="Q15" i="9"/>
  <c r="Q16" i="9" s="1"/>
  <c r="P17" i="30"/>
  <c r="Y14" i="31"/>
  <c r="Y14" i="23"/>
  <c r="T14" i="21"/>
  <c r="P17" i="20"/>
  <c r="R17" i="19"/>
  <c r="R15" i="18"/>
  <c r="R16" i="18" s="1"/>
  <c r="Q15" i="17"/>
  <c r="Q16" i="17" s="1"/>
  <c r="S15" i="16"/>
  <c r="S16" i="16" s="1"/>
  <c r="Y14" i="9"/>
  <c r="T14" i="6"/>
  <c r="Q15" i="6"/>
  <c r="Q16" i="6" s="1"/>
  <c r="Q15" i="5"/>
  <c r="Q16" i="5" s="1"/>
  <c r="Q15" i="4"/>
  <c r="Q16" i="4" s="1"/>
  <c r="U15" i="21"/>
  <c r="U16" i="21" s="1"/>
  <c r="R17" i="15"/>
  <c r="R15" i="15"/>
  <c r="R16" i="15" s="1"/>
  <c r="P17" i="14"/>
  <c r="Y14" i="14"/>
  <c r="P16" i="14"/>
  <c r="R15" i="31"/>
  <c r="R16" i="31" s="1"/>
  <c r="W15" i="31"/>
  <c r="W16" i="31" s="1"/>
  <c r="P17" i="31"/>
  <c r="U17" i="31"/>
  <c r="Y14" i="32"/>
  <c r="U15" i="32"/>
  <c r="U16" i="32" s="1"/>
  <c r="Y14" i="25"/>
  <c r="S17" i="24"/>
  <c r="S15" i="24"/>
  <c r="S16" i="24" s="1"/>
  <c r="U15" i="23"/>
  <c r="U16" i="23" s="1"/>
  <c r="Y14" i="22"/>
  <c r="W15" i="22"/>
  <c r="W16" i="22" s="1"/>
  <c r="Q17" i="21"/>
  <c r="Q15" i="21"/>
  <c r="Q16" i="21" s="1"/>
  <c r="T14" i="20"/>
  <c r="X14" i="19"/>
  <c r="Y14" i="17"/>
  <c r="V15" i="17"/>
  <c r="V16" i="17" s="1"/>
  <c r="P17" i="16"/>
  <c r="Y14" i="16"/>
  <c r="Q17" i="27"/>
  <c r="Q15" i="27"/>
  <c r="Q16" i="27" s="1"/>
  <c r="S17" i="22"/>
  <c r="S15" i="22"/>
  <c r="S16" i="22" s="1"/>
  <c r="Q17" i="19"/>
  <c r="Q15" i="19"/>
  <c r="Q16" i="19" s="1"/>
  <c r="P16" i="31"/>
  <c r="V15" i="32"/>
  <c r="V16" i="32" s="1"/>
  <c r="V17" i="32"/>
  <c r="Q15" i="32"/>
  <c r="Q16" i="32" s="1"/>
  <c r="P17" i="32"/>
  <c r="Y14" i="27"/>
  <c r="S17" i="26"/>
  <c r="S15" i="26"/>
  <c r="S16" i="26" s="1"/>
  <c r="U15" i="25"/>
  <c r="U16" i="25" s="1"/>
  <c r="Y14" i="24"/>
  <c r="W15" i="24"/>
  <c r="W16" i="24" s="1"/>
  <c r="Q17" i="23"/>
  <c r="Q15" i="23"/>
  <c r="Q16" i="23" s="1"/>
  <c r="Y14" i="19"/>
  <c r="S17" i="18"/>
  <c r="S15" i="18"/>
  <c r="S16" i="18" s="1"/>
  <c r="W17" i="28"/>
  <c r="W15" i="28"/>
  <c r="W16" i="28" s="1"/>
  <c r="R15" i="32"/>
  <c r="R16" i="32" s="1"/>
  <c r="U15" i="27"/>
  <c r="U16" i="27" s="1"/>
  <c r="Y14" i="26"/>
  <c r="W15" i="26"/>
  <c r="W16" i="26" s="1"/>
  <c r="Q17" i="25"/>
  <c r="Q15" i="25"/>
  <c r="Q16" i="25" s="1"/>
  <c r="T14" i="24"/>
  <c r="Y14" i="21"/>
  <c r="S17" i="20"/>
  <c r="S15" i="20"/>
  <c r="S16" i="20" s="1"/>
  <c r="U15" i="19"/>
  <c r="U16" i="19" s="1"/>
  <c r="Y14" i="18"/>
  <c r="W15" i="18"/>
  <c r="W16" i="18" s="1"/>
  <c r="R17" i="17"/>
  <c r="R15" i="17"/>
  <c r="R16" i="17" s="1"/>
  <c r="P16" i="16"/>
  <c r="T14" i="15"/>
  <c r="V15" i="13"/>
  <c r="V16" i="13" s="1"/>
  <c r="V15" i="27"/>
  <c r="V16" i="27" s="1"/>
  <c r="S17" i="27"/>
  <c r="P16" i="26"/>
  <c r="Q17" i="26"/>
  <c r="V17" i="26"/>
  <c r="V15" i="25"/>
  <c r="V16" i="25" s="1"/>
  <c r="S17" i="25"/>
  <c r="P16" i="24"/>
  <c r="Q17" i="24"/>
  <c r="Y17" i="24" s="1"/>
  <c r="V17" i="24"/>
  <c r="V15" i="23"/>
  <c r="V16" i="23" s="1"/>
  <c r="S17" i="23"/>
  <c r="P16" i="22"/>
  <c r="Q17" i="22"/>
  <c r="V17" i="22"/>
  <c r="V15" i="21"/>
  <c r="V16" i="21" s="1"/>
  <c r="S17" i="21"/>
  <c r="P16" i="20"/>
  <c r="Q17" i="20"/>
  <c r="V17" i="20"/>
  <c r="V15" i="19"/>
  <c r="V16" i="19" s="1"/>
  <c r="S17" i="19"/>
  <c r="P16" i="18"/>
  <c r="Q17" i="18"/>
  <c r="V17" i="18"/>
  <c r="W15" i="17"/>
  <c r="W16" i="17" s="1"/>
  <c r="P17" i="17"/>
  <c r="U17" i="17"/>
  <c r="U15" i="16"/>
  <c r="U16" i="16" s="1"/>
  <c r="R17" i="16"/>
  <c r="W17" i="16"/>
  <c r="W17" i="15"/>
  <c r="W15" i="15"/>
  <c r="W16" i="15" s="1"/>
  <c r="P16" i="15"/>
  <c r="R17" i="13"/>
  <c r="R15" i="13"/>
  <c r="R16" i="13" s="1"/>
  <c r="P17" i="12"/>
  <c r="Y14" i="12"/>
  <c r="X14" i="10"/>
  <c r="Y14" i="10"/>
  <c r="X14" i="9"/>
  <c r="R17" i="5"/>
  <c r="R15" i="5"/>
  <c r="R16" i="5" s="1"/>
  <c r="V15" i="5"/>
  <c r="V16" i="5" s="1"/>
  <c r="R17" i="4"/>
  <c r="R15" i="4"/>
  <c r="R16" i="4" s="1"/>
  <c r="V15" i="4"/>
  <c r="V16" i="4" s="1"/>
  <c r="S17" i="28"/>
  <c r="S15" i="28"/>
  <c r="S16" i="28" s="1"/>
  <c r="T14" i="30"/>
  <c r="P17" i="27"/>
  <c r="P17" i="25"/>
  <c r="P17" i="23"/>
  <c r="P17" i="21"/>
  <c r="Y17" i="21" s="1"/>
  <c r="P17" i="19"/>
  <c r="P16" i="17"/>
  <c r="S15" i="15"/>
  <c r="S16" i="15" s="1"/>
  <c r="R17" i="11"/>
  <c r="R15" i="11"/>
  <c r="R16" i="11" s="1"/>
  <c r="V15" i="11"/>
  <c r="V16" i="11" s="1"/>
  <c r="V15" i="10"/>
  <c r="V16" i="10" s="1"/>
  <c r="V15" i="9"/>
  <c r="V16" i="9" s="1"/>
  <c r="V17" i="6"/>
  <c r="X14" i="6"/>
  <c r="Y14" i="15"/>
  <c r="U15" i="15"/>
  <c r="U16" i="15" s="1"/>
  <c r="Y14" i="13"/>
  <c r="R17" i="10"/>
  <c r="R15" i="10"/>
  <c r="R16" i="10" s="1"/>
  <c r="R17" i="9"/>
  <c r="R15" i="9"/>
  <c r="R16" i="9" s="1"/>
  <c r="P17" i="8"/>
  <c r="Y14" i="8"/>
  <c r="R17" i="7"/>
  <c r="R15" i="7"/>
  <c r="R16" i="7" s="1"/>
  <c r="V15" i="7"/>
  <c r="V16" i="7" s="1"/>
  <c r="R17" i="6"/>
  <c r="R15" i="6"/>
  <c r="R16" i="6" s="1"/>
  <c r="Y14" i="5"/>
  <c r="Y14" i="4"/>
  <c r="Q17" i="29"/>
  <c r="Q15" i="29"/>
  <c r="Q16" i="29" s="1"/>
  <c r="U15" i="29"/>
  <c r="U16" i="29" s="1"/>
  <c r="S17" i="30"/>
  <c r="S15" i="30"/>
  <c r="S16" i="30" s="1"/>
  <c r="U15" i="14"/>
  <c r="U16" i="14" s="1"/>
  <c r="R17" i="14"/>
  <c r="W17" i="14"/>
  <c r="W15" i="13"/>
  <c r="W16" i="13" s="1"/>
  <c r="P17" i="13"/>
  <c r="U17" i="13"/>
  <c r="U15" i="12"/>
  <c r="U16" i="12" s="1"/>
  <c r="R17" i="12"/>
  <c r="W17" i="12"/>
  <c r="W15" i="11"/>
  <c r="W16" i="11" s="1"/>
  <c r="P17" i="11"/>
  <c r="U17" i="11"/>
  <c r="W15" i="10"/>
  <c r="W16" i="10" s="1"/>
  <c r="P17" i="10"/>
  <c r="U17" i="10"/>
  <c r="W15" i="9"/>
  <c r="W16" i="9" s="1"/>
  <c r="P17" i="9"/>
  <c r="U17" i="9"/>
  <c r="U15" i="8"/>
  <c r="U16" i="8" s="1"/>
  <c r="R17" i="8"/>
  <c r="W17" i="8"/>
  <c r="W15" i="7"/>
  <c r="W16" i="7" s="1"/>
  <c r="P17" i="7"/>
  <c r="U17" i="7"/>
  <c r="W15" i="6"/>
  <c r="W16" i="6" s="1"/>
  <c r="P17" i="6"/>
  <c r="U17" i="6"/>
  <c r="W15" i="5"/>
  <c r="W16" i="5" s="1"/>
  <c r="P17" i="5"/>
  <c r="U17" i="5"/>
  <c r="W15" i="4"/>
  <c r="W16" i="4" s="1"/>
  <c r="P17" i="4"/>
  <c r="Y17" i="4" s="1"/>
  <c r="U17" i="4"/>
  <c r="Q17" i="28"/>
  <c r="V17" i="28"/>
  <c r="S17" i="29"/>
  <c r="P16" i="30"/>
  <c r="Q17" i="30"/>
  <c r="V17" i="30"/>
  <c r="P16" i="13"/>
  <c r="P16" i="11"/>
  <c r="P16" i="10"/>
  <c r="P16" i="9"/>
  <c r="P16" i="7"/>
  <c r="P16" i="6"/>
  <c r="P16" i="5"/>
  <c r="P16" i="4"/>
  <c r="Y14" i="28"/>
  <c r="P17" i="29"/>
  <c r="Z12" i="24"/>
  <c r="Z11" i="24"/>
  <c r="Z10" i="24"/>
  <c r="Z9" i="24"/>
  <c r="Z8" i="24"/>
  <c r="Z12" i="21"/>
  <c r="Z11" i="21"/>
  <c r="Z10" i="21"/>
  <c r="Z9" i="21"/>
  <c r="Z8" i="21"/>
  <c r="Y17" i="20" l="1"/>
  <c r="Y17" i="22"/>
  <c r="Y17" i="32"/>
  <c r="Y17" i="30"/>
  <c r="Y17" i="18"/>
  <c r="Y17" i="14"/>
  <c r="Y17" i="23"/>
  <c r="Y17" i="26"/>
  <c r="Y17" i="28"/>
  <c r="Y17" i="7"/>
  <c r="Y17" i="8"/>
  <c r="Y17" i="12"/>
  <c r="Y17" i="16"/>
  <c r="Y17" i="11"/>
  <c r="Y17" i="6"/>
  <c r="Y17" i="10"/>
  <c r="Y17" i="25"/>
  <c r="Y17" i="15"/>
  <c r="Y17" i="29"/>
  <c r="Y17" i="5"/>
  <c r="Y17" i="9"/>
  <c r="Y17" i="13"/>
  <c r="Y17" i="19"/>
  <c r="Y17" i="27"/>
  <c r="Y17" i="17"/>
  <c r="Y17" i="31"/>
  <c r="Z14" i="24"/>
  <c r="Z17" i="24" l="1"/>
  <c r="L13" i="17" l="1"/>
  <c r="L9" i="30" l="1"/>
  <c r="L10" i="30"/>
  <c r="L11" i="30"/>
  <c r="L12" i="30"/>
  <c r="L9" i="29"/>
  <c r="L10" i="29"/>
  <c r="L11" i="29"/>
  <c r="L12" i="29"/>
  <c r="L9" i="28"/>
  <c r="L10" i="28"/>
  <c r="L11" i="28"/>
  <c r="L12" i="28"/>
  <c r="L9" i="2"/>
  <c r="L10" i="2"/>
  <c r="L11" i="2"/>
  <c r="L12" i="2"/>
  <c r="L9" i="3"/>
  <c r="L10" i="3"/>
  <c r="L11" i="3"/>
  <c r="L12" i="3"/>
  <c r="L9" i="4"/>
  <c r="L10" i="4"/>
  <c r="L11" i="4"/>
  <c r="L12" i="4"/>
  <c r="L9" i="5"/>
  <c r="L10" i="5"/>
  <c r="L11" i="5"/>
  <c r="L12" i="5"/>
  <c r="L9" i="6"/>
  <c r="L10" i="6"/>
  <c r="L11" i="6"/>
  <c r="L12" i="6"/>
  <c r="L9" i="7"/>
  <c r="L10" i="7"/>
  <c r="L11" i="7"/>
  <c r="L12" i="7"/>
  <c r="L9" i="8"/>
  <c r="L10" i="8"/>
  <c r="L11" i="8"/>
  <c r="L12" i="8"/>
  <c r="L9" i="9"/>
  <c r="L10" i="9"/>
  <c r="L11" i="9"/>
  <c r="L12" i="9"/>
  <c r="L9" i="10"/>
  <c r="L10" i="10"/>
  <c r="L11" i="10"/>
  <c r="L12" i="10"/>
  <c r="L9" i="11"/>
  <c r="L10" i="11"/>
  <c r="L11" i="11"/>
  <c r="L12" i="11"/>
  <c r="L9" i="12"/>
  <c r="L10" i="12"/>
  <c r="L11" i="12"/>
  <c r="L12" i="12"/>
  <c r="L9" i="13"/>
  <c r="L10" i="13"/>
  <c r="L11" i="13"/>
  <c r="L12" i="13"/>
  <c r="L9" i="14"/>
  <c r="L10" i="14"/>
  <c r="L11" i="14"/>
  <c r="L12" i="14"/>
  <c r="L9" i="15"/>
  <c r="L10" i="15"/>
  <c r="L11" i="15"/>
  <c r="L12" i="15"/>
  <c r="L9" i="16"/>
  <c r="L10" i="16"/>
  <c r="L11" i="16"/>
  <c r="L12" i="16"/>
  <c r="L9" i="17"/>
  <c r="L10" i="17"/>
  <c r="L11" i="17"/>
  <c r="L12" i="17"/>
  <c r="L9" i="18"/>
  <c r="L10" i="18"/>
  <c r="L11" i="18"/>
  <c r="L12" i="18"/>
  <c r="L9" i="19"/>
  <c r="L10" i="19"/>
  <c r="L11" i="19"/>
  <c r="L12" i="19"/>
  <c r="L9" i="20"/>
  <c r="L10" i="20"/>
  <c r="L11" i="20"/>
  <c r="L12" i="20"/>
  <c r="L9" i="21"/>
  <c r="L10" i="21"/>
  <c r="L11" i="21"/>
  <c r="L12" i="21"/>
  <c r="L9" i="22"/>
  <c r="L10" i="22"/>
  <c r="L11" i="22"/>
  <c r="L12" i="22"/>
  <c r="L9" i="23"/>
  <c r="L10" i="23"/>
  <c r="L11" i="23"/>
  <c r="L12" i="23"/>
  <c r="L9" i="24"/>
  <c r="L10" i="24"/>
  <c r="L11" i="24"/>
  <c r="L12" i="24"/>
  <c r="L9" i="25"/>
  <c r="L10" i="25"/>
  <c r="L11" i="25"/>
  <c r="L12" i="25"/>
  <c r="L9" i="26"/>
  <c r="L10" i="26"/>
  <c r="L11" i="26"/>
  <c r="L12" i="26"/>
  <c r="L9" i="27"/>
  <c r="L10" i="27"/>
  <c r="L11" i="27"/>
  <c r="L12" i="27"/>
  <c r="L9" i="32"/>
  <c r="L10" i="32"/>
  <c r="L11" i="32"/>
  <c r="L12" i="32"/>
  <c r="L9" i="31"/>
  <c r="L10" i="31"/>
  <c r="L11" i="31"/>
  <c r="L12" i="31"/>
  <c r="L8" i="30"/>
  <c r="L8" i="29"/>
  <c r="L8" i="28"/>
  <c r="L8" i="2"/>
  <c r="L8" i="3"/>
  <c r="L8" i="4"/>
  <c r="L8" i="5"/>
  <c r="L8" i="6"/>
  <c r="L8" i="7"/>
  <c r="L8" i="8"/>
  <c r="L8" i="9"/>
  <c r="L8" i="10"/>
  <c r="L8" i="11"/>
  <c r="L8" i="12"/>
  <c r="L8" i="13"/>
  <c r="L8" i="14"/>
  <c r="L8" i="15"/>
  <c r="L8" i="16"/>
  <c r="L8" i="17"/>
  <c r="L8" i="18"/>
  <c r="L8" i="19"/>
  <c r="L8" i="20"/>
  <c r="L8" i="21"/>
  <c r="L8" i="22"/>
  <c r="L8" i="23"/>
  <c r="L8" i="24"/>
  <c r="L8" i="25"/>
  <c r="L8" i="26"/>
  <c r="L8" i="27"/>
  <c r="L8" i="32"/>
  <c r="L8" i="31"/>
  <c r="L17" i="2" l="1"/>
  <c r="L17" i="3"/>
  <c r="L14" i="2"/>
  <c r="L14" i="3"/>
  <c r="D16" i="2"/>
  <c r="E16" i="2"/>
  <c r="F16" i="2"/>
  <c r="H16" i="2"/>
  <c r="I16" i="2"/>
  <c r="J16" i="2"/>
  <c r="D16" i="3"/>
  <c r="E16" i="3"/>
  <c r="F16" i="3"/>
  <c r="H16" i="3"/>
  <c r="I16" i="3"/>
  <c r="J16" i="3"/>
  <c r="C16" i="3"/>
  <c r="E15" i="2"/>
  <c r="F15" i="2"/>
  <c r="H15" i="2"/>
  <c r="I15" i="2"/>
  <c r="J15" i="2"/>
  <c r="E15" i="3"/>
  <c r="F15" i="3"/>
  <c r="H15" i="3"/>
  <c r="I15" i="3"/>
  <c r="J15" i="3"/>
  <c r="D15" i="2"/>
  <c r="D15" i="3"/>
  <c r="B16" i="1" l="1"/>
  <c r="J14" i="1"/>
  <c r="J17" i="1" s="1"/>
  <c r="I14" i="1"/>
  <c r="I17" i="1" s="1"/>
  <c r="H14" i="1"/>
  <c r="H17" i="1" s="1"/>
  <c r="F14" i="1"/>
  <c r="F17" i="1" s="1"/>
  <c r="E14" i="1"/>
  <c r="E17" i="1" s="1"/>
  <c r="D14" i="1"/>
  <c r="D17" i="1" s="1"/>
  <c r="C14" i="1"/>
  <c r="C17" i="1" s="1"/>
  <c r="K8" i="1"/>
  <c r="K14" i="1" s="1"/>
  <c r="K17" i="1" s="1"/>
  <c r="G8" i="1"/>
  <c r="G14" i="1" s="1"/>
  <c r="G17" i="1" s="1"/>
  <c r="K8" i="7" l="1"/>
  <c r="K8" i="8"/>
  <c r="K8" i="9"/>
  <c r="K8" i="10"/>
  <c r="K8" i="11"/>
  <c r="K8" i="12"/>
  <c r="K8" i="13"/>
  <c r="K8" i="14"/>
  <c r="K8" i="15"/>
  <c r="K8" i="16"/>
  <c r="K8" i="17"/>
  <c r="K8" i="18"/>
  <c r="K8" i="19"/>
  <c r="K8" i="20"/>
  <c r="K8" i="21"/>
  <c r="K8" i="22"/>
  <c r="K8" i="23"/>
  <c r="K8" i="24"/>
  <c r="K8" i="25"/>
  <c r="K8" i="26"/>
  <c r="K8" i="27"/>
  <c r="K8" i="32"/>
  <c r="K8" i="6"/>
  <c r="G8" i="7"/>
  <c r="G8" i="8"/>
  <c r="G8" i="9"/>
  <c r="G8" i="10"/>
  <c r="G8" i="11"/>
  <c r="G8" i="12"/>
  <c r="G8" i="13"/>
  <c r="G8" i="14"/>
  <c r="G8" i="15"/>
  <c r="G8" i="16"/>
  <c r="G8" i="17"/>
  <c r="G8" i="18"/>
  <c r="G8" i="19"/>
  <c r="G8" i="20"/>
  <c r="G8" i="21"/>
  <c r="G8" i="22"/>
  <c r="G8" i="23"/>
  <c r="G8" i="24"/>
  <c r="G8" i="25"/>
  <c r="G8" i="26"/>
  <c r="G8" i="27"/>
  <c r="G8" i="32"/>
  <c r="G8" i="6"/>
  <c r="K8" i="28" l="1"/>
  <c r="G8" i="28"/>
  <c r="K8" i="29"/>
  <c r="G8" i="29"/>
  <c r="K8" i="30"/>
  <c r="G8" i="30"/>
  <c r="K8" i="31"/>
  <c r="G8" i="31"/>
  <c r="K14" i="32" l="1"/>
  <c r="J14" i="32"/>
  <c r="I14" i="32"/>
  <c r="H14" i="32"/>
  <c r="H15" i="32" s="1"/>
  <c r="H16" i="32" s="1"/>
  <c r="G14" i="32"/>
  <c r="F14" i="32"/>
  <c r="E14" i="32"/>
  <c r="D14" i="32"/>
  <c r="D15" i="32" s="1"/>
  <c r="D16" i="32" s="1"/>
  <c r="C14" i="32"/>
  <c r="K14" i="31"/>
  <c r="J14" i="31"/>
  <c r="I14" i="31"/>
  <c r="H14" i="31"/>
  <c r="G14" i="31"/>
  <c r="F14" i="31"/>
  <c r="E14" i="31"/>
  <c r="D14" i="31"/>
  <c r="C14" i="31"/>
  <c r="K14" i="30"/>
  <c r="J14" i="30"/>
  <c r="I14" i="30"/>
  <c r="H14" i="30"/>
  <c r="G14" i="30"/>
  <c r="F14" i="30"/>
  <c r="E14" i="30"/>
  <c r="D14" i="30"/>
  <c r="C14" i="30"/>
  <c r="K14" i="29"/>
  <c r="J14" i="29"/>
  <c r="I14" i="29"/>
  <c r="H14" i="29"/>
  <c r="G14" i="29"/>
  <c r="F14" i="29"/>
  <c r="E14" i="29"/>
  <c r="D14" i="29"/>
  <c r="C14" i="29"/>
  <c r="K14" i="28"/>
  <c r="J14" i="28"/>
  <c r="I14" i="28"/>
  <c r="H14" i="28"/>
  <c r="G14" i="28"/>
  <c r="F14" i="28"/>
  <c r="E14" i="28"/>
  <c r="D14" i="28"/>
  <c r="C14" i="28"/>
  <c r="K14" i="27"/>
  <c r="J14" i="27"/>
  <c r="I14" i="27"/>
  <c r="H14" i="27"/>
  <c r="G14" i="27"/>
  <c r="F14" i="27"/>
  <c r="E14" i="27"/>
  <c r="D14" i="27"/>
  <c r="C14" i="27"/>
  <c r="K14" i="26"/>
  <c r="J14" i="26"/>
  <c r="I14" i="26"/>
  <c r="H14" i="26"/>
  <c r="G14" i="26"/>
  <c r="F14" i="26"/>
  <c r="E14" i="26"/>
  <c r="D14" i="26"/>
  <c r="C14" i="26"/>
  <c r="K14" i="25"/>
  <c r="J14" i="25"/>
  <c r="I14" i="25"/>
  <c r="H14" i="25"/>
  <c r="G14" i="25"/>
  <c r="F14" i="25"/>
  <c r="E14" i="25"/>
  <c r="D14" i="25"/>
  <c r="C14" i="25"/>
  <c r="K14" i="24"/>
  <c r="J14" i="24"/>
  <c r="I14" i="24"/>
  <c r="H14" i="24"/>
  <c r="G14" i="24"/>
  <c r="F14" i="24"/>
  <c r="E14" i="24"/>
  <c r="D14" i="24"/>
  <c r="C14" i="24"/>
  <c r="K14" i="23"/>
  <c r="J14" i="23"/>
  <c r="I14" i="23"/>
  <c r="H14" i="23"/>
  <c r="H15" i="23" s="1"/>
  <c r="H16" i="23" s="1"/>
  <c r="G14" i="23"/>
  <c r="F14" i="23"/>
  <c r="E14" i="23"/>
  <c r="D14" i="23"/>
  <c r="C14" i="23"/>
  <c r="K14" i="22"/>
  <c r="J14" i="22"/>
  <c r="I14" i="22"/>
  <c r="H14" i="22"/>
  <c r="G14" i="22"/>
  <c r="F14" i="22"/>
  <c r="E14" i="22"/>
  <c r="D14" i="22"/>
  <c r="C14" i="22"/>
  <c r="K14" i="21"/>
  <c r="J14" i="21"/>
  <c r="J15" i="21" s="1"/>
  <c r="J16" i="21" s="1"/>
  <c r="I14" i="21"/>
  <c r="H14" i="21"/>
  <c r="G14" i="21"/>
  <c r="F14" i="21"/>
  <c r="F15" i="21" s="1"/>
  <c r="F16" i="21" s="1"/>
  <c r="E14" i="21"/>
  <c r="D14" i="21"/>
  <c r="C14" i="21"/>
  <c r="K14" i="20"/>
  <c r="J14" i="20"/>
  <c r="I14" i="20"/>
  <c r="H14" i="20"/>
  <c r="H15" i="20" s="1"/>
  <c r="H16" i="20" s="1"/>
  <c r="G14" i="20"/>
  <c r="F14" i="20"/>
  <c r="E14" i="20"/>
  <c r="D14" i="20"/>
  <c r="C14" i="20"/>
  <c r="K14" i="19"/>
  <c r="J14" i="19"/>
  <c r="I14" i="19"/>
  <c r="H14" i="19"/>
  <c r="G14" i="19"/>
  <c r="F14" i="19"/>
  <c r="E14" i="19"/>
  <c r="D14" i="19"/>
  <c r="C14" i="19"/>
  <c r="K14" i="18"/>
  <c r="J14" i="18"/>
  <c r="I14" i="18"/>
  <c r="H14" i="18"/>
  <c r="G14" i="18"/>
  <c r="F14" i="18"/>
  <c r="E14" i="18"/>
  <c r="D14" i="18"/>
  <c r="C14" i="18"/>
  <c r="H17" i="23" l="1"/>
  <c r="J17" i="27"/>
  <c r="J15" i="27"/>
  <c r="J16" i="27" s="1"/>
  <c r="I17" i="28"/>
  <c r="I15" i="28"/>
  <c r="I16" i="28" s="1"/>
  <c r="H17" i="29"/>
  <c r="H15" i="29"/>
  <c r="H16" i="29" s="1"/>
  <c r="J17" i="31"/>
  <c r="J15" i="31"/>
  <c r="J16" i="31" s="1"/>
  <c r="I17" i="32"/>
  <c r="I15" i="32"/>
  <c r="I16" i="32" s="1"/>
  <c r="I17" i="18"/>
  <c r="I15" i="18"/>
  <c r="I16" i="18" s="1"/>
  <c r="I17" i="22"/>
  <c r="I15" i="22"/>
  <c r="I16" i="22" s="1"/>
  <c r="H17" i="18"/>
  <c r="H15" i="18"/>
  <c r="H16" i="18" s="1"/>
  <c r="H17" i="22"/>
  <c r="H15" i="22"/>
  <c r="H16" i="22" s="1"/>
  <c r="H17" i="26"/>
  <c r="H15" i="26"/>
  <c r="H16" i="26" s="1"/>
  <c r="J17" i="28"/>
  <c r="J15" i="28"/>
  <c r="J16" i="28" s="1"/>
  <c r="I17" i="29"/>
  <c r="I15" i="29"/>
  <c r="I16" i="29" s="1"/>
  <c r="H17" i="30"/>
  <c r="H15" i="30"/>
  <c r="H16" i="30" s="1"/>
  <c r="J17" i="32"/>
  <c r="J15" i="32"/>
  <c r="J16" i="32" s="1"/>
  <c r="J17" i="18"/>
  <c r="J15" i="18"/>
  <c r="J16" i="18" s="1"/>
  <c r="J17" i="22"/>
  <c r="J15" i="22"/>
  <c r="J16" i="22" s="1"/>
  <c r="I17" i="23"/>
  <c r="I15" i="23"/>
  <c r="I16" i="23" s="1"/>
  <c r="I17" i="26"/>
  <c r="I15" i="26"/>
  <c r="I16" i="26" s="1"/>
  <c r="H17" i="27"/>
  <c r="H15" i="27"/>
  <c r="H16" i="27" s="1"/>
  <c r="J17" i="29"/>
  <c r="J15" i="29"/>
  <c r="J16" i="29" s="1"/>
  <c r="I17" i="30"/>
  <c r="I15" i="30"/>
  <c r="I16" i="30" s="1"/>
  <c r="H17" i="31"/>
  <c r="H15" i="31"/>
  <c r="H16" i="31" s="1"/>
  <c r="J17" i="23"/>
  <c r="J15" i="23"/>
  <c r="J16" i="23" s="1"/>
  <c r="J17" i="26"/>
  <c r="J15" i="26"/>
  <c r="J16" i="26" s="1"/>
  <c r="I17" i="27"/>
  <c r="I15" i="27"/>
  <c r="I16" i="27" s="1"/>
  <c r="H17" i="28"/>
  <c r="H15" i="28"/>
  <c r="H16" i="28" s="1"/>
  <c r="J17" i="30"/>
  <c r="J15" i="30"/>
  <c r="J16" i="30" s="1"/>
  <c r="I17" i="31"/>
  <c r="I15" i="31"/>
  <c r="I16" i="31" s="1"/>
  <c r="H17" i="32"/>
  <c r="D17" i="23"/>
  <c r="D15" i="23"/>
  <c r="D16" i="23" s="1"/>
  <c r="D17" i="30"/>
  <c r="D15" i="30"/>
  <c r="D16" i="30" s="1"/>
  <c r="F17" i="22"/>
  <c r="F15" i="22"/>
  <c r="F16" i="22" s="1"/>
  <c r="E17" i="23"/>
  <c r="E15" i="23"/>
  <c r="E16" i="23" s="1"/>
  <c r="E17" i="26"/>
  <c r="E15" i="26"/>
  <c r="E16" i="26" s="1"/>
  <c r="D17" i="27"/>
  <c r="D15" i="27"/>
  <c r="D16" i="27" s="1"/>
  <c r="C17" i="28"/>
  <c r="C16" i="28"/>
  <c r="L14" i="28"/>
  <c r="F17" i="29"/>
  <c r="F15" i="29"/>
  <c r="F16" i="29" s="1"/>
  <c r="E17" i="30"/>
  <c r="E15" i="30"/>
  <c r="E16" i="30" s="1"/>
  <c r="D17" i="31"/>
  <c r="D15" i="31"/>
  <c r="D16" i="31" s="1"/>
  <c r="C17" i="32"/>
  <c r="L14" i="32"/>
  <c r="C16" i="32"/>
  <c r="E17" i="22"/>
  <c r="E15" i="22"/>
  <c r="E16" i="22" s="1"/>
  <c r="C17" i="27"/>
  <c r="C16" i="27"/>
  <c r="L14" i="27"/>
  <c r="F17" i="28"/>
  <c r="F15" i="28"/>
  <c r="F16" i="28" s="1"/>
  <c r="E17" i="29"/>
  <c r="E15" i="29"/>
  <c r="E16" i="29" s="1"/>
  <c r="C17" i="31"/>
  <c r="C16" i="31"/>
  <c r="L14" i="31"/>
  <c r="C17" i="22"/>
  <c r="L14" i="22"/>
  <c r="C16" i="22"/>
  <c r="F17" i="23"/>
  <c r="F15" i="23"/>
  <c r="F16" i="23" s="1"/>
  <c r="F17" i="26"/>
  <c r="F15" i="26"/>
  <c r="F16" i="26" s="1"/>
  <c r="E17" i="27"/>
  <c r="E15" i="27"/>
  <c r="E16" i="27" s="1"/>
  <c r="D17" i="28"/>
  <c r="D15" i="28"/>
  <c r="D16" i="28" s="1"/>
  <c r="C17" i="29"/>
  <c r="L14" i="29"/>
  <c r="C16" i="29"/>
  <c r="F17" i="30"/>
  <c r="F15" i="30"/>
  <c r="F16" i="30" s="1"/>
  <c r="E17" i="31"/>
  <c r="E15" i="31"/>
  <c r="E16" i="31" s="1"/>
  <c r="D17" i="32"/>
  <c r="E17" i="18"/>
  <c r="E15" i="18"/>
  <c r="E16" i="18" s="1"/>
  <c r="D17" i="26"/>
  <c r="D15" i="26"/>
  <c r="D16" i="26" s="1"/>
  <c r="F17" i="32"/>
  <c r="F15" i="32"/>
  <c r="F16" i="32" s="1"/>
  <c r="F17" i="18"/>
  <c r="F15" i="18"/>
  <c r="F16" i="18" s="1"/>
  <c r="C17" i="18"/>
  <c r="C16" i="18"/>
  <c r="L14" i="18"/>
  <c r="D17" i="18"/>
  <c r="D15" i="18"/>
  <c r="D16" i="18" s="1"/>
  <c r="D17" i="22"/>
  <c r="D15" i="22"/>
  <c r="D16" i="22" s="1"/>
  <c r="C17" i="23"/>
  <c r="L14" i="23"/>
  <c r="C16" i="23"/>
  <c r="C17" i="26"/>
  <c r="L17" i="26" s="1"/>
  <c r="L14" i="26"/>
  <c r="C16" i="26"/>
  <c r="F17" i="27"/>
  <c r="F15" i="27"/>
  <c r="F16" i="27" s="1"/>
  <c r="E17" i="28"/>
  <c r="E15" i="28"/>
  <c r="E16" i="28" s="1"/>
  <c r="D17" i="29"/>
  <c r="D15" i="29"/>
  <c r="D16" i="29" s="1"/>
  <c r="C17" i="30"/>
  <c r="L14" i="30"/>
  <c r="C16" i="30"/>
  <c r="F17" i="31"/>
  <c r="F15" i="31"/>
  <c r="F16" i="31" s="1"/>
  <c r="E17" i="32"/>
  <c r="E15" i="32"/>
  <c r="E16" i="32" s="1"/>
  <c r="F17" i="25"/>
  <c r="F15" i="25"/>
  <c r="F16" i="25" s="1"/>
  <c r="E17" i="25"/>
  <c r="E15" i="25"/>
  <c r="E16" i="25" s="1"/>
  <c r="D17" i="25"/>
  <c r="D15" i="25"/>
  <c r="D16" i="25" s="1"/>
  <c r="C17" i="25"/>
  <c r="C16" i="25"/>
  <c r="J17" i="25"/>
  <c r="J15" i="25"/>
  <c r="J16" i="25" s="1"/>
  <c r="I17" i="25"/>
  <c r="I15" i="25"/>
  <c r="I16" i="25" s="1"/>
  <c r="H15" i="25"/>
  <c r="H16" i="25" s="1"/>
  <c r="L14" i="25"/>
  <c r="H17" i="25"/>
  <c r="E17" i="24"/>
  <c r="E15" i="24"/>
  <c r="E16" i="24" s="1"/>
  <c r="I17" i="24"/>
  <c r="I15" i="24"/>
  <c r="I16" i="24" s="1"/>
  <c r="F17" i="24"/>
  <c r="F15" i="24"/>
  <c r="F16" i="24" s="1"/>
  <c r="J17" i="24"/>
  <c r="J15" i="24"/>
  <c r="J16" i="24" s="1"/>
  <c r="C17" i="24"/>
  <c r="L14" i="24"/>
  <c r="C16" i="24"/>
  <c r="D17" i="24"/>
  <c r="D15" i="24"/>
  <c r="D16" i="24" s="1"/>
  <c r="H17" i="24"/>
  <c r="H15" i="24"/>
  <c r="H16" i="24" s="1"/>
  <c r="F17" i="21"/>
  <c r="E17" i="21"/>
  <c r="E15" i="21"/>
  <c r="E16" i="21" s="1"/>
  <c r="D17" i="21"/>
  <c r="D15" i="21"/>
  <c r="D16" i="21" s="1"/>
  <c r="C17" i="21"/>
  <c r="C16" i="21"/>
  <c r="J17" i="21"/>
  <c r="I17" i="21"/>
  <c r="I15" i="21"/>
  <c r="I16" i="21" s="1"/>
  <c r="H17" i="21"/>
  <c r="H15" i="21"/>
  <c r="H16" i="21" s="1"/>
  <c r="L14" i="21"/>
  <c r="C17" i="20"/>
  <c r="C16" i="20"/>
  <c r="J17" i="20"/>
  <c r="J15" i="20"/>
  <c r="J16" i="20" s="1"/>
  <c r="I17" i="20"/>
  <c r="I15" i="20"/>
  <c r="I16" i="20" s="1"/>
  <c r="H17" i="20"/>
  <c r="F17" i="20"/>
  <c r="F15" i="20"/>
  <c r="F16" i="20" s="1"/>
  <c r="E17" i="20"/>
  <c r="E15" i="20"/>
  <c r="E16" i="20" s="1"/>
  <c r="D17" i="20"/>
  <c r="D15" i="20"/>
  <c r="D16" i="20" s="1"/>
  <c r="L14" i="20"/>
  <c r="C17" i="19"/>
  <c r="C16" i="19"/>
  <c r="J17" i="19"/>
  <c r="J15" i="19"/>
  <c r="J16" i="19" s="1"/>
  <c r="I17" i="19"/>
  <c r="I15" i="19"/>
  <c r="I16" i="19" s="1"/>
  <c r="H17" i="19"/>
  <c r="H15" i="19"/>
  <c r="H16" i="19" s="1"/>
  <c r="F17" i="19"/>
  <c r="F15" i="19"/>
  <c r="F16" i="19" s="1"/>
  <c r="E17" i="19"/>
  <c r="E15" i="19"/>
  <c r="E16" i="19" s="1"/>
  <c r="D17" i="19"/>
  <c r="L14" i="19"/>
  <c r="D15" i="19"/>
  <c r="D16" i="19" s="1"/>
  <c r="K14" i="17"/>
  <c r="J14" i="17"/>
  <c r="I14" i="17"/>
  <c r="H14" i="17"/>
  <c r="G14" i="17"/>
  <c r="F14" i="17"/>
  <c r="E14" i="17"/>
  <c r="D14" i="17"/>
  <c r="C14" i="17"/>
  <c r="K14" i="16"/>
  <c r="J14" i="16"/>
  <c r="I14" i="16"/>
  <c r="H14" i="16"/>
  <c r="H15" i="16" s="1"/>
  <c r="H16" i="16" s="1"/>
  <c r="G14" i="16"/>
  <c r="F14" i="16"/>
  <c r="E14" i="16"/>
  <c r="D14" i="16"/>
  <c r="C14" i="16"/>
  <c r="K14" i="15"/>
  <c r="J14" i="15"/>
  <c r="I14" i="15"/>
  <c r="H14" i="15"/>
  <c r="G14" i="15"/>
  <c r="F14" i="15"/>
  <c r="E14" i="15"/>
  <c r="D14" i="15"/>
  <c r="C14" i="15"/>
  <c r="K14" i="14"/>
  <c r="J14" i="14"/>
  <c r="I14" i="14"/>
  <c r="H14" i="14"/>
  <c r="G14" i="14"/>
  <c r="F14" i="14"/>
  <c r="E14" i="14"/>
  <c r="D14" i="14"/>
  <c r="C14" i="14"/>
  <c r="K14" i="13"/>
  <c r="J14" i="13"/>
  <c r="I14" i="13"/>
  <c r="H14" i="13"/>
  <c r="H15" i="13" s="1"/>
  <c r="H16" i="13" s="1"/>
  <c r="G14" i="13"/>
  <c r="F14" i="13"/>
  <c r="E14" i="13"/>
  <c r="D14" i="13"/>
  <c r="C14" i="13"/>
  <c r="K14" i="12"/>
  <c r="J14" i="12"/>
  <c r="I14" i="12"/>
  <c r="H14" i="12"/>
  <c r="G14" i="12"/>
  <c r="F14" i="12"/>
  <c r="E14" i="12"/>
  <c r="D14" i="12"/>
  <c r="C14" i="12"/>
  <c r="K14" i="11"/>
  <c r="J14" i="11"/>
  <c r="I14" i="11"/>
  <c r="H14" i="11"/>
  <c r="H15" i="11" s="1"/>
  <c r="H16" i="11" s="1"/>
  <c r="G14" i="11"/>
  <c r="F14" i="11"/>
  <c r="E14" i="11"/>
  <c r="D14" i="11"/>
  <c r="C14" i="11"/>
  <c r="K14" i="10"/>
  <c r="J14" i="10"/>
  <c r="I14" i="10"/>
  <c r="H14" i="10"/>
  <c r="H15" i="10" s="1"/>
  <c r="H16" i="10" s="1"/>
  <c r="G14" i="10"/>
  <c r="F14" i="10"/>
  <c r="E14" i="10"/>
  <c r="D14" i="10"/>
  <c r="C14" i="10"/>
  <c r="K14" i="9"/>
  <c r="J14" i="9"/>
  <c r="I14" i="9"/>
  <c r="H14" i="9"/>
  <c r="G14" i="9"/>
  <c r="F14" i="9"/>
  <c r="E14" i="9"/>
  <c r="D14" i="9"/>
  <c r="C14" i="9"/>
  <c r="K14" i="8"/>
  <c r="J14" i="8"/>
  <c r="I14" i="8"/>
  <c r="H14" i="8"/>
  <c r="G14" i="8"/>
  <c r="F14" i="8"/>
  <c r="E14" i="8"/>
  <c r="D14" i="8"/>
  <c r="C14" i="8"/>
  <c r="K14" i="7"/>
  <c r="J14" i="7"/>
  <c r="I14" i="7"/>
  <c r="H14" i="7"/>
  <c r="G14" i="7"/>
  <c r="F14" i="7"/>
  <c r="E14" i="7"/>
  <c r="D14" i="7"/>
  <c r="C14" i="7"/>
  <c r="J14" i="6"/>
  <c r="I14" i="6"/>
  <c r="H14" i="6"/>
  <c r="H15" i="6" s="1"/>
  <c r="H16" i="6" s="1"/>
  <c r="G14" i="6"/>
  <c r="F14" i="6"/>
  <c r="E14" i="6"/>
  <c r="D14" i="6"/>
  <c r="C14" i="6"/>
  <c r="K14" i="5"/>
  <c r="J14" i="5"/>
  <c r="I14" i="5"/>
  <c r="H14" i="5"/>
  <c r="H15" i="5" s="1"/>
  <c r="H16" i="5" s="1"/>
  <c r="G14" i="5"/>
  <c r="F14" i="5"/>
  <c r="E14" i="5"/>
  <c r="D14" i="5"/>
  <c r="D15" i="5" s="1"/>
  <c r="D16" i="5" s="1"/>
  <c r="C14" i="5"/>
  <c r="L17" i="30" l="1"/>
  <c r="I17" i="6"/>
  <c r="I15" i="6"/>
  <c r="I16" i="6" s="1"/>
  <c r="I17" i="7"/>
  <c r="I15" i="7"/>
  <c r="I16" i="7" s="1"/>
  <c r="H17" i="8"/>
  <c r="H15" i="8"/>
  <c r="H16" i="8" s="1"/>
  <c r="I17" i="11"/>
  <c r="I15" i="11"/>
  <c r="I16" i="11" s="1"/>
  <c r="H17" i="5"/>
  <c r="J17" i="6"/>
  <c r="J15" i="6"/>
  <c r="J16" i="6" s="1"/>
  <c r="J17" i="7"/>
  <c r="J15" i="7"/>
  <c r="J16" i="7" s="1"/>
  <c r="I17" i="8"/>
  <c r="I15" i="8"/>
  <c r="I16" i="8" s="1"/>
  <c r="H17" i="9"/>
  <c r="H15" i="9"/>
  <c r="H16" i="9" s="1"/>
  <c r="J17" i="11"/>
  <c r="J15" i="11"/>
  <c r="J16" i="11" s="1"/>
  <c r="I17" i="5"/>
  <c r="I15" i="5"/>
  <c r="I16" i="5" s="1"/>
  <c r="J17" i="8"/>
  <c r="J15" i="8"/>
  <c r="J16" i="8" s="1"/>
  <c r="I17" i="9"/>
  <c r="I15" i="9"/>
  <c r="I16" i="9" s="1"/>
  <c r="J17" i="5"/>
  <c r="J15" i="5"/>
  <c r="J16" i="5" s="1"/>
  <c r="H17" i="7"/>
  <c r="H15" i="7"/>
  <c r="H16" i="7" s="1"/>
  <c r="J17" i="9"/>
  <c r="J15" i="9"/>
  <c r="J16" i="9" s="1"/>
  <c r="H17" i="11"/>
  <c r="L17" i="18"/>
  <c r="L17" i="29"/>
  <c r="D17" i="6"/>
  <c r="D15" i="6"/>
  <c r="D16" i="6" s="1"/>
  <c r="D17" i="5"/>
  <c r="E17" i="6"/>
  <c r="E15" i="6"/>
  <c r="E16" i="6" s="1"/>
  <c r="E17" i="7"/>
  <c r="E15" i="7"/>
  <c r="E16" i="7" s="1"/>
  <c r="D17" i="8"/>
  <c r="D15" i="8"/>
  <c r="D16" i="8" s="1"/>
  <c r="C17" i="9"/>
  <c r="L14" i="9"/>
  <c r="C16" i="9"/>
  <c r="E17" i="11"/>
  <c r="E15" i="11"/>
  <c r="E16" i="11" s="1"/>
  <c r="L17" i="23"/>
  <c r="L17" i="27"/>
  <c r="C17" i="5"/>
  <c r="L14" i="5"/>
  <c r="C16" i="5"/>
  <c r="C17" i="8"/>
  <c r="L14" i="8"/>
  <c r="C16" i="8"/>
  <c r="D17" i="11"/>
  <c r="D15" i="11"/>
  <c r="D16" i="11" s="1"/>
  <c r="E17" i="5"/>
  <c r="E15" i="5"/>
  <c r="E16" i="5" s="1"/>
  <c r="F17" i="6"/>
  <c r="F15" i="6"/>
  <c r="F16" i="6" s="1"/>
  <c r="F17" i="7"/>
  <c r="F15" i="7"/>
  <c r="F16" i="7" s="1"/>
  <c r="E17" i="8"/>
  <c r="E15" i="8"/>
  <c r="E16" i="8" s="1"/>
  <c r="D17" i="9"/>
  <c r="D15" i="9"/>
  <c r="D16" i="9" s="1"/>
  <c r="F17" i="11"/>
  <c r="F15" i="11"/>
  <c r="F16" i="11" s="1"/>
  <c r="L17" i="31"/>
  <c r="L17" i="32"/>
  <c r="D17" i="7"/>
  <c r="D15" i="7"/>
  <c r="D16" i="7" s="1"/>
  <c r="F17" i="9"/>
  <c r="F15" i="9"/>
  <c r="F16" i="9" s="1"/>
  <c r="F17" i="5"/>
  <c r="F15" i="5"/>
  <c r="F16" i="5" s="1"/>
  <c r="C17" i="6"/>
  <c r="C16" i="6"/>
  <c r="L14" i="6"/>
  <c r="C17" i="7"/>
  <c r="L14" i="7"/>
  <c r="C16" i="7"/>
  <c r="F17" i="8"/>
  <c r="F15" i="8"/>
  <c r="F16" i="8" s="1"/>
  <c r="E17" i="9"/>
  <c r="E15" i="9"/>
  <c r="E16" i="9" s="1"/>
  <c r="C17" i="11"/>
  <c r="C16" i="11"/>
  <c r="L14" i="11"/>
  <c r="L17" i="22"/>
  <c r="L17" i="28"/>
  <c r="L17" i="25"/>
  <c r="L17" i="24"/>
  <c r="L17" i="21"/>
  <c r="L17" i="20"/>
  <c r="L17" i="19"/>
  <c r="C17" i="16"/>
  <c r="C16" i="16"/>
  <c r="J17" i="16"/>
  <c r="J15" i="16"/>
  <c r="J16" i="16" s="1"/>
  <c r="I17" i="16"/>
  <c r="I15" i="16"/>
  <c r="I16" i="16" s="1"/>
  <c r="H17" i="16"/>
  <c r="F17" i="16"/>
  <c r="F15" i="16"/>
  <c r="F16" i="16" s="1"/>
  <c r="E17" i="16"/>
  <c r="E15" i="16"/>
  <c r="E16" i="16" s="1"/>
  <c r="D17" i="16"/>
  <c r="L14" i="16"/>
  <c r="D15" i="16"/>
  <c r="D16" i="16" s="1"/>
  <c r="C17" i="17"/>
  <c r="C16" i="17"/>
  <c r="J17" i="17"/>
  <c r="J15" i="17"/>
  <c r="J16" i="17" s="1"/>
  <c r="I17" i="17"/>
  <c r="I15" i="17"/>
  <c r="I16" i="17" s="1"/>
  <c r="H17" i="17"/>
  <c r="H15" i="17"/>
  <c r="H16" i="17" s="1"/>
  <c r="F17" i="17"/>
  <c r="F15" i="17"/>
  <c r="F16" i="17" s="1"/>
  <c r="E17" i="17"/>
  <c r="E15" i="17"/>
  <c r="E16" i="17" s="1"/>
  <c r="D17" i="17"/>
  <c r="D15" i="17"/>
  <c r="D16" i="17" s="1"/>
  <c r="L14" i="17"/>
  <c r="C17" i="15"/>
  <c r="C16" i="15"/>
  <c r="J17" i="15"/>
  <c r="J15" i="15"/>
  <c r="J16" i="15" s="1"/>
  <c r="I17" i="15"/>
  <c r="I15" i="15"/>
  <c r="I16" i="15" s="1"/>
  <c r="H17" i="15"/>
  <c r="H15" i="15"/>
  <c r="H16" i="15" s="1"/>
  <c r="F17" i="15"/>
  <c r="F15" i="15"/>
  <c r="F16" i="15" s="1"/>
  <c r="E17" i="15"/>
  <c r="E15" i="15"/>
  <c r="E16" i="15" s="1"/>
  <c r="D17" i="15"/>
  <c r="D15" i="15"/>
  <c r="D16" i="15" s="1"/>
  <c r="L14" i="15"/>
  <c r="C17" i="14"/>
  <c r="C16" i="14"/>
  <c r="J17" i="14"/>
  <c r="J15" i="14"/>
  <c r="J16" i="14" s="1"/>
  <c r="I17" i="14"/>
  <c r="I15" i="14"/>
  <c r="I16" i="14" s="1"/>
  <c r="H17" i="14"/>
  <c r="H15" i="14"/>
  <c r="H16" i="14" s="1"/>
  <c r="F17" i="14"/>
  <c r="F15" i="14"/>
  <c r="F16" i="14" s="1"/>
  <c r="E17" i="14"/>
  <c r="E15" i="14"/>
  <c r="E16" i="14" s="1"/>
  <c r="D17" i="14"/>
  <c r="L14" i="14"/>
  <c r="D15" i="14"/>
  <c r="D16" i="14" s="1"/>
  <c r="J17" i="13"/>
  <c r="J15" i="13"/>
  <c r="J16" i="13" s="1"/>
  <c r="H17" i="13"/>
  <c r="I17" i="13"/>
  <c r="I15" i="13"/>
  <c r="I16" i="13" s="1"/>
  <c r="C17" i="13"/>
  <c r="C16" i="13"/>
  <c r="L14" i="13"/>
  <c r="D17" i="13"/>
  <c r="D15" i="13"/>
  <c r="D16" i="13" s="1"/>
  <c r="F17" i="13"/>
  <c r="F15" i="13"/>
  <c r="F16" i="13" s="1"/>
  <c r="E17" i="13"/>
  <c r="E15" i="13"/>
  <c r="E16" i="13" s="1"/>
  <c r="C17" i="12"/>
  <c r="C16" i="12"/>
  <c r="J17" i="12"/>
  <c r="J15" i="12"/>
  <c r="J16" i="12" s="1"/>
  <c r="I17" i="12"/>
  <c r="I15" i="12"/>
  <c r="I16" i="12" s="1"/>
  <c r="H17" i="12"/>
  <c r="H15" i="12"/>
  <c r="H16" i="12" s="1"/>
  <c r="F17" i="12"/>
  <c r="F15" i="12"/>
  <c r="F16" i="12" s="1"/>
  <c r="E17" i="12"/>
  <c r="E15" i="12"/>
  <c r="E16" i="12" s="1"/>
  <c r="D17" i="12"/>
  <c r="D15" i="12"/>
  <c r="D16" i="12" s="1"/>
  <c r="L14" i="12"/>
  <c r="C17" i="10"/>
  <c r="C16" i="10"/>
  <c r="J17" i="10"/>
  <c r="J15" i="10"/>
  <c r="J16" i="10" s="1"/>
  <c r="I17" i="10"/>
  <c r="I15" i="10"/>
  <c r="I16" i="10" s="1"/>
  <c r="H17" i="10"/>
  <c r="F17" i="10"/>
  <c r="F15" i="10"/>
  <c r="F16" i="10" s="1"/>
  <c r="E17" i="10"/>
  <c r="E15" i="10"/>
  <c r="E16" i="10" s="1"/>
  <c r="D17" i="10"/>
  <c r="D15" i="10"/>
  <c r="D16" i="10" s="1"/>
  <c r="L14" i="10"/>
  <c r="H17" i="6"/>
  <c r="K14" i="6"/>
  <c r="K14" i="4"/>
  <c r="J14" i="4"/>
  <c r="I14" i="4"/>
  <c r="H14" i="4"/>
  <c r="G14" i="4"/>
  <c r="F14" i="4"/>
  <c r="E14" i="4"/>
  <c r="D14" i="4"/>
  <c r="C14" i="4"/>
  <c r="L17" i="8" l="1"/>
  <c r="L17" i="7"/>
  <c r="J17" i="4"/>
  <c r="J15" i="4"/>
  <c r="J16" i="4" s="1"/>
  <c r="H17" i="4"/>
  <c r="H15" i="4"/>
  <c r="H16" i="4" s="1"/>
  <c r="I17" i="4"/>
  <c r="I15" i="4"/>
  <c r="I16" i="4" s="1"/>
  <c r="L17" i="11"/>
  <c r="E17" i="4"/>
  <c r="E15" i="4"/>
  <c r="E16" i="4" s="1"/>
  <c r="F17" i="4"/>
  <c r="F15" i="4"/>
  <c r="F16" i="4" s="1"/>
  <c r="L17" i="9"/>
  <c r="D17" i="4"/>
  <c r="D15" i="4"/>
  <c r="D16" i="4" s="1"/>
  <c r="C17" i="4"/>
  <c r="L14" i="4"/>
  <c r="C16" i="4"/>
  <c r="L17" i="6"/>
  <c r="L17" i="5"/>
  <c r="L17" i="16"/>
  <c r="L17" i="17"/>
  <c r="L17" i="15"/>
  <c r="L17" i="14"/>
  <c r="L17" i="13"/>
  <c r="L17" i="12"/>
  <c r="L17" i="10"/>
  <c r="L17" i="4" l="1"/>
  <c r="K18" i="2"/>
  <c r="J18" i="2"/>
  <c r="I18" i="2"/>
  <c r="H18" i="2"/>
  <c r="G18" i="2"/>
  <c r="F18" i="2"/>
  <c r="E18" i="2"/>
  <c r="D18" i="2"/>
  <c r="C15" i="2"/>
  <c r="C16" i="2" s="1"/>
</calcChain>
</file>

<file path=xl/sharedStrings.xml><?xml version="1.0" encoding="utf-8"?>
<sst xmlns="http://schemas.openxmlformats.org/spreadsheetml/2006/main" count="1297" uniqueCount="38">
  <si>
    <t>Gate Pass</t>
  </si>
  <si>
    <t>60gm</t>
  </si>
  <si>
    <t>70 Gmm</t>
  </si>
  <si>
    <t>120Gm</t>
  </si>
  <si>
    <t>Date</t>
  </si>
  <si>
    <t>Name</t>
  </si>
  <si>
    <t xml:space="preserve">CHK  </t>
  </si>
  <si>
    <t xml:space="preserve">LEM </t>
  </si>
  <si>
    <t>CHK FOC</t>
  </si>
  <si>
    <t xml:space="preserve">Salman </t>
  </si>
  <si>
    <t xml:space="preserve">Mubeen </t>
  </si>
  <si>
    <t>LEM</t>
  </si>
  <si>
    <t>CHK</t>
  </si>
  <si>
    <t>Meat</t>
  </si>
  <si>
    <t>Salman</t>
  </si>
  <si>
    <t xml:space="preserve">Zeshan </t>
  </si>
  <si>
    <t xml:space="preserve">Total </t>
  </si>
  <si>
    <t>Furqan</t>
  </si>
  <si>
    <t xml:space="preserve">Last Month </t>
  </si>
  <si>
    <t>Mubeen</t>
  </si>
  <si>
    <t>Saturday</t>
  </si>
  <si>
    <t>With FOC</t>
  </si>
  <si>
    <t>FOC</t>
  </si>
  <si>
    <t>SKU Wise</t>
  </si>
  <si>
    <t xml:space="preserve">Pcs </t>
  </si>
  <si>
    <t xml:space="preserve">Ctns </t>
  </si>
  <si>
    <t>Shops</t>
  </si>
  <si>
    <t>Ctns</t>
  </si>
  <si>
    <t xml:space="preserve"> </t>
  </si>
  <si>
    <t>ok</t>
  </si>
  <si>
    <t xml:space="preserve">Executed </t>
  </si>
  <si>
    <t>Executed</t>
  </si>
  <si>
    <t>Zeshan</t>
  </si>
  <si>
    <t>Umair</t>
  </si>
  <si>
    <t xml:space="preserve">Shakoor </t>
  </si>
  <si>
    <t>Bilal</t>
  </si>
  <si>
    <t>Booking</t>
  </si>
  <si>
    <t>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</si>
</sst>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/>
    <xf numFmtId="0" fontId="2" fillId="2" borderId="15" xfId="0" applyFont="1" applyFill="1" applyBorder="1" applyAlignment="1">
      <alignment horizontal="center"/>
    </xf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Alignment="1">
      <alignment horizontal="center"/>
    </xf>
    <xf numFmtId="16" fontId="2" fillId="0" borderId="15" xfId="0" applyNumberFormat="1" applyFont="1" applyBorder="1"/>
    <xf numFmtId="0" fontId="2" fillId="3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5" borderId="15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/>
    </xf>
    <xf numFmtId="0" fontId="6" fillId="0" borderId="15" xfId="0" applyFont="1" applyBorder="1"/>
    <xf numFmtId="0" fontId="0" fillId="0" borderId="15" xfId="0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4" borderId="15" xfId="0" applyFont="1" applyFill="1" applyBorder="1"/>
    <xf numFmtId="0" fontId="2" fillId="0" borderId="27" xfId="0" applyFont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0" fillId="6" borderId="15" xfId="0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A86E-F402-4488-8063-E587A4C46F24}">
  <dimension ref="A1:K28"/>
  <sheetViews>
    <sheetView topLeftCell="A16" zoomScale="115" zoomScaleNormal="115" workbookViewId="0">
      <selection activeCell="C11" sqref="C11"/>
    </sheetView>
  </sheetViews>
  <sheetFormatPr defaultRowHeight="14.5" x14ac:dyDescent="0.35"/>
  <cols>
    <col min="1" max="1" width="4.6328125" bestFit="1" customWidth="1"/>
    <col min="2" max="2" width="8.08984375" bestFit="1" customWidth="1"/>
    <col min="3" max="3" width="5.453125" bestFit="1" customWidth="1"/>
    <col min="4" max="4" width="4.90625" bestFit="1" customWidth="1"/>
    <col min="5" max="5" width="4.7265625" bestFit="1" customWidth="1"/>
    <col min="6" max="6" width="4.6328125" bestFit="1" customWidth="1"/>
    <col min="7" max="7" width="8.6328125" bestFit="1" customWidth="1"/>
    <col min="8" max="8" width="4.90625" bestFit="1" customWidth="1"/>
    <col min="9" max="9" width="5.26953125" bestFit="1" customWidth="1"/>
    <col min="10" max="10" width="4.6328125" bestFit="1" customWidth="1"/>
    <col min="11" max="11" width="8.6328125" bestFit="1" customWidth="1"/>
  </cols>
  <sheetData>
    <row r="1" spans="1:11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49" t="s">
        <v>0</v>
      </c>
      <c r="C2" s="50"/>
      <c r="D2" s="50"/>
      <c r="E2" s="50"/>
      <c r="F2" s="50"/>
      <c r="G2" s="50"/>
      <c r="H2" s="50"/>
      <c r="I2" s="50"/>
      <c r="J2" s="50"/>
      <c r="K2" s="51"/>
    </row>
    <row r="3" spans="1:11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</row>
    <row r="4" spans="1:11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</row>
    <row r="5" spans="1:11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</row>
    <row r="6" spans="1:11" ht="15" thickBot="1" x14ac:dyDescent="0.4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</row>
    <row r="7" spans="1:11" x14ac:dyDescent="0.35">
      <c r="A7" s="4" t="s">
        <v>4</v>
      </c>
      <c r="B7" s="4" t="s">
        <v>5</v>
      </c>
      <c r="C7" s="5" t="s">
        <v>6</v>
      </c>
      <c r="D7" s="6" t="s">
        <v>13</v>
      </c>
      <c r="E7" s="7" t="s">
        <v>11</v>
      </c>
      <c r="F7" s="7" t="s">
        <v>12</v>
      </c>
      <c r="G7" s="8" t="s">
        <v>8</v>
      </c>
      <c r="H7" s="9" t="s">
        <v>13</v>
      </c>
      <c r="I7" s="7" t="s">
        <v>7</v>
      </c>
      <c r="J7" s="7" t="s">
        <v>12</v>
      </c>
      <c r="K7" s="8" t="s">
        <v>8</v>
      </c>
    </row>
    <row r="8" spans="1:11" x14ac:dyDescent="0.35">
      <c r="A8" s="27"/>
      <c r="B8" s="10" t="s">
        <v>18</v>
      </c>
      <c r="C8" s="12">
        <v>1003</v>
      </c>
      <c r="D8" s="12">
        <v>1613</v>
      </c>
      <c r="E8" s="12">
        <v>2442</v>
      </c>
      <c r="F8" s="12">
        <v>1036</v>
      </c>
      <c r="G8" s="28">
        <f>SUM(D8:F8)/20</f>
        <v>254.55</v>
      </c>
      <c r="H8" s="12">
        <v>5269</v>
      </c>
      <c r="I8" s="12">
        <v>3838</v>
      </c>
      <c r="J8" s="12">
        <v>4835</v>
      </c>
      <c r="K8" s="28">
        <f>SUM(H8:J8)/20</f>
        <v>697.1</v>
      </c>
    </row>
    <row r="9" spans="1:11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</row>
    <row r="10" spans="1:11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</row>
    <row r="11" spans="1:11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35">
      <c r="A14" s="13"/>
      <c r="B14" s="10"/>
      <c r="C14" s="14">
        <f t="shared" ref="C14:K14" si="0">SUM(C8:C13)</f>
        <v>1003</v>
      </c>
      <c r="D14" s="14">
        <f t="shared" si="0"/>
        <v>1613</v>
      </c>
      <c r="E14" s="14">
        <f t="shared" si="0"/>
        <v>2442</v>
      </c>
      <c r="F14" s="14">
        <f t="shared" si="0"/>
        <v>1036</v>
      </c>
      <c r="G14" s="14">
        <f t="shared" si="0"/>
        <v>254.55</v>
      </c>
      <c r="H14" s="14">
        <f t="shared" si="0"/>
        <v>5269</v>
      </c>
      <c r="I14" s="14">
        <f t="shared" si="0"/>
        <v>3838</v>
      </c>
      <c r="J14" s="14">
        <f t="shared" si="0"/>
        <v>4835</v>
      </c>
      <c r="K14" s="14">
        <f t="shared" si="0"/>
        <v>697.1</v>
      </c>
    </row>
    <row r="15" spans="1:11" x14ac:dyDescent="0.35">
      <c r="A15" s="1"/>
      <c r="B15" s="15"/>
      <c r="C15" s="16"/>
      <c r="D15" s="17"/>
      <c r="E15" s="18"/>
      <c r="F15" s="18"/>
      <c r="G15" s="19"/>
      <c r="H15" s="20"/>
      <c r="I15" s="18"/>
      <c r="J15" s="18"/>
      <c r="K15" s="19"/>
    </row>
    <row r="16" spans="1:11" ht="15" thickBot="1" x14ac:dyDescent="0.4">
      <c r="A16" s="1"/>
      <c r="B16" s="15">
        <f>SUM(C8:F13,H8:J13)/40</f>
        <v>500.9</v>
      </c>
      <c r="C16" s="21"/>
      <c r="D16" s="22"/>
      <c r="E16" s="23"/>
      <c r="F16" s="23"/>
      <c r="G16" s="24"/>
      <c r="H16" s="25"/>
      <c r="I16" s="23"/>
      <c r="J16" s="23"/>
      <c r="K16" s="24"/>
    </row>
    <row r="17" spans="1:11" x14ac:dyDescent="0.35">
      <c r="A17" s="1"/>
      <c r="B17" s="1"/>
      <c r="C17" s="26">
        <f>C14/40</f>
        <v>25.074999999999999</v>
      </c>
      <c r="D17" s="26">
        <f t="shared" ref="D17:K17" si="1">D14/40</f>
        <v>40.325000000000003</v>
      </c>
      <c r="E17" s="26">
        <f t="shared" si="1"/>
        <v>61.05</v>
      </c>
      <c r="F17" s="26">
        <f t="shared" si="1"/>
        <v>25.9</v>
      </c>
      <c r="G17" s="26">
        <f t="shared" si="1"/>
        <v>6.3637500000000005</v>
      </c>
      <c r="H17" s="26">
        <f t="shared" si="1"/>
        <v>131.72499999999999</v>
      </c>
      <c r="I17" s="26">
        <f t="shared" si="1"/>
        <v>95.95</v>
      </c>
      <c r="J17" s="26">
        <f t="shared" si="1"/>
        <v>120.875</v>
      </c>
      <c r="K17" s="26">
        <f t="shared" si="1"/>
        <v>17.427500000000002</v>
      </c>
    </row>
    <row r="19" spans="1:11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  <row r="22" spans="1:11" x14ac:dyDescent="0.35">
      <c r="B22" t="s">
        <v>17</v>
      </c>
    </row>
    <row r="23" spans="1:11" x14ac:dyDescent="0.35">
      <c r="B23" t="s">
        <v>33</v>
      </c>
    </row>
    <row r="24" spans="1:11" x14ac:dyDescent="0.35">
      <c r="B24" t="s">
        <v>32</v>
      </c>
    </row>
    <row r="25" spans="1:11" x14ac:dyDescent="0.35">
      <c r="B25" t="s">
        <v>14</v>
      </c>
    </row>
    <row r="26" spans="1:11" x14ac:dyDescent="0.35">
      <c r="B26" t="s">
        <v>19</v>
      </c>
    </row>
    <row r="27" spans="1:11" x14ac:dyDescent="0.35">
      <c r="B27" t="s">
        <v>34</v>
      </c>
    </row>
    <row r="28" spans="1:11" x14ac:dyDescent="0.35">
      <c r="B28" t="s">
        <v>35</v>
      </c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CAA6-5F18-4A8B-941D-0A495D324550}">
  <dimension ref="A1:Z19"/>
  <sheetViews>
    <sheetView tabSelected="1" zoomScaleNormal="100" workbookViewId="0">
      <selection activeCell="M3" sqref="M3"/>
    </sheetView>
  </sheetViews>
  <sheetFormatPr defaultRowHeight="14.5" x14ac:dyDescent="0.35"/>
  <cols>
    <col min="1" max="1" width="3.90625" bestFit="1" customWidth="1"/>
    <col min="2" max="2" width="9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9.08984375" bestFit="1" customWidth="1"/>
    <col min="16" max="16" width="4" bestFit="1" customWidth="1"/>
    <col min="17" max="17" width="3.90625" bestFit="1" customWidth="1"/>
    <col min="18" max="18" width="3.26953125" bestFit="1" customWidth="1"/>
    <col min="19" max="19" width="3.08984375" bestFit="1" customWidth="1"/>
    <col min="21" max="21" width="3.90625" bestFit="1" customWidth="1"/>
    <col min="22" max="22" width="3.6328125" bestFit="1" customWidth="1"/>
    <col min="23" max="23" width="3.0898437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 t="s">
        <v>17</v>
      </c>
      <c r="C8" s="12">
        <v>70</v>
      </c>
      <c r="D8" s="12">
        <v>46</v>
      </c>
      <c r="E8" s="12">
        <v>92</v>
      </c>
      <c r="F8" s="12">
        <v>0</v>
      </c>
      <c r="G8" s="28">
        <f>SUM(D8:F8)/20</f>
        <v>6.9</v>
      </c>
      <c r="H8" s="12">
        <v>66</v>
      </c>
      <c r="I8" s="12">
        <v>71</v>
      </c>
      <c r="J8" s="12">
        <v>64</v>
      </c>
      <c r="K8" s="28">
        <f>SUM(H8:J8)/20</f>
        <v>10.050000000000001</v>
      </c>
      <c r="L8">
        <f>SUM(C8:F8,H8,I8,J8)/40</f>
        <v>10.225</v>
      </c>
      <c r="M8">
        <v>8</v>
      </c>
      <c r="N8" s="27">
        <v>46174</v>
      </c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 t="s">
        <v>10</v>
      </c>
      <c r="C9" s="12">
        <v>52</v>
      </c>
      <c r="D9" s="12">
        <v>52</v>
      </c>
      <c r="E9" s="12">
        <v>40</v>
      </c>
      <c r="F9" s="12">
        <v>0</v>
      </c>
      <c r="G9" s="28">
        <f t="shared" ref="G9:G13" si="0">SUM(D9:F9)/20</f>
        <v>4.5999999999999996</v>
      </c>
      <c r="H9" s="12">
        <v>107</v>
      </c>
      <c r="I9" s="12">
        <v>107</v>
      </c>
      <c r="J9" s="12">
        <v>212</v>
      </c>
      <c r="K9" s="28">
        <f t="shared" ref="K9:K13" si="1">SUM(H9:J9)/20</f>
        <v>21.3</v>
      </c>
      <c r="L9">
        <f t="shared" ref="L9:L12" si="2">SUM(C9:F9,H9,I9,J9)/40</f>
        <v>14.25</v>
      </c>
      <c r="M9">
        <v>9</v>
      </c>
      <c r="N9" s="27">
        <v>46174</v>
      </c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 t="s">
        <v>9</v>
      </c>
      <c r="C10" s="12">
        <v>200</v>
      </c>
      <c r="D10" s="12">
        <v>12</v>
      </c>
      <c r="E10" s="12">
        <v>12</v>
      </c>
      <c r="F10" s="12">
        <v>0</v>
      </c>
      <c r="G10" s="28">
        <f t="shared" si="0"/>
        <v>1.2</v>
      </c>
      <c r="H10" s="12">
        <v>23</v>
      </c>
      <c r="I10" s="12">
        <v>28</v>
      </c>
      <c r="J10" s="12">
        <v>29</v>
      </c>
      <c r="K10" s="28">
        <f t="shared" si="1"/>
        <v>4</v>
      </c>
      <c r="L10">
        <f t="shared" si="2"/>
        <v>7.6</v>
      </c>
      <c r="M10">
        <v>4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 t="s">
        <v>15</v>
      </c>
      <c r="C11" s="12">
        <v>98</v>
      </c>
      <c r="D11" s="12">
        <v>0</v>
      </c>
      <c r="E11" s="12">
        <v>0</v>
      </c>
      <c r="F11" s="12">
        <v>0</v>
      </c>
      <c r="G11" s="28">
        <f t="shared" si="0"/>
        <v>0</v>
      </c>
      <c r="H11" s="12">
        <v>65</v>
      </c>
      <c r="I11" s="12">
        <v>65</v>
      </c>
      <c r="J11" s="12">
        <v>112</v>
      </c>
      <c r="K11" s="28">
        <f t="shared" si="1"/>
        <v>12.1</v>
      </c>
      <c r="L11">
        <f t="shared" si="2"/>
        <v>8.5</v>
      </c>
      <c r="M11">
        <v>7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420</v>
      </c>
      <c r="D14" s="14">
        <f t="shared" si="6"/>
        <v>110</v>
      </c>
      <c r="E14" s="14">
        <f t="shared" si="6"/>
        <v>144</v>
      </c>
      <c r="F14" s="14">
        <f t="shared" si="6"/>
        <v>0</v>
      </c>
      <c r="G14" s="14">
        <f t="shared" si="6"/>
        <v>12.7</v>
      </c>
      <c r="H14" s="14">
        <f t="shared" si="6"/>
        <v>261</v>
      </c>
      <c r="I14" s="14">
        <f t="shared" si="6"/>
        <v>271</v>
      </c>
      <c r="J14" s="14">
        <f t="shared" si="6"/>
        <v>417</v>
      </c>
      <c r="K14" s="14">
        <f t="shared" si="6"/>
        <v>47.45</v>
      </c>
      <c r="L14" s="35">
        <f>C14+D14+E14+F14+H14+I14+J14</f>
        <v>1623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5.5</v>
      </c>
      <c r="E15" s="13">
        <f t="shared" ref="E15:J15" si="8">E14/20</f>
        <v>7.2</v>
      </c>
      <c r="F15" s="13">
        <f t="shared" si="8"/>
        <v>0</v>
      </c>
      <c r="G15" s="13"/>
      <c r="H15" s="13">
        <f t="shared" si="8"/>
        <v>13.05</v>
      </c>
      <c r="I15" s="13">
        <f t="shared" si="8"/>
        <v>13.55</v>
      </c>
      <c r="J15" s="13">
        <f t="shared" si="8"/>
        <v>20.85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420</v>
      </c>
      <c r="D16" s="36">
        <f t="shared" ref="D16:J16" si="11">D15+D14</f>
        <v>115.5</v>
      </c>
      <c r="E16" s="36">
        <f t="shared" si="11"/>
        <v>151.19999999999999</v>
      </c>
      <c r="F16" s="36">
        <f t="shared" si="11"/>
        <v>0</v>
      </c>
      <c r="G16" s="36"/>
      <c r="H16" s="36">
        <f t="shared" si="11"/>
        <v>274.05</v>
      </c>
      <c r="I16" s="36">
        <f t="shared" si="11"/>
        <v>284.55</v>
      </c>
      <c r="J16" s="36">
        <f t="shared" si="11"/>
        <v>437.85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10.5</v>
      </c>
      <c r="D17" s="36">
        <f t="shared" ref="D17:J17" si="14">D14/40</f>
        <v>2.75</v>
      </c>
      <c r="E17" s="36">
        <f t="shared" si="14"/>
        <v>3.6</v>
      </c>
      <c r="F17" s="36">
        <f t="shared" si="14"/>
        <v>0</v>
      </c>
      <c r="G17" s="36"/>
      <c r="H17" s="36">
        <f t="shared" si="14"/>
        <v>6.5250000000000004</v>
      </c>
      <c r="I17" s="36">
        <f t="shared" si="14"/>
        <v>6.7750000000000004</v>
      </c>
      <c r="J17" s="36">
        <f t="shared" si="14"/>
        <v>10.425000000000001</v>
      </c>
      <c r="K17" s="36"/>
      <c r="L17" s="35">
        <f>SUM(C17:J17)</f>
        <v>40.575000000000003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3036-5829-41EE-A523-B54FFD02B91C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5429687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46175</v>
      </c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>
        <v>46175</v>
      </c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>
        <v>46175</v>
      </c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>
        <v>46175</v>
      </c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31AB-53C0-488D-AEDE-3DDA36DACCDC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4.363281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46176</v>
      </c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>
        <v>46176</v>
      </c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>
        <v>46176</v>
      </c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>
        <v>46176</v>
      </c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>
        <v>46176</v>
      </c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>
        <v>46176</v>
      </c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27">
        <v>46176</v>
      </c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27">
        <v>46176</v>
      </c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27">
        <v>46176</v>
      </c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27">
        <v>46176</v>
      </c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1DDC-9601-404C-9ED5-19F19508529B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4.08984375" bestFit="1" customWidth="1"/>
    <col min="2" max="2" width="8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8.08984375" bestFit="1" customWidth="1"/>
    <col min="16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46177</v>
      </c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>
        <v>46177</v>
      </c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>
        <v>46177</v>
      </c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>
        <v>46177</v>
      </c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>
        <v>46177</v>
      </c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>
        <v>46177</v>
      </c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27">
        <v>46177</v>
      </c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27">
        <v>46177</v>
      </c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8521-756B-4914-AF48-26369E7F1A59}">
  <dimension ref="A1:Z20"/>
  <sheetViews>
    <sheetView zoomScaleNormal="100" workbookViewId="0">
      <selection activeCell="V11" sqref="V11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5" width="3.6328125" bestFit="1" customWidth="1"/>
    <col min="6" max="6" width="4.26953125" bestFit="1" customWidth="1"/>
    <col min="7" max="7" width="5.81640625" bestFit="1" customWidth="1"/>
    <col min="8" max="8" width="3.36328125" bestFit="1" customWidth="1"/>
    <col min="9" max="9" width="3.6328125" bestFit="1" customWidth="1"/>
    <col min="10" max="10" width="4.2695312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ht="14.5" customHeight="1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4.5" customHeight="1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ht="14.5" customHeight="1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ht="15" customHeight="1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46178</v>
      </c>
      <c r="B8" s="10"/>
      <c r="C8" s="12"/>
      <c r="D8" s="12"/>
      <c r="E8" s="12"/>
      <c r="F8" s="12"/>
      <c r="G8" s="28">
        <v>20</v>
      </c>
      <c r="H8" s="12"/>
      <c r="I8" s="12"/>
      <c r="J8" s="12"/>
      <c r="K8" s="28">
        <v>7</v>
      </c>
      <c r="L8">
        <f>SUM(C8:F8,H8,I8,J8)/40</f>
        <v>0</v>
      </c>
      <c r="N8" s="27">
        <v>46178</v>
      </c>
      <c r="O8" s="10"/>
      <c r="P8" s="12"/>
      <c r="Q8" s="12"/>
      <c r="R8" s="12"/>
      <c r="S8" s="12"/>
      <c r="T8" s="28">
        <v>20</v>
      </c>
      <c r="U8" s="12"/>
      <c r="V8" s="12"/>
      <c r="W8" s="12"/>
      <c r="X8" s="28">
        <v>7</v>
      </c>
      <c r="Y8">
        <f>SUM(P8:S8,U8,V8,W8)/40</f>
        <v>0</v>
      </c>
    </row>
    <row r="9" spans="1:26" x14ac:dyDescent="0.35">
      <c r="A9" s="27">
        <v>46178</v>
      </c>
      <c r="B9" s="10"/>
      <c r="C9" s="12"/>
      <c r="D9" s="12"/>
      <c r="E9" s="12"/>
      <c r="F9" s="12"/>
      <c r="G9" s="28">
        <v>20</v>
      </c>
      <c r="H9" s="12"/>
      <c r="I9" s="12"/>
      <c r="J9" s="12"/>
      <c r="K9" s="28">
        <v>7</v>
      </c>
      <c r="L9">
        <f t="shared" ref="L9:L12" si="0">SUM(C9:F9,H9,I9,J9)/40</f>
        <v>0</v>
      </c>
      <c r="N9" s="27">
        <v>46178</v>
      </c>
      <c r="O9" s="10"/>
      <c r="P9" s="12"/>
      <c r="Q9" s="12"/>
      <c r="R9" s="12"/>
      <c r="S9" s="12"/>
      <c r="T9" s="28">
        <v>20</v>
      </c>
      <c r="U9" s="12"/>
      <c r="V9" s="12"/>
      <c r="W9" s="12"/>
      <c r="X9" s="28">
        <v>7</v>
      </c>
      <c r="Y9">
        <f t="shared" ref="Y9:Y12" si="1">SUM(P9:S9,U9,V9,W9)/40</f>
        <v>0</v>
      </c>
    </row>
    <row r="10" spans="1:26" x14ac:dyDescent="0.35">
      <c r="A10" s="27">
        <v>46178</v>
      </c>
      <c r="B10" s="10"/>
      <c r="C10" s="12"/>
      <c r="D10" s="12"/>
      <c r="E10" s="12"/>
      <c r="F10" s="12"/>
      <c r="G10" s="28">
        <v>20</v>
      </c>
      <c r="H10" s="12"/>
      <c r="I10" s="12"/>
      <c r="J10" s="12"/>
      <c r="K10" s="28">
        <v>7</v>
      </c>
      <c r="L10">
        <f t="shared" si="0"/>
        <v>0</v>
      </c>
      <c r="N10" s="27">
        <v>46178</v>
      </c>
      <c r="O10" s="10"/>
      <c r="P10" s="12"/>
      <c r="Q10" s="12"/>
      <c r="R10" s="12"/>
      <c r="S10" s="12"/>
      <c r="T10" s="28">
        <v>20</v>
      </c>
      <c r="U10" s="12"/>
      <c r="V10" s="12"/>
      <c r="W10" s="12"/>
      <c r="X10" s="28">
        <v>7</v>
      </c>
      <c r="Y10">
        <f t="shared" si="1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v>20</v>
      </c>
      <c r="H11" s="12"/>
      <c r="I11" s="12"/>
      <c r="J11" s="12"/>
      <c r="K11" s="28">
        <v>7</v>
      </c>
      <c r="L11">
        <f t="shared" si="0"/>
        <v>0</v>
      </c>
      <c r="N11" s="11"/>
      <c r="O11" s="11"/>
      <c r="P11" s="12"/>
      <c r="Q11" s="12"/>
      <c r="R11" s="12"/>
      <c r="S11" s="12"/>
      <c r="T11" s="28">
        <v>20</v>
      </c>
      <c r="U11" s="12"/>
      <c r="V11" s="12"/>
      <c r="W11" s="12"/>
      <c r="X11" s="28">
        <v>7</v>
      </c>
      <c r="Y11">
        <f t="shared" si="1"/>
        <v>0</v>
      </c>
    </row>
    <row r="12" spans="1:26" x14ac:dyDescent="0.35">
      <c r="A12" s="13"/>
      <c r="B12" s="11"/>
      <c r="C12" s="12"/>
      <c r="D12" s="12"/>
      <c r="E12" s="12"/>
      <c r="F12" s="12"/>
      <c r="G12" s="28">
        <v>20</v>
      </c>
      <c r="H12" s="12"/>
      <c r="I12" s="12"/>
      <c r="J12" s="12"/>
      <c r="K12" s="28">
        <v>7</v>
      </c>
      <c r="L12">
        <f t="shared" si="0"/>
        <v>0</v>
      </c>
      <c r="N12" s="13"/>
      <c r="O12" s="11"/>
      <c r="P12" s="12"/>
      <c r="Q12" s="12"/>
      <c r="R12" s="12"/>
      <c r="S12" s="12"/>
      <c r="T12" s="28">
        <v>20</v>
      </c>
      <c r="U12" s="12"/>
      <c r="V12" s="12"/>
      <c r="W12" s="12"/>
      <c r="X12" s="28">
        <v>7</v>
      </c>
      <c r="Y12">
        <f t="shared" si="1"/>
        <v>0</v>
      </c>
    </row>
    <row r="13" spans="1:26" x14ac:dyDescent="0.35">
      <c r="A13" s="13"/>
      <c r="B13" s="11"/>
      <c r="C13" s="12"/>
      <c r="D13" s="12"/>
      <c r="E13" s="12"/>
      <c r="F13" s="12"/>
      <c r="G13" s="28">
        <v>20</v>
      </c>
      <c r="H13" s="12"/>
      <c r="I13" s="12"/>
      <c r="J13" s="12"/>
      <c r="K13" s="28">
        <v>7</v>
      </c>
      <c r="N13" s="13"/>
      <c r="O13" s="11"/>
      <c r="P13" s="12"/>
      <c r="Q13" s="12"/>
      <c r="R13" s="12"/>
      <c r="S13" s="12"/>
      <c r="T13" s="28">
        <v>20</v>
      </c>
      <c r="U13" s="12"/>
      <c r="V13" s="12"/>
      <c r="W13" s="12"/>
      <c r="X13" s="28">
        <v>7</v>
      </c>
    </row>
    <row r="14" spans="1:26" x14ac:dyDescent="0.35">
      <c r="A14" s="13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35">
        <f>C14+D14+E14+F14+H14+I14+J14</f>
        <v>0</v>
      </c>
      <c r="N14" s="13"/>
      <c r="O14" s="11"/>
      <c r="P14" s="12"/>
      <c r="Q14" s="12"/>
      <c r="R14" s="12"/>
      <c r="S14" s="12"/>
      <c r="T14" s="12"/>
      <c r="U14" s="12"/>
      <c r="V14" s="12"/>
      <c r="W14" s="12"/>
      <c r="X14" s="12"/>
      <c r="Y14" s="35">
        <f>P14+Q14+R14+S14+U14+V14+W14</f>
        <v>0</v>
      </c>
    </row>
    <row r="15" spans="1:26" x14ac:dyDescent="0.35">
      <c r="A15" s="13"/>
      <c r="B15" s="10" t="s">
        <v>22</v>
      </c>
      <c r="C15" s="14">
        <f t="shared" ref="C15" si="2">SUM(C8:C14)</f>
        <v>0</v>
      </c>
      <c r="D15" s="14">
        <f>D14/20</f>
        <v>0</v>
      </c>
      <c r="E15" s="14">
        <f t="shared" ref="E15:J15" si="3">E14/20</f>
        <v>0</v>
      </c>
      <c r="F15" s="14">
        <f t="shared" si="3"/>
        <v>0</v>
      </c>
      <c r="G15" s="14"/>
      <c r="H15" s="14">
        <f t="shared" si="3"/>
        <v>0</v>
      </c>
      <c r="I15" s="14">
        <f t="shared" si="3"/>
        <v>0</v>
      </c>
      <c r="J15" s="14">
        <f t="shared" si="3"/>
        <v>0</v>
      </c>
      <c r="K15" s="14"/>
      <c r="N15" s="13"/>
      <c r="O15" s="10" t="s">
        <v>22</v>
      </c>
      <c r="P15" s="14">
        <f t="shared" ref="P15" si="4">SUM(P8:P14)</f>
        <v>0</v>
      </c>
      <c r="Q15" s="14">
        <f>Q14/20</f>
        <v>0</v>
      </c>
      <c r="R15" s="14">
        <f t="shared" ref="R15:S15" si="5">R14/20</f>
        <v>0</v>
      </c>
      <c r="S15" s="14">
        <f t="shared" si="5"/>
        <v>0</v>
      </c>
      <c r="T15" s="14"/>
      <c r="U15" s="14">
        <f t="shared" ref="U15:W15" si="6">U14/20</f>
        <v>0</v>
      </c>
      <c r="V15" s="14">
        <f t="shared" si="6"/>
        <v>0</v>
      </c>
      <c r="W15" s="14">
        <f t="shared" si="6"/>
        <v>0</v>
      </c>
      <c r="X15" s="14"/>
    </row>
    <row r="16" spans="1:26" x14ac:dyDescent="0.35">
      <c r="A16" s="13"/>
      <c r="B16" s="10" t="s">
        <v>21</v>
      </c>
      <c r="C16" s="13">
        <f>C15+C14</f>
        <v>0</v>
      </c>
      <c r="D16" s="13">
        <f t="shared" ref="D16:J16" si="7">D15+D14</f>
        <v>0</v>
      </c>
      <c r="E16" s="13">
        <f t="shared" si="7"/>
        <v>0</v>
      </c>
      <c r="F16" s="13">
        <f t="shared" si="7"/>
        <v>0</v>
      </c>
      <c r="G16" s="13"/>
      <c r="H16" s="13">
        <f t="shared" si="7"/>
        <v>0</v>
      </c>
      <c r="I16" s="13">
        <f t="shared" si="7"/>
        <v>0</v>
      </c>
      <c r="J16" s="13">
        <f t="shared" si="7"/>
        <v>0</v>
      </c>
      <c r="K16" s="13"/>
      <c r="N16" s="13"/>
      <c r="O16" s="10" t="s">
        <v>21</v>
      </c>
      <c r="P16" s="13">
        <f>P15+P14</f>
        <v>0</v>
      </c>
      <c r="Q16" s="13">
        <f t="shared" ref="Q16:S16" si="8">Q15+Q14</f>
        <v>0</v>
      </c>
      <c r="R16" s="13">
        <f t="shared" si="8"/>
        <v>0</v>
      </c>
      <c r="S16" s="13">
        <f t="shared" si="8"/>
        <v>0</v>
      </c>
      <c r="T16" s="13"/>
      <c r="U16" s="13">
        <f t="shared" ref="U16:W16" si="9">U15+U14</f>
        <v>0</v>
      </c>
      <c r="V16" s="13">
        <f t="shared" si="9"/>
        <v>0</v>
      </c>
      <c r="W16" s="13">
        <f t="shared" si="9"/>
        <v>0</v>
      </c>
      <c r="X16" s="13"/>
    </row>
    <row r="17" spans="1:25" x14ac:dyDescent="0.35">
      <c r="A17" s="13"/>
      <c r="B17" s="39" t="s">
        <v>23</v>
      </c>
      <c r="C17" s="36"/>
      <c r="D17" s="36"/>
      <c r="E17" s="36"/>
      <c r="F17" s="36"/>
      <c r="G17" s="36"/>
      <c r="H17" s="36"/>
      <c r="I17" s="36"/>
      <c r="J17" s="36"/>
      <c r="K17" s="36"/>
      <c r="L17" s="35">
        <f>SUM(C17:J17)</f>
        <v>0</v>
      </c>
      <c r="N17" s="13"/>
      <c r="O17" s="39" t="s">
        <v>23</v>
      </c>
      <c r="P17" s="36"/>
      <c r="Q17" s="36"/>
      <c r="R17" s="36"/>
      <c r="S17" s="36"/>
      <c r="T17" s="36"/>
      <c r="U17" s="36"/>
      <c r="V17" s="36"/>
      <c r="W17" s="36"/>
      <c r="X17" s="36"/>
      <c r="Y17" s="35">
        <f>SUM(P17:W17)</f>
        <v>0</v>
      </c>
    </row>
    <row r="18" spans="1:25" x14ac:dyDescent="0.35">
      <c r="A18" s="1"/>
      <c r="B18" s="1"/>
      <c r="C18" s="41"/>
      <c r="D18" s="26">
        <f t="shared" ref="D18:K18" si="10">D15/40</f>
        <v>0</v>
      </c>
      <c r="E18" s="26">
        <f t="shared" si="10"/>
        <v>0</v>
      </c>
      <c r="F18" s="26">
        <f t="shared" si="10"/>
        <v>0</v>
      </c>
      <c r="G18" s="26">
        <f t="shared" si="10"/>
        <v>0</v>
      </c>
      <c r="H18" s="26">
        <f t="shared" si="10"/>
        <v>0</v>
      </c>
      <c r="I18" s="26">
        <f t="shared" si="10"/>
        <v>0</v>
      </c>
      <c r="J18" s="26">
        <f t="shared" si="10"/>
        <v>0</v>
      </c>
      <c r="K18" s="26">
        <f t="shared" si="10"/>
        <v>0</v>
      </c>
    </row>
    <row r="20" spans="1:25" x14ac:dyDescent="0.35">
      <c r="A20" s="1"/>
      <c r="B20" s="1"/>
      <c r="C20" s="26"/>
      <c r="D20" s="26"/>
      <c r="E20" s="26"/>
      <c r="F20" s="26"/>
      <c r="G20" s="26"/>
      <c r="H20" s="26"/>
      <c r="I20" s="26"/>
      <c r="J20" s="26"/>
      <c r="K20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8983-DFD1-42F5-92B9-CF9CEA191FF7}">
  <dimension ref="A1:Z18"/>
  <sheetViews>
    <sheetView zoomScaleNormal="100" workbookViewId="0">
      <selection activeCell="V11" sqref="V11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6" width="4.26953125" bestFit="1" customWidth="1"/>
    <col min="7" max="7" width="5.81640625" bestFit="1" customWidth="1"/>
    <col min="8" max="8" width="3.54296875" bestFit="1" customWidth="1"/>
    <col min="9" max="10" width="4.2695312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6328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7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7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46179</v>
      </c>
      <c r="B8" s="10"/>
      <c r="C8" s="12"/>
      <c r="D8" s="12"/>
      <c r="E8" s="12"/>
      <c r="F8" s="12"/>
      <c r="G8" s="28">
        <v>12</v>
      </c>
      <c r="H8" s="12"/>
      <c r="I8" s="12"/>
      <c r="J8" s="12"/>
      <c r="K8" s="28">
        <v>33</v>
      </c>
      <c r="L8">
        <f>SUM(C8:F8,H8,I8,J8)/40</f>
        <v>0</v>
      </c>
      <c r="N8" s="27">
        <v>46179</v>
      </c>
      <c r="O8" s="10"/>
      <c r="P8" s="12"/>
      <c r="Q8" s="12"/>
      <c r="R8" s="12"/>
      <c r="S8" s="12"/>
      <c r="T8" s="28">
        <v>12</v>
      </c>
      <c r="U8" s="12"/>
      <c r="V8" s="12"/>
      <c r="W8" s="12"/>
      <c r="X8" s="28">
        <v>33</v>
      </c>
      <c r="Y8">
        <f>SUM(P8:S8,U8,V8,W8)/40</f>
        <v>0</v>
      </c>
    </row>
    <row r="9" spans="1:26" x14ac:dyDescent="0.35">
      <c r="A9" s="27">
        <v>46179</v>
      </c>
      <c r="B9" s="10"/>
      <c r="C9" s="12"/>
      <c r="D9" s="12"/>
      <c r="E9" s="12"/>
      <c r="F9" s="12"/>
      <c r="G9" s="28">
        <v>12</v>
      </c>
      <c r="H9" s="12"/>
      <c r="I9" s="12"/>
      <c r="J9" s="12"/>
      <c r="K9" s="28">
        <v>33</v>
      </c>
      <c r="L9">
        <f t="shared" ref="L9:L12" si="0">SUM(C9:F9,H9,I9,J9)/40</f>
        <v>0</v>
      </c>
      <c r="N9" s="27">
        <v>46179</v>
      </c>
      <c r="O9" s="10"/>
      <c r="P9" s="12"/>
      <c r="Q9" s="12"/>
      <c r="R9" s="12"/>
      <c r="S9" s="12"/>
      <c r="T9" s="28">
        <v>12</v>
      </c>
      <c r="U9" s="12"/>
      <c r="V9" s="12"/>
      <c r="W9" s="12"/>
      <c r="X9" s="28">
        <v>33</v>
      </c>
      <c r="Y9">
        <f t="shared" ref="Y9:Y12" si="1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v>12</v>
      </c>
      <c r="H10" s="12"/>
      <c r="I10" s="12"/>
      <c r="J10" s="12"/>
      <c r="K10" s="28">
        <v>33</v>
      </c>
      <c r="L10">
        <f t="shared" si="0"/>
        <v>0</v>
      </c>
      <c r="N10" s="27"/>
      <c r="O10" s="10"/>
      <c r="P10" s="12"/>
      <c r="Q10" s="12"/>
      <c r="R10" s="12"/>
      <c r="S10" s="12"/>
      <c r="T10" s="28">
        <v>12</v>
      </c>
      <c r="U10" s="12"/>
      <c r="V10" s="12"/>
      <c r="W10" s="12"/>
      <c r="X10" s="28">
        <v>33</v>
      </c>
      <c r="Y10">
        <f t="shared" si="1"/>
        <v>0</v>
      </c>
    </row>
    <row r="11" spans="1:26" x14ac:dyDescent="0.35">
      <c r="A11" s="10"/>
      <c r="B11" s="10"/>
      <c r="C11" s="12"/>
      <c r="D11" s="12"/>
      <c r="E11" s="12"/>
      <c r="F11" s="12"/>
      <c r="G11" s="28">
        <v>12</v>
      </c>
      <c r="H11" s="12"/>
      <c r="I11" s="12"/>
      <c r="J11" s="12"/>
      <c r="K11" s="28">
        <v>33</v>
      </c>
      <c r="L11">
        <f t="shared" si="0"/>
        <v>0</v>
      </c>
      <c r="N11" s="10"/>
      <c r="O11" s="10"/>
      <c r="P11" s="12"/>
      <c r="Q11" s="12"/>
      <c r="R11" s="12"/>
      <c r="S11" s="12"/>
      <c r="T11" s="28">
        <v>12</v>
      </c>
      <c r="U11" s="12"/>
      <c r="V11" s="12"/>
      <c r="W11" s="12"/>
      <c r="X11" s="28">
        <v>33</v>
      </c>
      <c r="Y11">
        <f t="shared" si="1"/>
        <v>0</v>
      </c>
    </row>
    <row r="12" spans="1:26" x14ac:dyDescent="0.35">
      <c r="A12" s="10"/>
      <c r="B12" s="10"/>
      <c r="C12" s="12"/>
      <c r="D12" s="12"/>
      <c r="E12" s="12"/>
      <c r="F12" s="12"/>
      <c r="G12" s="28">
        <v>12</v>
      </c>
      <c r="H12" s="12"/>
      <c r="I12" s="12"/>
      <c r="J12" s="12"/>
      <c r="K12" s="28">
        <v>33</v>
      </c>
      <c r="L12">
        <f t="shared" si="0"/>
        <v>0</v>
      </c>
      <c r="N12" s="10"/>
      <c r="O12" s="10"/>
      <c r="P12" s="12"/>
      <c r="Q12" s="12"/>
      <c r="R12" s="12"/>
      <c r="S12" s="12"/>
      <c r="T12" s="28">
        <v>12</v>
      </c>
      <c r="U12" s="12"/>
      <c r="V12" s="12"/>
      <c r="W12" s="12"/>
      <c r="X12" s="28">
        <v>33</v>
      </c>
      <c r="Y12">
        <f t="shared" si="1"/>
        <v>0</v>
      </c>
    </row>
    <row r="13" spans="1:26" x14ac:dyDescent="0.35">
      <c r="A13" s="13"/>
      <c r="B13" s="10"/>
      <c r="C13" s="14"/>
      <c r="D13" s="14"/>
      <c r="E13" s="14"/>
      <c r="F13" s="14"/>
      <c r="G13" s="28">
        <v>12</v>
      </c>
      <c r="H13" s="14"/>
      <c r="I13" s="14"/>
      <c r="J13" s="14"/>
      <c r="K13" s="28">
        <v>33</v>
      </c>
      <c r="N13" s="13"/>
      <c r="O13" s="10"/>
      <c r="P13" s="14"/>
      <c r="Q13" s="14"/>
      <c r="R13" s="14"/>
      <c r="S13" s="14"/>
      <c r="T13" s="28">
        <v>12</v>
      </c>
      <c r="U13" s="14"/>
      <c r="V13" s="14"/>
      <c r="W13" s="14"/>
      <c r="X13" s="28">
        <v>33</v>
      </c>
    </row>
    <row r="14" spans="1:26" x14ac:dyDescent="0.35">
      <c r="A14" s="13"/>
      <c r="B14" s="10"/>
      <c r="C14" s="13"/>
      <c r="D14" s="13"/>
      <c r="E14" s="13"/>
      <c r="F14" s="13"/>
      <c r="G14" s="13"/>
      <c r="H14" s="13"/>
      <c r="I14" s="13"/>
      <c r="J14" s="13"/>
      <c r="K14" s="13"/>
      <c r="L14" s="35">
        <f>C14+D14+E14+F14+H14+I14+J14</f>
        <v>0</v>
      </c>
      <c r="N14" s="13"/>
      <c r="O14" s="10"/>
      <c r="P14" s="13"/>
      <c r="Q14" s="13"/>
      <c r="R14" s="13"/>
      <c r="S14" s="13"/>
      <c r="T14" s="13"/>
      <c r="U14" s="13"/>
      <c r="V14" s="13"/>
      <c r="W14" s="13"/>
      <c r="X14" s="13"/>
      <c r="Y14" s="35">
        <f>P14+Q14+R14+S14+U14+V14+W14</f>
        <v>0</v>
      </c>
    </row>
    <row r="15" spans="1:26" x14ac:dyDescent="0.35">
      <c r="A15" s="13"/>
      <c r="B15" s="10" t="s">
        <v>22</v>
      </c>
      <c r="C15" s="36"/>
      <c r="D15" s="36">
        <f>D14/20</f>
        <v>0</v>
      </c>
      <c r="E15" s="36">
        <f t="shared" ref="E15:J15" si="2">E14/20</f>
        <v>0</v>
      </c>
      <c r="F15" s="36">
        <f t="shared" si="2"/>
        <v>0</v>
      </c>
      <c r="G15" s="36"/>
      <c r="H15" s="36">
        <f t="shared" si="2"/>
        <v>0</v>
      </c>
      <c r="I15" s="36">
        <f t="shared" si="2"/>
        <v>0</v>
      </c>
      <c r="J15" s="36">
        <f t="shared" si="2"/>
        <v>0</v>
      </c>
      <c r="K15" s="36"/>
      <c r="N15" s="13"/>
      <c r="O15" s="10" t="s">
        <v>22</v>
      </c>
      <c r="P15" s="36"/>
      <c r="Q15" s="36">
        <f>Q14/20</f>
        <v>0</v>
      </c>
      <c r="R15" s="36">
        <f t="shared" ref="R15:S15" si="3">R14/20</f>
        <v>0</v>
      </c>
      <c r="S15" s="36">
        <f t="shared" si="3"/>
        <v>0</v>
      </c>
      <c r="T15" s="36"/>
      <c r="U15" s="36">
        <f t="shared" ref="U15:W15" si="4">U14/20</f>
        <v>0</v>
      </c>
      <c r="V15" s="36">
        <f t="shared" si="4"/>
        <v>0</v>
      </c>
      <c r="W15" s="36">
        <f t="shared" si="4"/>
        <v>0</v>
      </c>
      <c r="X15" s="36"/>
    </row>
    <row r="16" spans="1:26" x14ac:dyDescent="0.35">
      <c r="A16" s="13"/>
      <c r="B16" s="13" t="s">
        <v>21</v>
      </c>
      <c r="C16" s="36">
        <f>C15+C14</f>
        <v>0</v>
      </c>
      <c r="D16" s="36">
        <f t="shared" ref="D16:J16" si="5">D15+D14</f>
        <v>0</v>
      </c>
      <c r="E16" s="36">
        <f t="shared" si="5"/>
        <v>0</v>
      </c>
      <c r="F16" s="36">
        <f t="shared" si="5"/>
        <v>0</v>
      </c>
      <c r="G16" s="36"/>
      <c r="H16" s="36">
        <f t="shared" si="5"/>
        <v>0</v>
      </c>
      <c r="I16" s="36">
        <f t="shared" si="5"/>
        <v>0</v>
      </c>
      <c r="J16" s="36">
        <f t="shared" si="5"/>
        <v>0</v>
      </c>
      <c r="K16" s="36"/>
      <c r="N16" s="13"/>
      <c r="O16" s="13" t="s">
        <v>21</v>
      </c>
      <c r="P16" s="36">
        <f>P15+P14</f>
        <v>0</v>
      </c>
      <c r="Q16" s="36">
        <f t="shared" ref="Q16:S16" si="6">Q15+Q14</f>
        <v>0</v>
      </c>
      <c r="R16" s="36">
        <f t="shared" si="6"/>
        <v>0</v>
      </c>
      <c r="S16" s="36">
        <f t="shared" si="6"/>
        <v>0</v>
      </c>
      <c r="T16" s="36"/>
      <c r="U16" s="36">
        <f t="shared" ref="U16:W16" si="7">U15+U14</f>
        <v>0</v>
      </c>
      <c r="V16" s="36">
        <f t="shared" si="7"/>
        <v>0</v>
      </c>
      <c r="W16" s="36">
        <f t="shared" si="7"/>
        <v>0</v>
      </c>
      <c r="X16" s="36"/>
    </row>
    <row r="17" spans="1:25" x14ac:dyDescent="0.35">
      <c r="A17" s="40"/>
      <c r="B17" s="39" t="s">
        <v>23</v>
      </c>
      <c r="C17" s="40"/>
      <c r="D17" s="40"/>
      <c r="E17" s="40"/>
      <c r="F17" s="40"/>
      <c r="G17" s="40"/>
      <c r="H17" s="40"/>
      <c r="I17" s="40"/>
      <c r="J17" s="40"/>
      <c r="K17" s="40"/>
      <c r="L17" s="35">
        <f>SUM(C17:J17)</f>
        <v>0</v>
      </c>
      <c r="N17" s="40"/>
      <c r="O17" s="39" t="s">
        <v>23</v>
      </c>
      <c r="P17" s="40"/>
      <c r="Q17" s="40"/>
      <c r="R17" s="40"/>
      <c r="S17" s="40"/>
      <c r="T17" s="40"/>
      <c r="U17" s="40"/>
      <c r="V17" s="40"/>
      <c r="W17" s="40"/>
      <c r="X17" s="40"/>
      <c r="Y17" s="35">
        <f>SUM(P17:W17)</f>
        <v>0</v>
      </c>
    </row>
    <row r="18" spans="1:25" x14ac:dyDescent="0.35">
      <c r="C18" s="32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E887-BC98-4559-8BEC-EE3EB22B9941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29"/>
      <c r="D8" s="29"/>
      <c r="E8" s="29"/>
      <c r="F8" s="29"/>
      <c r="G8" s="29"/>
      <c r="H8" s="29"/>
      <c r="I8" s="29"/>
      <c r="J8" s="29"/>
      <c r="K8" s="29"/>
      <c r="L8">
        <f>SUM(C8:F8,H8,I8,J8)/40</f>
        <v>0</v>
      </c>
      <c r="N8" s="27"/>
      <c r="O8" s="10"/>
      <c r="P8" s="29"/>
      <c r="Q8" s="29"/>
      <c r="R8" s="29"/>
      <c r="S8" s="29"/>
      <c r="T8" s="29"/>
      <c r="U8" s="29"/>
      <c r="V8" s="29"/>
      <c r="W8" s="29"/>
      <c r="X8" s="29"/>
      <c r="Y8">
        <f>SUM(P8:S8,U8,V8,W8)/40</f>
        <v>0</v>
      </c>
    </row>
    <row r="9" spans="1:26" x14ac:dyDescent="0.35">
      <c r="A9" s="27"/>
      <c r="B9" s="10"/>
      <c r="C9" s="29"/>
      <c r="D9" s="29"/>
      <c r="E9" s="29"/>
      <c r="F9" s="29"/>
      <c r="G9" s="29"/>
      <c r="H9" s="29"/>
      <c r="I9" s="29"/>
      <c r="J9" s="29"/>
      <c r="K9" s="29"/>
      <c r="L9">
        <f t="shared" ref="L9:L12" si="0">SUM(C9:F9,H9,I9,J9)/40</f>
        <v>0</v>
      </c>
      <c r="N9" s="27"/>
      <c r="O9" s="10"/>
      <c r="P9" s="29"/>
      <c r="Q9" s="29"/>
      <c r="R9" s="29"/>
      <c r="S9" s="29"/>
      <c r="T9" s="29"/>
      <c r="U9" s="29"/>
      <c r="V9" s="29"/>
      <c r="W9" s="29"/>
      <c r="X9" s="29"/>
      <c r="Y9">
        <f t="shared" ref="Y9:Y12" si="1">SUM(P9:S9,U9,V9,W9)/40</f>
        <v>0</v>
      </c>
    </row>
    <row r="10" spans="1:26" x14ac:dyDescent="0.35">
      <c r="A10" s="27"/>
      <c r="B10" s="10"/>
      <c r="C10" s="29"/>
      <c r="D10" s="29"/>
      <c r="E10" s="29"/>
      <c r="F10" s="29"/>
      <c r="G10" s="29"/>
      <c r="H10" s="29"/>
      <c r="I10" s="29"/>
      <c r="J10" s="29"/>
      <c r="K10" s="29"/>
      <c r="L10">
        <f t="shared" si="0"/>
        <v>0</v>
      </c>
      <c r="N10" s="27"/>
      <c r="O10" s="10"/>
      <c r="P10" s="29"/>
      <c r="Q10" s="29"/>
      <c r="R10" s="29"/>
      <c r="S10" s="29"/>
      <c r="T10" s="29"/>
      <c r="U10" s="29"/>
      <c r="V10" s="29"/>
      <c r="W10" s="29"/>
      <c r="X10" s="29"/>
      <c r="Y10">
        <f t="shared" si="1"/>
        <v>0</v>
      </c>
    </row>
    <row r="11" spans="1:26" x14ac:dyDescent="0.35">
      <c r="A11" s="11"/>
      <c r="B11" s="11"/>
      <c r="C11" s="29"/>
      <c r="D11" s="29"/>
      <c r="E11" s="29"/>
      <c r="F11" s="29"/>
      <c r="G11" s="29"/>
      <c r="H11" s="29"/>
      <c r="I11" s="29"/>
      <c r="J11" s="29"/>
      <c r="K11" s="29"/>
      <c r="L11">
        <f t="shared" si="0"/>
        <v>0</v>
      </c>
      <c r="N11" s="11"/>
      <c r="O11" s="11"/>
      <c r="P11" s="29"/>
      <c r="Q11" s="29"/>
      <c r="R11" s="29"/>
      <c r="S11" s="29"/>
      <c r="T11" s="29"/>
      <c r="U11" s="29"/>
      <c r="V11" s="29"/>
      <c r="W11" s="29"/>
      <c r="X11" s="29"/>
      <c r="Y11">
        <f t="shared" si="1"/>
        <v>0</v>
      </c>
    </row>
    <row r="12" spans="1:26" x14ac:dyDescent="0.35">
      <c r="A12" s="11"/>
      <c r="B12" s="11"/>
      <c r="C12" s="29"/>
      <c r="D12" s="29"/>
      <c r="E12" s="29"/>
      <c r="F12" s="29"/>
      <c r="G12" s="29"/>
      <c r="H12" s="29"/>
      <c r="I12" s="29"/>
      <c r="J12" s="29"/>
      <c r="K12" s="29"/>
      <c r="L12">
        <f t="shared" si="0"/>
        <v>0</v>
      </c>
      <c r="N12" s="11"/>
      <c r="O12" s="11"/>
      <c r="P12" s="29"/>
      <c r="Q12" s="29"/>
      <c r="R12" s="29"/>
      <c r="S12" s="29"/>
      <c r="T12" s="29"/>
      <c r="U12" s="29"/>
      <c r="V12" s="29"/>
      <c r="W12" s="29"/>
      <c r="X12" s="29"/>
      <c r="Y12">
        <f t="shared" si="1"/>
        <v>0</v>
      </c>
    </row>
    <row r="13" spans="1:26" x14ac:dyDescent="0.35">
      <c r="A13" s="11"/>
      <c r="B13" s="11"/>
      <c r="C13" s="12"/>
      <c r="D13" s="12"/>
      <c r="E13" s="12"/>
      <c r="F13" s="12"/>
      <c r="G13" s="29"/>
      <c r="H13" s="12"/>
      <c r="I13" s="12"/>
      <c r="J13" s="12"/>
      <c r="K13" s="29"/>
      <c r="N13" s="11"/>
      <c r="O13" s="11"/>
      <c r="P13" s="12"/>
      <c r="Q13" s="12"/>
      <c r="R13" s="12"/>
      <c r="S13" s="12"/>
      <c r="T13" s="29"/>
      <c r="U13" s="12"/>
      <c r="V13" s="12"/>
      <c r="W13" s="12"/>
      <c r="X13" s="29"/>
    </row>
    <row r="14" spans="1:26" x14ac:dyDescent="0.35">
      <c r="A14" s="13"/>
      <c r="B14" s="10"/>
      <c r="C14" s="14">
        <f t="shared" ref="C14:K14" si="2">SUM(C8:C13)</f>
        <v>0</v>
      </c>
      <c r="D14" s="14">
        <f t="shared" si="2"/>
        <v>0</v>
      </c>
      <c r="E14" s="14">
        <f t="shared" si="2"/>
        <v>0</v>
      </c>
      <c r="F14" s="14">
        <f t="shared" si="2"/>
        <v>0</v>
      </c>
      <c r="G14" s="14">
        <f t="shared" si="2"/>
        <v>0</v>
      </c>
      <c r="H14" s="14">
        <f t="shared" si="2"/>
        <v>0</v>
      </c>
      <c r="I14" s="14">
        <f t="shared" si="2"/>
        <v>0</v>
      </c>
      <c r="J14" s="14">
        <f t="shared" si="2"/>
        <v>0</v>
      </c>
      <c r="K14" s="14">
        <f t="shared" si="2"/>
        <v>0</v>
      </c>
      <c r="L14" s="35">
        <f>C14+D14+E14+F14+H14+I14+J14</f>
        <v>0</v>
      </c>
      <c r="N14" s="13"/>
      <c r="O14" s="10"/>
      <c r="P14" s="14">
        <f t="shared" ref="P14:X14" si="3">SUM(P8:P13)</f>
        <v>0</v>
      </c>
      <c r="Q14" s="14">
        <f t="shared" si="3"/>
        <v>0</v>
      </c>
      <c r="R14" s="14">
        <f t="shared" si="3"/>
        <v>0</v>
      </c>
      <c r="S14" s="14">
        <f t="shared" si="3"/>
        <v>0</v>
      </c>
      <c r="T14" s="14">
        <f t="shared" si="3"/>
        <v>0</v>
      </c>
      <c r="U14" s="14">
        <f t="shared" si="3"/>
        <v>0</v>
      </c>
      <c r="V14" s="14">
        <f t="shared" si="3"/>
        <v>0</v>
      </c>
      <c r="W14" s="14">
        <f t="shared" si="3"/>
        <v>0</v>
      </c>
      <c r="X14" s="14">
        <f t="shared" si="3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4">E14/20</f>
        <v>0</v>
      </c>
      <c r="F15" s="13">
        <f t="shared" si="4"/>
        <v>0</v>
      </c>
      <c r="G15" s="13"/>
      <c r="H15" s="13">
        <f t="shared" si="4"/>
        <v>0</v>
      </c>
      <c r="I15" s="13">
        <f t="shared" si="4"/>
        <v>0</v>
      </c>
      <c r="J15" s="13">
        <f t="shared" si="4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5">R14/20</f>
        <v>0</v>
      </c>
      <c r="S15" s="13">
        <f t="shared" si="5"/>
        <v>0</v>
      </c>
      <c r="T15" s="13"/>
      <c r="U15" s="13">
        <f t="shared" ref="U15:W15" si="6">U14/20</f>
        <v>0</v>
      </c>
      <c r="V15" s="13">
        <f t="shared" si="6"/>
        <v>0</v>
      </c>
      <c r="W15" s="13">
        <f t="shared" si="6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7">D15+D14</f>
        <v>0</v>
      </c>
      <c r="E16" s="36">
        <f t="shared" si="7"/>
        <v>0</v>
      </c>
      <c r="F16" s="36">
        <f t="shared" si="7"/>
        <v>0</v>
      </c>
      <c r="G16" s="36"/>
      <c r="H16" s="36">
        <f t="shared" si="7"/>
        <v>0</v>
      </c>
      <c r="I16" s="36">
        <f t="shared" si="7"/>
        <v>0</v>
      </c>
      <c r="J16" s="36">
        <f t="shared" si="7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8">Q15+Q14</f>
        <v>0</v>
      </c>
      <c r="R16" s="36">
        <f t="shared" si="8"/>
        <v>0</v>
      </c>
      <c r="S16" s="36">
        <f t="shared" si="8"/>
        <v>0</v>
      </c>
      <c r="T16" s="36"/>
      <c r="U16" s="36">
        <f t="shared" ref="U16:W16" si="9">U15+U14</f>
        <v>0</v>
      </c>
      <c r="V16" s="36">
        <f t="shared" si="9"/>
        <v>0</v>
      </c>
      <c r="W16" s="36">
        <f t="shared" si="9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0">D14/40</f>
        <v>0</v>
      </c>
      <c r="E17" s="36">
        <f t="shared" si="10"/>
        <v>0</v>
      </c>
      <c r="F17" s="36">
        <f t="shared" si="10"/>
        <v>0</v>
      </c>
      <c r="G17" s="36"/>
      <c r="H17" s="36">
        <f t="shared" si="10"/>
        <v>0</v>
      </c>
      <c r="I17" s="36">
        <f t="shared" si="10"/>
        <v>0</v>
      </c>
      <c r="J17" s="36">
        <f t="shared" si="10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1">Q14/40</f>
        <v>0</v>
      </c>
      <c r="R17" s="36">
        <f t="shared" si="11"/>
        <v>0</v>
      </c>
      <c r="S17" s="36">
        <f t="shared" si="11"/>
        <v>0</v>
      </c>
      <c r="T17" s="36"/>
      <c r="U17" s="36">
        <f t="shared" ref="U17:W17" si="12">U14/40</f>
        <v>0</v>
      </c>
      <c r="V17" s="36">
        <f t="shared" si="12"/>
        <v>0</v>
      </c>
      <c r="W17" s="36">
        <f t="shared" si="12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F27D-AAC1-4CD7-811C-DDA5804758A4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46181</v>
      </c>
      <c r="B8" s="10"/>
      <c r="C8" s="12"/>
      <c r="D8" s="12"/>
      <c r="E8" s="12"/>
      <c r="F8" s="12"/>
      <c r="G8" s="28">
        <v>11</v>
      </c>
      <c r="H8" s="12"/>
      <c r="I8" s="12"/>
      <c r="J8" s="12"/>
      <c r="K8" s="28">
        <v>9</v>
      </c>
      <c r="L8">
        <f>SUM(C8:F8,H8,I8,J8)/40</f>
        <v>0</v>
      </c>
      <c r="N8" s="27">
        <v>46181</v>
      </c>
      <c r="O8" s="10"/>
      <c r="P8" s="12"/>
      <c r="Q8" s="12"/>
      <c r="R8" s="12"/>
      <c r="S8" s="12"/>
      <c r="T8" s="28">
        <v>11</v>
      </c>
      <c r="U8" s="12"/>
      <c r="V8" s="12"/>
      <c r="W8" s="12"/>
      <c r="X8" s="28">
        <v>9</v>
      </c>
      <c r="Y8">
        <f>SUM(P8:S8,U8,V8,W8)/40</f>
        <v>0</v>
      </c>
    </row>
    <row r="9" spans="1:26" x14ac:dyDescent="0.35">
      <c r="A9" s="27">
        <v>46181</v>
      </c>
      <c r="B9" s="10"/>
      <c r="C9" s="12"/>
      <c r="D9" s="12"/>
      <c r="E9" s="12"/>
      <c r="F9" s="12"/>
      <c r="G9" s="28">
        <v>11</v>
      </c>
      <c r="H9" s="12"/>
      <c r="I9" s="12"/>
      <c r="J9" s="12"/>
      <c r="K9" s="28">
        <v>9</v>
      </c>
      <c r="L9">
        <f t="shared" ref="L9:L12" si="0">SUM(C9:F9,H9,I9,J9)/40</f>
        <v>0</v>
      </c>
      <c r="N9" s="27">
        <v>46181</v>
      </c>
      <c r="O9" s="10"/>
      <c r="P9" s="12"/>
      <c r="Q9" s="12"/>
      <c r="R9" s="12"/>
      <c r="S9" s="12"/>
      <c r="T9" s="28">
        <v>11</v>
      </c>
      <c r="U9" s="12"/>
      <c r="V9" s="12"/>
      <c r="W9" s="12"/>
      <c r="X9" s="28">
        <v>9</v>
      </c>
      <c r="Y9">
        <f t="shared" ref="Y9:Y12" si="1">SUM(P9:S9,U9,V9,W9)/40</f>
        <v>0</v>
      </c>
    </row>
    <row r="10" spans="1:26" x14ac:dyDescent="0.35">
      <c r="A10" s="27">
        <v>46181</v>
      </c>
      <c r="B10" s="10"/>
      <c r="C10" s="12"/>
      <c r="D10" s="12"/>
      <c r="E10" s="12"/>
      <c r="F10" s="12"/>
      <c r="G10" s="28">
        <v>11</v>
      </c>
      <c r="H10" s="12"/>
      <c r="I10" s="12"/>
      <c r="J10" s="12"/>
      <c r="K10" s="28">
        <v>9</v>
      </c>
      <c r="L10">
        <f t="shared" si="0"/>
        <v>0</v>
      </c>
      <c r="N10" s="27">
        <v>46181</v>
      </c>
      <c r="O10" s="10"/>
      <c r="P10" s="12"/>
      <c r="Q10" s="12"/>
      <c r="R10" s="12"/>
      <c r="S10" s="12"/>
      <c r="T10" s="28">
        <v>11</v>
      </c>
      <c r="U10" s="12"/>
      <c r="V10" s="12"/>
      <c r="W10" s="12"/>
      <c r="X10" s="28">
        <v>9</v>
      </c>
      <c r="Y10">
        <f t="shared" si="1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v>11</v>
      </c>
      <c r="H11" s="12"/>
      <c r="I11" s="12"/>
      <c r="J11" s="12"/>
      <c r="K11" s="28">
        <v>9</v>
      </c>
      <c r="L11">
        <f t="shared" si="0"/>
        <v>0</v>
      </c>
      <c r="N11" s="11"/>
      <c r="O11" s="11"/>
      <c r="P11" s="12"/>
      <c r="Q11" s="12"/>
      <c r="R11" s="12"/>
      <c r="S11" s="12"/>
      <c r="T11" s="28">
        <v>11</v>
      </c>
      <c r="U11" s="12"/>
      <c r="V11" s="12"/>
      <c r="W11" s="12"/>
      <c r="X11" s="28">
        <v>9</v>
      </c>
      <c r="Y11">
        <f t="shared" si="1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v>11</v>
      </c>
      <c r="H12" s="12"/>
      <c r="I12" s="12"/>
      <c r="J12" s="12"/>
      <c r="K12" s="28">
        <v>9</v>
      </c>
      <c r="L12">
        <f t="shared" si="0"/>
        <v>0</v>
      </c>
      <c r="N12" s="11"/>
      <c r="O12" s="11"/>
      <c r="P12" s="12"/>
      <c r="Q12" s="12"/>
      <c r="R12" s="12"/>
      <c r="S12" s="12"/>
      <c r="T12" s="28">
        <v>11</v>
      </c>
      <c r="U12" s="12"/>
      <c r="V12" s="12"/>
      <c r="W12" s="12"/>
      <c r="X12" s="28">
        <v>9</v>
      </c>
      <c r="Y12">
        <f t="shared" si="1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v>11</v>
      </c>
      <c r="H13" s="12"/>
      <c r="I13" s="12"/>
      <c r="J13" s="12"/>
      <c r="K13" s="28">
        <v>9</v>
      </c>
      <c r="N13" s="11"/>
      <c r="O13" s="11"/>
      <c r="P13" s="12"/>
      <c r="Q13" s="12"/>
      <c r="R13" s="12"/>
      <c r="S13" s="12"/>
      <c r="T13" s="28">
        <v>11</v>
      </c>
      <c r="U13" s="12"/>
      <c r="V13" s="12"/>
      <c r="W13" s="12"/>
      <c r="X13" s="28">
        <v>9</v>
      </c>
    </row>
    <row r="14" spans="1:26" x14ac:dyDescent="0.35">
      <c r="A14" s="13"/>
      <c r="B14" s="10"/>
      <c r="C14" s="14">
        <f t="shared" ref="C14:K14" si="2">SUM(C8:C13)</f>
        <v>0</v>
      </c>
      <c r="D14" s="14">
        <f t="shared" si="2"/>
        <v>0</v>
      </c>
      <c r="E14" s="14">
        <f t="shared" si="2"/>
        <v>0</v>
      </c>
      <c r="F14" s="14">
        <f t="shared" si="2"/>
        <v>0</v>
      </c>
      <c r="G14" s="14">
        <f t="shared" si="2"/>
        <v>66</v>
      </c>
      <c r="H14" s="14">
        <f t="shared" si="2"/>
        <v>0</v>
      </c>
      <c r="I14" s="14">
        <f t="shared" si="2"/>
        <v>0</v>
      </c>
      <c r="J14" s="14">
        <f t="shared" si="2"/>
        <v>0</v>
      </c>
      <c r="K14" s="14">
        <f t="shared" si="2"/>
        <v>54</v>
      </c>
      <c r="L14" s="35">
        <f>C14+D14+E14+F14+H14+I14+J14</f>
        <v>0</v>
      </c>
      <c r="N14" s="13"/>
      <c r="O14" s="10"/>
      <c r="P14" s="14">
        <f t="shared" ref="P14:X14" si="3">SUM(P8:P13)</f>
        <v>0</v>
      </c>
      <c r="Q14" s="14">
        <f t="shared" si="3"/>
        <v>0</v>
      </c>
      <c r="R14" s="14">
        <f t="shared" si="3"/>
        <v>0</v>
      </c>
      <c r="S14" s="14">
        <f t="shared" si="3"/>
        <v>0</v>
      </c>
      <c r="T14" s="14">
        <f t="shared" si="3"/>
        <v>66</v>
      </c>
      <c r="U14" s="14">
        <f t="shared" si="3"/>
        <v>0</v>
      </c>
      <c r="V14" s="14">
        <f t="shared" si="3"/>
        <v>0</v>
      </c>
      <c r="W14" s="14">
        <f t="shared" si="3"/>
        <v>0</v>
      </c>
      <c r="X14" s="14">
        <f t="shared" si="3"/>
        <v>54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4">E14/20</f>
        <v>0</v>
      </c>
      <c r="F15" s="13">
        <f t="shared" si="4"/>
        <v>0</v>
      </c>
      <c r="G15" s="13"/>
      <c r="H15" s="13">
        <f t="shared" si="4"/>
        <v>0</v>
      </c>
      <c r="I15" s="13">
        <f t="shared" si="4"/>
        <v>0</v>
      </c>
      <c r="J15" s="13">
        <f t="shared" si="4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5">R14/20</f>
        <v>0</v>
      </c>
      <c r="S15" s="13">
        <f t="shared" si="5"/>
        <v>0</v>
      </c>
      <c r="T15" s="13"/>
      <c r="U15" s="13">
        <f t="shared" ref="U15:W15" si="6">U14/20</f>
        <v>0</v>
      </c>
      <c r="V15" s="13">
        <f t="shared" si="6"/>
        <v>0</v>
      </c>
      <c r="W15" s="13">
        <f t="shared" si="6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7">D15+D14</f>
        <v>0</v>
      </c>
      <c r="E16" s="36">
        <f t="shared" si="7"/>
        <v>0</v>
      </c>
      <c r="F16" s="36">
        <f t="shared" si="7"/>
        <v>0</v>
      </c>
      <c r="G16" s="36"/>
      <c r="H16" s="36">
        <f t="shared" si="7"/>
        <v>0</v>
      </c>
      <c r="I16" s="36">
        <f t="shared" si="7"/>
        <v>0</v>
      </c>
      <c r="J16" s="36">
        <f t="shared" si="7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8">Q15+Q14</f>
        <v>0</v>
      </c>
      <c r="R16" s="36">
        <f t="shared" si="8"/>
        <v>0</v>
      </c>
      <c r="S16" s="36">
        <f t="shared" si="8"/>
        <v>0</v>
      </c>
      <c r="T16" s="36"/>
      <c r="U16" s="36">
        <f t="shared" ref="U16:W16" si="9">U15+U14</f>
        <v>0</v>
      </c>
      <c r="V16" s="36">
        <f t="shared" si="9"/>
        <v>0</v>
      </c>
      <c r="W16" s="36">
        <f t="shared" si="9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0">D14/40</f>
        <v>0</v>
      </c>
      <c r="E17" s="36">
        <f t="shared" si="10"/>
        <v>0</v>
      </c>
      <c r="F17" s="36">
        <f t="shared" si="10"/>
        <v>0</v>
      </c>
      <c r="G17" s="36"/>
      <c r="H17" s="36">
        <f t="shared" si="10"/>
        <v>0</v>
      </c>
      <c r="I17" s="36">
        <f t="shared" si="10"/>
        <v>0</v>
      </c>
      <c r="J17" s="36">
        <f t="shared" si="10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1">Q14/40</f>
        <v>0</v>
      </c>
      <c r="R17" s="36">
        <f t="shared" si="11"/>
        <v>0</v>
      </c>
      <c r="S17" s="36">
        <f t="shared" si="11"/>
        <v>0</v>
      </c>
      <c r="T17" s="36"/>
      <c r="U17" s="36">
        <f t="shared" ref="U17:W17" si="12">U14/40</f>
        <v>0</v>
      </c>
      <c r="V17" s="36">
        <f t="shared" si="12"/>
        <v>0</v>
      </c>
      <c r="W17" s="36">
        <f t="shared" si="12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5825-E10C-4C60-8B8A-1DECB641A0BB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9.17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9.1796875" bestFit="1" customWidth="1"/>
    <col min="16" max="16" width="4" bestFit="1" customWidth="1"/>
    <col min="17" max="17" width="4.26953125" bestFit="1" customWidth="1"/>
    <col min="18" max="18" width="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30">
        <f>SUM(D8:F8)/20</f>
        <v>0</v>
      </c>
      <c r="H8" s="12"/>
      <c r="I8" s="12"/>
      <c r="J8" s="12"/>
      <c r="K8" s="30">
        <f>SUM(H8:J8)/20</f>
        <v>0</v>
      </c>
      <c r="L8">
        <f>SUM(C8:F8,H8,I8,J8)/40</f>
        <v>0</v>
      </c>
      <c r="N8" s="27"/>
      <c r="O8" s="10"/>
      <c r="P8" s="12"/>
      <c r="Q8" s="12"/>
      <c r="R8" s="12"/>
      <c r="S8" s="12"/>
      <c r="T8" s="30">
        <f>SUM(Q8:S8)/20</f>
        <v>0</v>
      </c>
      <c r="U8" s="12"/>
      <c r="V8" s="12"/>
      <c r="W8" s="12"/>
      <c r="X8" s="30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30">
        <f t="shared" ref="G9:G13" si="0">SUM(D9:F9)/20</f>
        <v>0</v>
      </c>
      <c r="H9" s="12"/>
      <c r="I9" s="12"/>
      <c r="J9" s="12"/>
      <c r="K9" s="30">
        <f t="shared" ref="K9:K13" si="1">SUM(H9:J9)/20</f>
        <v>0</v>
      </c>
      <c r="L9">
        <f t="shared" ref="L9:L12" si="2">SUM(C9:F9,H9,I9,J9)/40</f>
        <v>0</v>
      </c>
      <c r="N9" s="27"/>
      <c r="O9" s="10"/>
      <c r="P9" s="12"/>
      <c r="Q9" s="12"/>
      <c r="R9" s="12"/>
      <c r="S9" s="12"/>
      <c r="T9" s="30">
        <f t="shared" ref="T9:T13" si="3">SUM(Q9:S9)/20</f>
        <v>0</v>
      </c>
      <c r="U9" s="12"/>
      <c r="V9" s="12"/>
      <c r="W9" s="12"/>
      <c r="X9" s="30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30">
        <f t="shared" si="0"/>
        <v>0</v>
      </c>
      <c r="H10" s="12"/>
      <c r="I10" s="12"/>
      <c r="J10" s="12"/>
      <c r="K10" s="30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30">
        <f t="shared" si="3"/>
        <v>0</v>
      </c>
      <c r="U10" s="12"/>
      <c r="V10" s="12"/>
      <c r="W10" s="12"/>
      <c r="X10" s="30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30">
        <f t="shared" si="0"/>
        <v>0</v>
      </c>
      <c r="H11" s="12"/>
      <c r="I11" s="12"/>
      <c r="J11" s="12"/>
      <c r="K11" s="30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30">
        <f t="shared" si="3"/>
        <v>0</v>
      </c>
      <c r="U11" s="12"/>
      <c r="V11" s="12"/>
      <c r="W11" s="12"/>
      <c r="X11" s="30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30">
        <f t="shared" si="0"/>
        <v>0</v>
      </c>
      <c r="H12" s="12"/>
      <c r="I12" s="12"/>
      <c r="J12" s="12"/>
      <c r="K12" s="30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30">
        <f t="shared" si="3"/>
        <v>0</v>
      </c>
      <c r="U12" s="12"/>
      <c r="V12" s="12"/>
      <c r="W12" s="12"/>
      <c r="X12" s="30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30">
        <f t="shared" si="0"/>
        <v>0</v>
      </c>
      <c r="H13" s="12"/>
      <c r="I13" s="12"/>
      <c r="J13" s="12"/>
      <c r="K13" s="30">
        <f t="shared" si="1"/>
        <v>0</v>
      </c>
      <c r="N13" s="11"/>
      <c r="O13" s="11"/>
      <c r="P13" s="12"/>
      <c r="Q13" s="12"/>
      <c r="R13" s="12"/>
      <c r="S13" s="12"/>
      <c r="T13" s="30">
        <f t="shared" si="3"/>
        <v>0</v>
      </c>
      <c r="U13" s="12"/>
      <c r="V13" s="12"/>
      <c r="W13" s="12"/>
      <c r="X13" s="30">
        <f t="shared" si="4"/>
        <v>0</v>
      </c>
    </row>
    <row r="14" spans="1:26" x14ac:dyDescent="0.35">
      <c r="A14" s="13"/>
      <c r="B14" s="10" t="s">
        <v>16</v>
      </c>
      <c r="C14" s="14">
        <f t="shared" ref="C14:J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31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30">
        <f t="shared" ref="K14" si="7">SUM(H14:J14)/20</f>
        <v>0</v>
      </c>
      <c r="L14" s="35">
        <f>C14+D14+E14+F14+H14+I14+J14</f>
        <v>0</v>
      </c>
      <c r="N14" s="13"/>
      <c r="O14" s="10" t="s">
        <v>16</v>
      </c>
      <c r="P14" s="14">
        <f t="shared" ref="P14:W14" si="8">SUM(P8:P13)</f>
        <v>0</v>
      </c>
      <c r="Q14" s="14">
        <f t="shared" si="8"/>
        <v>0</v>
      </c>
      <c r="R14" s="14">
        <f t="shared" si="8"/>
        <v>0</v>
      </c>
      <c r="S14" s="14">
        <f t="shared" si="8"/>
        <v>0</v>
      </c>
      <c r="T14" s="31">
        <f t="shared" si="8"/>
        <v>0</v>
      </c>
      <c r="U14" s="14">
        <f t="shared" si="8"/>
        <v>0</v>
      </c>
      <c r="V14" s="14">
        <f t="shared" si="8"/>
        <v>0</v>
      </c>
      <c r="W14" s="14">
        <f t="shared" si="8"/>
        <v>0</v>
      </c>
      <c r="X14" s="30">
        <f t="shared" ref="X14" si="9">SUM(U14:W14)/20</f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10">E14/20</f>
        <v>0</v>
      </c>
      <c r="F15" s="13">
        <f t="shared" si="10"/>
        <v>0</v>
      </c>
      <c r="G15" s="13"/>
      <c r="H15" s="13">
        <f t="shared" si="10"/>
        <v>0</v>
      </c>
      <c r="I15" s="13">
        <f t="shared" si="10"/>
        <v>0</v>
      </c>
      <c r="J15" s="13">
        <f t="shared" si="10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11">R14/20</f>
        <v>0</v>
      </c>
      <c r="S15" s="13">
        <f t="shared" si="11"/>
        <v>0</v>
      </c>
      <c r="T15" s="13"/>
      <c r="U15" s="13">
        <f t="shared" ref="U15:W15" si="12">U14/20</f>
        <v>0</v>
      </c>
      <c r="V15" s="13">
        <f t="shared" si="12"/>
        <v>0</v>
      </c>
      <c r="W15" s="13">
        <f t="shared" si="12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3">D15+D14</f>
        <v>0</v>
      </c>
      <c r="E16" s="36">
        <f t="shared" si="13"/>
        <v>0</v>
      </c>
      <c r="F16" s="36">
        <f t="shared" si="13"/>
        <v>0</v>
      </c>
      <c r="G16" s="36"/>
      <c r="H16" s="36">
        <f t="shared" si="13"/>
        <v>0</v>
      </c>
      <c r="I16" s="36">
        <f t="shared" si="13"/>
        <v>0</v>
      </c>
      <c r="J16" s="36">
        <f t="shared" si="13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4">Q15+Q14</f>
        <v>0</v>
      </c>
      <c r="R16" s="36">
        <f t="shared" si="14"/>
        <v>0</v>
      </c>
      <c r="S16" s="36">
        <f t="shared" si="14"/>
        <v>0</v>
      </c>
      <c r="T16" s="36"/>
      <c r="U16" s="36">
        <f t="shared" ref="U16:W16" si="15">U15+U14</f>
        <v>0</v>
      </c>
      <c r="V16" s="36">
        <f t="shared" si="15"/>
        <v>0</v>
      </c>
      <c r="W16" s="36">
        <f t="shared" si="15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6">D14/40</f>
        <v>0</v>
      </c>
      <c r="E17" s="36">
        <f t="shared" si="16"/>
        <v>0</v>
      </c>
      <c r="F17" s="36">
        <f t="shared" si="16"/>
        <v>0</v>
      </c>
      <c r="G17" s="36"/>
      <c r="H17" s="36">
        <f t="shared" si="16"/>
        <v>0</v>
      </c>
      <c r="I17" s="36">
        <f t="shared" si="16"/>
        <v>0</v>
      </c>
      <c r="J17" s="36">
        <f t="shared" si="16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7">Q14/40</f>
        <v>0</v>
      </c>
      <c r="R17" s="36">
        <f t="shared" si="17"/>
        <v>0</v>
      </c>
      <c r="S17" s="36">
        <f t="shared" si="17"/>
        <v>0</v>
      </c>
      <c r="T17" s="36"/>
      <c r="U17" s="36">
        <f t="shared" ref="U17:W17" si="18">U14/40</f>
        <v>0</v>
      </c>
      <c r="V17" s="36">
        <f t="shared" si="18"/>
        <v>0</v>
      </c>
      <c r="W17" s="36">
        <f t="shared" si="18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BBA6-E6CB-45EB-B741-EF1A3D434FE9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5" bestFit="1" customWidth="1"/>
    <col min="18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B744-359B-4545-85D0-01C9D0099EAF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5" bestFit="1" customWidth="1"/>
    <col min="18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1A93-6BA4-42CE-89C9-9BF27D5F2B74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t="s">
        <v>20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 t="s">
        <v>16</v>
      </c>
      <c r="C14" s="33">
        <f t="shared" ref="C14:K14" si="6">SUM(C8:C13)</f>
        <v>0</v>
      </c>
      <c r="D14" s="33">
        <f t="shared" si="6"/>
        <v>0</v>
      </c>
      <c r="E14" s="33">
        <f t="shared" si="6"/>
        <v>0</v>
      </c>
      <c r="F14" s="33">
        <f t="shared" si="6"/>
        <v>0</v>
      </c>
      <c r="G14" s="33">
        <f t="shared" si="6"/>
        <v>0</v>
      </c>
      <c r="H14" s="33">
        <f t="shared" si="6"/>
        <v>0</v>
      </c>
      <c r="I14" s="33">
        <f t="shared" si="6"/>
        <v>0</v>
      </c>
      <c r="J14" s="33">
        <f t="shared" si="6"/>
        <v>0</v>
      </c>
      <c r="K14" s="33">
        <f t="shared" si="6"/>
        <v>0</v>
      </c>
      <c r="L14" s="34">
        <f>C14+D14+E14+F14+H14+I14+J14</f>
        <v>0</v>
      </c>
      <c r="N14" s="13"/>
      <c r="O14" s="10" t="s">
        <v>16</v>
      </c>
      <c r="P14" s="33">
        <f t="shared" ref="P14:X14" si="7">SUM(P8:P13)</f>
        <v>0</v>
      </c>
      <c r="Q14" s="33">
        <f t="shared" si="7"/>
        <v>0</v>
      </c>
      <c r="R14" s="33">
        <f t="shared" si="7"/>
        <v>0</v>
      </c>
      <c r="S14" s="33">
        <f t="shared" si="7"/>
        <v>0</v>
      </c>
      <c r="T14" s="33">
        <f t="shared" si="7"/>
        <v>0</v>
      </c>
      <c r="U14" s="33">
        <f t="shared" si="7"/>
        <v>0</v>
      </c>
      <c r="V14" s="33">
        <f t="shared" si="7"/>
        <v>0</v>
      </c>
      <c r="W14" s="33">
        <f t="shared" si="7"/>
        <v>0</v>
      </c>
      <c r="X14" s="33">
        <f t="shared" si="7"/>
        <v>0</v>
      </c>
      <c r="Y14" s="34">
        <f>P14+Q14+R14+S14+U14+V14+W14</f>
        <v>0</v>
      </c>
    </row>
    <row r="15" spans="1:26" x14ac:dyDescent="0.35">
      <c r="A15" s="13"/>
      <c r="B15" s="10" t="s">
        <v>22</v>
      </c>
      <c r="C15" s="30"/>
      <c r="D15" s="30">
        <f>D14/20</f>
        <v>0</v>
      </c>
      <c r="E15" s="30">
        <f t="shared" ref="E15:J15" si="8">E14/20</f>
        <v>0</v>
      </c>
      <c r="F15" s="30">
        <f t="shared" si="8"/>
        <v>0</v>
      </c>
      <c r="G15" s="30"/>
      <c r="H15" s="30">
        <f t="shared" si="8"/>
        <v>0</v>
      </c>
      <c r="I15" s="30">
        <f t="shared" si="8"/>
        <v>0</v>
      </c>
      <c r="J15" s="30">
        <f t="shared" si="8"/>
        <v>0</v>
      </c>
      <c r="K15" s="30"/>
      <c r="N15" s="13"/>
      <c r="O15" s="10" t="s">
        <v>22</v>
      </c>
      <c r="P15" s="30"/>
      <c r="Q15" s="30">
        <f>Q14/20</f>
        <v>0</v>
      </c>
      <c r="R15" s="30">
        <f t="shared" ref="R15:S15" si="9">R14/20</f>
        <v>0</v>
      </c>
      <c r="S15" s="30">
        <f t="shared" si="9"/>
        <v>0</v>
      </c>
      <c r="T15" s="30"/>
      <c r="U15" s="30">
        <f t="shared" ref="U15:W15" si="10">U14/20</f>
        <v>0</v>
      </c>
      <c r="V15" s="30">
        <f t="shared" si="10"/>
        <v>0</v>
      </c>
      <c r="W15" s="30">
        <f t="shared" si="10"/>
        <v>0</v>
      </c>
      <c r="X15" s="30"/>
    </row>
    <row r="16" spans="1:26" x14ac:dyDescent="0.35">
      <c r="A16" s="13"/>
      <c r="B16" s="10" t="s">
        <v>21</v>
      </c>
      <c r="C16" s="38">
        <f>C15+C14</f>
        <v>0</v>
      </c>
      <c r="D16" s="38">
        <f t="shared" ref="D16:J16" si="11">D15+D14</f>
        <v>0</v>
      </c>
      <c r="E16" s="38">
        <f t="shared" si="11"/>
        <v>0</v>
      </c>
      <c r="F16" s="38">
        <f t="shared" si="11"/>
        <v>0</v>
      </c>
      <c r="G16" s="38"/>
      <c r="H16" s="38">
        <f t="shared" si="11"/>
        <v>0</v>
      </c>
      <c r="I16" s="38">
        <f t="shared" si="11"/>
        <v>0</v>
      </c>
      <c r="J16" s="38">
        <f t="shared" si="11"/>
        <v>0</v>
      </c>
      <c r="K16" s="38"/>
      <c r="N16" s="13"/>
      <c r="O16" s="10" t="s">
        <v>21</v>
      </c>
      <c r="P16" s="38">
        <f>P15+P14</f>
        <v>0</v>
      </c>
      <c r="Q16" s="38">
        <f t="shared" ref="Q16:S16" si="12">Q15+Q14</f>
        <v>0</v>
      </c>
      <c r="R16" s="38">
        <f t="shared" si="12"/>
        <v>0</v>
      </c>
      <c r="S16" s="38">
        <f t="shared" si="12"/>
        <v>0</v>
      </c>
      <c r="T16" s="38"/>
      <c r="U16" s="38">
        <f t="shared" ref="U16:W16" si="13">U15+U14</f>
        <v>0</v>
      </c>
      <c r="V16" s="38">
        <f t="shared" si="13"/>
        <v>0</v>
      </c>
      <c r="W16" s="38">
        <f t="shared" si="13"/>
        <v>0</v>
      </c>
      <c r="X16" s="38"/>
    </row>
    <row r="17" spans="1:25" x14ac:dyDescent="0.35">
      <c r="A17" s="13"/>
      <c r="B17" s="10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4">
        <f>SUM(C17:J17)</f>
        <v>0</v>
      </c>
      <c r="N17" s="13"/>
      <c r="O17" s="10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4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D42A-C002-41E3-80E9-BA0AAA04C4EB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36328125" bestFit="1" customWidth="1"/>
    <col min="6" max="6" width="3.90625" bestFit="1" customWidth="1"/>
    <col min="7" max="7" width="5.81640625" bestFit="1" customWidth="1"/>
    <col min="8" max="9" width="4.36328125" bestFit="1" customWidth="1"/>
    <col min="10" max="10" width="3.9062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L13" s="42" t="s">
        <v>24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  <c r="Y13" s="42" t="s">
        <v>24</v>
      </c>
    </row>
    <row r="14" spans="1:26" x14ac:dyDescent="0.35">
      <c r="A14" s="13"/>
      <c r="B14" s="10" t="s">
        <v>16</v>
      </c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 t="s">
        <v>16</v>
      </c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8">
        <f t="shared" ref="D16:J16" si="11">D15+D14</f>
        <v>0</v>
      </c>
      <c r="E16" s="38">
        <f t="shared" si="11"/>
        <v>0</v>
      </c>
      <c r="F16" s="38">
        <f t="shared" si="11"/>
        <v>0</v>
      </c>
      <c r="G16" s="38"/>
      <c r="H16" s="38">
        <f t="shared" si="11"/>
        <v>0</v>
      </c>
      <c r="I16" s="38">
        <f t="shared" si="11"/>
        <v>0</v>
      </c>
      <c r="J16" s="38">
        <f t="shared" si="11"/>
        <v>0</v>
      </c>
      <c r="K16" s="36"/>
      <c r="L16" s="42" t="s">
        <v>25</v>
      </c>
      <c r="N16" s="13"/>
      <c r="O16" s="10" t="s">
        <v>21</v>
      </c>
      <c r="P16" s="36">
        <f>P15+P14</f>
        <v>0</v>
      </c>
      <c r="Q16" s="38">
        <f t="shared" ref="Q16:S16" si="12">Q15+Q14</f>
        <v>0</v>
      </c>
      <c r="R16" s="38">
        <f t="shared" si="12"/>
        <v>0</v>
      </c>
      <c r="S16" s="38">
        <f t="shared" si="12"/>
        <v>0</v>
      </c>
      <c r="T16" s="38"/>
      <c r="U16" s="38">
        <f t="shared" ref="U16:W16" si="13">U15+U14</f>
        <v>0</v>
      </c>
      <c r="V16" s="38">
        <f t="shared" si="13"/>
        <v>0</v>
      </c>
      <c r="W16" s="38">
        <f t="shared" si="13"/>
        <v>0</v>
      </c>
      <c r="X16" s="36"/>
      <c r="Y16" s="42" t="s">
        <v>25</v>
      </c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C1E2-A8F9-4087-95F5-CC61C8293F6A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43"/>
      <c r="C8" s="29"/>
      <c r="D8" s="29"/>
      <c r="E8" s="29"/>
      <c r="F8" s="29"/>
      <c r="G8" s="28">
        <f>SUM(D8:F8)/20</f>
        <v>0</v>
      </c>
      <c r="H8" s="29"/>
      <c r="I8" s="29"/>
      <c r="J8" s="29"/>
      <c r="K8" s="28">
        <f>SUM(H8:J8)/20</f>
        <v>0</v>
      </c>
      <c r="L8">
        <f>SUM(C8:F8,H8,I8,J8)/40</f>
        <v>0</v>
      </c>
      <c r="N8" s="27"/>
      <c r="O8" s="43"/>
      <c r="P8" s="29"/>
      <c r="Q8" s="29"/>
      <c r="R8" s="29"/>
      <c r="S8" s="29"/>
      <c r="T8" s="28">
        <f>SUM(Q8:S8)/20</f>
        <v>0</v>
      </c>
      <c r="U8" s="29"/>
      <c r="V8" s="29"/>
      <c r="W8" s="29"/>
      <c r="X8" s="28">
        <f>SUM(U8:W8)/20</f>
        <v>0</v>
      </c>
      <c r="Y8">
        <f>SUM(P8:S8,U8,V8,W8)/40</f>
        <v>0</v>
      </c>
    </row>
    <row r="9" spans="1:26" x14ac:dyDescent="0.35">
      <c r="A9" s="27"/>
      <c r="B9" s="43"/>
      <c r="C9" s="29"/>
      <c r="D9" s="29"/>
      <c r="E9" s="29"/>
      <c r="F9" s="29"/>
      <c r="G9" s="28">
        <f t="shared" ref="G9:G13" si="0">SUM(D9:F9)/20</f>
        <v>0</v>
      </c>
      <c r="H9" s="29"/>
      <c r="I9" s="29"/>
      <c r="J9" s="29"/>
      <c r="K9" s="28">
        <f t="shared" ref="K9:K13" si="1">SUM(H9:J9)/20</f>
        <v>0</v>
      </c>
      <c r="L9">
        <f t="shared" ref="L9:L12" si="2">SUM(C9:F9,H9,I9,J9)/40</f>
        <v>0</v>
      </c>
      <c r="N9" s="27"/>
      <c r="O9" s="43"/>
      <c r="P9" s="29"/>
      <c r="Q9" s="29"/>
      <c r="R9" s="29"/>
      <c r="S9" s="29"/>
      <c r="T9" s="28">
        <f t="shared" ref="T9:T13" si="3">SUM(Q9:S9)/20</f>
        <v>0</v>
      </c>
      <c r="U9" s="29"/>
      <c r="V9" s="29"/>
      <c r="W9" s="29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43"/>
      <c r="C10" s="29"/>
      <c r="D10" s="29"/>
      <c r="E10" s="29"/>
      <c r="F10" s="29"/>
      <c r="G10" s="28">
        <f t="shared" si="0"/>
        <v>0</v>
      </c>
      <c r="H10" s="29"/>
      <c r="I10" s="29"/>
      <c r="J10" s="29"/>
      <c r="K10" s="28">
        <f t="shared" si="1"/>
        <v>0</v>
      </c>
      <c r="L10">
        <f t="shared" si="2"/>
        <v>0</v>
      </c>
      <c r="N10" s="27"/>
      <c r="O10" s="43"/>
      <c r="P10" s="29"/>
      <c r="Q10" s="29"/>
      <c r="R10" s="29"/>
      <c r="S10" s="29"/>
      <c r="T10" s="28">
        <f t="shared" si="3"/>
        <v>0</v>
      </c>
      <c r="U10" s="29"/>
      <c r="V10" s="29"/>
      <c r="W10" s="29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164-B7E7-4177-A35A-60E2B49B6F1E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4.26953125" bestFit="1" customWidth="1"/>
    <col min="18" max="18" width="3.5429687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FBED-8856-42CC-977B-5977D4F16323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M8" s="44">
        <v>5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M9" s="44">
        <v>9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M10" s="44">
        <v>6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4DF8-C865-4EAB-87FC-B54CA70AD20E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 s="45">
        <f>SUM(C8:F8,H8,I8,J8)/40</f>
        <v>0</v>
      </c>
      <c r="M8" s="45">
        <v>7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 s="45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 s="45">
        <f t="shared" ref="L9:L12" si="2">SUM(C9:F9,H9,I9,J9)/40</f>
        <v>0</v>
      </c>
      <c r="M9" s="45">
        <v>9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 s="45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 s="45">
        <f t="shared" si="2"/>
        <v>0</v>
      </c>
      <c r="M10" s="45">
        <v>17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 s="45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 s="40">
        <f t="shared" si="2"/>
        <v>0</v>
      </c>
      <c r="M11" s="40"/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 s="40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 s="40">
        <f t="shared" si="2"/>
        <v>0</v>
      </c>
      <c r="M12" s="40"/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 s="40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L13" s="40"/>
      <c r="M13" s="40"/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  <c r="Y13" s="40"/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528A-B31C-4333-9BC5-136993154ACA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9.542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9.54296875" bestFit="1" customWidth="1"/>
    <col min="16" max="16" width="4" bestFit="1" customWidth="1"/>
    <col min="17" max="17" width="5" bestFit="1" customWidth="1"/>
    <col min="18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M8" t="s">
        <v>30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M9" t="s">
        <v>30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M10" t="s">
        <v>30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M11" t="s">
        <v>30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M12" t="s">
        <v>30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M15" t="s">
        <v>28</v>
      </c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6E98-333A-4EDC-84AE-78E28F8069BD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M8" t="s">
        <v>31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M9" t="s">
        <v>31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M10" t="s">
        <v>31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5487-B908-4B5C-9BA4-6B5B2A14CAC7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5" bestFit="1" customWidth="1"/>
    <col min="18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M8" s="44" t="s">
        <v>29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3" si="2">SUM(C9:F9,H9,I9,J9)/40</f>
        <v>0</v>
      </c>
      <c r="M9" s="44" t="s">
        <v>29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3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M10" s="44" t="s">
        <v>29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M11" s="41" t="s">
        <v>29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M12" s="41" t="s">
        <v>29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L13">
        <f t="shared" si="2"/>
        <v>0</v>
      </c>
      <c r="M13" s="41" t="s">
        <v>29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  <c r="Y13">
        <f t="shared" si="5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4328-BFA5-404C-870B-9E32B69390E2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43"/>
      <c r="C8" s="29"/>
      <c r="D8" s="29"/>
      <c r="E8" s="29"/>
      <c r="F8" s="29"/>
      <c r="G8" s="28">
        <f>SUM(D8:F8)/20</f>
        <v>0</v>
      </c>
      <c r="H8" s="29"/>
      <c r="I8" s="29"/>
      <c r="J8" s="29"/>
      <c r="K8" s="28">
        <f>SUM(H8:J8)/20</f>
        <v>0</v>
      </c>
      <c r="L8">
        <f>SUM(C8:F8,H8,I8,J8)/40</f>
        <v>0</v>
      </c>
      <c r="N8" s="27"/>
      <c r="O8" s="43"/>
      <c r="P8" s="29"/>
      <c r="Q8" s="29"/>
      <c r="R8" s="29"/>
      <c r="S8" s="29"/>
      <c r="T8" s="28">
        <f>SUM(Q8:S8)/20</f>
        <v>0</v>
      </c>
      <c r="U8" s="29"/>
      <c r="V8" s="29"/>
      <c r="W8" s="29"/>
      <c r="X8" s="28">
        <f>SUM(U8:W8)/20</f>
        <v>0</v>
      </c>
      <c r="Y8">
        <f>SUM(P8:S8,U8,V8,W8)/40</f>
        <v>0</v>
      </c>
    </row>
    <row r="9" spans="1:26" x14ac:dyDescent="0.35">
      <c r="A9" s="27"/>
      <c r="B9" s="43"/>
      <c r="C9" s="29"/>
      <c r="D9" s="29"/>
      <c r="E9" s="29"/>
      <c r="F9" s="29"/>
      <c r="G9" s="28">
        <f t="shared" ref="G9:G13" si="0">SUM(D9:F9)/20</f>
        <v>0</v>
      </c>
      <c r="H9" s="29"/>
      <c r="I9" s="29"/>
      <c r="J9" s="29"/>
      <c r="K9" s="28">
        <f t="shared" ref="K9:K13" si="1">SUM(H9:J9)/20</f>
        <v>0</v>
      </c>
      <c r="L9">
        <f t="shared" ref="L9:L12" si="2">SUM(C9:F9,H9,I9,J9)/40</f>
        <v>0</v>
      </c>
      <c r="N9" s="27"/>
      <c r="O9" s="43"/>
      <c r="P9" s="29"/>
      <c r="Q9" s="29"/>
      <c r="R9" s="29"/>
      <c r="S9" s="29"/>
      <c r="T9" s="28">
        <f t="shared" ref="T9:T13" si="3">SUM(Q9:S9)/20</f>
        <v>0</v>
      </c>
      <c r="U9" s="29"/>
      <c r="V9" s="29"/>
      <c r="W9" s="29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43"/>
      <c r="C10" s="29"/>
      <c r="D10" s="29"/>
      <c r="E10" s="29"/>
      <c r="F10" s="29"/>
      <c r="G10" s="28">
        <f t="shared" si="0"/>
        <v>0</v>
      </c>
      <c r="H10" s="29"/>
      <c r="I10" s="29"/>
      <c r="J10" s="29"/>
      <c r="K10" s="28">
        <f t="shared" si="1"/>
        <v>0</v>
      </c>
      <c r="L10">
        <f t="shared" si="2"/>
        <v>0</v>
      </c>
      <c r="N10" s="27"/>
      <c r="O10" s="43"/>
      <c r="P10" s="29"/>
      <c r="Q10" s="29"/>
      <c r="R10" s="29"/>
      <c r="S10" s="29"/>
      <c r="T10" s="28">
        <f t="shared" si="3"/>
        <v>0</v>
      </c>
      <c r="U10" s="29"/>
      <c r="V10" s="29"/>
      <c r="W10" s="29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114E-0AD8-4652-8B31-88E6EC8B6522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M8" s="46">
        <v>6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M9" s="46">
        <v>8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M10" s="46">
        <v>3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0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M11" s="46">
        <v>8</v>
      </c>
      <c r="N11" s="11"/>
      <c r="O11" s="10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0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M12" s="46">
        <v>4</v>
      </c>
      <c r="N12" s="11"/>
      <c r="O12" s="10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4076FE-357D-47D3-8F62-0DB2CEAFAFF4}">
          <x14:formula1>
            <xm:f>'last month'!$B$22:$B$28</xm:f>
          </x14:formula1>
          <xm:sqref>B8:B12 O8:O12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099E-5370-4419-9FCD-0778E6459525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8" width="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 s="47">
        <f>SUM(C8:F8,H8,I8,J8)/40</f>
        <v>0</v>
      </c>
      <c r="M8" s="44">
        <v>4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 s="47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 s="47">
        <f t="shared" ref="L9:L12" si="2">SUM(C9:F9,H9,I9,J9)/40</f>
        <v>0</v>
      </c>
      <c r="M9" s="44">
        <v>3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 s="47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 s="47">
        <f t="shared" si="2"/>
        <v>0</v>
      </c>
      <c r="M10" s="44">
        <v>8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 s="47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 s="47">
        <f t="shared" si="2"/>
        <v>0</v>
      </c>
      <c r="M11" s="41">
        <v>2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 s="47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 s="47">
        <f t="shared" si="2"/>
        <v>0</v>
      </c>
      <c r="M12" s="41">
        <v>2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 s="47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99B6-9D4E-4476-9E64-5E442631703E}">
  <dimension ref="A1:AA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5" bestFit="1" customWidth="1"/>
    <col min="18" max="18" width="5.36328125" bestFit="1" customWidth="1"/>
    <col min="19" max="19" width="3.26953125" bestFit="1" customWidth="1"/>
    <col min="20" max="20" width="3.08984375" bestFit="1" customWidth="1"/>
    <col min="21" max="21" width="5.81640625" bestFit="1" customWidth="1"/>
    <col min="22" max="22" width="3.90625" bestFit="1" customWidth="1"/>
    <col min="23" max="23" width="3.6328125" bestFit="1" customWidth="1"/>
    <col min="24" max="24" width="3.08984375" bestFit="1" customWidth="1"/>
    <col min="25" max="26" width="5.81640625" bestFit="1" customWidth="1"/>
  </cols>
  <sheetData>
    <row r="1" spans="1:27" ht="15" thickBot="1" x14ac:dyDescent="0.4">
      <c r="A1" s="1"/>
      <c r="B1" s="1"/>
      <c r="C1" s="1"/>
      <c r="D1" s="1"/>
      <c r="E1" s="1" t="s">
        <v>36</v>
      </c>
      <c r="F1" s="1"/>
      <c r="G1" s="1"/>
      <c r="H1" s="1"/>
      <c r="I1" s="1"/>
      <c r="J1" s="1"/>
      <c r="K1" s="1"/>
      <c r="N1" s="1"/>
      <c r="O1" s="1"/>
      <c r="P1" s="1"/>
      <c r="Q1" s="1"/>
      <c r="R1" s="1" t="s">
        <v>36</v>
      </c>
      <c r="S1" s="1"/>
      <c r="T1" s="1"/>
      <c r="U1" s="1"/>
      <c r="V1" s="1"/>
      <c r="W1" s="1"/>
      <c r="X1" s="1"/>
    </row>
    <row r="2" spans="1:27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7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7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7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7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7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  <c r="AA7" s="44" t="s">
        <v>26</v>
      </c>
    </row>
    <row r="8" spans="1:27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 s="48">
        <f>SUM(C8:F8,H8,I8,J8)/40</f>
        <v>0</v>
      </c>
      <c r="M8" s="45">
        <v>6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 s="48">
        <f>SUM(P8:S8,U8,V8,W8)/40</f>
        <v>0</v>
      </c>
      <c r="Z8">
        <f>SUM(Q8:T8,V8,W8,X8)/40</f>
        <v>0</v>
      </c>
      <c r="AA8" s="44">
        <v>3</v>
      </c>
    </row>
    <row r="9" spans="1:27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 s="48">
        <f t="shared" ref="L9:L12" si="2">SUM(C9:F9,H9,I9,J9)/40</f>
        <v>0</v>
      </c>
      <c r="M9" s="45">
        <v>6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 s="48">
        <f t="shared" ref="Y9:Y12" si="5">SUM(P9:S9,U9,V9,W9)/40</f>
        <v>0</v>
      </c>
      <c r="Z9">
        <f t="shared" ref="Z9:Z12" si="6">SUM(Q9:T9,V9,W9,X9)/40</f>
        <v>0</v>
      </c>
      <c r="AA9" s="44">
        <v>0</v>
      </c>
    </row>
    <row r="10" spans="1:27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 s="48">
        <f t="shared" si="2"/>
        <v>0</v>
      </c>
      <c r="M10" s="45">
        <v>7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 s="48">
        <f t="shared" si="5"/>
        <v>0</v>
      </c>
      <c r="Z10">
        <f t="shared" si="6"/>
        <v>0</v>
      </c>
      <c r="AA10" s="44">
        <v>5</v>
      </c>
    </row>
    <row r="11" spans="1:27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 s="48">
        <f t="shared" si="2"/>
        <v>0</v>
      </c>
      <c r="M11" s="45">
        <v>6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 s="48">
        <f t="shared" si="5"/>
        <v>0</v>
      </c>
      <c r="Z11">
        <f t="shared" si="6"/>
        <v>0</v>
      </c>
      <c r="AA11" s="41">
        <v>3</v>
      </c>
    </row>
    <row r="12" spans="1:27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 s="48">
        <f t="shared" si="2"/>
        <v>0</v>
      </c>
      <c r="M12" s="45">
        <v>11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 s="48">
        <f t="shared" si="5"/>
        <v>0</v>
      </c>
      <c r="Z12">
        <f t="shared" si="6"/>
        <v>0</v>
      </c>
      <c r="AA12" s="41">
        <v>9</v>
      </c>
    </row>
    <row r="13" spans="1:27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7" x14ac:dyDescent="0.35">
      <c r="A14" s="13"/>
      <c r="B14" s="10"/>
      <c r="C14" s="14">
        <f t="shared" ref="C14:K14" si="7">SUM(C8:C13)</f>
        <v>0</v>
      </c>
      <c r="D14" s="14">
        <f t="shared" si="7"/>
        <v>0</v>
      </c>
      <c r="E14" s="14">
        <f t="shared" si="7"/>
        <v>0</v>
      </c>
      <c r="F14" s="14">
        <f t="shared" si="7"/>
        <v>0</v>
      </c>
      <c r="G14" s="14">
        <f t="shared" si="7"/>
        <v>0</v>
      </c>
      <c r="H14" s="14">
        <f t="shared" si="7"/>
        <v>0</v>
      </c>
      <c r="I14" s="14">
        <f t="shared" si="7"/>
        <v>0</v>
      </c>
      <c r="J14" s="14">
        <f t="shared" si="7"/>
        <v>0</v>
      </c>
      <c r="K14" s="14">
        <f t="shared" si="7"/>
        <v>0</v>
      </c>
      <c r="L14" s="35">
        <f>C14+D14+E14+F14+H14+I14+J14</f>
        <v>0</v>
      </c>
      <c r="N14" s="13"/>
      <c r="O14" s="10"/>
      <c r="P14" s="14">
        <f t="shared" ref="P14:X14" si="8">SUM(P8:P13)</f>
        <v>0</v>
      </c>
      <c r="Q14" s="14">
        <f t="shared" si="8"/>
        <v>0</v>
      </c>
      <c r="R14" s="14">
        <f t="shared" si="8"/>
        <v>0</v>
      </c>
      <c r="S14" s="14">
        <f t="shared" si="8"/>
        <v>0</v>
      </c>
      <c r="T14" s="14">
        <f t="shared" si="8"/>
        <v>0</v>
      </c>
      <c r="U14" s="14">
        <f t="shared" si="8"/>
        <v>0</v>
      </c>
      <c r="V14" s="14">
        <f t="shared" si="8"/>
        <v>0</v>
      </c>
      <c r="W14" s="14">
        <f t="shared" si="8"/>
        <v>0</v>
      </c>
      <c r="X14" s="14">
        <f t="shared" si="8"/>
        <v>0</v>
      </c>
      <c r="Y14" s="35">
        <f>P14+Q14+R14+S14+U14+V14+W14</f>
        <v>0</v>
      </c>
    </row>
    <row r="15" spans="1:27" x14ac:dyDescent="0.35">
      <c r="A15" s="13"/>
      <c r="B15" s="10" t="s">
        <v>22</v>
      </c>
      <c r="C15" s="13"/>
      <c r="D15" s="13">
        <f>D14/20</f>
        <v>0</v>
      </c>
      <c r="E15" s="13">
        <f t="shared" ref="E15:J15" si="9">E14/20</f>
        <v>0</v>
      </c>
      <c r="F15" s="13">
        <f t="shared" si="9"/>
        <v>0</v>
      </c>
      <c r="G15" s="13"/>
      <c r="H15" s="13">
        <f t="shared" si="9"/>
        <v>0</v>
      </c>
      <c r="I15" s="13">
        <f t="shared" si="9"/>
        <v>0</v>
      </c>
      <c r="J15" s="13">
        <f t="shared" si="9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10">R14/20</f>
        <v>0</v>
      </c>
      <c r="S15" s="13">
        <f t="shared" si="10"/>
        <v>0</v>
      </c>
      <c r="T15" s="13"/>
      <c r="U15" s="13">
        <f t="shared" ref="U15:W15" si="11">U14/20</f>
        <v>0</v>
      </c>
      <c r="V15" s="13">
        <f t="shared" si="11"/>
        <v>0</v>
      </c>
      <c r="W15" s="13">
        <f t="shared" si="11"/>
        <v>0</v>
      </c>
      <c r="X15" s="13"/>
    </row>
    <row r="16" spans="1:27" x14ac:dyDescent="0.35">
      <c r="A16" s="13"/>
      <c r="B16" s="10" t="s">
        <v>21</v>
      </c>
      <c r="C16" s="36">
        <f>C15+C14</f>
        <v>0</v>
      </c>
      <c r="D16" s="36">
        <f t="shared" ref="D16:J16" si="12">D15+D14</f>
        <v>0</v>
      </c>
      <c r="E16" s="36">
        <f t="shared" si="12"/>
        <v>0</v>
      </c>
      <c r="F16" s="36">
        <f t="shared" si="12"/>
        <v>0</v>
      </c>
      <c r="G16" s="36"/>
      <c r="H16" s="36">
        <f t="shared" si="12"/>
        <v>0</v>
      </c>
      <c r="I16" s="36">
        <f t="shared" si="12"/>
        <v>0</v>
      </c>
      <c r="J16" s="36">
        <f t="shared" si="12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3">Q15+Q14</f>
        <v>0</v>
      </c>
      <c r="R16" s="36">
        <f t="shared" si="13"/>
        <v>0</v>
      </c>
      <c r="S16" s="36">
        <f t="shared" si="13"/>
        <v>0</v>
      </c>
      <c r="T16" s="36"/>
      <c r="U16" s="36">
        <f t="shared" ref="U16:W16" si="14">U15+U14</f>
        <v>0</v>
      </c>
      <c r="V16" s="36">
        <f t="shared" si="14"/>
        <v>0</v>
      </c>
      <c r="W16" s="36">
        <f t="shared" si="14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5">D14/40</f>
        <v>0</v>
      </c>
      <c r="E17" s="36">
        <f t="shared" si="15"/>
        <v>0</v>
      </c>
      <c r="F17" s="36">
        <f t="shared" si="15"/>
        <v>0</v>
      </c>
      <c r="G17" s="36"/>
      <c r="H17" s="36">
        <f t="shared" si="15"/>
        <v>0</v>
      </c>
      <c r="I17" s="36">
        <f t="shared" si="15"/>
        <v>0</v>
      </c>
      <c r="J17" s="36">
        <f t="shared" si="15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6">Q14/40</f>
        <v>0</v>
      </c>
      <c r="R17" s="36">
        <f t="shared" si="16"/>
        <v>0</v>
      </c>
      <c r="S17" s="36">
        <f t="shared" si="16"/>
        <v>0</v>
      </c>
      <c r="T17" s="36"/>
      <c r="U17" s="36">
        <f t="shared" ref="U17:W17" si="17">U14/40</f>
        <v>0</v>
      </c>
      <c r="V17" s="36">
        <f t="shared" si="17"/>
        <v>0</v>
      </c>
      <c r="W17" s="36">
        <f t="shared" si="17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20B7-C470-4A6A-BA78-91C06063F4E3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D18-ABE2-4456-81B6-7B523C02EA6C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9645-DD2F-49D3-B3AF-0E6F627D58A3}">
  <dimension ref="A1:AA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  <col min="19" max="19" width="3.08984375" bestFit="1" customWidth="1"/>
    <col min="20" max="20" width="3.90625" bestFit="1" customWidth="1"/>
    <col min="21" max="21" width="3.6328125" bestFit="1" customWidth="1"/>
    <col min="22" max="22" width="3.08984375" bestFit="1" customWidth="1"/>
  </cols>
  <sheetData>
    <row r="1" spans="1:27" ht="15" thickBot="1" x14ac:dyDescent="0.4">
      <c r="A1" s="1"/>
      <c r="B1" s="1"/>
      <c r="C1" s="1"/>
      <c r="D1" s="1"/>
      <c r="E1" s="1"/>
      <c r="F1" s="46"/>
      <c r="G1" s="1"/>
      <c r="H1" s="1"/>
      <c r="I1" s="1"/>
      <c r="J1" s="1"/>
      <c r="K1" s="1"/>
      <c r="N1" s="1"/>
      <c r="O1" s="1"/>
      <c r="P1" s="1"/>
      <c r="Q1" s="1"/>
      <c r="R1" s="1"/>
      <c r="S1" s="46"/>
      <c r="T1" s="1"/>
      <c r="U1" s="1"/>
      <c r="V1" s="1"/>
      <c r="W1" s="1"/>
      <c r="X1" s="1"/>
    </row>
    <row r="2" spans="1:27" ht="14.5" customHeight="1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7" ht="14.5" customHeight="1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7" ht="14.5" customHeight="1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7" ht="15" customHeight="1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7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7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  <c r="AA7" s="44" t="s">
        <v>26</v>
      </c>
    </row>
    <row r="8" spans="1:27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M8" s="44">
        <v>7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  <c r="Z8">
        <f>SUM(Q8:T8,V8,W8,X8)/40</f>
        <v>0</v>
      </c>
      <c r="AA8" s="44">
        <v>2</v>
      </c>
    </row>
    <row r="9" spans="1:27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M9" s="44">
        <v>8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  <c r="Z9">
        <f t="shared" ref="Z9:Z12" si="6">SUM(Q9:T9,V9,W9,X9)/40</f>
        <v>0</v>
      </c>
      <c r="AA9" s="44">
        <v>8</v>
      </c>
    </row>
    <row r="10" spans="1:27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M10" s="44">
        <v>4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  <c r="Z10">
        <f t="shared" si="6"/>
        <v>0</v>
      </c>
      <c r="AA10" s="44"/>
    </row>
    <row r="11" spans="1:27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M11" s="41">
        <v>5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  <c r="Z11">
        <f t="shared" si="6"/>
        <v>0</v>
      </c>
      <c r="AA11" s="41">
        <v>3</v>
      </c>
    </row>
    <row r="12" spans="1:27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  <c r="Z12">
        <f t="shared" si="6"/>
        <v>0</v>
      </c>
    </row>
    <row r="13" spans="1:27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7" x14ac:dyDescent="0.35">
      <c r="A14" s="13"/>
      <c r="B14" s="10"/>
      <c r="C14" s="14">
        <f t="shared" ref="C14:K14" si="7">SUM(C8:C13)</f>
        <v>0</v>
      </c>
      <c r="D14" s="14">
        <f t="shared" si="7"/>
        <v>0</v>
      </c>
      <c r="E14" s="14">
        <f t="shared" si="7"/>
        <v>0</v>
      </c>
      <c r="F14" s="14">
        <f t="shared" si="7"/>
        <v>0</v>
      </c>
      <c r="G14" s="14">
        <f t="shared" si="7"/>
        <v>0</v>
      </c>
      <c r="H14" s="14">
        <f t="shared" si="7"/>
        <v>0</v>
      </c>
      <c r="I14" s="14">
        <f t="shared" si="7"/>
        <v>0</v>
      </c>
      <c r="J14" s="14">
        <f t="shared" si="7"/>
        <v>0</v>
      </c>
      <c r="K14" s="14">
        <f t="shared" si="7"/>
        <v>0</v>
      </c>
      <c r="L14" s="35">
        <f>C14+D14+E14+F14+H14+I14+J14</f>
        <v>0</v>
      </c>
      <c r="N14" s="13"/>
      <c r="O14" s="10"/>
      <c r="P14" s="14">
        <f t="shared" ref="P14:X14" si="8">SUM(P8:P13)</f>
        <v>0</v>
      </c>
      <c r="Q14" s="14">
        <f t="shared" si="8"/>
        <v>0</v>
      </c>
      <c r="R14" s="14">
        <f t="shared" si="8"/>
        <v>0</v>
      </c>
      <c r="S14" s="14">
        <f t="shared" si="8"/>
        <v>0</v>
      </c>
      <c r="T14" s="14">
        <f t="shared" si="8"/>
        <v>0</v>
      </c>
      <c r="U14" s="14">
        <f t="shared" si="8"/>
        <v>0</v>
      </c>
      <c r="V14" s="14">
        <f t="shared" si="8"/>
        <v>0</v>
      </c>
      <c r="W14" s="14">
        <f t="shared" si="8"/>
        <v>0</v>
      </c>
      <c r="X14" s="14">
        <f t="shared" si="8"/>
        <v>0</v>
      </c>
      <c r="Y14" s="35">
        <f>P14+Q14+R14+S14+U14+V14+W14</f>
        <v>0</v>
      </c>
      <c r="Z14" s="35">
        <f>Q14+R14+S14+T14+V14+W14+X14</f>
        <v>0</v>
      </c>
    </row>
    <row r="15" spans="1:27" x14ac:dyDescent="0.35">
      <c r="A15" s="13"/>
      <c r="B15" s="10" t="s">
        <v>22</v>
      </c>
      <c r="C15" s="13"/>
      <c r="D15" s="13">
        <f>D14/20</f>
        <v>0</v>
      </c>
      <c r="E15" s="13">
        <f t="shared" ref="E15:J15" si="9">E14/20</f>
        <v>0</v>
      </c>
      <c r="F15" s="13">
        <f t="shared" si="9"/>
        <v>0</v>
      </c>
      <c r="G15" s="13"/>
      <c r="H15" s="13">
        <f t="shared" si="9"/>
        <v>0</v>
      </c>
      <c r="I15" s="13">
        <f t="shared" si="9"/>
        <v>0</v>
      </c>
      <c r="J15" s="13">
        <f t="shared" si="9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10">R14/20</f>
        <v>0</v>
      </c>
      <c r="S15" s="13">
        <f t="shared" si="10"/>
        <v>0</v>
      </c>
      <c r="T15" s="13"/>
      <c r="U15" s="13">
        <f t="shared" ref="U15:W15" si="11">U14/20</f>
        <v>0</v>
      </c>
      <c r="V15" s="13">
        <f t="shared" si="11"/>
        <v>0</v>
      </c>
      <c r="W15" s="13">
        <f t="shared" si="11"/>
        <v>0</v>
      </c>
      <c r="X15" s="13"/>
    </row>
    <row r="16" spans="1:27" x14ac:dyDescent="0.35">
      <c r="A16" s="13"/>
      <c r="B16" s="10" t="s">
        <v>21</v>
      </c>
      <c r="C16" s="36">
        <f>C15+C14</f>
        <v>0</v>
      </c>
      <c r="D16" s="36">
        <f t="shared" ref="D16:J16" si="12">D15+D14</f>
        <v>0</v>
      </c>
      <c r="E16" s="36">
        <f t="shared" si="12"/>
        <v>0</v>
      </c>
      <c r="F16" s="36">
        <f t="shared" si="12"/>
        <v>0</v>
      </c>
      <c r="G16" s="36"/>
      <c r="H16" s="36">
        <f t="shared" si="12"/>
        <v>0</v>
      </c>
      <c r="I16" s="36">
        <f t="shared" si="12"/>
        <v>0</v>
      </c>
      <c r="J16" s="36">
        <f t="shared" si="12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3">Q15+Q14</f>
        <v>0</v>
      </c>
      <c r="R16" s="36">
        <f t="shared" si="13"/>
        <v>0</v>
      </c>
      <c r="S16" s="36">
        <f t="shared" si="13"/>
        <v>0</v>
      </c>
      <c r="T16" s="36"/>
      <c r="U16" s="36">
        <f t="shared" ref="U16:W16" si="14">U15+U14</f>
        <v>0</v>
      </c>
      <c r="V16" s="36">
        <f t="shared" si="14"/>
        <v>0</v>
      </c>
      <c r="W16" s="36">
        <f t="shared" si="14"/>
        <v>0</v>
      </c>
      <c r="X16" s="36"/>
    </row>
    <row r="17" spans="1:26" x14ac:dyDescent="0.35">
      <c r="A17" s="13"/>
      <c r="B17" s="39" t="s">
        <v>23</v>
      </c>
      <c r="C17" s="36">
        <f>C14/40</f>
        <v>0</v>
      </c>
      <c r="D17" s="36">
        <f t="shared" ref="D17:J17" si="15">D14/40</f>
        <v>0</v>
      </c>
      <c r="E17" s="36">
        <f t="shared" si="15"/>
        <v>0</v>
      </c>
      <c r="F17" s="36">
        <f t="shared" si="15"/>
        <v>0</v>
      </c>
      <c r="G17" s="36"/>
      <c r="H17" s="36">
        <f t="shared" si="15"/>
        <v>0</v>
      </c>
      <c r="I17" s="36">
        <f t="shared" si="15"/>
        <v>0</v>
      </c>
      <c r="J17" s="36">
        <f t="shared" si="15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6">Q14/40</f>
        <v>0</v>
      </c>
      <c r="R17" s="36">
        <f t="shared" si="16"/>
        <v>0</v>
      </c>
      <c r="S17" s="36">
        <f t="shared" si="16"/>
        <v>0</v>
      </c>
      <c r="T17" s="36"/>
      <c r="U17" s="36">
        <f t="shared" ref="U17:W17" si="17">U14/40</f>
        <v>0</v>
      </c>
      <c r="V17" s="36">
        <f t="shared" si="17"/>
        <v>0</v>
      </c>
      <c r="W17" s="36">
        <f t="shared" si="17"/>
        <v>0</v>
      </c>
      <c r="X17" s="36"/>
      <c r="Y17" s="35">
        <f>SUM(P17:W17)</f>
        <v>0</v>
      </c>
      <c r="Z17" s="35">
        <f>SUM(Q17:X17)</f>
        <v>0</v>
      </c>
    </row>
    <row r="18" spans="1:26" x14ac:dyDescent="0.35">
      <c r="C18" s="32"/>
    </row>
    <row r="19" spans="1:26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D254-6817-4C2C-AE7A-E9C5892E76B5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.26953125" bestFit="1" customWidth="1"/>
    <col min="17" max="18" width="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 s="47">
        <f>SUM(C8:F8,H8,I8,J8)/40</f>
        <v>0</v>
      </c>
      <c r="M8" s="47">
        <v>4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 s="47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 s="47">
        <f t="shared" ref="L9:L12" si="2">SUM(C9:F9,H9,I9,J9)/40</f>
        <v>0</v>
      </c>
      <c r="M9" s="47">
        <v>8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 s="47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 s="47">
        <f t="shared" si="2"/>
        <v>0</v>
      </c>
      <c r="M10" s="47">
        <v>10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 s="47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 s="47">
        <f t="shared" si="2"/>
        <v>0</v>
      </c>
      <c r="M11" s="47">
        <v>20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 s="47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 s="47">
        <f t="shared" si="2"/>
        <v>0</v>
      </c>
      <c r="M12" s="47">
        <v>5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 s="47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3001-FEFC-449D-A8A3-82DAE50447EF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FD71-4BFE-4078-B64C-19DAB7732322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847A-2E50-4E41-94F1-9E0FF672B727}">
  <dimension ref="A1:Z19"/>
  <sheetViews>
    <sheetView zoomScaleNormal="100" workbookViewId="0">
      <selection activeCell="V11" sqref="V11"/>
    </sheetView>
  </sheetViews>
  <sheetFormatPr defaultRowHeight="14.5" x14ac:dyDescent="0.35"/>
  <cols>
    <col min="1" max="1" width="3.54296875" bestFit="1" customWidth="1"/>
    <col min="2" max="2" width="6.453125" bestFit="1" customWidth="1"/>
    <col min="3" max="3" width="4" bestFit="1" customWidth="1"/>
    <col min="4" max="4" width="7.08984375" customWidth="1"/>
    <col min="5" max="5" width="3.26953125" bestFit="1" customWidth="1"/>
    <col min="6" max="6" width="3.08984375" bestFit="1" customWidth="1"/>
    <col min="7" max="7" width="5.81640625" bestFit="1" customWidth="1"/>
    <col min="8" max="8" width="3.90625" bestFit="1" customWidth="1"/>
    <col min="9" max="9" width="3.6328125" bestFit="1" customWidth="1"/>
    <col min="10" max="10" width="3.089843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49" t="s">
        <v>36</v>
      </c>
      <c r="C2" s="50"/>
      <c r="D2" s="50"/>
      <c r="E2" s="50"/>
      <c r="F2" s="50"/>
      <c r="G2" s="50"/>
      <c r="H2" s="50"/>
      <c r="I2" s="50"/>
      <c r="J2" s="50"/>
      <c r="K2" s="51"/>
      <c r="N2" s="1"/>
      <c r="O2" s="49" t="s">
        <v>37</v>
      </c>
      <c r="P2" s="50"/>
      <c r="Q2" s="50"/>
      <c r="R2" s="50"/>
      <c r="S2" s="50"/>
      <c r="T2" s="50"/>
      <c r="U2" s="50"/>
      <c r="V2" s="50"/>
      <c r="W2" s="50"/>
      <c r="X2" s="51"/>
    </row>
    <row r="3" spans="1:26" x14ac:dyDescent="0.35">
      <c r="A3" s="1"/>
      <c r="B3" s="52"/>
      <c r="C3" s="53"/>
      <c r="D3" s="53"/>
      <c r="E3" s="53"/>
      <c r="F3" s="53"/>
      <c r="G3" s="53"/>
      <c r="H3" s="53"/>
      <c r="I3" s="53"/>
      <c r="J3" s="53"/>
      <c r="K3" s="54"/>
      <c r="N3" s="1"/>
      <c r="O3" s="52"/>
      <c r="P3" s="53"/>
      <c r="Q3" s="53"/>
      <c r="R3" s="53"/>
      <c r="S3" s="53"/>
      <c r="T3" s="53"/>
      <c r="U3" s="53"/>
      <c r="V3" s="53"/>
      <c r="W3" s="53"/>
      <c r="X3" s="54"/>
    </row>
    <row r="4" spans="1:26" x14ac:dyDescent="0.35">
      <c r="A4" s="1"/>
      <c r="B4" s="52"/>
      <c r="C4" s="53"/>
      <c r="D4" s="53"/>
      <c r="E4" s="53"/>
      <c r="F4" s="53"/>
      <c r="G4" s="53"/>
      <c r="H4" s="53"/>
      <c r="I4" s="53"/>
      <c r="J4" s="53"/>
      <c r="K4" s="54"/>
      <c r="N4" s="1"/>
      <c r="O4" s="52"/>
      <c r="P4" s="53"/>
      <c r="Q4" s="53"/>
      <c r="R4" s="53"/>
      <c r="S4" s="53"/>
      <c r="T4" s="53"/>
      <c r="U4" s="53"/>
      <c r="V4" s="53"/>
      <c r="W4" s="53"/>
      <c r="X4" s="54"/>
    </row>
    <row r="5" spans="1:26" ht="15" thickBot="1" x14ac:dyDescent="0.4">
      <c r="A5" s="1"/>
      <c r="B5" s="55"/>
      <c r="C5" s="56"/>
      <c r="D5" s="56"/>
      <c r="E5" s="56"/>
      <c r="F5" s="56"/>
      <c r="G5" s="56"/>
      <c r="H5" s="56"/>
      <c r="I5" s="56"/>
      <c r="J5" s="56"/>
      <c r="K5" s="57"/>
      <c r="N5" s="1"/>
      <c r="O5" s="55"/>
      <c r="P5" s="56"/>
      <c r="Q5" s="56"/>
      <c r="R5" s="56"/>
      <c r="S5" s="56"/>
      <c r="T5" s="56"/>
      <c r="U5" s="56"/>
      <c r="V5" s="56"/>
      <c r="W5" s="56"/>
      <c r="X5" s="57"/>
    </row>
    <row r="6" spans="1:26" x14ac:dyDescent="0.35">
      <c r="A6" s="1"/>
      <c r="B6" s="2"/>
      <c r="C6" s="3" t="s">
        <v>1</v>
      </c>
      <c r="D6" s="58" t="s">
        <v>2</v>
      </c>
      <c r="E6" s="59"/>
      <c r="F6" s="59"/>
      <c r="G6" s="60"/>
      <c r="H6" s="59" t="s">
        <v>3</v>
      </c>
      <c r="I6" s="59"/>
      <c r="J6" s="59"/>
      <c r="K6" s="60"/>
      <c r="N6" s="1"/>
      <c r="O6" s="2"/>
      <c r="P6" s="3" t="s">
        <v>1</v>
      </c>
      <c r="Q6" s="58" t="s">
        <v>2</v>
      </c>
      <c r="R6" s="59"/>
      <c r="S6" s="59"/>
      <c r="T6" s="60"/>
      <c r="U6" s="59" t="s">
        <v>3</v>
      </c>
      <c r="V6" s="59"/>
      <c r="W6" s="59"/>
      <c r="X6" s="60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/>
      <c r="C8" s="12"/>
      <c r="D8" s="12"/>
      <c r="E8" s="12"/>
      <c r="F8" s="12"/>
      <c r="G8" s="28">
        <f>SUM(D8:F8)/20</f>
        <v>0</v>
      </c>
      <c r="H8" s="12"/>
      <c r="I8" s="12"/>
      <c r="J8" s="12"/>
      <c r="K8" s="28">
        <f>SUM(H8:J8)/20</f>
        <v>0</v>
      </c>
      <c r="L8">
        <f>SUM(C8:F8,H8,I8,J8)/40</f>
        <v>0</v>
      </c>
      <c r="N8" s="27"/>
      <c r="O8" s="10"/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/>
      <c r="B9" s="10"/>
      <c r="C9" s="12"/>
      <c r="D9" s="12"/>
      <c r="E9" s="12"/>
      <c r="F9" s="12"/>
      <c r="G9" s="28">
        <f t="shared" ref="G9:G13" si="0">SUM(D9:F9)/20</f>
        <v>0</v>
      </c>
      <c r="H9" s="12"/>
      <c r="I9" s="12"/>
      <c r="J9" s="12"/>
      <c r="K9" s="28">
        <f t="shared" ref="K9:K13" si="1">SUM(H9:J9)/20</f>
        <v>0</v>
      </c>
      <c r="L9">
        <f t="shared" ref="L9:L12" si="2">SUM(C9:F9,H9,I9,J9)/40</f>
        <v>0</v>
      </c>
      <c r="N9" s="27"/>
      <c r="O9" s="10"/>
      <c r="P9" s="12"/>
      <c r="Q9" s="12"/>
      <c r="R9" s="12"/>
      <c r="S9" s="12"/>
      <c r="T9" s="28">
        <f t="shared" ref="T9:T13" si="3">SUM(Q9:S9)/20</f>
        <v>0</v>
      </c>
      <c r="U9" s="12"/>
      <c r="V9" s="12"/>
      <c r="W9" s="12"/>
      <c r="X9" s="28">
        <f t="shared" ref="X9:X13" si="4">SUM(U9:W9)/20</f>
        <v>0</v>
      </c>
      <c r="Y9">
        <f t="shared" ref="Y9:Y12" si="5">SUM(P9:S9,U9,V9,W9)/40</f>
        <v>0</v>
      </c>
    </row>
    <row r="10" spans="1:26" x14ac:dyDescent="0.35">
      <c r="A10" s="27"/>
      <c r="B10" s="10"/>
      <c r="C10" s="12"/>
      <c r="D10" s="12"/>
      <c r="E10" s="12"/>
      <c r="F10" s="12"/>
      <c r="G10" s="28">
        <f t="shared" si="0"/>
        <v>0</v>
      </c>
      <c r="H10" s="12"/>
      <c r="I10" s="12"/>
      <c r="J10" s="12"/>
      <c r="K10" s="28">
        <f t="shared" si="1"/>
        <v>0</v>
      </c>
      <c r="L10">
        <f t="shared" si="2"/>
        <v>0</v>
      </c>
      <c r="N10" s="27"/>
      <c r="O10" s="10"/>
      <c r="P10" s="12"/>
      <c r="Q10" s="12"/>
      <c r="R10" s="12"/>
      <c r="S10" s="12"/>
      <c r="T10" s="28">
        <f t="shared" si="3"/>
        <v>0</v>
      </c>
      <c r="U10" s="12"/>
      <c r="V10" s="12"/>
      <c r="W10" s="12"/>
      <c r="X10" s="28">
        <f t="shared" si="4"/>
        <v>0</v>
      </c>
      <c r="Y10">
        <f t="shared" si="5"/>
        <v>0</v>
      </c>
    </row>
    <row r="11" spans="1:26" x14ac:dyDescent="0.35">
      <c r="A11" s="11"/>
      <c r="B11" s="11"/>
      <c r="C11" s="12"/>
      <c r="D11" s="12"/>
      <c r="E11" s="12"/>
      <c r="F11" s="12"/>
      <c r="G11" s="28">
        <f t="shared" si="0"/>
        <v>0</v>
      </c>
      <c r="H11" s="12"/>
      <c r="I11" s="12"/>
      <c r="J11" s="12"/>
      <c r="K11" s="28">
        <f t="shared" si="1"/>
        <v>0</v>
      </c>
      <c r="L11">
        <f t="shared" si="2"/>
        <v>0</v>
      </c>
      <c r="N11" s="11"/>
      <c r="O11" s="11"/>
      <c r="P11" s="12"/>
      <c r="Q11" s="12"/>
      <c r="R11" s="12"/>
      <c r="S11" s="12"/>
      <c r="T11" s="28">
        <f t="shared" si="3"/>
        <v>0</v>
      </c>
      <c r="U11" s="12"/>
      <c r="V11" s="12"/>
      <c r="W11" s="12"/>
      <c r="X11" s="28">
        <f t="shared" si="4"/>
        <v>0</v>
      </c>
      <c r="Y11">
        <f t="shared" si="5"/>
        <v>0</v>
      </c>
    </row>
    <row r="12" spans="1:26" x14ac:dyDescent="0.35">
      <c r="A12" s="11"/>
      <c r="B12" s="11"/>
      <c r="C12" s="12"/>
      <c r="D12" s="12"/>
      <c r="E12" s="12"/>
      <c r="F12" s="12"/>
      <c r="G12" s="28">
        <f t="shared" si="0"/>
        <v>0</v>
      </c>
      <c r="H12" s="12"/>
      <c r="I12" s="12"/>
      <c r="J12" s="12"/>
      <c r="K12" s="28">
        <f t="shared" si="1"/>
        <v>0</v>
      </c>
      <c r="L12">
        <f t="shared" si="2"/>
        <v>0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26" x14ac:dyDescent="0.35">
      <c r="A14" s="13"/>
      <c r="B14" s="10"/>
      <c r="C14" s="14">
        <f t="shared" ref="C14:K14" si="6">SUM(C8:C13)</f>
        <v>0</v>
      </c>
      <c r="D14" s="14">
        <f t="shared" si="6"/>
        <v>0</v>
      </c>
      <c r="E14" s="14">
        <f t="shared" si="6"/>
        <v>0</v>
      </c>
      <c r="F14" s="14">
        <f t="shared" si="6"/>
        <v>0</v>
      </c>
      <c r="G14" s="14">
        <f t="shared" si="6"/>
        <v>0</v>
      </c>
      <c r="H14" s="14">
        <f t="shared" si="6"/>
        <v>0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35">
        <f>C14+D14+E14+F14+H14+I14+J14</f>
        <v>0</v>
      </c>
      <c r="N14" s="13"/>
      <c r="O14" s="10"/>
      <c r="P14" s="14">
        <f t="shared" ref="P14:X14" si="7">SUM(P8:P13)</f>
        <v>0</v>
      </c>
      <c r="Q14" s="14">
        <f t="shared" si="7"/>
        <v>0</v>
      </c>
      <c r="R14" s="14">
        <f t="shared" si="7"/>
        <v>0</v>
      </c>
      <c r="S14" s="14">
        <f t="shared" si="7"/>
        <v>0</v>
      </c>
      <c r="T14" s="14">
        <f t="shared" si="7"/>
        <v>0</v>
      </c>
      <c r="U14" s="14">
        <f t="shared" si="7"/>
        <v>0</v>
      </c>
      <c r="V14" s="14">
        <f t="shared" si="7"/>
        <v>0</v>
      </c>
      <c r="W14" s="14">
        <f t="shared" si="7"/>
        <v>0</v>
      </c>
      <c r="X14" s="14">
        <f t="shared" si="7"/>
        <v>0</v>
      </c>
      <c r="Y14" s="35">
        <f>P14+Q14+R14+S14+U14+V14+W14</f>
        <v>0</v>
      </c>
    </row>
    <row r="15" spans="1:26" x14ac:dyDescent="0.35">
      <c r="A15" s="13"/>
      <c r="B15" s="10" t="s">
        <v>22</v>
      </c>
      <c r="C15" s="13"/>
      <c r="D15" s="13">
        <f>D14/20</f>
        <v>0</v>
      </c>
      <c r="E15" s="13">
        <f t="shared" ref="E15:J15" si="8">E14/20</f>
        <v>0</v>
      </c>
      <c r="F15" s="13">
        <f t="shared" si="8"/>
        <v>0</v>
      </c>
      <c r="G15" s="13"/>
      <c r="H15" s="13">
        <f t="shared" si="8"/>
        <v>0</v>
      </c>
      <c r="I15" s="13">
        <f t="shared" si="8"/>
        <v>0</v>
      </c>
      <c r="J15" s="13">
        <f t="shared" si="8"/>
        <v>0</v>
      </c>
      <c r="K15" s="13"/>
      <c r="N15" s="13"/>
      <c r="O15" s="10" t="s">
        <v>22</v>
      </c>
      <c r="P15" s="13"/>
      <c r="Q15" s="13">
        <f>Q14/20</f>
        <v>0</v>
      </c>
      <c r="R15" s="13">
        <f t="shared" ref="R15:S15" si="9">R14/20</f>
        <v>0</v>
      </c>
      <c r="S15" s="13">
        <f t="shared" si="9"/>
        <v>0</v>
      </c>
      <c r="T15" s="13"/>
      <c r="U15" s="13">
        <f t="shared" ref="U15:W15" si="10">U14/20</f>
        <v>0</v>
      </c>
      <c r="V15" s="13">
        <f t="shared" si="10"/>
        <v>0</v>
      </c>
      <c r="W15" s="13">
        <f t="shared" si="10"/>
        <v>0</v>
      </c>
      <c r="X15" s="13"/>
    </row>
    <row r="16" spans="1:26" x14ac:dyDescent="0.35">
      <c r="A16" s="13"/>
      <c r="B16" s="10" t="s">
        <v>21</v>
      </c>
      <c r="C16" s="36">
        <f>C15+C14</f>
        <v>0</v>
      </c>
      <c r="D16" s="36">
        <f t="shared" ref="D16:J16" si="11">D15+D14</f>
        <v>0</v>
      </c>
      <c r="E16" s="36">
        <f t="shared" si="11"/>
        <v>0</v>
      </c>
      <c r="F16" s="36">
        <f t="shared" si="11"/>
        <v>0</v>
      </c>
      <c r="G16" s="36"/>
      <c r="H16" s="36">
        <f t="shared" si="11"/>
        <v>0</v>
      </c>
      <c r="I16" s="36">
        <f t="shared" si="11"/>
        <v>0</v>
      </c>
      <c r="J16" s="36">
        <f t="shared" si="11"/>
        <v>0</v>
      </c>
      <c r="K16" s="36"/>
      <c r="N16" s="13"/>
      <c r="O16" s="10" t="s">
        <v>21</v>
      </c>
      <c r="P16" s="36">
        <f>P15+P14</f>
        <v>0</v>
      </c>
      <c r="Q16" s="36">
        <f t="shared" ref="Q16:S16" si="12">Q15+Q14</f>
        <v>0</v>
      </c>
      <c r="R16" s="36">
        <f t="shared" si="12"/>
        <v>0</v>
      </c>
      <c r="S16" s="36">
        <f t="shared" si="12"/>
        <v>0</v>
      </c>
      <c r="T16" s="36"/>
      <c r="U16" s="36">
        <f t="shared" ref="U16:W16" si="13">U15+U14</f>
        <v>0</v>
      </c>
      <c r="V16" s="36">
        <f t="shared" si="13"/>
        <v>0</v>
      </c>
      <c r="W16" s="36">
        <f t="shared" si="13"/>
        <v>0</v>
      </c>
      <c r="X16" s="36"/>
    </row>
    <row r="17" spans="1:25" x14ac:dyDescent="0.35">
      <c r="A17" s="13"/>
      <c r="B17" s="39" t="s">
        <v>23</v>
      </c>
      <c r="C17" s="36">
        <f>C14/40</f>
        <v>0</v>
      </c>
      <c r="D17" s="36">
        <f t="shared" ref="D17:J17" si="14">D14/40</f>
        <v>0</v>
      </c>
      <c r="E17" s="36">
        <f t="shared" si="14"/>
        <v>0</v>
      </c>
      <c r="F17" s="36">
        <f t="shared" si="14"/>
        <v>0</v>
      </c>
      <c r="G17" s="36"/>
      <c r="H17" s="36">
        <f t="shared" si="14"/>
        <v>0</v>
      </c>
      <c r="I17" s="36">
        <f t="shared" si="14"/>
        <v>0</v>
      </c>
      <c r="J17" s="36">
        <f t="shared" si="14"/>
        <v>0</v>
      </c>
      <c r="K17" s="36"/>
      <c r="L17" s="35">
        <f>SUM(C17:J17)</f>
        <v>0</v>
      </c>
      <c r="N17" s="13"/>
      <c r="O17" s="39" t="s">
        <v>23</v>
      </c>
      <c r="P17" s="36">
        <f>P14/40</f>
        <v>0</v>
      </c>
      <c r="Q17" s="36">
        <f t="shared" ref="Q17:S17" si="15">Q14/40</f>
        <v>0</v>
      </c>
      <c r="R17" s="36">
        <f t="shared" si="15"/>
        <v>0</v>
      </c>
      <c r="S17" s="36">
        <f t="shared" si="15"/>
        <v>0</v>
      </c>
      <c r="T17" s="36"/>
      <c r="U17" s="36">
        <f t="shared" ref="U17:W17" si="16">U14/40</f>
        <v>0</v>
      </c>
      <c r="V17" s="36">
        <f t="shared" si="16"/>
        <v>0</v>
      </c>
      <c r="W17" s="36">
        <f t="shared" si="16"/>
        <v>0</v>
      </c>
      <c r="X17" s="36"/>
      <c r="Y17" s="35">
        <f>SUM(P17:W17)</f>
        <v>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last month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2026-06-09T05:45:07Z</dcterms:created>
  <dcterms:modified xsi:type="dcterms:W3CDTF">2026-06-30T13:29:24Z</dcterms:modified>
</cp:coreProperties>
</file>