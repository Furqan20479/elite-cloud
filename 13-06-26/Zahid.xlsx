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1843C91-0BF5-4854-B4AA-E83A394C8E3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20" l="1"/>
  <c r="K18" i="20"/>
  <c r="L16" i="20"/>
  <c r="L17" i="20"/>
  <c r="L18" i="20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0" i="20" l="1"/>
  <c r="K20" i="20"/>
  <c r="L21" i="20"/>
  <c r="K21" i="20"/>
  <c r="L19" i="20"/>
  <c r="M19" i="20" s="1"/>
  <c r="N19" i="20" s="1"/>
  <c r="O19" i="20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M21" i="20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M17" i="20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16" i="15"/>
  <c r="P19" i="18"/>
  <c r="M25" i="18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<sst xmlns="http://schemas.openxmlformats.org/spreadsheetml/2006/main" count="1582" uniqueCount="119">
  <si>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</si>
  <si>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</si>
  <si>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</si>
  <si>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</si>
  <si>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</si>
  <si>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</si>
  <si>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</si>
  <si>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</si>
  <si>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</si>
  <si>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</si>
  <si>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</si>
  <si>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</si>
  <si>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</si>
  <si>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</si>
  <si>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</si>
  <si>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</si>
  <si>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</si>
  <si>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</si>
  <si>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</si>
  <si>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</si>
  <si>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</si>
  <si>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</si>
  <si>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</si>
  <si>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</si>
  <si>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</si>
  <si>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</si>
  <si>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</si>
  <si>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</si>
  <si>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</si>
  <si>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</si>
  <si>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</si>
  <si>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</si>
  <si>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</si>
  <si>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</si>
  <si>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</si>
  <si>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</si>
  <si>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</si>
  <si>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</si>
  <si>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</si>
  <si>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</si>
  <si>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</si>
  <si>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</si>
  <si>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</si>
  <si>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</si>
  <si>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</si>
  <si>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</si>
  <si>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</si>
  <si>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</si>
  <si>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</si>
  <si>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</si>
  <si>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</si>
  <si>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</si>
  <si>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</si>
  <si>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</si>
  <si>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</si>
  <si>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</si>
  <si>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</si>
  <si>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</si>
  <si>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</si>
  <si>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</si>
  <si>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</si>
  <si>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</si>
  <si>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</si>
  <si>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</si>
  <si>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</si>
  <si>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</si>
  <si>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</si>
  <si>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</si>
  <si>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</si>
  <si>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</si>
  <si>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</si>
  <si>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</si>
  <si>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</si>
  <si>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</si>
  <si>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</si>
  <si>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</si>
  <si>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</si>
  <si>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</si>
  <si>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</si>
  <si>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</si>
  <si>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</si>
  <si>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</si>
  <si>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</si>
  <si>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</si>
  <si>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</si>
  <si>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</si>
  <si>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</si>
  <si>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</si>
  <si>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</si>
  <si>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</si>
  <si>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</si>
  <si>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</si>
  <si>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</si>
  <si>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</si>
  <si>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</si>
  <si>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</si>
  <si>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</si>
  <si>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</si>
  <si>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</si>
  <si>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</si>
  <si>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</si>
  <si>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</si>
  <si>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</si>
  <si>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</si>
  <si>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Zahid </t>
  </si>
  <si>
    <t>Shop Bill Summary (Zahid)</t>
  </si>
  <si>
    <t xml:space="preserve">Customer Name : Bismillah </t>
  </si>
  <si>
    <t xml:space="preserve">Address: Mazang </t>
  </si>
  <si>
    <t>Customer Name : aamna Dipartmental Store</t>
  </si>
  <si>
    <t>f737750</t>
  </si>
  <si>
    <t>Customer Name : Khalid Store</t>
  </si>
  <si>
    <t>Address: Mazang</t>
  </si>
  <si>
    <t>c2570141</t>
  </si>
  <si>
    <t>Customer Name : Islam Store</t>
  </si>
  <si>
    <t>Customer Name : Khan Nimko Store</t>
  </si>
  <si>
    <t>Customer Name : Baba Store</t>
  </si>
  <si>
    <t xml:space="preserve">Customer Name : AK Dollar Shop </t>
  </si>
  <si>
    <t>D1209846</t>
  </si>
  <si>
    <t>Customer Name : Muneer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</si>
</sst>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1" zoomScale="70" zoomScaleNormal="70" workbookViewId="0">
      <selection activeCell="T36" sqref="T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Bismillah </v>
      </c>
      <c r="U14" s="164">
        <f>+'1'!P35</f>
        <v>3086.7159055499997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aamna Dipartmental Store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32</v>
      </c>
      <c r="I16" s="1">
        <f>(G16*D16)*F16+H16*F16</f>
        <v>1678.8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134.304</v>
      </c>
      <c r="M16" s="106">
        <f>I16-K16-L16</f>
        <v>1544.4959999999999</v>
      </c>
      <c r="N16" s="101">
        <f>+'1'!N16+'2'!N16+'4'!N16+'3'!N16+'5'!N16+'6'!N16+'7'!N16+'8'!N16+'9'!N16+'10'!N16</f>
        <v>310.61996999999997</v>
      </c>
      <c r="O16" s="101">
        <f>+'1'!O16+'2'!O16+'4'!O16+'3'!O16+'5'!O16+'6'!O16+'7'!O16+'8'!O16+'9'!O16+'10'!O16</f>
        <v>9.2755798499999997</v>
      </c>
      <c r="P16" s="105">
        <f t="shared" ref="P16:P24" si="0">M16+N16+O16</f>
        <v>1864.3915498499998</v>
      </c>
      <c r="Q16" s="108"/>
      <c r="T16" s="163" t="str">
        <f>+'4'!A5</f>
        <v>Customer Name : Islam Store</v>
      </c>
      <c r="U16" s="164">
        <f>+'4'!P35</f>
        <v>3914.1843387000004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32</v>
      </c>
      <c r="I17" s="1">
        <f t="shared" ref="I17:I23" si="1">(G17*D17)*F17+H17*F17</f>
        <v>1678.8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134.304</v>
      </c>
      <c r="M17" s="118">
        <f t="shared" ref="M17:M23" si="2">I17-K17-L17</f>
        <v>1544.4959999999999</v>
      </c>
      <c r="N17" s="101">
        <f>+'1'!N17+'2'!N17+'4'!N17+'3'!N17+'5'!N17+'6'!N17+'7'!N17+'8'!N17+'9'!N17+'10'!N17</f>
        <v>322.16171999999995</v>
      </c>
      <c r="O17" s="101">
        <f>+'1'!O17+'2'!O17+'4'!O17+'3'!O17+'5'!O17+'6'!O17+'7'!O17+'8'!O17+'9'!O17+'10'!O17</f>
        <v>9.3332885999999995</v>
      </c>
      <c r="P17" s="120">
        <f t="shared" si="0"/>
        <v>1875.9910085999998</v>
      </c>
      <c r="S17" s="64"/>
      <c r="T17" s="163" t="str">
        <f>+'3'!A5</f>
        <v>Customer Name : Khalid Store</v>
      </c>
      <c r="U17" s="164">
        <f>+'3'!P35</f>
        <v>3196.3721087999998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 Store</v>
      </c>
      <c r="U18" s="164">
        <f>+'5'!P35</f>
        <v>1615.0995520000001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168</v>
      </c>
      <c r="I19" s="1">
        <f t="shared" si="1"/>
        <v>12203.52</v>
      </c>
      <c r="J19" s="172">
        <f>+'1'!J19+'2'!J19+'4'!J19+'3'!J19+'5'!J19+'6'!J19+'7'!J19+'8'!J19+'9'!J19+'10'!J19+'11'!J19+'12'!J19+'13'!J19+'14'!J19+'15'!J19+'16'!J19+'17'!J19+'18'!J19</f>
        <v>6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996.62079999999992</v>
      </c>
      <c r="M19" s="118">
        <f t="shared" si="2"/>
        <v>11206.8992</v>
      </c>
      <c r="N19" s="101">
        <f>+'1'!N19+'2'!N19+'4'!N19+'3'!N19+'5'!N19+'6'!N19+'7'!N19+'8'!N19+'9'!N19+'10'!N19</f>
        <v>2421.9338239999997</v>
      </c>
      <c r="O19" s="101">
        <f>+'1'!O19+'2'!O19+'4'!O19+'3'!O19+'5'!O19+'6'!O19+'7'!O19+'8'!O19+'9'!O19+'10'!O19</f>
        <v>95.368474880000008</v>
      </c>
      <c r="P19" s="120">
        <f t="shared" si="0"/>
        <v>13724.20149888</v>
      </c>
      <c r="T19" s="163" t="str">
        <f>+'6'!A5</f>
        <v>Customer Name : Baba Store</v>
      </c>
      <c r="U19" s="164">
        <f>+'6'!P35</f>
        <v>5504.8752993000007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133</v>
      </c>
      <c r="I20" s="1">
        <f t="shared" si="1"/>
        <v>9661.1200000000008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790.32320000000004</v>
      </c>
      <c r="M20" s="118">
        <f t="shared" si="2"/>
        <v>8870.7968000000001</v>
      </c>
      <c r="N20" s="101">
        <f>+'1'!N20+'2'!N20+'4'!N20+'3'!N20+'5'!N20+'6'!N20+'7'!N20+'8'!N20+'9'!N20+'10'!N20</f>
        <v>2097.4364159999996</v>
      </c>
      <c r="O20" s="101">
        <f>+'1'!O20+'2'!O20+'4'!O20+'3'!O20+'5'!O20+'6'!O20+'7'!O20+'8'!O20+'9'!O20+'10'!O20</f>
        <v>89.617711360000001</v>
      </c>
      <c r="P20" s="120">
        <f t="shared" si="0"/>
        <v>11057.850927360001</v>
      </c>
      <c r="T20" s="163" t="str">
        <f>+'7'!A5</f>
        <v xml:space="preserve">Customer Name : AK Dollar Shop </v>
      </c>
      <c r="U20" s="164">
        <f>+'7'!P35</f>
        <v>19858.038451199998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145</v>
      </c>
      <c r="I21" s="1">
        <f t="shared" si="1"/>
        <v>10532.8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862.96320000000003</v>
      </c>
      <c r="M21" s="118">
        <f t="shared" si="2"/>
        <v>9669.8367999999991</v>
      </c>
      <c r="N21" s="101">
        <f>+'1'!N21+'2'!N21+'4'!N21+'3'!N21+'5'!N21+'6'!N21+'7'!N21+'8'!N21+'9'!N21+'10'!N21</f>
        <v>2151.1900159999996</v>
      </c>
      <c r="O21" s="101">
        <f>+'1'!O21+'2'!O21+'4'!O21+'3'!O21+'5'!O21+'6'!O21+'7'!O21+'8'!O21+'9'!O21+'10'!O21</f>
        <v>104.26629376</v>
      </c>
      <c r="P21" s="120">
        <f t="shared" si="0"/>
        <v>11925.293109759998</v>
      </c>
      <c r="T21" s="163" t="str">
        <f>+'8'!A5</f>
        <v>Customer Name : Muneer Store</v>
      </c>
      <c r="U21" s="164">
        <f>+'8'!P35</f>
        <v>501.4164864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12</v>
      </c>
      <c r="I22" s="1">
        <f t="shared" si="1"/>
        <v>470.76000000000005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16.476600000000005</v>
      </c>
      <c r="L22" s="175">
        <f>+'1'!L22+'2'!L22+'4'!L22+'3'!L22+'5'!L22+'6'!L22+'7'!L22+'8'!L22+'9'!L22+'10'!L22</f>
        <v>23.538000000000004</v>
      </c>
      <c r="M22" s="118">
        <f t="shared" si="2"/>
        <v>430.74540000000002</v>
      </c>
      <c r="N22" s="101">
        <f>+'1'!N22+'2'!N22+'4'!N22+'3'!N22+'5'!N22+'6'!N22+'7'!N22+'8'!N22+'9'!N22+'10'!N22</f>
        <v>94.763987999999998</v>
      </c>
      <c r="O22" s="101">
        <f>+'1'!O22+'2'!O22+'4'!O22+'3'!O22+'5'!O22+'6'!O22+'7'!O22+'8'!O22+'9'!O22+'10'!O22</f>
        <v>13.137734700000003</v>
      </c>
      <c r="P22" s="120">
        <f t="shared" si="0"/>
        <v>538.64712270000007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13.05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522</v>
      </c>
      <c r="I25" s="178">
        <f t="shared" si="3"/>
        <v>36225.800000000003</v>
      </c>
      <c r="J25" s="177">
        <f t="shared" si="3"/>
        <v>25</v>
      </c>
      <c r="K25" s="178">
        <f t="shared" si="3"/>
        <v>16.476600000000005</v>
      </c>
      <c r="L25" s="179">
        <f t="shared" si="3"/>
        <v>2942.0531999999998</v>
      </c>
      <c r="M25" s="141">
        <f t="shared" si="3"/>
        <v>33267.270199999999</v>
      </c>
      <c r="N25" s="142">
        <f>SUM(N16:N24)</f>
        <v>7398.1059339999983</v>
      </c>
      <c r="O25" s="143">
        <f>SUM(O16:O24)</f>
        <v>320.99908315000005</v>
      </c>
      <c r="P25" s="144">
        <f>SUM(P16:P24)</f>
        <v>40986.375217149995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40986.375217150002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36225.800000000003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2942.0531999999998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16.476600000000005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33267.270199999999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7398.1059339999983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40665.376133999998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1016.63440335</v>
      </c>
    </row>
    <row r="39" spans="2:16" ht="15.75" customHeight="1" thickBot="1" x14ac:dyDescent="0.4">
      <c r="N39" s="219" t="s">
        <v>92</v>
      </c>
      <c r="O39" s="220"/>
      <c r="P39" s="160">
        <f>P37+P38</f>
        <v>41682.010537349997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35202002173297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 t="shared" ref="O16:O24" si="1">(N16+M16)*$O$15</f>
        <v>3.5330345999999997</v>
      </c>
      <c r="P16" s="105">
        <f t="shared" ref="P16:P24" si="2">M16+N16+O16</f>
        <v>710.1399545999999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3">(G17*D17)*F17+H17*F17</f>
        <v>629.54999999999995</v>
      </c>
      <c r="J17" s="117">
        <v>1</v>
      </c>
      <c r="K17" s="1">
        <f t="shared" ref="K17:K21" si="4">I17*$K$13</f>
        <v>0</v>
      </c>
      <c r="L17" s="105">
        <f t="shared" ref="L17:L21" si="5">I17*8%</f>
        <v>50.363999999999997</v>
      </c>
      <c r="M17" s="118">
        <f t="shared" ref="M17:M23" si="6">I17-K17-L17</f>
        <v>579.18599999999992</v>
      </c>
      <c r="N17" s="118">
        <f t="shared" si="0"/>
        <v>138.96266999999997</v>
      </c>
      <c r="O17" s="119">
        <f t="shared" si="1"/>
        <v>3.5907433499999999</v>
      </c>
      <c r="P17" s="120">
        <f t="shared" si="2"/>
        <v>721.73941334999995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3"/>
        <v>435.84000000000003</v>
      </c>
      <c r="J19" s="117"/>
      <c r="K19" s="1">
        <f t="shared" si="4"/>
        <v>0</v>
      </c>
      <c r="L19" s="105">
        <f t="shared" si="5"/>
        <v>34.867200000000004</v>
      </c>
      <c r="M19" s="118">
        <f t="shared" si="6"/>
        <v>400.97280000000001</v>
      </c>
      <c r="N19" s="118">
        <f t="shared" si="0"/>
        <v>88.214016000000001</v>
      </c>
      <c r="O19" s="119">
        <f t="shared" si="1"/>
        <v>2.4459340800000002</v>
      </c>
      <c r="P19" s="120">
        <f t="shared" si="2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7</v>
      </c>
      <c r="I20" s="116">
        <f t="shared" si="3"/>
        <v>508.48</v>
      </c>
      <c r="J20" s="117">
        <v>1</v>
      </c>
      <c r="K20" s="1">
        <f t="shared" si="4"/>
        <v>0</v>
      </c>
      <c r="L20" s="105">
        <f t="shared" si="5"/>
        <v>40.678400000000003</v>
      </c>
      <c r="M20" s="118">
        <f t="shared" si="6"/>
        <v>467.80160000000001</v>
      </c>
      <c r="N20" s="118">
        <f t="shared" si="0"/>
        <v>118.89715200000001</v>
      </c>
      <c r="O20" s="119">
        <f t="shared" si="1"/>
        <v>2.9334937600000002</v>
      </c>
      <c r="P20" s="120">
        <f t="shared" si="2"/>
        <v>589.63224576000005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3"/>
        <v>508.48</v>
      </c>
      <c r="J21" s="117"/>
      <c r="K21" s="1">
        <f t="shared" si="4"/>
        <v>0</v>
      </c>
      <c r="L21" s="105">
        <f t="shared" si="5"/>
        <v>40.678400000000003</v>
      </c>
      <c r="M21" s="118">
        <f t="shared" si="6"/>
        <v>467.80160000000001</v>
      </c>
      <c r="N21" s="118">
        <f t="shared" si="0"/>
        <v>102.916352</v>
      </c>
      <c r="O21" s="119">
        <f t="shared" si="1"/>
        <v>2.8535897599999998</v>
      </c>
      <c r="P21" s="120">
        <f t="shared" si="2"/>
        <v>573.57154175999995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44</v>
      </c>
      <c r="I25" s="137">
        <f t="shared" si="9"/>
        <v>2711.9</v>
      </c>
      <c r="J25" s="138"/>
      <c r="K25" s="139">
        <f t="shared" si="9"/>
        <v>0</v>
      </c>
      <c r="L25" s="140">
        <f t="shared" si="9"/>
        <v>216.95200000000003</v>
      </c>
      <c r="M25" s="141">
        <f t="shared" si="9"/>
        <v>2494.9479999999999</v>
      </c>
      <c r="N25" s="142">
        <f>SUM(N16:N24)</f>
        <v>576.41111000000001</v>
      </c>
      <c r="O25" s="143">
        <f>SUM(O16:O24)</f>
        <v>15.356795549999999</v>
      </c>
      <c r="P25" s="144">
        <f>SUM(P16:P24)</f>
        <v>3086.7159055500001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2711.9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216.95200000000003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2494.9479999999999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576.41111000000001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3071.3591099999999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15.356795549999999</v>
      </c>
    </row>
    <row r="35" spans="2:16" ht="15.75" customHeight="1" thickBot="1" x14ac:dyDescent="0.4">
      <c r="N35" s="219" t="s">
        <v>92</v>
      </c>
      <c r="O35" s="220"/>
      <c r="P35" s="160">
        <f>P33+P34</f>
        <v>3086.7159055499997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3520237278271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507.31775999999996</v>
      </c>
      <c r="O25" s="143">
        <f>SUM(O16:O24)</f>
        <v>15.9023488</v>
      </c>
      <c r="P25" s="144">
        <f>SUM(P16:P24)</f>
        <v>3196.3721087999998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507.31775999999996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3180.46976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15.9023488</v>
      </c>
    </row>
    <row r="35" spans="2:16" ht="15.75" customHeight="1" thickBot="1" x14ac:dyDescent="0.4">
      <c r="N35" s="219" t="s">
        <v>92</v>
      </c>
      <c r="O35" s="220"/>
      <c r="P35" s="160">
        <f>P33+P34</f>
        <v>3196.3721087999998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252.49663999999999</v>
      </c>
      <c r="O20" s="119">
        <f t="shared" si="6"/>
        <v>31.373215999999999</v>
      </c>
      <c r="P20" s="120">
        <f t="shared" si="1"/>
        <v>1286.3018559999998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52</v>
      </c>
      <c r="I25" s="137">
        <f t="shared" si="9"/>
        <v>3376.36</v>
      </c>
      <c r="J25" s="138"/>
      <c r="K25" s="139">
        <f t="shared" si="9"/>
        <v>16.476600000000005</v>
      </c>
      <c r="L25" s="140">
        <f t="shared" si="9"/>
        <v>255.98599999999999</v>
      </c>
      <c r="M25" s="141">
        <f t="shared" si="9"/>
        <v>3103.8973999999998</v>
      </c>
      <c r="N25" s="142">
        <f>SUM(N16:N24)</f>
        <v>714.819028</v>
      </c>
      <c r="O25" s="143">
        <f>SUM(O16:O24)</f>
        <v>95.467910700000004</v>
      </c>
      <c r="P25" s="144">
        <f>SUM(P16:P24)</f>
        <v>3914.1843387000004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3376.36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255.98599999999999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3103.8974000000003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714.819028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3818.7164280000002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95.467910700000004</v>
      </c>
    </row>
    <row r="35" spans="2:16" ht="15.75" customHeight="1" thickBot="1" x14ac:dyDescent="0.4">
      <c r="N35" s="219" t="s">
        <v>92</v>
      </c>
      <c r="O35" s="220"/>
      <c r="P35" s="160">
        <f>P33+P34</f>
        <v>3914.1843387000004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04">
        <f t="shared" si="3"/>
        <v>0</v>
      </c>
      <c r="L19" s="105">
        <f t="shared" si="4"/>
        <v>61.017600000000002</v>
      </c>
      <c r="M19" s="118">
        <f t="shared" si="5"/>
        <v>447.4624</v>
      </c>
      <c r="N19" s="118">
        <f t="shared" si="0"/>
        <v>98.441727999999998</v>
      </c>
      <c r="O19" s="119">
        <f t="shared" si="6"/>
        <v>13.647603200000001</v>
      </c>
      <c r="P19" s="120">
        <f t="shared" si="1"/>
        <v>559.55173120000006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>
        <v>1</v>
      </c>
      <c r="K20" s="104">
        <f t="shared" si="3"/>
        <v>0</v>
      </c>
      <c r="L20" s="105">
        <f t="shared" si="4"/>
        <v>52.300800000000002</v>
      </c>
      <c r="M20" s="118">
        <f t="shared" si="5"/>
        <v>383.53920000000005</v>
      </c>
      <c r="N20" s="118">
        <f t="shared" si="0"/>
        <v>100.35942400000002</v>
      </c>
      <c r="O20" s="119">
        <f t="shared" si="6"/>
        <v>12.097465600000001</v>
      </c>
      <c r="P20" s="120">
        <f t="shared" si="1"/>
        <v>495.99608960000006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04">
        <f t="shared" si="3"/>
        <v>0</v>
      </c>
      <c r="L21" s="105">
        <f t="shared" si="4"/>
        <v>61.017600000000002</v>
      </c>
      <c r="M21" s="118">
        <f t="shared" si="5"/>
        <v>447.4624</v>
      </c>
      <c r="N21" s="118">
        <f t="shared" si="0"/>
        <v>98.441727999999998</v>
      </c>
      <c r="O21" s="119">
        <f t="shared" si="6"/>
        <v>13.647603200000001</v>
      </c>
      <c r="P21" s="120">
        <f t="shared" si="1"/>
        <v>559.55173120000006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174.33600000000001</v>
      </c>
      <c r="M25" s="141">
        <f t="shared" si="9"/>
        <v>1278.4639999999999</v>
      </c>
      <c r="N25" s="142">
        <f>SUM(N16:N24)</f>
        <v>297.24288000000001</v>
      </c>
      <c r="O25" s="143">
        <f>SUM(O16:O24)</f>
        <v>39.392672000000005</v>
      </c>
      <c r="P25" s="144">
        <f>SUM(P16:P24)</f>
        <v>1615.0995520000001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174.33600000000001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1278.4640000000002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297.24288000000001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1575.7068800000002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39.392672000000005</v>
      </c>
    </row>
    <row r="35" spans="2:16" ht="15.75" customHeight="1" thickBot="1" x14ac:dyDescent="0.4">
      <c r="N35" s="219" t="s">
        <v>92</v>
      </c>
      <c r="O35" s="220"/>
      <c r="P35" s="160">
        <f>P33+P34</f>
        <v>1615.0995520000001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81072731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3550104373655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183.19905</v>
      </c>
      <c r="O16" s="107">
        <f>(N16+M16)*$O$15</f>
        <v>5.7425452499999992</v>
      </c>
      <c r="P16" s="105">
        <f t="shared" ref="P16:P24" si="1">M16+N16+O16</f>
        <v>1154.2515952499998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183.19905</v>
      </c>
      <c r="O17" s="119">
        <f t="shared" ref="O17:O24" si="6">(N17+M17)*$O$15</f>
        <v>5.7425452499999992</v>
      </c>
      <c r="P17" s="120">
        <f t="shared" si="1"/>
        <v>1154.2515952499998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120.29183999999999</v>
      </c>
      <c r="O19" s="119">
        <f t="shared" si="6"/>
        <v>3.9428991999999998</v>
      </c>
      <c r="P19" s="120">
        <f t="shared" si="1"/>
        <v>792.52273920000005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206.58815999999996</v>
      </c>
      <c r="O20" s="119">
        <f t="shared" si="6"/>
        <v>6.0451007999999993</v>
      </c>
      <c r="P20" s="120">
        <f t="shared" si="1"/>
        <v>1215.0652607999998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180.43775999999997</v>
      </c>
      <c r="O21" s="119">
        <f t="shared" si="6"/>
        <v>5.9143487999999991</v>
      </c>
      <c r="P21" s="120">
        <f t="shared" si="1"/>
        <v>1188.7841087999998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873.71586000000002</v>
      </c>
      <c r="O25" s="143">
        <f>SUM(O16:O24)</f>
        <v>27.387439299999997</v>
      </c>
      <c r="P25" s="144">
        <f>SUM(P16:P24)</f>
        <v>5504.8752992999989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5004.1000000000004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400.32799999999997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4603.7720000000008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873.71586000000002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5477.4878600000011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27.387439300000008</v>
      </c>
    </row>
    <row r="35" spans="2:16" ht="15.75" customHeight="1" thickBot="1" x14ac:dyDescent="0.4">
      <c r="N35" s="219" t="s">
        <v>92</v>
      </c>
      <c r="O35" s="220"/>
      <c r="P35" s="160">
        <f>P33+P34</f>
        <v>5504.8752993000007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1240.1100799999999</v>
      </c>
      <c r="O19" s="119">
        <f t="shared" si="6"/>
        <v>32.932070400000001</v>
      </c>
      <c r="P19" s="120">
        <f t="shared" si="1"/>
        <v>6619.3461504000006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1240.1100799999999</v>
      </c>
      <c r="O20" s="119">
        <f t="shared" si="6"/>
        <v>32.932070400000001</v>
      </c>
      <c r="P20" s="120">
        <f t="shared" si="1"/>
        <v>6619.3461504000006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1240.1100799999999</v>
      </c>
      <c r="O21" s="119">
        <f t="shared" si="6"/>
        <v>32.932070400000001</v>
      </c>
      <c r="P21" s="120">
        <f t="shared" si="1"/>
        <v>6619.3461504000006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240</v>
      </c>
      <c r="I25" s="137">
        <f t="shared" si="9"/>
        <v>17433.599999999999</v>
      </c>
      <c r="J25" s="138"/>
      <c r="K25" s="139">
        <f t="shared" si="9"/>
        <v>0</v>
      </c>
      <c r="L25" s="140">
        <f t="shared" si="9"/>
        <v>1394.6880000000001</v>
      </c>
      <c r="M25" s="141">
        <f t="shared" si="9"/>
        <v>16038.912</v>
      </c>
      <c r="N25" s="142">
        <f>SUM(N16:N24)</f>
        <v>3720.3302399999998</v>
      </c>
      <c r="O25" s="143">
        <f>SUM(O16:O24)</f>
        <v>98.796211200000002</v>
      </c>
      <c r="P25" s="144">
        <f>SUM(P16:P24)</f>
        <v>19858.038451200002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17433.599999999999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1394.6880000000001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16038.911999999998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3720.3302399999998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19759.24224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98.796211200000002</v>
      </c>
    </row>
    <row r="35" spans="2:16" ht="15.75" customHeight="1" thickBot="1" x14ac:dyDescent="0.4">
      <c r="N35" s="219" t="s">
        <v>92</v>
      </c>
      <c r="O35" s="220"/>
      <c r="P35" s="160">
        <f>P33+P34</f>
        <v>19858.038451199998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0</v>
      </c>
      <c r="L25" s="140">
        <f t="shared" si="9"/>
        <v>34.867200000000004</v>
      </c>
      <c r="M25" s="141">
        <f t="shared" si="9"/>
        <v>400.97280000000001</v>
      </c>
      <c r="N25" s="142">
        <f>SUM(N16:N24)</f>
        <v>88.214016000000001</v>
      </c>
      <c r="O25" s="143">
        <f>SUM(O16:O24)</f>
        <v>12.229670400000002</v>
      </c>
      <c r="P25" s="144">
        <f>SUM(P16:P24)</f>
        <v>501.4164864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435.84000000000003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34.867200000000004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400.97280000000001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88.214016000000001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489.18681600000002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12.229670400000002</v>
      </c>
    </row>
    <row r="35" spans="2:16" ht="15.75" customHeight="1" thickBot="1" x14ac:dyDescent="0.4">
      <c r="N35" s="219" t="s">
        <v>92</v>
      </c>
      <c r="O35" s="220"/>
      <c r="P35" s="160">
        <f>P33+P34</f>
        <v>501.4164864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6" sqref="K6:M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2026-06-12T12:30:03Z</dcterms:modified>
</cp:coreProperties>
</file>