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BB6683C-4B1C-44BC-999E-F1944B6E85C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20" l="1"/>
  <c r="L16" i="20"/>
  <c r="L17" i="20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K21" i="18" s="1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0" l="1"/>
  <c r="K18" i="20"/>
  <c r="L20" i="20"/>
  <c r="M20" i="20" s="1"/>
  <c r="N20" i="20" s="1"/>
  <c r="O20" i="20" s="1"/>
  <c r="K20" i="20"/>
  <c r="L21" i="20"/>
  <c r="K21" i="20"/>
  <c r="M21" i="20" s="1"/>
  <c r="N21" i="20" s="1"/>
  <c r="O21" i="20" s="1"/>
  <c r="L19" i="20"/>
  <c r="M19" i="20" s="1"/>
  <c r="N19" i="20" s="1"/>
  <c r="O19" i="20" s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M17" i="20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2" i="15"/>
  <c r="M25" i="20"/>
  <c r="M18" i="15"/>
  <c r="M16" i="15"/>
  <c r="P19" i="18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<sst xmlns="http://schemas.openxmlformats.org/spreadsheetml/2006/main" count="1584" uniqueCount="121">
  <si>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</si>
  <si>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</si>
  <si>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</si>
  <si>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</si>
  <si>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</si>
  <si>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</si>
  <si>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</si>
  <si>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</si>
  <si>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</si>
  <si>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</si>
  <si>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</si>
  <si>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</si>
  <si>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</si>
  <si>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</si>
  <si>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</si>
  <si>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</si>
  <si>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</si>
  <si>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</si>
  <si>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</si>
  <si>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</si>
  <si>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</si>
  <si>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</si>
  <si>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</si>
  <si>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</si>
  <si>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</si>
  <si>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</si>
  <si>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</si>
  <si>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</si>
  <si>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</si>
  <si>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</si>
  <si>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</si>
  <si>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</si>
  <si>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</si>
  <si>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</si>
  <si>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</si>
  <si>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</si>
  <si>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</si>
  <si>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</si>
  <si>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</si>
  <si>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</si>
  <si>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</si>
  <si>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</si>
  <si>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</si>
  <si>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</si>
  <si>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</si>
  <si>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</si>
  <si>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</si>
  <si>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</si>
  <si>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</si>
  <si>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</si>
  <si>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</si>
  <si>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</si>
  <si>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</si>
  <si>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</si>
  <si>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</si>
  <si>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</si>
  <si>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</si>
  <si>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</si>
  <si>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</si>
  <si>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</si>
  <si>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</si>
  <si>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</si>
  <si>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</si>
  <si>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</si>
  <si>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</si>
  <si>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</si>
  <si>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</si>
  <si>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</si>
  <si>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</si>
  <si>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</si>
  <si>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</si>
  <si>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</si>
  <si>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</si>
  <si>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</si>
  <si>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</si>
  <si>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</si>
  <si>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</si>
  <si>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</si>
  <si>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</si>
  <si>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</si>
  <si>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</si>
  <si>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</si>
  <si>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</si>
  <si>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</si>
  <si>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</si>
  <si>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</si>
  <si>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</si>
  <si>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</si>
  <si>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</si>
  <si>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</si>
  <si>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</si>
  <si>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</si>
  <si>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</si>
  <si>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</si>
  <si>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</si>
  <si>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</si>
  <si>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</si>
  <si>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</si>
  <si>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</si>
  <si>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</si>
  <si>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</si>
  <si>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</si>
  <si>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</si>
  <si>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</si>
  <si>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 xml:space="preserve">Zahid </t>
  </si>
  <si>
    <t>Shop Bill Summary (Zahid)</t>
  </si>
  <si>
    <t xml:space="preserve">Customer Name : Bismillah </t>
  </si>
  <si>
    <t xml:space="preserve">Address: Mazang </t>
  </si>
  <si>
    <t>Customer Name : aamna Dipartmental Store</t>
  </si>
  <si>
    <t>f737750</t>
  </si>
  <si>
    <t>Customer Name : Khalid Store</t>
  </si>
  <si>
    <t>Address: Mazang</t>
  </si>
  <si>
    <t>c2570141</t>
  </si>
  <si>
    <t>Customer Name : Islam Store</t>
  </si>
  <si>
    <t>Customer Name : Khan Nimko Store</t>
  </si>
  <si>
    <t>Customer Name : Baba Store</t>
  </si>
  <si>
    <t xml:space="preserve">Customer Name : AK Dollar Shop </t>
  </si>
  <si>
    <t>D1209846</t>
  </si>
  <si>
    <t>Customer Name : Muneer Store</t>
  </si>
  <si>
    <t xml:space="preserve">Cash nh tha </t>
  </si>
  <si>
    <t xml:space="preserve">Cash Nh tha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</si>
</sst>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R13" sqref="R13"/>
    </sheetView>
  </sheetViews>
  <sheetFormatPr defaultColWidth="29.7265625" defaultRowHeight="14.5" x14ac:dyDescent="0.35"/>
  <cols>
    <col min="1" max="1" width="9.453125" customWidth="1"/>
    <col min="3" max="3" width="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" bestFit="1" customWidth="1"/>
    <col min="9" max="9" width="8.984375E-2" customWidth="1"/>
    <col min="10" max="10" width="7.453125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Bismillah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aamna Dipartmental Store</v>
      </c>
      <c r="U15" s="164">
        <f>+'2'!P35</f>
        <v>3309.6730752000003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20</v>
      </c>
      <c r="I16" s="1">
        <f>(G16*D16)*F16+H16*F16</f>
        <v>1049.25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83.94</v>
      </c>
      <c r="M16" s="106">
        <f>I16-K16-L16</f>
        <v>965.31</v>
      </c>
      <c r="N16" s="101">
        <f>+'1'!N16+'2'!N16+'4'!N16+'3'!N16+'5'!N16+'6'!N16+'7'!N16+'8'!N16+'9'!N16+'10'!N16</f>
        <v>183.19905</v>
      </c>
      <c r="O16" s="101">
        <f>+'1'!O16+'2'!O16+'4'!O16+'3'!O16+'5'!O16+'6'!O16+'7'!O16+'8'!O16+'9'!O16+'10'!O16</f>
        <v>5.7425452499999992</v>
      </c>
      <c r="P16" s="105">
        <f t="shared" ref="P16:P24" si="0">M16+N16+O16</f>
        <v>1154.2515952499998</v>
      </c>
      <c r="Q16" s="108"/>
      <c r="T16" s="163" t="str">
        <f>+'4'!A5</f>
        <v>Customer Name : Islam Store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20</v>
      </c>
      <c r="I17" s="1">
        <f t="shared" ref="I17:I23" si="1">(G17*D17)*F17+H17*F17</f>
        <v>1049.25</v>
      </c>
      <c r="J17" s="172">
        <f>+'1'!J17+'2'!J17+'4'!J17+'3'!J17+'5'!J17+'6'!J17+'7'!J17+'8'!J17+'9'!J17+'10'!J17+'11'!J17+'12'!J17+'13'!J17+'14'!J17+'15'!J17+'16'!J17+'17'!J17+'18'!J17</f>
        <v>1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83.94</v>
      </c>
      <c r="M17" s="118">
        <f t="shared" ref="M17:M23" si="2">I17-K17-L17</f>
        <v>965.31</v>
      </c>
      <c r="N17" s="101">
        <f>+'1'!N17+'2'!N17+'4'!N17+'3'!N17+'5'!N17+'6'!N17+'7'!N17+'8'!N17+'9'!N17+'10'!N17</f>
        <v>183.19905</v>
      </c>
      <c r="O17" s="101">
        <f>+'1'!O17+'2'!O17+'4'!O17+'3'!O17+'5'!O17+'6'!O17+'7'!O17+'8'!O17+'9'!O17+'10'!O17</f>
        <v>5.7425452499999992</v>
      </c>
      <c r="P17" s="120">
        <f t="shared" si="0"/>
        <v>1154.2515952499998</v>
      </c>
      <c r="S17" s="64"/>
      <c r="T17" s="163" t="str">
        <f>+'3'!A5</f>
        <v>Customer Name : Khalid Store</v>
      </c>
      <c r="U17" s="164">
        <f>+'3'!P35</f>
        <v>3196.3721087999998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Khan Nimko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145</v>
      </c>
      <c r="I19" s="1">
        <f t="shared" si="1"/>
        <v>10532.8</v>
      </c>
      <c r="J19" s="172">
        <f>+'1'!J19+'2'!J19+'4'!J19+'3'!J19+'5'!J19+'6'!J19+'7'!J19+'8'!J19+'9'!J19+'10'!J19+'11'!J19+'12'!J19+'13'!J19+'14'!J19+'15'!J19+'16'!J19+'17'!J19+'18'!J19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842.62400000000002</v>
      </c>
      <c r="M19" s="118">
        <f t="shared" si="2"/>
        <v>9690.1759999999995</v>
      </c>
      <c r="N19" s="101">
        <f>+'1'!N19+'2'!N19+'4'!N19+'3'!N19+'5'!N19+'6'!N19+'7'!N19+'8'!N19+'9'!N19+'10'!N19</f>
        <v>2088.2547199999999</v>
      </c>
      <c r="O19" s="101">
        <f>+'1'!O19+'2'!O19+'4'!O19+'3'!O19+'5'!O19+'6'!O19+'7'!O19+'8'!O19+'9'!O19+'10'!O19</f>
        <v>58.8921536</v>
      </c>
      <c r="P19" s="120">
        <f t="shared" si="0"/>
        <v>11837.3228736</v>
      </c>
      <c r="T19" s="163" t="str">
        <f>+'6'!A5</f>
        <v>Customer Name : Baba Store</v>
      </c>
      <c r="U19" s="164">
        <f>+'6'!P35</f>
        <v>5504.8752993000007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105</v>
      </c>
      <c r="I20" s="1">
        <f t="shared" si="1"/>
        <v>7627.2</v>
      </c>
      <c r="J20" s="172">
        <f>+'1'!J20+'2'!J20+'4'!J20+'3'!J20+'5'!J20+'6'!J20+'7'!J20+'8'!J20+'9'!J20+'10'!J20+'11'!J20+'12'!J20+'13'!J20+'14'!J20+'15'!J20+'16'!J20+'17'!J20+'18'!J20</f>
        <v>8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610.17600000000004</v>
      </c>
      <c r="M20" s="118">
        <f t="shared" si="2"/>
        <v>7017.0239999999994</v>
      </c>
      <c r="N20" s="101">
        <f>+'1'!N20+'2'!N20+'4'!N20+'3'!N20+'5'!N20+'6'!N20+'7'!N20+'8'!N20+'9'!N20+'10'!N20</f>
        <v>1625.6831999999999</v>
      </c>
      <c r="O20" s="101">
        <f>+'1'!O20+'2'!O20+'4'!O20+'3'!O20+'5'!O20+'6'!O20+'7'!O20+'8'!O20+'9'!O20+'10'!O20</f>
        <v>43.213536000000005</v>
      </c>
      <c r="P20" s="120">
        <f t="shared" si="0"/>
        <v>8685.9207359999982</v>
      </c>
      <c r="T20" s="163" t="str">
        <f>+'7'!A5</f>
        <v xml:space="preserve">Customer Name : AK Dollar Shop </v>
      </c>
      <c r="U20" s="164">
        <f>+'7'!P35</f>
        <v>19858.038451199998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116</v>
      </c>
      <c r="I21" s="1">
        <f t="shared" si="1"/>
        <v>8426.24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674.0992</v>
      </c>
      <c r="M21" s="118">
        <f t="shared" si="2"/>
        <v>7752.1408000000001</v>
      </c>
      <c r="N21" s="101">
        <f>+'1'!N21+'2'!N21+'4'!N21+'3'!N21+'5'!N21+'6'!N21+'7'!N21+'8'!N21+'9'!N21+'10'!N21</f>
        <v>1729.2968959999998</v>
      </c>
      <c r="O21" s="101">
        <f>+'1'!O21+'2'!O21+'4'!O21+'3'!O21+'5'!O21+'6'!O21+'7'!O21+'8'!O21+'9'!O21+'10'!O21</f>
        <v>57.190924800000005</v>
      </c>
      <c r="P21" s="120">
        <f t="shared" si="0"/>
        <v>9538.6286208000001</v>
      </c>
      <c r="T21" s="163" t="str">
        <f>+'8'!A5</f>
        <v>Customer Name : Muneer Store</v>
      </c>
      <c r="U21" s="164">
        <f>+'8'!P35</f>
        <v>501.4164864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10.15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406</v>
      </c>
      <c r="I25" s="178">
        <f t="shared" si="3"/>
        <v>28684.739999999998</v>
      </c>
      <c r="J25" s="177">
        <f t="shared" si="3"/>
        <v>20</v>
      </c>
      <c r="K25" s="178">
        <f t="shared" si="3"/>
        <v>0</v>
      </c>
      <c r="L25" s="179">
        <f t="shared" si="3"/>
        <v>2294.7791999999999</v>
      </c>
      <c r="M25" s="141">
        <f t="shared" si="3"/>
        <v>26389.960800000001</v>
      </c>
      <c r="N25" s="142">
        <f>SUM(N16:N24)</f>
        <v>5809.6329159999996</v>
      </c>
      <c r="O25" s="143">
        <f>SUM(O16:O24)</f>
        <v>170.78170490000002</v>
      </c>
      <c r="P25" s="144">
        <f>SUM(P16:P24)</f>
        <v>32370.375420899996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32370.3754209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28684.739999999998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2294.7791999999999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26389.960799999997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5809.6329159999996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32199.593715999996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804.98984289999999</v>
      </c>
    </row>
    <row r="39" spans="2:16" ht="15.75" customHeight="1" thickBot="1" x14ac:dyDescent="0.4">
      <c r="N39" s="203" t="s">
        <v>92</v>
      </c>
      <c r="O39" s="204"/>
      <c r="P39" s="160">
        <f>P37+P38</f>
        <v>33004.583558899998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D37"/>
  <sheetViews>
    <sheetView topLeftCell="A4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1" spans="1:19 16383:16384" x14ac:dyDescent="0.35">
      <c r="N1" s="69" t="s">
        <v>119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35202002173297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4.2363648000000005</v>
      </c>
      <c r="P20" s="120">
        <f t="shared" si="1"/>
        <v>851.50932480000006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44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3520237278271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507.31775999999996</v>
      </c>
      <c r="O25" s="143">
        <f>SUM(O16:O24)</f>
        <v>15.9023488</v>
      </c>
      <c r="P25" s="144">
        <f>SUM(P16:P24)</f>
        <v>3196.3721087999998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507.31775999999996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3180.46976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15.9023488</v>
      </c>
    </row>
    <row r="35" spans="2:16" ht="15.75" customHeight="1" thickBot="1" x14ac:dyDescent="0.4">
      <c r="N35" s="203" t="s">
        <v>92</v>
      </c>
      <c r="O35" s="204"/>
      <c r="P35" s="160">
        <f>P33+P34</f>
        <v>3196.3721087999998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1" spans="1:19 16383:16384" x14ac:dyDescent="0.35">
      <c r="M1" t="s">
        <v>120</v>
      </c>
    </row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44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44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44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81072731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3550104373655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183.19905</v>
      </c>
      <c r="O16" s="107">
        <f>(N16+M16)*$O$15</f>
        <v>5.7425452499999992</v>
      </c>
      <c r="P16" s="105">
        <f t="shared" ref="P16:P24" si="1">M16+N16+O16</f>
        <v>1154.2515952499998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183.19905</v>
      </c>
      <c r="O17" s="119">
        <f t="shared" ref="O17:O24" si="6">(N17+M17)*$O$15</f>
        <v>5.7425452499999992</v>
      </c>
      <c r="P17" s="120">
        <f t="shared" si="1"/>
        <v>1154.2515952499998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120.29183999999999</v>
      </c>
      <c r="O19" s="119">
        <f t="shared" si="6"/>
        <v>3.9428991999999998</v>
      </c>
      <c r="P19" s="120">
        <f t="shared" si="1"/>
        <v>792.52273920000005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206.58815999999996</v>
      </c>
      <c r="O20" s="119">
        <f t="shared" si="6"/>
        <v>6.0451007999999993</v>
      </c>
      <c r="P20" s="120">
        <f t="shared" si="1"/>
        <v>1215.0652607999998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180.43775999999997</v>
      </c>
      <c r="O21" s="119">
        <f t="shared" si="6"/>
        <v>5.9143487999999991</v>
      </c>
      <c r="P21" s="120">
        <f t="shared" si="1"/>
        <v>1188.7841087999998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873.71586000000002</v>
      </c>
      <c r="O25" s="143">
        <f>SUM(O16:O24)</f>
        <v>27.387439299999997</v>
      </c>
      <c r="P25" s="144">
        <f>SUM(P16:P24)</f>
        <v>5504.8752992999989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5004.1000000000004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400.32799999999997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4603.7720000000008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873.71586000000002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5477.4878600000011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27.387439300000008</v>
      </c>
    </row>
    <row r="35" spans="2:16" ht="15.75" customHeight="1" thickBot="1" x14ac:dyDescent="0.4">
      <c r="N35" s="203" t="s">
        <v>92</v>
      </c>
      <c r="O35" s="204"/>
      <c r="P35" s="160">
        <f>P33+P34</f>
        <v>5504.8752993000007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44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>
        <v>4</v>
      </c>
      <c r="K19" s="1">
        <f t="shared" si="3"/>
        <v>0</v>
      </c>
      <c r="L19" s="105">
        <f t="shared" si="4"/>
        <v>464.89600000000002</v>
      </c>
      <c r="M19" s="118">
        <f t="shared" si="5"/>
        <v>5346.3040000000001</v>
      </c>
      <c r="N19" s="118">
        <f t="shared" si="0"/>
        <v>1240.1100799999999</v>
      </c>
      <c r="O19" s="119">
        <f t="shared" si="6"/>
        <v>32.932070400000001</v>
      </c>
      <c r="P19" s="120">
        <f t="shared" si="1"/>
        <v>6619.3461504000006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1240.1100799999999</v>
      </c>
      <c r="O20" s="119">
        <f t="shared" si="6"/>
        <v>32.932070400000001</v>
      </c>
      <c r="P20" s="120">
        <f t="shared" si="1"/>
        <v>6619.3461504000006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1240.1100799999999</v>
      </c>
      <c r="O21" s="119">
        <f t="shared" si="6"/>
        <v>32.932070400000001</v>
      </c>
      <c r="P21" s="120">
        <f t="shared" si="1"/>
        <v>6619.3461504000006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17433.599999999999</v>
      </c>
      <c r="J25" s="138"/>
      <c r="K25" s="139">
        <f t="shared" si="9"/>
        <v>0</v>
      </c>
      <c r="L25" s="140">
        <f t="shared" si="9"/>
        <v>1394.6880000000001</v>
      </c>
      <c r="M25" s="141">
        <f t="shared" si="9"/>
        <v>16038.912</v>
      </c>
      <c r="N25" s="142">
        <f>SUM(N16:N24)</f>
        <v>3720.3302399999998</v>
      </c>
      <c r="O25" s="143">
        <f>SUM(O16:O24)</f>
        <v>98.796211200000002</v>
      </c>
      <c r="P25" s="144">
        <f>SUM(P16:P24)</f>
        <v>19858.038451200002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17433.599999999999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1394.6880000000001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16038.911999999998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3720.3302399999998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19759.24224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98.796211200000002</v>
      </c>
    </row>
    <row r="35" spans="2:16" ht="15.75" customHeight="1" thickBot="1" x14ac:dyDescent="0.4">
      <c r="N35" s="203" t="s">
        <v>92</v>
      </c>
      <c r="O35" s="204"/>
      <c r="P35" s="160">
        <f>P33+P34</f>
        <v>19858.038451199998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0</v>
      </c>
      <c r="L25" s="140">
        <f t="shared" si="9"/>
        <v>34.867200000000004</v>
      </c>
      <c r="M25" s="141">
        <f t="shared" si="9"/>
        <v>400.97280000000001</v>
      </c>
      <c r="N25" s="142">
        <f>SUM(N16:N24)</f>
        <v>88.214016000000001</v>
      </c>
      <c r="O25" s="143">
        <f>SUM(O16:O24)</f>
        <v>12.229670400000002</v>
      </c>
      <c r="P25" s="144">
        <f>SUM(P16:P24)</f>
        <v>501.4164864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435.84000000000003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34.867200000000004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400.97280000000001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88.214016000000001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489.18681600000002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12.229670400000002</v>
      </c>
    </row>
    <row r="35" spans="2:16" ht="15.75" customHeight="1" thickBot="1" x14ac:dyDescent="0.4">
      <c r="N35" s="203" t="s">
        <v>92</v>
      </c>
      <c r="O35" s="204"/>
      <c r="P35" s="160">
        <f>P33+P34</f>
        <v>501.4164864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6" sqref="K6:M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2026-06-15T15:01:25Z</dcterms:modified>
</cp:coreProperties>
</file>