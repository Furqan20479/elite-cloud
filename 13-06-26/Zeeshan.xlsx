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17C500CB-0DFB-4316-962B-46890AA5E316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23" l="1"/>
  <c r="L18" i="23"/>
  <c r="L19" i="23"/>
  <c r="L20" i="23"/>
  <c r="L21" i="23"/>
  <c r="L16" i="23"/>
  <c r="L17" i="19"/>
  <c r="L18" i="19"/>
  <c r="L19" i="19"/>
  <c r="L20" i="19"/>
  <c r="L21" i="19"/>
  <c r="L16" i="19"/>
  <c r="I20" i="20"/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L16" i="20" s="1"/>
  <c r="I18" i="20"/>
  <c r="K18" i="20" s="1"/>
  <c r="L20" i="20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K18" i="19"/>
  <c r="K24" i="19"/>
  <c r="L24" i="19"/>
  <c r="K21" i="19"/>
  <c r="L21" i="18"/>
  <c r="K21" i="18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2" i="18" l="1"/>
  <c r="M22" i="18" s="1"/>
  <c r="L22" i="19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M18" i="24" s="1"/>
  <c r="N18" i="24" s="1"/>
  <c r="O18" i="24" s="1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N24" i="24" s="1"/>
  <c r="O24" i="24" s="1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19" l="1"/>
  <c r="P30" i="19" s="1"/>
  <c r="K22" i="15"/>
  <c r="M19" i="18"/>
  <c r="N19" i="18" s="1"/>
  <c r="O19" i="18" s="1"/>
  <c r="P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5" l="1"/>
  <c r="M18" i="15"/>
  <c r="M22" i="15"/>
  <c r="N16" i="18"/>
  <c r="N16" i="15" s="1"/>
  <c r="M18" i="16"/>
  <c r="N18" i="16" s="1"/>
  <c r="N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O18" i="16"/>
  <c r="O18" i="15" s="1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7"/>
  <c r="O25" i="17" s="1"/>
  <c r="N25" i="17"/>
  <c r="P32" i="17" s="1"/>
  <c r="O16" i="16"/>
  <c r="O16" i="18" l="1"/>
  <c r="N25" i="18"/>
  <c r="P32" i="18" s="1"/>
  <c r="P33" i="18" s="1"/>
  <c r="P34" i="18" s="1"/>
  <c r="P35" i="18" s="1"/>
  <c r="U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16" i="17"/>
  <c r="P25" i="17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<sst xmlns="http://schemas.openxmlformats.org/spreadsheetml/2006/main" count="1588" uniqueCount="131">
  <si>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</si>
  <si>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</si>
  <si>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</si>
  <si>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</si>
  <si>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</si>
  <si>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</si>
  <si>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</si>
  <si>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</si>
  <si>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</si>
  <si>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</si>
  <si>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</si>
  <si>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</si>
  <si>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</si>
  <si>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</si>
  <si>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</si>
  <si>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</si>
  <si>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</si>
  <si>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</si>
  <si>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</si>
  <si>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</si>
  <si>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</si>
  <si>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</si>
  <si>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</si>
  <si>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</si>
  <si>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</si>
  <si>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</si>
  <si>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</si>
  <si>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</si>
  <si>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</si>
  <si>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</si>
  <si>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</si>
  <si>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</si>
  <si>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</si>
  <si>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</si>
  <si>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</si>
  <si>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</si>
  <si>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</si>
  <si>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</si>
  <si>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</si>
  <si>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</si>
  <si>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</si>
  <si>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</si>
  <si>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</si>
  <si>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</si>
  <si>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</si>
  <si>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</si>
  <si>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</si>
  <si>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</si>
  <si>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</si>
  <si>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</si>
  <si>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</si>
  <si>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</si>
  <si>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</si>
  <si>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</si>
  <si>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</si>
  <si>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</si>
  <si>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</si>
  <si>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</si>
  <si>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</si>
  <si>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</si>
  <si>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</si>
  <si>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</si>
  <si>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</si>
  <si>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</si>
  <si>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</si>
  <si>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</si>
  <si>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</si>
  <si>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</si>
  <si>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</si>
  <si>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</si>
  <si>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</si>
  <si>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</si>
  <si>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</si>
  <si>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</si>
  <si>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</si>
  <si>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</si>
  <si>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</si>
  <si>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</si>
  <si>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</si>
  <si>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</si>
  <si>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</si>
  <si>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</si>
  <si>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</si>
  <si>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</si>
  <si>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</si>
  <si>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</si>
  <si>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</si>
  <si>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</si>
  <si>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</si>
  <si>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</si>
  <si>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</si>
  <si>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</si>
  <si>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</si>
  <si>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</si>
  <si>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</si>
  <si>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</si>
  <si>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</si>
  <si>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</si>
  <si>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</si>
  <si>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</si>
  <si>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</si>
  <si>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</si>
  <si>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</si>
  <si>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</si>
  <si>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 xml:space="preserve">Zeshan </t>
  </si>
  <si>
    <t>Shop Bill Summary (Zeshan)</t>
  </si>
  <si>
    <t>Customer Name : Hafiz Store</t>
  </si>
  <si>
    <t>Address: DHA</t>
  </si>
  <si>
    <t xml:space="preserve">Customer Name :Paradise Mart </t>
  </si>
  <si>
    <t>Address: Lala Chowk DHA</t>
  </si>
  <si>
    <t>1015557-7</t>
  </si>
  <si>
    <t xml:space="preserve">Customer Name : Rehmat Cash &amp; Carry </t>
  </si>
  <si>
    <t>Address: State Life</t>
  </si>
  <si>
    <t>7641658-8</t>
  </si>
  <si>
    <t xml:space="preserve">Customer Name : Omega Mart </t>
  </si>
  <si>
    <t xml:space="preserve">Address: State Life </t>
  </si>
  <si>
    <t>H534575-2</t>
  </si>
  <si>
    <t xml:space="preserve">Customer Name : Al jalil Mart </t>
  </si>
  <si>
    <t>Customer Name : Ajwa Bakers</t>
  </si>
  <si>
    <t>Address: State life</t>
  </si>
  <si>
    <t xml:space="preserve">Customer Name : Riaz Bakers </t>
  </si>
  <si>
    <t xml:space="preserve">Customer Name : Smart </t>
  </si>
  <si>
    <t>9274556-2</t>
  </si>
  <si>
    <t xml:space="preserve">Customer Name : Bravo Mart </t>
  </si>
  <si>
    <t>Address: xx Block DHA</t>
  </si>
  <si>
    <t>A276821-8</t>
  </si>
  <si>
    <t>Customer Name : Maha Raja Store</t>
  </si>
  <si>
    <t xml:space="preserve">Address: DHA </t>
  </si>
  <si>
    <t xml:space="preserve">Shop off thi </t>
  </si>
  <si>
    <t xml:space="preserve">12 persont per gya hai </t>
  </si>
  <si>
    <t xml:space="preserve">12 persnt gya hai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</si>
</sst>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10" zoomScale="70" zoomScaleNormal="70" workbookViewId="0">
      <selection activeCell="S18" sqref="S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104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105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Hafiz Store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:Paradise Mart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60</v>
      </c>
      <c r="I16" s="1">
        <f>(G16*D16)*F16+H16*F16</f>
        <v>3147.75</v>
      </c>
      <c r="J16" s="172">
        <f>+'1'!J16+'2'!J16+'4'!J16+'3'!J16+'5'!J16+'6'!J16+'7'!J16+'8'!J16+'9'!J16+'10'!J16+'11'!J16+'12'!J16+'13'!J16+'14'!J16+'15'!J16+'16'!J16+'17'!J16+'18'!J16</f>
        <v>3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335.76</v>
      </c>
      <c r="M16" s="106">
        <f>I16-K16-L16</f>
        <v>2811.99</v>
      </c>
      <c r="N16" s="101">
        <f>+'1'!N16+'2'!N16+'4'!N16+'3'!N16+'5'!N16+'6'!N16+'7'!N16+'8'!N16+'9'!N16+'10'!N16</f>
        <v>534.48794999999996</v>
      </c>
      <c r="O16" s="101">
        <f>+'1'!O16+'2'!O16+'4'!O16+'3'!O16+'5'!O16+'6'!O16+'7'!O16+'8'!O16+'9'!O16+'10'!O16</f>
        <v>16.732389749999999</v>
      </c>
      <c r="P16" s="105">
        <f t="shared" ref="P16:P24" si="0">M16+N16+O16</f>
        <v>3363.2103397499995</v>
      </c>
      <c r="Q16" s="108"/>
      <c r="T16" s="163" t="str">
        <f>+'4'!A5</f>
        <v xml:space="preserve">Customer Name : Omega Mart </v>
      </c>
      <c r="U16" s="164">
        <f>+'4'!P35</f>
        <v>2734.1873320500004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60</v>
      </c>
      <c r="I17" s="1">
        <f t="shared" ref="I17:I23" si="1">(G17*D17)*F17+H17*F17</f>
        <v>3147.75</v>
      </c>
      <c r="J17" s="172">
        <f>+'1'!J17+'2'!J17+'4'!J17+'3'!J17+'5'!J17+'6'!J17+'7'!J17+'8'!J17+'9'!J17+'10'!J17+'11'!J17+'12'!J17+'13'!J17+'14'!J17+'15'!J17+'16'!J17+'17'!J17+'18'!J17</f>
        <v>3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335.76</v>
      </c>
      <c r="M17" s="118">
        <f t="shared" ref="M17:M23" si="2">I17-K17-L17</f>
        <v>2811.99</v>
      </c>
      <c r="N17" s="101">
        <f>+'1'!N17+'2'!N17+'4'!N17+'3'!N17+'5'!N17+'6'!N17+'7'!N17+'8'!N17+'9'!N17+'10'!N17</f>
        <v>534.48794999999996</v>
      </c>
      <c r="O17" s="101">
        <f>+'1'!O17+'2'!O17+'4'!O17+'3'!O17+'5'!O17+'6'!O17+'7'!O17+'8'!O17+'9'!O17+'10'!O17</f>
        <v>16.732389749999999</v>
      </c>
      <c r="P17" s="120">
        <f t="shared" si="0"/>
        <v>3363.2103397499995</v>
      </c>
      <c r="S17" s="64"/>
      <c r="T17" s="163" t="str">
        <f>+'3'!A5</f>
        <v xml:space="preserve">Customer Name : Rehmat Cash &amp; Carry </v>
      </c>
      <c r="U17" s="164">
        <f>+'3'!P35</f>
        <v>15296.280256800002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Al jalil Mart </v>
      </c>
      <c r="U18" s="164">
        <f>+'5'!P35</f>
        <v>1687.7686080000003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68</v>
      </c>
      <c r="I19" s="1">
        <f t="shared" si="1"/>
        <v>4939.5200000000004</v>
      </c>
      <c r="J19" s="172">
        <f>+'1'!J19+'2'!J19+'4'!J19+'3'!J19+'5'!J19+'6'!J19+'7'!J19+'8'!J19+'9'!J19+'10'!J19+'11'!J19+'12'!J19+'13'!J19+'14'!J19+'15'!J19+'16'!J19+'17'!J19+'18'!J19</f>
        <v>3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569.49759999999992</v>
      </c>
      <c r="M19" s="118">
        <f t="shared" si="2"/>
        <v>4370.0224000000007</v>
      </c>
      <c r="N19" s="101">
        <f>+'1'!N19+'2'!N19+'4'!N19+'3'!N19+'5'!N19+'6'!N19+'7'!N19+'8'!N19+'9'!N19+'10'!N19</f>
        <v>901.25900799999999</v>
      </c>
      <c r="O19" s="101">
        <f>+'1'!O19+'2'!O19+'4'!O19+'3'!O19+'5'!O19+'6'!O19+'7'!O19+'8'!O19+'9'!O19+'10'!O19</f>
        <v>39.401388799999999</v>
      </c>
      <c r="P19" s="120">
        <f t="shared" si="0"/>
        <v>5310.6827968000007</v>
      </c>
      <c r="T19" s="163" t="str">
        <f>+'6'!A5</f>
        <v>Customer Name : Ajwa Bakers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66</v>
      </c>
      <c r="I20" s="1">
        <f t="shared" si="1"/>
        <v>4794.24</v>
      </c>
      <c r="J20" s="172">
        <f>+'1'!J20+'2'!J20+'4'!J20+'3'!J20+'5'!J20+'6'!J20+'7'!J20+'8'!J20+'9'!J20+'10'!J20+'11'!J20+'12'!J20+'13'!J20+'14'!J20+'15'!J20+'16'!J20+'17'!J20+'18'!J20</f>
        <v>4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557.87519999999995</v>
      </c>
      <c r="M20" s="118">
        <f t="shared" si="2"/>
        <v>4236.3647999999994</v>
      </c>
      <c r="N20" s="101">
        <f>+'1'!N20+'2'!N20+'4'!N20+'3'!N20+'5'!N20+'6'!N20+'7'!N20+'8'!N20+'9'!N20+'10'!N20</f>
        <v>887.83513599999992</v>
      </c>
      <c r="O20" s="101">
        <f>+'1'!O20+'2'!O20+'4'!O20+'3'!O20+'5'!O20+'6'!O20+'7'!O20+'8'!O20+'9'!O20+'10'!O20</f>
        <v>35.724351999999996</v>
      </c>
      <c r="P20" s="120">
        <f t="shared" si="0"/>
        <v>5159.9242879999993</v>
      </c>
      <c r="T20" s="163" t="str">
        <f>+'7'!A5</f>
        <v xml:space="preserve">Customer Name : Riaz Bakers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86</v>
      </c>
      <c r="I21" s="1">
        <f t="shared" si="1"/>
        <v>6247.04</v>
      </c>
      <c r="J21" s="172">
        <f>+'1'!J21+'2'!J21+'4'!J21+'3'!J21+'5'!J21+'6'!J21+'7'!J21+'8'!J21+'9'!J21+'10'!J21+'11'!J21+'12'!J21+'13'!J21+'14'!J21+'15'!J21+'16'!J21+'17'!J21+'18'!J21</f>
        <v>4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732.21119999999996</v>
      </c>
      <c r="M21" s="118">
        <f t="shared" si="2"/>
        <v>5514.8288000000002</v>
      </c>
      <c r="N21" s="101">
        <f>+'1'!N21+'2'!N21+'4'!N21+'3'!N21+'5'!N21+'6'!N21+'7'!N21+'8'!N21+'9'!N21+'10'!N21</f>
        <v>1169.0972159999999</v>
      </c>
      <c r="O21" s="101">
        <f>+'1'!O21+'2'!O21+'4'!O21+'3'!O21+'5'!O21+'6'!O21+'7'!O21+'8'!O21+'9'!O21+'10'!O21</f>
        <v>43.2033664</v>
      </c>
      <c r="P21" s="120">
        <f t="shared" si="0"/>
        <v>6727.1293824000004</v>
      </c>
      <c r="T21" s="163" t="str">
        <f>+'8'!A5</f>
        <v xml:space="preserve">Customer Name : Smart </v>
      </c>
      <c r="U21" s="164">
        <f>+'8'!P35</f>
        <v>6334.3416576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50</v>
      </c>
      <c r="I22" s="1">
        <f t="shared" si="1"/>
        <v>1961.5000000000002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68.652500000000018</v>
      </c>
      <c r="L22" s="175">
        <f>+'1'!L22+'2'!L22+'4'!L22+'3'!L22+'5'!L22+'6'!L22+'7'!L22+'8'!L22+'9'!L22+'10'!L22</f>
        <v>98.075000000000031</v>
      </c>
      <c r="M22" s="118">
        <f t="shared" si="2"/>
        <v>1794.7725000000003</v>
      </c>
      <c r="N22" s="101">
        <f>+'1'!N22+'2'!N22+'4'!N22+'3'!N22+'5'!N22+'6'!N22+'7'!N22+'8'!N22+'9'!N22+'10'!N22</f>
        <v>323.05905000000001</v>
      </c>
      <c r="O22" s="101">
        <f>+'1'!O22+'2'!O22+'4'!O22+'3'!O22+'5'!O22+'6'!O22+'7'!O22+'8'!O22+'9'!O22+'10'!O22</f>
        <v>10.589157750000002</v>
      </c>
      <c r="P22" s="120">
        <f t="shared" si="0"/>
        <v>2128.4207077500005</v>
      </c>
      <c r="T22" s="163" t="str">
        <f>+'9'!A5</f>
        <v xml:space="preserve">Customer Name : Bravo Mart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Maha Raja Store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9.75</v>
      </c>
      <c r="D25" s="205"/>
      <c r="E25" s="205"/>
      <c r="F25" s="205"/>
      <c r="G25" s="176">
        <f t="shared" ref="G25:M25" si="3">SUM(G16:G24)</f>
        <v>0</v>
      </c>
      <c r="H25" s="177">
        <f t="shared" si="3"/>
        <v>390</v>
      </c>
      <c r="I25" s="178">
        <f t="shared" si="3"/>
        <v>24237.8</v>
      </c>
      <c r="J25" s="177">
        <f t="shared" si="3"/>
        <v>17</v>
      </c>
      <c r="K25" s="178">
        <f t="shared" si="3"/>
        <v>68.652500000000018</v>
      </c>
      <c r="L25" s="179">
        <f t="shared" si="3"/>
        <v>2629.1789999999996</v>
      </c>
      <c r="M25" s="141">
        <f t="shared" si="3"/>
        <v>21539.968499999999</v>
      </c>
      <c r="N25" s="142">
        <f>SUM(N16:N24)</f>
        <v>4350.22631</v>
      </c>
      <c r="O25" s="143">
        <f>SUM(O16:O24)</f>
        <v>162.38304445</v>
      </c>
      <c r="P25" s="144">
        <f>SUM(P16:P24)</f>
        <v>26052.577854449995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26052.577854450006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24237.8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2629.1789999999996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68.652500000000018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21539.968499999999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4350.22631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25890.194810000001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647.25487025000007</v>
      </c>
    </row>
    <row r="39" spans="2:16" ht="15.75" customHeight="1" thickBot="1" x14ac:dyDescent="0.4">
      <c r="N39" s="203" t="s">
        <v>92</v>
      </c>
      <c r="O39" s="204"/>
      <c r="P39" s="160">
        <f>P37+P38</f>
        <v>26537.44968025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FD37"/>
  <sheetViews>
    <sheetView topLeftCell="A7" workbookViewId="0">
      <selection activeCell="J19" sqref="J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1" spans="1:19 16383:16384" x14ac:dyDescent="0.35">
      <c r="M1" t="s">
        <v>128</v>
      </c>
    </row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0" workbookViewId="0">
      <selection activeCell="I21" sqref="I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110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3520144391899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XFD37"/>
  <sheetViews>
    <sheetView workbookViewId="0">
      <selection activeCell="M2" sqref="M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M1" t="s">
        <v>129</v>
      </c>
    </row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111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112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113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611015120867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I16*12%</f>
        <v>251.82</v>
      </c>
      <c r="M16" s="106">
        <f>I16-K16-L16</f>
        <v>1846.68</v>
      </c>
      <c r="N16" s="106">
        <f t="shared" ref="N16:N24" si="0">(M16*$N$15)+(J16*F16)*$N$15</f>
        <v>351.28890000000001</v>
      </c>
      <c r="O16" s="107">
        <f>(N16+M16)*$O$15</f>
        <v>10.9898445</v>
      </c>
      <c r="P16" s="105">
        <f t="shared" ref="P16:P24" si="1">M16+N16+O16</f>
        <v>2208.9587444999997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1" si="4">I17*12%</f>
        <v>251.82</v>
      </c>
      <c r="M17" s="118">
        <f t="shared" ref="M17:M23" si="5">I17-K17-L17</f>
        <v>1846.68</v>
      </c>
      <c r="N17" s="118">
        <f t="shared" si="0"/>
        <v>351.28890000000001</v>
      </c>
      <c r="O17" s="119">
        <f t="shared" ref="O17:O24" si="6">(N17+M17)*$O$15</f>
        <v>10.9898445</v>
      </c>
      <c r="P17" s="120">
        <f t="shared" si="1"/>
        <v>2208.9587444999997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348.67199999999997</v>
      </c>
      <c r="M19" s="118">
        <f t="shared" si="5"/>
        <v>2556.9279999999999</v>
      </c>
      <c r="N19" s="118">
        <f t="shared" si="0"/>
        <v>486.39743999999996</v>
      </c>
      <c r="O19" s="119">
        <f t="shared" si="6"/>
        <v>15.216627199999998</v>
      </c>
      <c r="P19" s="120">
        <f t="shared" si="1"/>
        <v>3058.5420671999996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348.67199999999997</v>
      </c>
      <c r="M20" s="118">
        <f t="shared" si="5"/>
        <v>2556.9279999999999</v>
      </c>
      <c r="N20" s="118">
        <f t="shared" si="0"/>
        <v>486.39743999999996</v>
      </c>
      <c r="O20" s="119">
        <f t="shared" si="6"/>
        <v>15.216627199999998</v>
      </c>
      <c r="P20" s="120">
        <f t="shared" si="1"/>
        <v>3058.5420671999996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348.67199999999997</v>
      </c>
      <c r="M21" s="118">
        <f t="shared" si="5"/>
        <v>2556.9279999999999</v>
      </c>
      <c r="N21" s="118">
        <f t="shared" si="0"/>
        <v>486.39743999999996</v>
      </c>
      <c r="O21" s="119">
        <f t="shared" si="6"/>
        <v>15.216627199999998</v>
      </c>
      <c r="P21" s="120">
        <f t="shared" si="1"/>
        <v>3058.5420671999996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258.44724000000002</v>
      </c>
      <c r="O22" s="119">
        <f t="shared" si="6"/>
        <v>8.4713262000000018</v>
      </c>
      <c r="P22" s="120">
        <f t="shared" si="1"/>
        <v>1702.7365662000002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240</v>
      </c>
      <c r="I25" s="137">
        <f t="shared" si="9"/>
        <v>14483.000000000002</v>
      </c>
      <c r="J25" s="138"/>
      <c r="K25" s="139">
        <f t="shared" si="9"/>
        <v>54.922000000000011</v>
      </c>
      <c r="L25" s="140">
        <f t="shared" si="9"/>
        <v>1628.116</v>
      </c>
      <c r="M25" s="141">
        <f t="shared" si="9"/>
        <v>12799.962</v>
      </c>
      <c r="N25" s="142">
        <f>SUM(N16:N24)</f>
        <v>2420.2173600000001</v>
      </c>
      <c r="O25" s="143">
        <f>SUM(O16:O24)</f>
        <v>76.100896800000001</v>
      </c>
      <c r="P25" s="144">
        <f>SUM(P16:P24)</f>
        <v>15296.280256800001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14483.000000000002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1628.116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12799.962000000001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2420.2173600000001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15220.179360000002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76.100896800000015</v>
      </c>
    </row>
    <row r="35" spans="2:16" ht="15.75" customHeight="1" thickBot="1" x14ac:dyDescent="0.4">
      <c r="N35" s="203" t="s">
        <v>92</v>
      </c>
      <c r="O35" s="204"/>
      <c r="P35" s="160">
        <f>P33+P34</f>
        <v>15296.280256800002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D8" sqref="D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115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116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183.19905</v>
      </c>
      <c r="O16" s="107">
        <f>(N16+M16)*$O$15</f>
        <v>5.7425452499999992</v>
      </c>
      <c r="P16" s="105">
        <f t="shared" ref="P16:P24" si="1">M16+N16+O16</f>
        <v>1154.2515952499998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183.19905</v>
      </c>
      <c r="O17" s="119">
        <f t="shared" ref="O17:O24" si="6">(N17+M17)*$O$15</f>
        <v>5.7425452499999992</v>
      </c>
      <c r="P17" s="120">
        <f t="shared" si="1"/>
        <v>1154.2515952499998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64.611810000000006</v>
      </c>
      <c r="O22" s="119">
        <f t="shared" si="6"/>
        <v>2.1178315500000005</v>
      </c>
      <c r="P22" s="120">
        <f t="shared" si="1"/>
        <v>425.68414155000005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50</v>
      </c>
      <c r="I25" s="137">
        <f t="shared" si="9"/>
        <v>2490.8000000000002</v>
      </c>
      <c r="J25" s="138"/>
      <c r="K25" s="139">
        <f t="shared" si="9"/>
        <v>13.730500000000003</v>
      </c>
      <c r="L25" s="140">
        <f t="shared" si="9"/>
        <v>187.495</v>
      </c>
      <c r="M25" s="141">
        <f t="shared" si="9"/>
        <v>2289.5744999999997</v>
      </c>
      <c r="N25" s="142">
        <f>SUM(N16:N24)</f>
        <v>431.00990999999999</v>
      </c>
      <c r="O25" s="143">
        <f>SUM(O16:O24)</f>
        <v>13.602922049999998</v>
      </c>
      <c r="P25" s="144">
        <f>SUM(P16:P24)</f>
        <v>2734.1873320499999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2490.8000000000002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187.495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2289.5745000000002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431.00990999999999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2720.5844100000004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13.602922050000002</v>
      </c>
    </row>
    <row r="35" spans="2:16" ht="15.75" customHeight="1" thickBot="1" x14ac:dyDescent="0.4">
      <c r="N35" s="203" t="s">
        <v>92</v>
      </c>
      <c r="O35" s="204"/>
      <c r="P35" s="160">
        <f>P33+P34</f>
        <v>2734.1873320500004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4"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117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112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</v>
      </c>
      <c r="I19" s="116">
        <f t="shared" si="2"/>
        <v>581.12</v>
      </c>
      <c r="J19" s="117"/>
      <c r="K19" s="1">
        <f t="shared" si="3"/>
        <v>0</v>
      </c>
      <c r="L19" s="105">
        <f t="shared" si="4"/>
        <v>46.489600000000003</v>
      </c>
      <c r="M19" s="118">
        <f t="shared" si="5"/>
        <v>534.63040000000001</v>
      </c>
      <c r="N19" s="118">
        <f t="shared" si="0"/>
        <v>117.61868800000001</v>
      </c>
      <c r="O19" s="119">
        <f t="shared" si="6"/>
        <v>16.306227200000002</v>
      </c>
      <c r="P19" s="120">
        <f t="shared" si="1"/>
        <v>668.5553152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>
        <v>1</v>
      </c>
      <c r="K20" s="1">
        <f t="shared" si="3"/>
        <v>0</v>
      </c>
      <c r="L20" s="105">
        <f t="shared" si="4"/>
        <v>34.867200000000004</v>
      </c>
      <c r="M20" s="118">
        <f t="shared" si="5"/>
        <v>400.97280000000001</v>
      </c>
      <c r="N20" s="118">
        <f t="shared" si="0"/>
        <v>104.194816</v>
      </c>
      <c r="O20" s="119">
        <f t="shared" si="6"/>
        <v>12.629190400000001</v>
      </c>
      <c r="P20" s="120">
        <f t="shared" si="1"/>
        <v>517.79680640000004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">
        <f t="shared" si="3"/>
        <v>0</v>
      </c>
      <c r="L21" s="105">
        <f t="shared" si="4"/>
        <v>34.867200000000004</v>
      </c>
      <c r="M21" s="118">
        <f t="shared" si="5"/>
        <v>400.97280000000001</v>
      </c>
      <c r="N21" s="118">
        <f t="shared" si="0"/>
        <v>88.214016000000001</v>
      </c>
      <c r="O21" s="119">
        <f t="shared" si="6"/>
        <v>12.229670400000002</v>
      </c>
      <c r="P21" s="120">
        <f t="shared" si="1"/>
        <v>501.4164864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20</v>
      </c>
      <c r="I25" s="137">
        <f t="shared" si="9"/>
        <v>1452.8000000000002</v>
      </c>
      <c r="J25" s="138"/>
      <c r="K25" s="139">
        <f t="shared" si="9"/>
        <v>0</v>
      </c>
      <c r="L25" s="140">
        <f t="shared" si="9"/>
        <v>116.22400000000002</v>
      </c>
      <c r="M25" s="141">
        <f t="shared" si="9"/>
        <v>1336.576</v>
      </c>
      <c r="N25" s="142">
        <f>SUM(N16:N24)</f>
        <v>310.02752000000004</v>
      </c>
      <c r="O25" s="143">
        <f>SUM(O16:O24)</f>
        <v>41.165088000000004</v>
      </c>
      <c r="P25" s="144">
        <f>SUM(P16:P24)</f>
        <v>1687.7686079999999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1452.8000000000002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116.22400000000002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1336.5760000000002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310.02752000000004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1646.6035200000003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41.165088000000011</v>
      </c>
    </row>
    <row r="35" spans="2:16" ht="15.75" customHeight="1" thickBot="1" x14ac:dyDescent="0.4">
      <c r="N35" s="203" t="s">
        <v>92</v>
      </c>
      <c r="O35" s="204"/>
      <c r="P35" s="160">
        <f>P33+P34</f>
        <v>1687.7686080000003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activeCell="J19" sqref="J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119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115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XFD37"/>
  <sheetViews>
    <sheetView workbookViewId="0">
      <selection activeCell="L2" sqref="L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L1" t="s">
        <v>130</v>
      </c>
    </row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121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115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122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I16*12%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I17*12%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174.33599999999998</v>
      </c>
      <c r="M19" s="118">
        <f t="shared" si="5"/>
        <v>1278.4639999999999</v>
      </c>
      <c r="N19" s="118">
        <f t="shared" si="0"/>
        <v>297.24287999999996</v>
      </c>
      <c r="O19" s="119">
        <f t="shared" si="6"/>
        <v>7.8785344000000004</v>
      </c>
      <c r="P19" s="120">
        <f t="shared" si="1"/>
        <v>1583.5854144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174.33599999999998</v>
      </c>
      <c r="M20" s="118">
        <f t="shared" si="5"/>
        <v>1278.4639999999999</v>
      </c>
      <c r="N20" s="118">
        <f t="shared" si="0"/>
        <v>297.24287999999996</v>
      </c>
      <c r="O20" s="119">
        <f t="shared" si="6"/>
        <v>7.8785344000000004</v>
      </c>
      <c r="P20" s="120">
        <f t="shared" si="1"/>
        <v>1583.5854144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348.67199999999997</v>
      </c>
      <c r="M21" s="118">
        <f t="shared" si="5"/>
        <v>2556.9279999999999</v>
      </c>
      <c r="N21" s="118">
        <f t="shared" si="0"/>
        <v>594.48575999999991</v>
      </c>
      <c r="O21" s="119">
        <f t="shared" si="6"/>
        <v>15.757068800000001</v>
      </c>
      <c r="P21" s="120">
        <f t="shared" si="1"/>
        <v>3167.1708288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0</v>
      </c>
      <c r="L25" s="140">
        <f t="shared" si="9"/>
        <v>697.34399999999994</v>
      </c>
      <c r="M25" s="141">
        <f t="shared" si="9"/>
        <v>5113.8559999999998</v>
      </c>
      <c r="N25" s="142">
        <f>SUM(N16:N24)</f>
        <v>1188.9715199999998</v>
      </c>
      <c r="O25" s="143">
        <f>SUM(O16:O24)</f>
        <v>31.514137600000002</v>
      </c>
      <c r="P25" s="144">
        <f>SUM(P16:P24)</f>
        <v>6334.3416576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5811.2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697.34399999999994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5113.8559999999998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1188.9715199999998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6302.8275199999998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31.514137600000002</v>
      </c>
    </row>
    <row r="35" spans="2:16" ht="15.75" customHeight="1" thickBot="1" x14ac:dyDescent="0.4">
      <c r="N35" s="203" t="s">
        <v>92</v>
      </c>
      <c r="O35" s="204"/>
      <c r="P35" s="160">
        <f>P33+P34</f>
        <v>6334.3416576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0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124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 t="s">
        <v>125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10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127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0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2026-06-15T05:56:30Z</dcterms:modified>
</cp:coreProperties>
</file>