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BBFD1E7A-2826-419F-BB02-EC064C497D04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I20" i="20" l="1"/>
  <c r="J17" i="15" l="1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M21" i="35" s="1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L17" i="34"/>
  <c r="K18" i="34"/>
  <c r="L18" i="34"/>
  <c r="K19" i="34"/>
  <c r="L19" i="34"/>
  <c r="L20" i="34"/>
  <c r="K21" i="34"/>
  <c r="L21" i="34"/>
  <c r="K22" i="34"/>
  <c r="L22" i="34"/>
  <c r="K23" i="34"/>
  <c r="M23" i="34"/>
  <c r="L23" i="34"/>
  <c r="K24" i="34"/>
  <c r="K21" i="33"/>
  <c r="L21" i="33"/>
  <c r="K22" i="33"/>
  <c r="M22" i="33" s="1"/>
  <c r="L22" i="33"/>
  <c r="K19" i="33"/>
  <c r="L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L19" i="31"/>
  <c r="K21" i="31"/>
  <c r="L21" i="31"/>
  <c r="K22" i="31"/>
  <c r="L22" i="31"/>
  <c r="M22" i="31" s="1"/>
  <c r="K24" i="31"/>
  <c r="L24" i="31"/>
  <c r="M24" i="31" s="1"/>
  <c r="K16" i="31"/>
  <c r="L16" i="31"/>
  <c r="K18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M22" i="29" s="1"/>
  <c r="L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L22" i="26"/>
  <c r="K23" i="26"/>
  <c r="L23" i="26"/>
  <c r="L18" i="26"/>
  <c r="K20" i="26"/>
  <c r="L20" i="26"/>
  <c r="K21" i="26"/>
  <c r="L21" i="26"/>
  <c r="K24" i="26"/>
  <c r="L24" i="26"/>
  <c r="M24" i="26" s="1"/>
  <c r="K16" i="26"/>
  <c r="L16" i="26"/>
  <c r="T23" i="15"/>
  <c r="T22" i="15"/>
  <c r="T21" i="15"/>
  <c r="T20" i="15"/>
  <c r="T19" i="15"/>
  <c r="T18" i="15"/>
  <c r="T17" i="15"/>
  <c r="T16" i="15"/>
  <c r="T15" i="15"/>
  <c r="T14" i="15"/>
  <c r="I25" i="26" l="1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C11" i="24" s="1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I21" i="19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L20" i="20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K24" i="25"/>
  <c r="L22" i="25"/>
  <c r="L17" i="25"/>
  <c r="K17" i="25"/>
  <c r="L23" i="25"/>
  <c r="K23" i="25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L21" i="19"/>
  <c r="K21" i="19"/>
  <c r="L21" i="18"/>
  <c r="K21" i="18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2" i="18" l="1"/>
  <c r="M22" i="18" s="1"/>
  <c r="L22" i="19"/>
  <c r="L18" i="17"/>
  <c r="K23" i="19"/>
  <c r="M23" i="19" s="1"/>
  <c r="N23" i="19" s="1"/>
  <c r="O23" i="19" s="1"/>
  <c r="K19" i="19"/>
  <c r="L23" i="22"/>
  <c r="L25" i="22" s="1"/>
  <c r="P29" i="22" s="1"/>
  <c r="K19" i="25"/>
  <c r="L19" i="25"/>
  <c r="L25" i="25" s="1"/>
  <c r="P29" i="25" s="1"/>
  <c r="K21" i="25"/>
  <c r="K16" i="24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K25" i="24"/>
  <c r="P30" i="24" s="1"/>
  <c r="N18" i="22"/>
  <c r="O18" i="22" s="1"/>
  <c r="M16" i="22"/>
  <c r="M21" i="21"/>
  <c r="N21" i="21" s="1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25" i="19" l="1"/>
  <c r="P30" i="19" s="1"/>
  <c r="K22" i="15"/>
  <c r="M19" i="18"/>
  <c r="N19" i="18" s="1"/>
  <c r="O19" i="18" s="1"/>
  <c r="P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16" i="15" s="1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8" i="15" l="1"/>
  <c r="M22" i="15"/>
  <c r="N16" i="18"/>
  <c r="N16" i="15" s="1"/>
  <c r="M18" i="16"/>
  <c r="N18" i="16" s="1"/>
  <c r="M22" i="16"/>
  <c r="N22" i="16" s="1"/>
  <c r="N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22" i="16"/>
  <c r="O22" i="15" s="1"/>
  <c r="O18" i="16"/>
  <c r="O18" i="15" s="1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O16" i="17"/>
  <c r="O25" i="17" s="1"/>
  <c r="N25" i="17"/>
  <c r="P32" i="17" s="1"/>
  <c r="O16" i="16"/>
  <c r="O16" i="18" l="1"/>
  <c r="N25" i="18"/>
  <c r="P32" i="18" s="1"/>
  <c r="P33" i="18" s="1"/>
  <c r="P34" i="18" s="1"/>
  <c r="P35" i="18" s="1"/>
  <c r="U16" i="15" s="1"/>
  <c r="N20" i="15"/>
  <c r="P20" i="15" s="1"/>
  <c r="P33" i="17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16" i="17"/>
  <c r="P25" i="17" s="1"/>
  <c r="P34" i="17"/>
  <c r="P35" i="17" s="1"/>
  <c r="U15" i="15" s="1"/>
  <c r="P16" i="16"/>
  <c r="P22" i="15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<sst xmlns="http://schemas.openxmlformats.org/spreadsheetml/2006/main" count="1585" uniqueCount="128">
  <si>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</si>
  <si>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</si>
  <si>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</si>
  <si>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</si>
  <si>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</si>
  <si>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</si>
  <si>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</si>
  <si>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</si>
  <si>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</si>
  <si>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</si>
  <si>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</si>
  <si>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</si>
  <si>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</si>
  <si>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</si>
  <si>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</si>
  <si>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</si>
  <si>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</si>
  <si>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</si>
  <si>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</si>
  <si>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</si>
  <si>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</si>
  <si>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</si>
  <si>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</si>
  <si>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</si>
  <si>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</si>
  <si>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</si>
  <si>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</si>
  <si>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</si>
  <si>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</si>
  <si>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</si>
  <si>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</si>
  <si>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</si>
  <si>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</si>
  <si>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</si>
  <si>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</si>
  <si>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</si>
  <si>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</si>
  <si>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</si>
  <si>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</si>
  <si>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</si>
  <si>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</si>
  <si>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</si>
  <si>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</si>
  <si>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</si>
  <si>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</si>
  <si>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</si>
  <si>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</si>
  <si>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</si>
  <si>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</si>
  <si>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</si>
  <si>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</si>
  <si>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</si>
  <si>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</si>
  <si>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</si>
  <si>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</si>
  <si>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</si>
  <si>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</si>
  <si>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</si>
  <si>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</si>
  <si>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</si>
  <si>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</si>
  <si>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</si>
  <si>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</si>
  <si>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</si>
  <si>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</si>
  <si>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</si>
  <si>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</si>
  <si>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</si>
  <si>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</si>
  <si>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</si>
  <si>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</si>
  <si>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</si>
  <si>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</si>
  <si>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</si>
  <si>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</si>
  <si>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</si>
  <si>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</si>
  <si>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</si>
  <si>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</si>
  <si>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</si>
  <si>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</si>
  <si>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</si>
  <si>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</si>
  <si>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</si>
  <si>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</si>
  <si>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</si>
  <si>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</si>
  <si>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</si>
  <si>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</si>
  <si>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</si>
  <si>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</si>
  <si>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</si>
  <si>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</si>
  <si>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</si>
  <si>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</si>
  <si>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</si>
  <si>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</si>
  <si>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</si>
  <si>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</si>
  <si>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</si>
  <si>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</si>
  <si>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</si>
  <si>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</si>
  <si>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</si>
  <si>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 xml:space="preserve">Zeshan </t>
  </si>
  <si>
    <t>Shop Bill Summary (Zeshan)</t>
  </si>
  <si>
    <t>Customer Name : Hafiz Store</t>
  </si>
  <si>
    <t>Address: DHA</t>
  </si>
  <si>
    <t xml:space="preserve">Customer Name :Paradise Mart </t>
  </si>
  <si>
    <t>Address: Lala Chowk DHA</t>
  </si>
  <si>
    <t>1015557-7</t>
  </si>
  <si>
    <t xml:space="preserve">Customer Name : Rehmat Cash &amp; Carry </t>
  </si>
  <si>
    <t>Address: State Life</t>
  </si>
  <si>
    <t>7641658-8</t>
  </si>
  <si>
    <t xml:space="preserve">Customer Name : Omega Mart </t>
  </si>
  <si>
    <t xml:space="preserve">Address: State Life </t>
  </si>
  <si>
    <t>H534575-2</t>
  </si>
  <si>
    <t xml:space="preserve">Customer Name : Al jalil Mart </t>
  </si>
  <si>
    <t>Customer Name : Ajwa Bakers</t>
  </si>
  <si>
    <t>Address: State life</t>
  </si>
  <si>
    <t xml:space="preserve">Customer Name : Riaz Bakers </t>
  </si>
  <si>
    <t xml:space="preserve">Customer Name : Smart </t>
  </si>
  <si>
    <t>9274556-2</t>
  </si>
  <si>
    <t xml:space="preserve">Customer Name : Bravo Mart </t>
  </si>
  <si>
    <t>Address: xx Block DHA</t>
  </si>
  <si>
    <t>A276821-8</t>
  </si>
  <si>
    <t>Customer Name : Maha Raja Store</t>
  </si>
  <si>
    <t xml:space="preserve">Address: DHA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</si>
</sst>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J19" sqref="J19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J19" sqref="J19"/>
      <selection pane="topRight" activeCell="J19" sqref="J19"/>
      <selection pane="bottomLeft" activeCell="J19" sqref="J19"/>
      <selection pane="bottomRight" activeCell="J19" sqref="J19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abSelected="1" topLeftCell="A23" zoomScale="70" zoomScaleNormal="70" workbookViewId="0">
      <selection activeCell="T33" sqref="T33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199" t="s">
        <v>45</v>
      </c>
      <c r="B2" s="199"/>
      <c r="C2" s="199"/>
    </row>
    <row r="3" spans="1:21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04" t="s">
        <v>104</v>
      </c>
      <c r="B5" s="204"/>
      <c r="C5" s="204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21 16383:16384" ht="15" customHeight="1" x14ac:dyDescent="0.35">
      <c r="A6" s="204"/>
      <c r="B6" s="204"/>
      <c r="C6" s="204"/>
      <c r="F6" s="70"/>
      <c r="G6" s="74"/>
      <c r="K6" s="201" t="s">
        <v>52</v>
      </c>
      <c r="L6" s="201"/>
      <c r="M6" s="201"/>
      <c r="N6" s="203" t="s">
        <v>42</v>
      </c>
      <c r="O6" s="203"/>
      <c r="P6" s="20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21 16383:16384" hidden="1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21 16383:16384" x14ac:dyDescent="0.35">
      <c r="A10" s="206"/>
      <c r="B10" s="75"/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21 16383:16384" ht="15" thickBot="1" x14ac:dyDescent="0.4">
      <c r="A11" s="206"/>
      <c r="B11" s="76"/>
      <c r="C11" s="77"/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21 16383:16384" ht="14.65" customHeight="1" x14ac:dyDescent="0.35">
      <c r="A12" s="206"/>
      <c r="B12" s="76"/>
      <c r="C12" s="77"/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T12" s="215" t="s">
        <v>105</v>
      </c>
      <c r="U12" s="216"/>
      <c r="XFD12" t="s">
        <v>62</v>
      </c>
    </row>
    <row r="13" spans="1:21 16383:16384" ht="15" thickBot="1" x14ac:dyDescent="0.4">
      <c r="A13" s="243"/>
      <c r="J13" s="78"/>
      <c r="K13" s="78"/>
      <c r="L13" s="79">
        <v>0.05</v>
      </c>
      <c r="T13" s="217"/>
      <c r="U13" s="218"/>
      <c r="XFD13" t="s">
        <v>63</v>
      </c>
    </row>
    <row r="14" spans="1:21 16383:16384" ht="29.25" customHeight="1" x14ac:dyDescent="0.6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09" t="s">
        <v>68</v>
      </c>
      <c r="H14" s="210"/>
      <c r="I14" s="210" t="s">
        <v>69</v>
      </c>
      <c r="J14" s="210" t="s">
        <v>70</v>
      </c>
      <c r="K14" s="210"/>
      <c r="L14" s="212"/>
      <c r="M14" s="213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Hafiz Store</v>
      </c>
      <c r="U14" s="164">
        <f>+'1'!P35</f>
        <v>6389.9780737500005</v>
      </c>
      <c r="XFD14" t="s">
        <v>75</v>
      </c>
    </row>
    <row r="15" spans="1:21 16383:16384" ht="29.25" customHeight="1" thickBot="1" x14ac:dyDescent="0.65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11"/>
      <c r="J15" s="171" t="s">
        <v>78</v>
      </c>
      <c r="K15" s="171" t="s">
        <v>79</v>
      </c>
      <c r="L15" s="174" t="s">
        <v>80</v>
      </c>
      <c r="M15" s="21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 xml:space="preserve">Customer Name :Paradise Mart </v>
      </c>
      <c r="U15" s="164">
        <f>+'2'!P35</f>
        <v>3196.3721087999998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70</v>
      </c>
      <c r="I16" s="1">
        <f>(G16*D16)*F16+H16*F16</f>
        <v>3672.375</v>
      </c>
      <c r="J16" s="172">
        <f>+'1'!J16+'2'!J16+'4'!J16+'3'!J16+'5'!J16+'6'!J16+'7'!J16+'8'!J16+'9'!J16+'10'!J16+'11'!J16+'12'!J16+'13'!J16+'14'!J16+'15'!J16+'16'!J16+'17'!J16+'18'!J16</f>
        <v>3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293.78999999999996</v>
      </c>
      <c r="M16" s="106">
        <f>I16-K16-L16</f>
        <v>3378.585</v>
      </c>
      <c r="N16" s="101">
        <f>+'1'!N16+'2'!N16+'4'!N16+'3'!N16+'5'!N16+'6'!N16+'7'!N16+'8'!N16+'9'!N16+'10'!N16</f>
        <v>655.78125</v>
      </c>
      <c r="O16" s="101">
        <f>+'1'!O16+'2'!O16+'4'!O16+'3'!O16+'5'!O16+'6'!O16+'7'!O16+'8'!O16+'9'!O16+'10'!O16</f>
        <v>31.948613249999994</v>
      </c>
      <c r="P16" s="105">
        <f t="shared" ref="P16:P24" si="0">M16+N16+O16</f>
        <v>4066.3148632500001</v>
      </c>
      <c r="Q16" s="108"/>
      <c r="T16" s="163" t="str">
        <f>+'4'!A5</f>
        <v xml:space="preserve">Customer Name : Omega Mart </v>
      </c>
      <c r="U16" s="164">
        <f>+'4'!P35</f>
        <v>2734.1873320500004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70</v>
      </c>
      <c r="I17" s="1">
        <f t="shared" ref="I17:I23" si="1">(G17*D17)*F17+H17*F17</f>
        <v>3672.375</v>
      </c>
      <c r="J17" s="172">
        <f>+'1'!J17+'2'!J17+'4'!J17+'3'!J17+'5'!J17+'6'!J17+'7'!J17+'8'!J17+'9'!J17+'10'!J17+'11'!J17+'12'!J17+'13'!J17+'14'!J17+'15'!J17+'16'!J17+'17'!J17+'18'!J17</f>
        <v>4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293.78999999999996</v>
      </c>
      <c r="M17" s="118">
        <f t="shared" ref="M17:M23" si="2">I17-K17-L17</f>
        <v>3378.585</v>
      </c>
      <c r="N17" s="101">
        <f>+'1'!N17+'2'!N17+'4'!N17+'3'!N17+'5'!N17+'6'!N17+'7'!N17+'8'!N17+'9'!N17+'10'!N17</f>
        <v>667.32299999999998</v>
      </c>
      <c r="O17" s="101">
        <f>+'1'!O17+'2'!O17+'4'!O17+'3'!O17+'5'!O17+'6'!O17+'7'!O17+'8'!O17+'9'!O17+'10'!O17</f>
        <v>32.237156999999996</v>
      </c>
      <c r="P17" s="120">
        <f t="shared" si="0"/>
        <v>4078.1451569999999</v>
      </c>
      <c r="S17" s="64"/>
      <c r="T17" s="163" t="str">
        <f>+'3'!A5</f>
        <v xml:space="preserve">Customer Name : Rehmat Cash &amp; Carry </v>
      </c>
      <c r="U17" s="164">
        <f>+'3'!P35</f>
        <v>15908.859273600001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 xml:space="preserve">Customer Name : Al jalil Mart </v>
      </c>
      <c r="U18" s="164">
        <f>+'5'!P35</f>
        <v>1687.7686080000003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106</v>
      </c>
      <c r="I19" s="1">
        <f t="shared" si="1"/>
        <v>7699.84</v>
      </c>
      <c r="J19" s="172">
        <f>+'1'!J19+'2'!J19+'4'!J19+'3'!J19+'5'!J19+'6'!J19+'7'!J19+'8'!J19+'9'!J19+'10'!J19+'11'!J19+'12'!J19+'13'!J19+'14'!J19+'15'!J19+'16'!J19+'17'!J19+'18'!J19</f>
        <v>3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615.98720000000003</v>
      </c>
      <c r="M19" s="118">
        <f t="shared" si="2"/>
        <v>7083.8528000000006</v>
      </c>
      <c r="N19" s="101">
        <f>+'1'!N19+'2'!N19+'4'!N19+'3'!N19+'5'!N19+'6'!N19+'7'!N19+'8'!N19+'9'!N19+'10'!N19</f>
        <v>1493.6527359999998</v>
      </c>
      <c r="O19" s="101">
        <f>+'1'!O19+'2'!O19+'4'!O19+'3'!O19+'5'!O19+'6'!O19+'7'!O19+'8'!O19+'9'!O19+'10'!O19</f>
        <v>93.43683200000001</v>
      </c>
      <c r="P19" s="120">
        <f t="shared" si="0"/>
        <v>8670.942368</v>
      </c>
      <c r="T19" s="163" t="str">
        <f>+'6'!A5</f>
        <v>Customer Name : Ajwa Bakers</v>
      </c>
      <c r="U19" s="164">
        <f>+'6'!P35</f>
        <v>1687.7686080000003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97</v>
      </c>
      <c r="I20" s="1">
        <f t="shared" si="1"/>
        <v>7046.08</v>
      </c>
      <c r="J20" s="172">
        <f>+'1'!J20+'2'!J20+'4'!J20+'3'!J20+'5'!J20+'6'!J20+'7'!J20+'8'!J20+'9'!J20+'10'!J20+'11'!J20+'12'!J20+'13'!J20+'14'!J20+'15'!J20+'16'!J20+'17'!J20+'18'!J20</f>
        <v>9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563.68640000000005</v>
      </c>
      <c r="M20" s="118">
        <f t="shared" si="2"/>
        <v>6482.3935999999994</v>
      </c>
      <c r="N20" s="101">
        <f>+'1'!N20+'2'!N20+'4'!N20+'3'!N20+'5'!N20+'6'!N20+'7'!N20+'8'!N20+'9'!N20+'10'!N20</f>
        <v>1457.2165119999997</v>
      </c>
      <c r="O20" s="101">
        <f>+'1'!O20+'2'!O20+'4'!O20+'3'!O20+'5'!O20+'6'!O20+'7'!O20+'8'!O20+'9'!O20+'10'!O20</f>
        <v>76.850214399999999</v>
      </c>
      <c r="P20" s="120">
        <f t="shared" si="0"/>
        <v>8016.4603263999998</v>
      </c>
      <c r="T20" s="163" t="str">
        <f>+'7'!A5</f>
        <v xml:space="preserve">Customer Name : Riaz Bakers </v>
      </c>
      <c r="U20" s="164">
        <f>+'7'!P35</f>
        <v>1795.4904090000002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157</v>
      </c>
      <c r="I21" s="1">
        <f t="shared" si="1"/>
        <v>11404.48</v>
      </c>
      <c r="J21" s="172">
        <f>+'1'!J21+'2'!J21+'4'!J21+'3'!J21+'5'!J21+'6'!J21+'7'!J21+'8'!J21+'9'!J21+'10'!J21+'11'!J21+'12'!J21+'13'!J21+'14'!J21+'15'!J21+'16'!J21+'17'!J21+'18'!J21</f>
        <v>6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912.35839999999996</v>
      </c>
      <c r="M21" s="118">
        <f t="shared" si="2"/>
        <v>10492.1216</v>
      </c>
      <c r="N21" s="101">
        <f>+'1'!N21+'2'!N21+'4'!N21+'3'!N21+'5'!N21+'6'!N21+'7'!N21+'8'!N21+'9'!N21+'10'!N21</f>
        <v>2178.6769919999997</v>
      </c>
      <c r="O21" s="101">
        <f>+'1'!O21+'2'!O21+'4'!O21+'3'!O21+'5'!O21+'6'!O21+'7'!O21+'8'!O21+'9'!O21+'10'!O21</f>
        <v>107.3808064</v>
      </c>
      <c r="P21" s="120">
        <f t="shared" si="0"/>
        <v>12778.1793984</v>
      </c>
      <c r="T21" s="163" t="str">
        <f>+'8'!A5</f>
        <v xml:space="preserve">Customer Name : Smart </v>
      </c>
      <c r="U21" s="164">
        <f>+'8'!P35</f>
        <v>6619.3461504000006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150</v>
      </c>
      <c r="I22" s="1">
        <f t="shared" si="1"/>
        <v>5884.5000000000009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205.95750000000004</v>
      </c>
      <c r="L22" s="175">
        <f>+'1'!L22+'2'!L22+'4'!L22+'3'!L22+'5'!L22+'6'!L22+'7'!L22+'8'!L22+'9'!L22+'10'!L22</f>
        <v>294.22500000000008</v>
      </c>
      <c r="M22" s="118">
        <f t="shared" si="2"/>
        <v>5384.3175000000001</v>
      </c>
      <c r="N22" s="101">
        <f>+'1'!N22+'2'!N22+'4'!N22+'3'!N22+'5'!N22+'6'!N22+'7'!N22+'8'!N22+'9'!N22+'10'!N22</f>
        <v>1112.7589500000001</v>
      </c>
      <c r="O22" s="101">
        <f>+'1'!O22+'2'!O22+'4'!O22+'3'!O22+'5'!O22+'6'!O22+'7'!O22+'8'!O22+'9'!O22+'10'!O22</f>
        <v>120.07028025000001</v>
      </c>
      <c r="P22" s="120">
        <f t="shared" si="0"/>
        <v>6617.1467302500005</v>
      </c>
      <c r="T22" s="163" t="str">
        <f>+'9'!A5</f>
        <v xml:space="preserve">Customer Name : Bravo Mart </v>
      </c>
      <c r="U22" s="164">
        <f>+'9'!P35</f>
        <v>3309.6730752000003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>Customer Name : Maha Raja Store</v>
      </c>
      <c r="U23" s="164">
        <f>+'10'!P35</f>
        <v>897.74520450000011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25" t="s">
        <v>84</v>
      </c>
      <c r="B25" s="226"/>
      <c r="C25" s="227">
        <f>H25/40</f>
        <v>16.25</v>
      </c>
      <c r="D25" s="221"/>
      <c r="E25" s="221"/>
      <c r="F25" s="221"/>
      <c r="G25" s="176">
        <f t="shared" ref="G25:M25" si="3">SUM(G16:G24)</f>
        <v>0</v>
      </c>
      <c r="H25" s="177">
        <f t="shared" si="3"/>
        <v>650</v>
      </c>
      <c r="I25" s="178">
        <f t="shared" si="3"/>
        <v>39379.649999999994</v>
      </c>
      <c r="J25" s="177">
        <f t="shared" si="3"/>
        <v>25</v>
      </c>
      <c r="K25" s="178">
        <f t="shared" si="3"/>
        <v>205.95750000000004</v>
      </c>
      <c r="L25" s="179">
        <f t="shared" si="3"/>
        <v>2973.837</v>
      </c>
      <c r="M25" s="141">
        <f t="shared" si="3"/>
        <v>36199.855499999998</v>
      </c>
      <c r="N25" s="142">
        <f>SUM(N16:N24)</f>
        <v>7565.4094399999994</v>
      </c>
      <c r="O25" s="143">
        <f>SUM(O16:O24)</f>
        <v>461.92390330000001</v>
      </c>
      <c r="P25" s="144">
        <f>SUM(P16:P24)</f>
        <v>44227.188843300006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44227.188843299999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28" t="s">
        <v>85</v>
      </c>
      <c r="C32" s="229"/>
      <c r="D32" s="229"/>
      <c r="E32" s="229"/>
      <c r="F32" s="229"/>
      <c r="G32" s="229"/>
      <c r="H32" s="229"/>
      <c r="I32" s="229"/>
      <c r="J32" s="229"/>
      <c r="K32" s="229"/>
      <c r="L32" s="230"/>
      <c r="N32" s="237" t="s">
        <v>86</v>
      </c>
      <c r="O32" s="238"/>
      <c r="P32" s="152">
        <f>I25</f>
        <v>39379.649999999994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N33" s="239" t="s">
        <v>87</v>
      </c>
      <c r="O33" s="240"/>
      <c r="P33" s="153">
        <f>L25</f>
        <v>2973.837</v>
      </c>
    </row>
    <row r="34" spans="2:16" ht="15" customHeight="1" x14ac:dyDescent="0.35">
      <c r="B34" s="231"/>
      <c r="C34" s="232"/>
      <c r="D34" s="232"/>
      <c r="E34" s="232"/>
      <c r="F34" s="232"/>
      <c r="G34" s="232"/>
      <c r="H34" s="232"/>
      <c r="I34" s="232"/>
      <c r="J34" s="232"/>
      <c r="K34" s="232"/>
      <c r="L34" s="233"/>
      <c r="N34" s="239" t="s">
        <v>4</v>
      </c>
      <c r="O34" s="240"/>
      <c r="P34" s="154">
        <f>K25</f>
        <v>205.95750000000004</v>
      </c>
    </row>
    <row r="35" spans="2:16" ht="15" customHeight="1" x14ac:dyDescent="0.35">
      <c r="B35" s="231"/>
      <c r="C35" s="232"/>
      <c r="D35" s="232"/>
      <c r="E35" s="232"/>
      <c r="F35" s="232"/>
      <c r="G35" s="232"/>
      <c r="H35" s="232"/>
      <c r="I35" s="232"/>
      <c r="J35" s="232"/>
      <c r="K35" s="232"/>
      <c r="L35" s="233"/>
      <c r="M35" s="2"/>
      <c r="N35" s="239" t="s">
        <v>88</v>
      </c>
      <c r="O35" s="240"/>
      <c r="P35" s="153">
        <f>P32-P33-P34</f>
        <v>36199.855499999998</v>
      </c>
    </row>
    <row r="36" spans="2:16" ht="15" customHeight="1" x14ac:dyDescent="0.35">
      <c r="B36" s="231"/>
      <c r="C36" s="232"/>
      <c r="D36" s="232"/>
      <c r="E36" s="232"/>
      <c r="F36" s="232"/>
      <c r="G36" s="232"/>
      <c r="H36" s="232"/>
      <c r="I36" s="232"/>
      <c r="J36" s="232"/>
      <c r="K36" s="232"/>
      <c r="L36" s="233"/>
      <c r="M36" s="2"/>
      <c r="N36" s="155" t="s">
        <v>89</v>
      </c>
      <c r="O36" s="156">
        <f>IF(B12="Registered",18%,22%)</f>
        <v>0.22</v>
      </c>
      <c r="P36" s="153">
        <f>N25</f>
        <v>7565.4094399999994</v>
      </c>
    </row>
    <row r="37" spans="2:16" ht="15" customHeight="1" x14ac:dyDescent="0.35">
      <c r="B37" s="231"/>
      <c r="C37" s="232"/>
      <c r="D37" s="232"/>
      <c r="E37" s="232"/>
      <c r="F37" s="232"/>
      <c r="G37" s="232"/>
      <c r="H37" s="232"/>
      <c r="I37" s="232"/>
      <c r="J37" s="232"/>
      <c r="K37" s="232"/>
      <c r="L37" s="233"/>
      <c r="M37" s="2"/>
      <c r="N37" s="241" t="s">
        <v>90</v>
      </c>
      <c r="O37" s="242"/>
      <c r="P37" s="153">
        <f>P35+P36</f>
        <v>43765.264939999994</v>
      </c>
    </row>
    <row r="38" spans="2:16" ht="15" customHeight="1" thickBot="1" x14ac:dyDescent="0.4">
      <c r="B38" s="234"/>
      <c r="C38" s="235"/>
      <c r="D38" s="235"/>
      <c r="E38" s="235"/>
      <c r="F38" s="235"/>
      <c r="G38" s="235"/>
      <c r="H38" s="235"/>
      <c r="I38" s="235"/>
      <c r="J38" s="235"/>
      <c r="K38" s="235"/>
      <c r="L38" s="236"/>
      <c r="M38" s="157"/>
      <c r="N38" s="158" t="s">
        <v>91</v>
      </c>
      <c r="O38" s="159">
        <f>IF(B11="Filer",0.5%,2.5%)</f>
        <v>2.5000000000000001E-2</v>
      </c>
      <c r="P38" s="153">
        <f>O38*P37</f>
        <v>1094.1316234999999</v>
      </c>
    </row>
    <row r="39" spans="2:16" ht="15.75" customHeight="1" thickBot="1" x14ac:dyDescent="0.4">
      <c r="N39" s="219" t="s">
        <v>92</v>
      </c>
      <c r="O39" s="220"/>
      <c r="P39" s="160">
        <f>P37+P38</f>
        <v>44859.396563499991</v>
      </c>
    </row>
    <row r="40" spans="2:16" ht="15" thickBot="1" x14ac:dyDescent="0.4">
      <c r="B40" s="161" t="s">
        <v>93</v>
      </c>
      <c r="C40" s="221"/>
      <c r="D40" s="221"/>
      <c r="E40" s="221"/>
      <c r="F40" s="221"/>
      <c r="G40" s="221"/>
      <c r="H40" s="221"/>
      <c r="I40" s="222"/>
      <c r="J40" s="223"/>
      <c r="K40" s="224"/>
    </row>
    <row r="41" spans="2:16" ht="15.75" customHeight="1" x14ac:dyDescent="0.35"/>
  </sheetData>
  <mergeCells count="47"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6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106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107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10</v>
      </c>
      <c r="I16" s="102">
        <f>(G16*D16)*F16+H16*F16</f>
        <v>524.625</v>
      </c>
      <c r="J16" s="103"/>
      <c r="K16" s="104">
        <f>I16*$K$13</f>
        <v>0</v>
      </c>
      <c r="L16" s="105">
        <f>I16*8%</f>
        <v>41.97</v>
      </c>
      <c r="M16" s="106">
        <f>I16-K16-L16</f>
        <v>482.65499999999997</v>
      </c>
      <c r="N16" s="106">
        <f t="shared" ref="N16:N24" si="0">(M16*$N$15)+(J16*F16)*$N$15</f>
        <v>106.1841</v>
      </c>
      <c r="O16" s="107">
        <f t="shared" ref="O16:O24" si="1">(N16+M16)*$O$15</f>
        <v>14.720977499999998</v>
      </c>
      <c r="P16" s="105">
        <f t="shared" ref="P16:P24" si="2">M16+N16+O16</f>
        <v>603.56007749999992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10</v>
      </c>
      <c r="I17" s="116">
        <f t="shared" ref="I17:I23" si="3">(G17*D17)*F17+H17*F17</f>
        <v>524.625</v>
      </c>
      <c r="J17" s="117">
        <v>1</v>
      </c>
      <c r="K17" s="1">
        <f t="shared" ref="K17:K21" si="4">I17*$K$13</f>
        <v>0</v>
      </c>
      <c r="L17" s="105">
        <f t="shared" ref="L17:L21" si="5">I17*8%</f>
        <v>41.97</v>
      </c>
      <c r="M17" s="118">
        <f t="shared" ref="M17:M23" si="6">I17-K17-L17</f>
        <v>482.65499999999997</v>
      </c>
      <c r="N17" s="118">
        <f t="shared" si="0"/>
        <v>117.72585000000001</v>
      </c>
      <c r="O17" s="119">
        <f t="shared" si="1"/>
        <v>15.009521250000001</v>
      </c>
      <c r="P17" s="120">
        <f t="shared" si="2"/>
        <v>615.39037125000004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15</v>
      </c>
      <c r="I19" s="116">
        <f t="shared" si="3"/>
        <v>1089.5999999999999</v>
      </c>
      <c r="J19" s="117"/>
      <c r="K19" s="1">
        <f t="shared" si="4"/>
        <v>0</v>
      </c>
      <c r="L19" s="105">
        <f t="shared" si="5"/>
        <v>87.167999999999992</v>
      </c>
      <c r="M19" s="118">
        <f t="shared" si="6"/>
        <v>1002.4319999999999</v>
      </c>
      <c r="N19" s="118">
        <f t="shared" si="0"/>
        <v>220.53503999999998</v>
      </c>
      <c r="O19" s="119">
        <f t="shared" si="1"/>
        <v>30.574176000000001</v>
      </c>
      <c r="P19" s="120">
        <f t="shared" si="2"/>
        <v>1253.5412160000001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10</v>
      </c>
      <c r="I20" s="116">
        <f t="shared" si="3"/>
        <v>726.4</v>
      </c>
      <c r="J20" s="117">
        <v>2</v>
      </c>
      <c r="K20" s="1">
        <f t="shared" si="4"/>
        <v>0</v>
      </c>
      <c r="L20" s="105">
        <f t="shared" si="5"/>
        <v>58.112000000000002</v>
      </c>
      <c r="M20" s="118">
        <f t="shared" si="6"/>
        <v>668.28800000000001</v>
      </c>
      <c r="N20" s="118">
        <f t="shared" si="0"/>
        <v>178.98496</v>
      </c>
      <c r="O20" s="119">
        <f t="shared" si="1"/>
        <v>21.181824000000002</v>
      </c>
      <c r="P20" s="120">
        <f t="shared" si="2"/>
        <v>868.45478400000002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15</v>
      </c>
      <c r="I21" s="116">
        <f t="shared" si="3"/>
        <v>1089.5999999999999</v>
      </c>
      <c r="J21" s="117"/>
      <c r="K21" s="1">
        <f t="shared" si="4"/>
        <v>0</v>
      </c>
      <c r="L21" s="105">
        <f t="shared" si="5"/>
        <v>87.167999999999992</v>
      </c>
      <c r="M21" s="118">
        <f t="shared" si="6"/>
        <v>1002.4319999999999</v>
      </c>
      <c r="N21" s="118">
        <f t="shared" si="0"/>
        <v>220.53503999999998</v>
      </c>
      <c r="O21" s="119">
        <f t="shared" si="1"/>
        <v>30.574176000000001</v>
      </c>
      <c r="P21" s="120">
        <f t="shared" si="2"/>
        <v>1253.5412160000001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3"/>
        <v>1569.2000000000003</v>
      </c>
      <c r="J22" s="117"/>
      <c r="K22" s="1">
        <f>I22*3.5%</f>
        <v>54.922000000000011</v>
      </c>
      <c r="L22" s="120">
        <f>I22*5%</f>
        <v>78.460000000000022</v>
      </c>
      <c r="M22" s="118">
        <f t="shared" si="6"/>
        <v>1435.8180000000002</v>
      </c>
      <c r="N22" s="118">
        <f t="shared" si="0"/>
        <v>315.87996000000004</v>
      </c>
      <c r="O22" s="119">
        <f t="shared" si="1"/>
        <v>43.792449000000005</v>
      </c>
      <c r="P22" s="120">
        <f t="shared" si="2"/>
        <v>1795.4904090000002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100</v>
      </c>
      <c r="I25" s="137">
        <f t="shared" si="9"/>
        <v>5524.05</v>
      </c>
      <c r="J25" s="138"/>
      <c r="K25" s="139">
        <f t="shared" si="9"/>
        <v>54.922000000000011</v>
      </c>
      <c r="L25" s="140">
        <f t="shared" si="9"/>
        <v>394.84800000000001</v>
      </c>
      <c r="M25" s="141">
        <f t="shared" si="9"/>
        <v>5074.28</v>
      </c>
      <c r="N25" s="142">
        <f>SUM(N16:N24)</f>
        <v>1159.8449499999999</v>
      </c>
      <c r="O25" s="143">
        <f>SUM(O16:O24)</f>
        <v>155.85312375000001</v>
      </c>
      <c r="P25" s="144">
        <f>SUM(P16:P24)</f>
        <v>6389.9780737500005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5524.05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394.84800000000001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54.922000000000011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5074.2800000000007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1159.8449499999999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6234.1249500000004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155.85312375000001</v>
      </c>
    </row>
    <row r="35" spans="2:16" ht="15.75" customHeight="1" thickBot="1" x14ac:dyDescent="0.4">
      <c r="N35" s="219" t="s">
        <v>92</v>
      </c>
      <c r="O35" s="220"/>
      <c r="P35" s="160">
        <f>P33+P34</f>
        <v>6389.9780737500005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8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2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108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109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110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168">
        <v>3520144391899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>
        <v>2</v>
      </c>
      <c r="K21" s="1">
        <f t="shared" si="3"/>
        <v>0</v>
      </c>
      <c r="L21" s="105">
        <f t="shared" si="4"/>
        <v>232.44800000000001</v>
      </c>
      <c r="M21" s="118">
        <f t="shared" si="5"/>
        <v>2673.152</v>
      </c>
      <c r="N21" s="118">
        <f t="shared" si="0"/>
        <v>507.31775999999996</v>
      </c>
      <c r="O21" s="119">
        <f t="shared" si="6"/>
        <v>15.9023488</v>
      </c>
      <c r="P21" s="120">
        <f t="shared" si="1"/>
        <v>3196.3721087999998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40</v>
      </c>
      <c r="I25" s="137">
        <f t="shared" si="9"/>
        <v>2905.6</v>
      </c>
      <c r="J25" s="138"/>
      <c r="K25" s="139">
        <f t="shared" si="9"/>
        <v>0</v>
      </c>
      <c r="L25" s="140">
        <f t="shared" si="9"/>
        <v>232.44800000000001</v>
      </c>
      <c r="M25" s="141">
        <f t="shared" si="9"/>
        <v>2673.152</v>
      </c>
      <c r="N25" s="142">
        <f>SUM(N16:N24)</f>
        <v>507.31775999999996</v>
      </c>
      <c r="O25" s="143">
        <f>SUM(O16:O24)</f>
        <v>15.9023488</v>
      </c>
      <c r="P25" s="144">
        <f>SUM(P16:P24)</f>
        <v>3196.3721087999998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2905.6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232.44800000000001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2673.152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0.18</v>
      </c>
      <c r="P32" s="153">
        <f>N25</f>
        <v>507.31775999999996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3180.46976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15.9023488</v>
      </c>
    </row>
    <row r="35" spans="2:16" ht="15.75" customHeight="1" thickBot="1" x14ac:dyDescent="0.4">
      <c r="N35" s="219" t="s">
        <v>92</v>
      </c>
      <c r="O35" s="220"/>
      <c r="P35" s="160">
        <f>P33+P34</f>
        <v>3196.3721087999998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8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4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111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112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 t="s">
        <v>113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56">
        <v>611015120867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40</v>
      </c>
      <c r="I16" s="102">
        <f>(G16*D16)*F16+H16*F16</f>
        <v>2098.5</v>
      </c>
      <c r="J16" s="103">
        <v>2</v>
      </c>
      <c r="K16" s="104">
        <f>I16*$K$13</f>
        <v>0</v>
      </c>
      <c r="L16" s="105">
        <f>I16*8%</f>
        <v>167.88</v>
      </c>
      <c r="M16" s="106">
        <f>I16-K16-L16</f>
        <v>1930.62</v>
      </c>
      <c r="N16" s="106">
        <f t="shared" ref="N16:N24" si="0">(M16*$N$15)+(J16*F16)*$N$15</f>
        <v>366.3981</v>
      </c>
      <c r="O16" s="107">
        <f>(N16+M16)*$O$15</f>
        <v>11.485090499999998</v>
      </c>
      <c r="P16" s="105">
        <f t="shared" ref="P16:P24" si="1">M16+N16+O16</f>
        <v>2308.5031904999996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40</v>
      </c>
      <c r="I17" s="116">
        <f t="shared" ref="I17:I23" si="2">(G17*D17)*F17+H17*F17</f>
        <v>2098.5</v>
      </c>
      <c r="J17" s="117">
        <v>2</v>
      </c>
      <c r="K17" s="1">
        <f t="shared" ref="K17:K21" si="3">I17*$K$13</f>
        <v>0</v>
      </c>
      <c r="L17" s="105">
        <f t="shared" ref="L17:L21" si="4">I17*8%</f>
        <v>167.88</v>
      </c>
      <c r="M17" s="118">
        <f t="shared" ref="M17:M23" si="5">I17-K17-L17</f>
        <v>1930.62</v>
      </c>
      <c r="N17" s="118">
        <f t="shared" si="0"/>
        <v>366.3981</v>
      </c>
      <c r="O17" s="119">
        <f t="shared" ref="O17:O24" si="6">(N17+M17)*$O$15</f>
        <v>11.485090499999998</v>
      </c>
      <c r="P17" s="120">
        <f t="shared" si="1"/>
        <v>2308.5031904999996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>
        <v>2</v>
      </c>
      <c r="K19" s="1">
        <f t="shared" si="3"/>
        <v>0</v>
      </c>
      <c r="L19" s="105">
        <f t="shared" si="4"/>
        <v>232.44800000000001</v>
      </c>
      <c r="M19" s="118">
        <f t="shared" si="5"/>
        <v>2673.152</v>
      </c>
      <c r="N19" s="118">
        <f t="shared" si="0"/>
        <v>507.31775999999996</v>
      </c>
      <c r="O19" s="119">
        <f t="shared" si="6"/>
        <v>15.9023488</v>
      </c>
      <c r="P19" s="120">
        <f t="shared" si="1"/>
        <v>3196.3721087999998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2"/>
        <v>2905.6</v>
      </c>
      <c r="J20" s="117">
        <v>2</v>
      </c>
      <c r="K20" s="1">
        <f t="shared" si="3"/>
        <v>0</v>
      </c>
      <c r="L20" s="105">
        <f t="shared" si="4"/>
        <v>232.44800000000001</v>
      </c>
      <c r="M20" s="118">
        <f t="shared" si="5"/>
        <v>2673.152</v>
      </c>
      <c r="N20" s="118">
        <f t="shared" si="0"/>
        <v>507.31775999999996</v>
      </c>
      <c r="O20" s="119">
        <f t="shared" si="6"/>
        <v>15.9023488</v>
      </c>
      <c r="P20" s="120">
        <f t="shared" si="1"/>
        <v>3196.3721087999998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>
        <v>2</v>
      </c>
      <c r="K21" s="1">
        <f t="shared" si="3"/>
        <v>0</v>
      </c>
      <c r="L21" s="105">
        <f t="shared" si="4"/>
        <v>232.44800000000001</v>
      </c>
      <c r="M21" s="118">
        <f t="shared" si="5"/>
        <v>2673.152</v>
      </c>
      <c r="N21" s="118">
        <f t="shared" si="0"/>
        <v>507.31775999999996</v>
      </c>
      <c r="O21" s="119">
        <f t="shared" si="6"/>
        <v>15.9023488</v>
      </c>
      <c r="P21" s="120">
        <f t="shared" si="1"/>
        <v>3196.3721087999998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">
        <f>I22*3.5%</f>
        <v>54.922000000000011</v>
      </c>
      <c r="L22" s="120">
        <f>I22*5%</f>
        <v>78.460000000000022</v>
      </c>
      <c r="M22" s="118">
        <f t="shared" si="5"/>
        <v>1435.8180000000002</v>
      </c>
      <c r="N22" s="118">
        <f t="shared" si="0"/>
        <v>258.44724000000002</v>
      </c>
      <c r="O22" s="119">
        <f t="shared" si="6"/>
        <v>8.4713262000000018</v>
      </c>
      <c r="P22" s="120">
        <f t="shared" si="1"/>
        <v>1702.7365662000002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240</v>
      </c>
      <c r="I25" s="137">
        <f t="shared" si="9"/>
        <v>14483.000000000002</v>
      </c>
      <c r="J25" s="138"/>
      <c r="K25" s="139">
        <f t="shared" si="9"/>
        <v>54.922000000000011</v>
      </c>
      <c r="L25" s="140">
        <f t="shared" si="9"/>
        <v>1111.5640000000001</v>
      </c>
      <c r="M25" s="141">
        <f t="shared" si="9"/>
        <v>13316.513999999999</v>
      </c>
      <c r="N25" s="142">
        <f>SUM(N16:N24)</f>
        <v>2513.1967199999999</v>
      </c>
      <c r="O25" s="143">
        <f>SUM(O16:O24)</f>
        <v>79.1485536</v>
      </c>
      <c r="P25" s="144">
        <f>SUM(P16:P24)</f>
        <v>15908.859273599999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14483.000000000002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1111.5640000000001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54.922000000000011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13316.514000000001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0.18</v>
      </c>
      <c r="P32" s="153">
        <f>N25</f>
        <v>2513.1967199999999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15829.710720000001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79.1485536</v>
      </c>
    </row>
    <row r="35" spans="2:16" ht="15.75" customHeight="1" thickBot="1" x14ac:dyDescent="0.4">
      <c r="N35" s="219" t="s">
        <v>92</v>
      </c>
      <c r="O35" s="220"/>
      <c r="P35" s="160">
        <f>P33+P34</f>
        <v>15908.859273600001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7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3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114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115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116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 t="s">
        <v>116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20</v>
      </c>
      <c r="I16" s="102">
        <f>(G16*D16)*F16+H16*F16</f>
        <v>1049.25</v>
      </c>
      <c r="J16" s="103">
        <v>1</v>
      </c>
      <c r="K16" s="104">
        <f>I16*$K$13</f>
        <v>0</v>
      </c>
      <c r="L16" s="105">
        <f>I16*8%</f>
        <v>83.94</v>
      </c>
      <c r="M16" s="106">
        <f>I16-K16-L16</f>
        <v>965.31</v>
      </c>
      <c r="N16" s="106">
        <f t="shared" ref="N16:N24" si="0">(M16*$N$15)+(J16*F16)*$N$15</f>
        <v>183.19905</v>
      </c>
      <c r="O16" s="107">
        <f>(N16+M16)*$O$15</f>
        <v>5.7425452499999992</v>
      </c>
      <c r="P16" s="105">
        <f t="shared" ref="P16:P24" si="1">M16+N16+O16</f>
        <v>1154.2515952499998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</v>
      </c>
      <c r="I17" s="116">
        <f t="shared" ref="I17:I23" si="2">(G17*D17)*F17+H17*F17</f>
        <v>1049.25</v>
      </c>
      <c r="J17" s="117">
        <v>1</v>
      </c>
      <c r="K17" s="1">
        <f t="shared" ref="K17:K21" si="3">I17*$K$13</f>
        <v>0</v>
      </c>
      <c r="L17" s="105">
        <f t="shared" ref="L17:L21" si="4">I17*8%</f>
        <v>83.94</v>
      </c>
      <c r="M17" s="118">
        <f t="shared" ref="M17:M23" si="5">I17-K17-L17</f>
        <v>965.31</v>
      </c>
      <c r="N17" s="118">
        <f t="shared" si="0"/>
        <v>183.19905</v>
      </c>
      <c r="O17" s="119">
        <f t="shared" ref="O17:O24" si="6">(N17+M17)*$O$15</f>
        <v>5.7425452499999992</v>
      </c>
      <c r="P17" s="120">
        <f t="shared" si="1"/>
        <v>1154.2515952499998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64.611810000000006</v>
      </c>
      <c r="O22" s="119">
        <f t="shared" si="6"/>
        <v>2.1178315500000005</v>
      </c>
      <c r="P22" s="120">
        <f t="shared" si="1"/>
        <v>425.68414155000005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50</v>
      </c>
      <c r="I25" s="137">
        <f t="shared" si="9"/>
        <v>2490.8000000000002</v>
      </c>
      <c r="J25" s="138"/>
      <c r="K25" s="139">
        <f t="shared" si="9"/>
        <v>13.730500000000003</v>
      </c>
      <c r="L25" s="140">
        <f t="shared" si="9"/>
        <v>187.495</v>
      </c>
      <c r="M25" s="141">
        <f t="shared" si="9"/>
        <v>2289.5744999999997</v>
      </c>
      <c r="N25" s="142">
        <f>SUM(N16:N24)</f>
        <v>431.00990999999999</v>
      </c>
      <c r="O25" s="143">
        <f>SUM(O16:O24)</f>
        <v>13.602922049999998</v>
      </c>
      <c r="P25" s="144">
        <f>SUM(P16:P24)</f>
        <v>2734.1873320499999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2490.8000000000002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187.495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13.730500000000003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2289.5745000000002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0.18</v>
      </c>
      <c r="P32" s="153">
        <f>N25</f>
        <v>431.00990999999999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2720.5844100000004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13.602922050000002</v>
      </c>
    </row>
    <row r="35" spans="2:16" ht="15.75" customHeight="1" thickBot="1" x14ac:dyDescent="0.4">
      <c r="N35" s="219" t="s">
        <v>92</v>
      </c>
      <c r="O35" s="220"/>
      <c r="P35" s="160">
        <f>P33+P34</f>
        <v>2734.1873320500004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9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5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117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112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8</v>
      </c>
      <c r="I19" s="116">
        <f t="shared" si="2"/>
        <v>581.12</v>
      </c>
      <c r="J19" s="117"/>
      <c r="K19" s="1">
        <f t="shared" si="3"/>
        <v>0</v>
      </c>
      <c r="L19" s="105">
        <f t="shared" si="4"/>
        <v>46.489600000000003</v>
      </c>
      <c r="M19" s="118">
        <f t="shared" si="5"/>
        <v>534.63040000000001</v>
      </c>
      <c r="N19" s="118">
        <f t="shared" si="0"/>
        <v>117.61868800000001</v>
      </c>
      <c r="O19" s="119">
        <f t="shared" si="6"/>
        <v>16.306227200000002</v>
      </c>
      <c r="P19" s="120">
        <f t="shared" si="1"/>
        <v>668.5553152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6</v>
      </c>
      <c r="I20" s="116">
        <f t="shared" si="2"/>
        <v>435.84000000000003</v>
      </c>
      <c r="J20" s="117">
        <v>1</v>
      </c>
      <c r="K20" s="1">
        <f t="shared" si="3"/>
        <v>0</v>
      </c>
      <c r="L20" s="105">
        <f t="shared" si="4"/>
        <v>34.867200000000004</v>
      </c>
      <c r="M20" s="118">
        <f t="shared" si="5"/>
        <v>400.97280000000001</v>
      </c>
      <c r="N20" s="118">
        <f t="shared" si="0"/>
        <v>104.194816</v>
      </c>
      <c r="O20" s="119">
        <f t="shared" si="6"/>
        <v>12.629190400000001</v>
      </c>
      <c r="P20" s="120">
        <f t="shared" si="1"/>
        <v>517.79680640000004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6</v>
      </c>
      <c r="I21" s="116">
        <f t="shared" si="2"/>
        <v>435.84000000000003</v>
      </c>
      <c r="J21" s="117"/>
      <c r="K21" s="1">
        <f t="shared" si="3"/>
        <v>0</v>
      </c>
      <c r="L21" s="105">
        <f t="shared" si="4"/>
        <v>34.867200000000004</v>
      </c>
      <c r="M21" s="118">
        <f t="shared" si="5"/>
        <v>400.97280000000001</v>
      </c>
      <c r="N21" s="118">
        <f t="shared" si="0"/>
        <v>88.214016000000001</v>
      </c>
      <c r="O21" s="119">
        <f t="shared" si="6"/>
        <v>12.229670400000002</v>
      </c>
      <c r="P21" s="120">
        <f t="shared" si="1"/>
        <v>501.4164864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20</v>
      </c>
      <c r="I25" s="137">
        <f t="shared" si="9"/>
        <v>1452.8000000000002</v>
      </c>
      <c r="J25" s="138"/>
      <c r="K25" s="139">
        <f t="shared" si="9"/>
        <v>0</v>
      </c>
      <c r="L25" s="140">
        <f t="shared" si="9"/>
        <v>116.22400000000002</v>
      </c>
      <c r="M25" s="141">
        <f t="shared" si="9"/>
        <v>1336.576</v>
      </c>
      <c r="N25" s="142">
        <f>SUM(N16:N24)</f>
        <v>310.02752000000004</v>
      </c>
      <c r="O25" s="143">
        <f>SUM(O16:O24)</f>
        <v>41.165088000000004</v>
      </c>
      <c r="P25" s="144">
        <f>SUM(P16:P24)</f>
        <v>1687.7686079999999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1452.8000000000002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116.22400000000002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1336.5760000000002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310.02752000000004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1646.6035200000003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41.165088000000011</v>
      </c>
    </row>
    <row r="35" spans="2:16" ht="15.75" customHeight="1" thickBot="1" x14ac:dyDescent="0.4">
      <c r="N35" s="219" t="s">
        <v>92</v>
      </c>
      <c r="O35" s="220"/>
      <c r="P35" s="160">
        <f>P33+P34</f>
        <v>1687.7686080000003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disablePrompts="1"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9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6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118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119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8</v>
      </c>
      <c r="I19" s="116">
        <f t="shared" si="2"/>
        <v>581.12</v>
      </c>
      <c r="J19" s="117"/>
      <c r="K19" s="1">
        <f t="shared" si="3"/>
        <v>0</v>
      </c>
      <c r="L19" s="105">
        <f t="shared" si="4"/>
        <v>46.489600000000003</v>
      </c>
      <c r="M19" s="118">
        <f t="shared" si="5"/>
        <v>534.63040000000001</v>
      </c>
      <c r="N19" s="118">
        <f t="shared" si="0"/>
        <v>117.61868800000001</v>
      </c>
      <c r="O19" s="119">
        <f t="shared" si="6"/>
        <v>16.306227200000002</v>
      </c>
      <c r="P19" s="120">
        <f t="shared" si="1"/>
        <v>668.5553152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6</v>
      </c>
      <c r="I20" s="116">
        <f t="shared" si="2"/>
        <v>435.84000000000003</v>
      </c>
      <c r="J20" s="117">
        <v>1</v>
      </c>
      <c r="K20" s="1">
        <f t="shared" si="3"/>
        <v>0</v>
      </c>
      <c r="L20" s="105">
        <f t="shared" si="4"/>
        <v>34.867200000000004</v>
      </c>
      <c r="M20" s="118">
        <f t="shared" si="5"/>
        <v>400.97280000000001</v>
      </c>
      <c r="N20" s="118">
        <f t="shared" si="0"/>
        <v>104.194816</v>
      </c>
      <c r="O20" s="119">
        <f t="shared" si="6"/>
        <v>12.629190400000001</v>
      </c>
      <c r="P20" s="120">
        <f t="shared" si="1"/>
        <v>517.79680640000004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6</v>
      </c>
      <c r="I21" s="116">
        <f t="shared" si="2"/>
        <v>435.84000000000003</v>
      </c>
      <c r="J21" s="117"/>
      <c r="K21" s="1">
        <f t="shared" si="3"/>
        <v>0</v>
      </c>
      <c r="L21" s="105">
        <f t="shared" si="4"/>
        <v>34.867200000000004</v>
      </c>
      <c r="M21" s="118">
        <f t="shared" si="5"/>
        <v>400.97280000000001</v>
      </c>
      <c r="N21" s="118">
        <f t="shared" si="0"/>
        <v>88.214016000000001</v>
      </c>
      <c r="O21" s="119">
        <f t="shared" si="6"/>
        <v>12.229670400000002</v>
      </c>
      <c r="P21" s="120">
        <f t="shared" si="1"/>
        <v>501.4164864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20</v>
      </c>
      <c r="I25" s="137">
        <f t="shared" si="9"/>
        <v>1452.8000000000002</v>
      </c>
      <c r="J25" s="138"/>
      <c r="K25" s="139">
        <f t="shared" si="9"/>
        <v>0</v>
      </c>
      <c r="L25" s="140">
        <f t="shared" si="9"/>
        <v>116.22400000000002</v>
      </c>
      <c r="M25" s="141">
        <f t="shared" si="9"/>
        <v>1336.576</v>
      </c>
      <c r="N25" s="142">
        <f>SUM(N16:N24)</f>
        <v>310.02752000000004</v>
      </c>
      <c r="O25" s="143">
        <f>SUM(O16:O24)</f>
        <v>41.165088000000004</v>
      </c>
      <c r="P25" s="144">
        <f>SUM(P16:P24)</f>
        <v>1687.7686079999999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1452.8000000000002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116.22400000000002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1336.5760000000002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310.02752000000004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1646.6035200000003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41.165088000000011</v>
      </c>
    </row>
    <row r="35" spans="2:16" ht="15.75" customHeight="1" thickBot="1" x14ac:dyDescent="0.4">
      <c r="N35" s="219" t="s">
        <v>92</v>
      </c>
      <c r="O35" s="220"/>
      <c r="P35" s="160">
        <f>P33+P34</f>
        <v>1687.7686080000003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8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7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120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115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9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">
        <f>I22*3.5%</f>
        <v>54.922000000000011</v>
      </c>
      <c r="L22" s="120">
        <f>I22*5%</f>
        <v>78.460000000000022</v>
      </c>
      <c r="M22" s="118">
        <f t="shared" si="5"/>
        <v>1435.8180000000002</v>
      </c>
      <c r="N22" s="118">
        <f t="shared" si="0"/>
        <v>315.87996000000004</v>
      </c>
      <c r="O22" s="119">
        <f t="shared" si="6"/>
        <v>43.792449000000005</v>
      </c>
      <c r="P22" s="120">
        <f t="shared" si="1"/>
        <v>1795.4904090000002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40</v>
      </c>
      <c r="I25" s="137">
        <f t="shared" si="9"/>
        <v>1569.2000000000003</v>
      </c>
      <c r="J25" s="138"/>
      <c r="K25" s="139">
        <f t="shared" si="9"/>
        <v>54.922000000000011</v>
      </c>
      <c r="L25" s="140">
        <f t="shared" si="9"/>
        <v>78.460000000000022</v>
      </c>
      <c r="M25" s="141">
        <f t="shared" si="9"/>
        <v>1435.8180000000002</v>
      </c>
      <c r="N25" s="142">
        <f>SUM(N16:N24)</f>
        <v>315.87996000000004</v>
      </c>
      <c r="O25" s="143">
        <f>SUM(O16:O24)</f>
        <v>43.792449000000005</v>
      </c>
      <c r="P25" s="144">
        <f>SUM(P16:P24)</f>
        <v>1795.4904090000002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1569.2000000000003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78.460000000000022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54.922000000000011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1435.8180000000002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315.87996000000004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1751.6979600000002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43.792449000000005</v>
      </c>
    </row>
    <row r="35" spans="2:16" ht="15.75" customHeight="1" thickBot="1" x14ac:dyDescent="0.4">
      <c r="N35" s="219" t="s">
        <v>92</v>
      </c>
      <c r="O35" s="220"/>
      <c r="P35" s="160">
        <f>P33+P34</f>
        <v>1795.4904090000002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9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8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121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115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 t="s">
        <v>122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20</v>
      </c>
      <c r="I19" s="116">
        <f t="shared" si="2"/>
        <v>1452.8</v>
      </c>
      <c r="J19" s="117">
        <v>1</v>
      </c>
      <c r="K19" s="1">
        <f t="shared" si="3"/>
        <v>0</v>
      </c>
      <c r="L19" s="105">
        <f t="shared" si="4"/>
        <v>116.224</v>
      </c>
      <c r="M19" s="118">
        <f t="shared" si="5"/>
        <v>1336.576</v>
      </c>
      <c r="N19" s="118">
        <f t="shared" si="0"/>
        <v>310.02751999999998</v>
      </c>
      <c r="O19" s="119">
        <f t="shared" si="6"/>
        <v>8.2330176000000002</v>
      </c>
      <c r="P19" s="120">
        <f t="shared" si="1"/>
        <v>1654.8365376000002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20</v>
      </c>
      <c r="I20" s="116">
        <f t="shared" si="2"/>
        <v>1452.8</v>
      </c>
      <c r="J20" s="117">
        <v>1</v>
      </c>
      <c r="K20" s="1">
        <f t="shared" si="3"/>
        <v>0</v>
      </c>
      <c r="L20" s="105">
        <f t="shared" si="4"/>
        <v>116.224</v>
      </c>
      <c r="M20" s="118">
        <f t="shared" si="5"/>
        <v>1336.576</v>
      </c>
      <c r="N20" s="118">
        <f t="shared" si="0"/>
        <v>310.02751999999998</v>
      </c>
      <c r="O20" s="119">
        <f t="shared" si="6"/>
        <v>8.2330176000000002</v>
      </c>
      <c r="P20" s="120">
        <f t="shared" si="1"/>
        <v>1654.8365376000002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>
        <v>2</v>
      </c>
      <c r="K21" s="1">
        <f t="shared" si="3"/>
        <v>0</v>
      </c>
      <c r="L21" s="105">
        <f t="shared" si="4"/>
        <v>232.44800000000001</v>
      </c>
      <c r="M21" s="118">
        <f t="shared" si="5"/>
        <v>2673.152</v>
      </c>
      <c r="N21" s="118">
        <f t="shared" si="0"/>
        <v>620.05503999999996</v>
      </c>
      <c r="O21" s="119">
        <f t="shared" si="6"/>
        <v>16.4660352</v>
      </c>
      <c r="P21" s="120">
        <f t="shared" si="1"/>
        <v>3309.6730752000003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80</v>
      </c>
      <c r="I25" s="137">
        <f t="shared" si="9"/>
        <v>5811.2</v>
      </c>
      <c r="J25" s="138"/>
      <c r="K25" s="139">
        <f t="shared" si="9"/>
        <v>0</v>
      </c>
      <c r="L25" s="140">
        <f t="shared" si="9"/>
        <v>464.89600000000002</v>
      </c>
      <c r="M25" s="141">
        <f t="shared" si="9"/>
        <v>5346.3040000000001</v>
      </c>
      <c r="N25" s="142">
        <f>SUM(N16:N24)</f>
        <v>1240.1100799999999</v>
      </c>
      <c r="O25" s="143">
        <f>SUM(O16:O24)</f>
        <v>32.932070400000001</v>
      </c>
      <c r="P25" s="144">
        <f>SUM(P16:P24)</f>
        <v>6619.3461504000006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5811.2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464.89600000000002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5346.3040000000001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1240.1100799999999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6586.4140800000005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32.932070400000001</v>
      </c>
    </row>
    <row r="35" spans="2:16" ht="15.75" customHeight="1" thickBot="1" x14ac:dyDescent="0.4">
      <c r="N35" s="219" t="s">
        <v>92</v>
      </c>
      <c r="O35" s="220"/>
      <c r="P35" s="160">
        <f>P33+P34</f>
        <v>6619.3461504000006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9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9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123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124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67" t="s">
        <v>125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48</v>
      </c>
      <c r="C11" s="77" t="str">
        <f>IF($O34&gt;2.49%,"No","Yes")</f>
        <v>Yes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15</v>
      </c>
      <c r="I19" s="116">
        <f t="shared" si="2"/>
        <v>1089.5999999999999</v>
      </c>
      <c r="J19" s="117"/>
      <c r="K19" s="1">
        <f t="shared" si="3"/>
        <v>0</v>
      </c>
      <c r="L19" s="105">
        <f t="shared" si="4"/>
        <v>87.167999999999992</v>
      </c>
      <c r="M19" s="118">
        <f t="shared" si="5"/>
        <v>1002.4319999999999</v>
      </c>
      <c r="N19" s="118">
        <f t="shared" si="0"/>
        <v>220.53503999999998</v>
      </c>
      <c r="O19" s="119">
        <f t="shared" si="6"/>
        <v>6.1148351999999999</v>
      </c>
      <c r="P19" s="120">
        <f t="shared" si="1"/>
        <v>1229.0818752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15</v>
      </c>
      <c r="I20" s="116">
        <f t="shared" si="2"/>
        <v>1089.5999999999999</v>
      </c>
      <c r="J20" s="117">
        <v>2</v>
      </c>
      <c r="K20" s="1">
        <f t="shared" si="3"/>
        <v>0</v>
      </c>
      <c r="L20" s="105">
        <f t="shared" si="4"/>
        <v>87.167999999999992</v>
      </c>
      <c r="M20" s="118">
        <f t="shared" si="5"/>
        <v>1002.4319999999999</v>
      </c>
      <c r="N20" s="118">
        <f t="shared" si="0"/>
        <v>252.49663999999999</v>
      </c>
      <c r="O20" s="119">
        <f t="shared" si="6"/>
        <v>6.2746431999999999</v>
      </c>
      <c r="P20" s="120">
        <f t="shared" si="1"/>
        <v>1261.2032831999998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10</v>
      </c>
      <c r="I21" s="116">
        <f t="shared" si="2"/>
        <v>726.4</v>
      </c>
      <c r="J21" s="117"/>
      <c r="K21" s="1">
        <f t="shared" si="3"/>
        <v>0</v>
      </c>
      <c r="L21" s="105">
        <f t="shared" si="4"/>
        <v>58.112000000000002</v>
      </c>
      <c r="M21" s="118">
        <f t="shared" si="5"/>
        <v>668.28800000000001</v>
      </c>
      <c r="N21" s="118">
        <f t="shared" si="0"/>
        <v>147.02336</v>
      </c>
      <c r="O21" s="119">
        <f t="shared" si="6"/>
        <v>4.0765568000000005</v>
      </c>
      <c r="P21" s="120">
        <f t="shared" si="1"/>
        <v>819.38791680000008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40</v>
      </c>
      <c r="I25" s="137">
        <f t="shared" si="9"/>
        <v>2905.6</v>
      </c>
      <c r="J25" s="138"/>
      <c r="K25" s="139">
        <f t="shared" si="9"/>
        <v>0</v>
      </c>
      <c r="L25" s="140">
        <f t="shared" si="9"/>
        <v>232.44799999999998</v>
      </c>
      <c r="M25" s="141">
        <f t="shared" si="9"/>
        <v>2673.152</v>
      </c>
      <c r="N25" s="142">
        <f>SUM(N16:N24)</f>
        <v>620.05503999999996</v>
      </c>
      <c r="O25" s="143">
        <f>SUM(O16:O24)</f>
        <v>16.4660352</v>
      </c>
      <c r="P25" s="144">
        <f>SUM(P16:P24)</f>
        <v>3309.6730752000003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2905.6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232.44799999999998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2673.152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620.05503999999996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3293.2070400000002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5.0000000000000001E-3</v>
      </c>
      <c r="P34" s="153">
        <f>O34*P33</f>
        <v>16.4660352</v>
      </c>
    </row>
    <row r="35" spans="2:16" ht="15.75" customHeight="1" thickBot="1" x14ac:dyDescent="0.4">
      <c r="N35" s="219" t="s">
        <v>92</v>
      </c>
      <c r="O35" s="220"/>
      <c r="P35" s="160">
        <f>P33+P34</f>
        <v>3309.6730752000003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19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126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127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20</v>
      </c>
      <c r="I22" s="116">
        <f t="shared" si="2"/>
        <v>784.60000000000014</v>
      </c>
      <c r="J22" s="117"/>
      <c r="K22" s="1">
        <f>I22*3.5%</f>
        <v>27.461000000000006</v>
      </c>
      <c r="L22" s="120">
        <f>I22*5%</f>
        <v>39.230000000000011</v>
      </c>
      <c r="M22" s="118">
        <f t="shared" si="5"/>
        <v>717.90900000000011</v>
      </c>
      <c r="N22" s="118">
        <f t="shared" si="0"/>
        <v>157.93998000000002</v>
      </c>
      <c r="O22" s="119">
        <f t="shared" si="6"/>
        <v>21.896224500000002</v>
      </c>
      <c r="P22" s="120">
        <f t="shared" si="1"/>
        <v>897.74520450000011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20</v>
      </c>
      <c r="I25" s="137">
        <f t="shared" si="9"/>
        <v>784.60000000000014</v>
      </c>
      <c r="J25" s="138"/>
      <c r="K25" s="139">
        <f t="shared" si="9"/>
        <v>27.461000000000006</v>
      </c>
      <c r="L25" s="140">
        <f t="shared" si="9"/>
        <v>39.230000000000011</v>
      </c>
      <c r="M25" s="141">
        <f t="shared" si="9"/>
        <v>717.90900000000011</v>
      </c>
      <c r="N25" s="142">
        <f>SUM(N16:N24)</f>
        <v>157.93998000000002</v>
      </c>
      <c r="O25" s="143">
        <f>SUM(O16:O24)</f>
        <v>21.896224500000002</v>
      </c>
      <c r="P25" s="144">
        <f>SUM(P16:P24)</f>
        <v>897.74520450000011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784.60000000000014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39.230000000000011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27.461000000000006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717.90900000000011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157.93998000000002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875.8489800000001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21.896224500000002</v>
      </c>
    </row>
    <row r="35" spans="2:16" ht="15.75" customHeight="1" thickBot="1" x14ac:dyDescent="0.4">
      <c r="N35" s="219" t="s">
        <v>92</v>
      </c>
      <c r="O35" s="220"/>
      <c r="P35" s="160">
        <f>P33+P34</f>
        <v>897.74520450000011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10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C11" sqref="C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B12" sqref="B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41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180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H20" sqref="H2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199" t="s">
        <v>45</v>
      </c>
      <c r="B2" s="199"/>
      <c r="C2" s="199"/>
    </row>
    <row r="3" spans="1:19 16383:16384" ht="15" customHeight="1" x14ac:dyDescent="0.35">
      <c r="A3" s="200" t="s">
        <v>46</v>
      </c>
      <c r="B3" s="200"/>
      <c r="C3" s="200"/>
      <c r="F3" s="70"/>
      <c r="G3" s="71"/>
      <c r="K3" s="201" t="s">
        <v>47</v>
      </c>
      <c r="L3" s="201"/>
      <c r="M3" s="201"/>
      <c r="N3" s="200">
        <v>10</v>
      </c>
      <c r="O3" s="200"/>
      <c r="P3" s="20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00" t="s">
        <v>94</v>
      </c>
      <c r="B4" s="200"/>
      <c r="C4" s="200"/>
      <c r="F4" s="70"/>
      <c r="G4" s="71"/>
      <c r="K4" s="201" t="s">
        <v>49</v>
      </c>
      <c r="L4" s="201"/>
      <c r="M4" s="201"/>
      <c r="N4" s="202">
        <f ca="1">TODAY()</f>
        <v>46185</v>
      </c>
      <c r="O4" s="202"/>
      <c r="P4" s="20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6" t="s">
        <v>102</v>
      </c>
      <c r="B5" s="246"/>
      <c r="C5" s="246"/>
      <c r="F5" s="70"/>
      <c r="G5" s="71"/>
      <c r="K5" s="201" t="s">
        <v>51</v>
      </c>
      <c r="L5" s="201"/>
      <c r="M5" s="201"/>
      <c r="N5" s="202">
        <f ca="1">N4-1</f>
        <v>46184</v>
      </c>
      <c r="O5" s="200"/>
      <c r="P5" s="200"/>
      <c r="R5" s="70"/>
      <c r="S5" s="71"/>
    </row>
    <row r="6" spans="1:19 16383:16384" ht="15" customHeight="1" x14ac:dyDescent="0.35">
      <c r="A6" s="201" t="s">
        <v>103</v>
      </c>
      <c r="B6" s="201"/>
      <c r="C6" s="201"/>
      <c r="F6" s="70"/>
      <c r="G6" s="74"/>
      <c r="K6" s="201" t="s">
        <v>52</v>
      </c>
      <c r="L6" s="201"/>
      <c r="M6" s="201"/>
      <c r="N6" s="203" t="s">
        <v>97</v>
      </c>
      <c r="O6" s="203"/>
      <c r="P6" s="20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01"/>
      <c r="B7" s="201"/>
      <c r="C7" s="201"/>
      <c r="F7" s="70"/>
      <c r="G7" s="74"/>
      <c r="K7" s="201"/>
      <c r="L7" s="201"/>
      <c r="M7" s="201"/>
      <c r="N7" s="203"/>
      <c r="O7" s="203"/>
      <c r="P7" s="20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05"/>
      <c r="B8" s="205"/>
      <c r="C8" s="205"/>
      <c r="F8" s="70"/>
      <c r="G8" s="74"/>
      <c r="K8" s="201"/>
      <c r="L8" s="201"/>
      <c r="M8" s="201"/>
      <c r="N8" s="203"/>
      <c r="O8" s="203"/>
      <c r="P8" s="203"/>
      <c r="R8" s="70"/>
      <c r="S8" s="74"/>
    </row>
    <row r="9" spans="1:19 16383:16384" x14ac:dyDescent="0.35">
      <c r="A9" s="205"/>
      <c r="B9" s="205"/>
      <c r="C9" s="205"/>
      <c r="F9" s="70"/>
      <c r="G9" s="74"/>
      <c r="K9" s="201"/>
      <c r="L9" s="201"/>
      <c r="M9" s="201"/>
      <c r="N9" s="203"/>
      <c r="O9" s="203"/>
      <c r="P9" s="203"/>
      <c r="R9" s="70"/>
      <c r="S9" s="74"/>
      <c r="XFD9" t="s">
        <v>55</v>
      </c>
    </row>
    <row r="10" spans="1:19 16383:16384" x14ac:dyDescent="0.35">
      <c r="A10" s="206" t="s">
        <v>95</v>
      </c>
      <c r="B10" s="75">
        <v>0</v>
      </c>
      <c r="C10" s="75"/>
      <c r="F10" s="70"/>
      <c r="G10" s="71"/>
      <c r="K10" s="201" t="s">
        <v>56</v>
      </c>
      <c r="L10" s="201"/>
      <c r="M10" s="201"/>
      <c r="N10" s="200" t="s">
        <v>57</v>
      </c>
      <c r="O10" s="200"/>
      <c r="P10" s="200"/>
      <c r="R10" s="70"/>
      <c r="S10" s="71"/>
      <c r="XFD10" t="s">
        <v>58</v>
      </c>
    </row>
    <row r="11" spans="1:19 16383:16384" x14ac:dyDescent="0.35">
      <c r="A11" s="206"/>
      <c r="B11" s="76" t="s">
        <v>50</v>
      </c>
      <c r="C11" s="77" t="str">
        <f>IF($O34&gt;2.49%,"No","Yes")</f>
        <v>No</v>
      </c>
      <c r="F11" s="70"/>
      <c r="G11" s="71"/>
      <c r="K11" s="201" t="s">
        <v>59</v>
      </c>
      <c r="L11" s="201"/>
      <c r="M11" s="201"/>
      <c r="N11" s="200" t="s">
        <v>55</v>
      </c>
      <c r="O11" s="200"/>
      <c r="P11" s="200"/>
      <c r="R11" s="70"/>
      <c r="S11" s="71"/>
    </row>
    <row r="12" spans="1:19 16383:16384" ht="14.65" customHeight="1" x14ac:dyDescent="0.35">
      <c r="A12" s="206" t="s">
        <v>60</v>
      </c>
      <c r="B12" s="76" t="s">
        <v>54</v>
      </c>
      <c r="C12" s="77" t="str">
        <f>IF($O32&gt;21.99%,"No","Yes")</f>
        <v>No</v>
      </c>
      <c r="F12" s="70"/>
      <c r="G12" s="71"/>
      <c r="K12" s="201" t="s">
        <v>61</v>
      </c>
      <c r="L12" s="201"/>
      <c r="M12" s="201"/>
      <c r="N12" s="200"/>
      <c r="O12" s="200"/>
      <c r="P12" s="200"/>
      <c r="R12" s="70"/>
      <c r="S12" s="71"/>
      <c r="XFD12" t="s">
        <v>62</v>
      </c>
    </row>
    <row r="13" spans="1:19 16383:16384" ht="15" thickBot="1" x14ac:dyDescent="0.4">
      <c r="A13" s="24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44" t="s">
        <v>64</v>
      </c>
      <c r="B14" s="213"/>
      <c r="C14" s="207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45"/>
      <c r="B15" s="214"/>
      <c r="C15" s="20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25" t="s">
        <v>84</v>
      </c>
      <c r="B25" s="226"/>
      <c r="C25" s="227"/>
      <c r="D25" s="221"/>
      <c r="E25" s="221"/>
      <c r="F25" s="25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28" t="s">
        <v>85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30"/>
      <c r="N28" s="237" t="s">
        <v>86</v>
      </c>
      <c r="O28" s="238"/>
      <c r="P28" s="152">
        <f>I25</f>
        <v>0</v>
      </c>
    </row>
    <row r="29" spans="1:19 16384:16384" ht="15" customHeight="1" x14ac:dyDescent="0.35">
      <c r="B29" s="231"/>
      <c r="C29" s="232"/>
      <c r="D29" s="232"/>
      <c r="E29" s="232"/>
      <c r="F29" s="232"/>
      <c r="G29" s="232"/>
      <c r="H29" s="232"/>
      <c r="I29" s="232"/>
      <c r="J29" s="232"/>
      <c r="K29" s="232"/>
      <c r="L29" s="233"/>
      <c r="N29" s="239" t="s">
        <v>87</v>
      </c>
      <c r="O29" s="240"/>
      <c r="P29" s="153">
        <f>L25</f>
        <v>0</v>
      </c>
    </row>
    <row r="30" spans="1:19 16384:16384" ht="15" customHeight="1" x14ac:dyDescent="0.35">
      <c r="B30" s="231"/>
      <c r="C30" s="232"/>
      <c r="D30" s="232"/>
      <c r="E30" s="232"/>
      <c r="F30" s="232"/>
      <c r="G30" s="232"/>
      <c r="H30" s="232"/>
      <c r="I30" s="232"/>
      <c r="J30" s="232"/>
      <c r="K30" s="232"/>
      <c r="L30" s="233"/>
      <c r="N30" s="239" t="s">
        <v>4</v>
      </c>
      <c r="O30" s="240"/>
      <c r="P30" s="154">
        <f>K25</f>
        <v>0</v>
      </c>
    </row>
    <row r="31" spans="1:19 16384:16384" ht="15" customHeight="1" x14ac:dyDescent="0.35">
      <c r="B31" s="231"/>
      <c r="C31" s="232"/>
      <c r="D31" s="232"/>
      <c r="E31" s="232"/>
      <c r="F31" s="232"/>
      <c r="G31" s="232"/>
      <c r="H31" s="232"/>
      <c r="I31" s="232"/>
      <c r="J31" s="232"/>
      <c r="K31" s="232"/>
      <c r="L31" s="233"/>
      <c r="M31" s="2"/>
      <c r="N31" s="239" t="s">
        <v>88</v>
      </c>
      <c r="O31" s="240"/>
      <c r="P31" s="153">
        <f>P28-P29-P30</f>
        <v>0</v>
      </c>
    </row>
    <row r="32" spans="1:19 16384:16384" ht="15" customHeight="1" x14ac:dyDescent="0.35">
      <c r="B32" s="231"/>
      <c r="C32" s="232"/>
      <c r="D32" s="232"/>
      <c r="E32" s="232"/>
      <c r="F32" s="232"/>
      <c r="G32" s="232"/>
      <c r="H32" s="232"/>
      <c r="I32" s="232"/>
      <c r="J32" s="232"/>
      <c r="K32" s="232"/>
      <c r="L32" s="23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31"/>
      <c r="C33" s="232"/>
      <c r="D33" s="232"/>
      <c r="E33" s="232"/>
      <c r="F33" s="232"/>
      <c r="G33" s="232"/>
      <c r="H33" s="232"/>
      <c r="I33" s="232"/>
      <c r="J33" s="232"/>
      <c r="K33" s="232"/>
      <c r="L33" s="233"/>
      <c r="M33" s="2"/>
      <c r="N33" s="241" t="s">
        <v>90</v>
      </c>
      <c r="O33" s="242"/>
      <c r="P33" s="153">
        <f>P31+P32</f>
        <v>0</v>
      </c>
    </row>
    <row r="34" spans="2:16" ht="15" customHeight="1" thickBot="1" x14ac:dyDescent="0.4"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19" t="s">
        <v>92</v>
      </c>
      <c r="O35" s="220"/>
      <c r="P35" s="160">
        <f>P33+P34</f>
        <v>0</v>
      </c>
    </row>
    <row r="36" spans="2:16" ht="15" thickBot="1" x14ac:dyDescent="0.4">
      <c r="B36" s="161" t="s">
        <v>93</v>
      </c>
      <c r="C36" s="221"/>
      <c r="D36" s="221"/>
      <c r="E36" s="221"/>
      <c r="F36" s="221"/>
      <c r="G36" s="221"/>
      <c r="H36" s="221"/>
      <c r="I36" s="222"/>
      <c r="J36" s="223"/>
      <c r="K36" s="22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2026-06-12T12:32:43Z</dcterms:modified>
</cp:coreProperties>
</file>