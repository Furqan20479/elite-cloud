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52F3655-1109-4711-8A4A-A9FA8C29D35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K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P22" i="20"/>
  <c r="M25" i="20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5758D7B1-21F4-4755-A86A-71199294B8CC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<sst xmlns="http://schemas.openxmlformats.org/spreadsheetml/2006/main" count="1584" uniqueCount="121">
  <si>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</si>
  <si>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</si>
  <si>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</si>
  <si>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</si>
  <si>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</si>
  <si>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</si>
  <si>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</si>
  <si>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</si>
  <si>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</si>
  <si>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</si>
  <si>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</si>
  <si>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</si>
  <si>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</si>
  <si>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</si>
  <si>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</si>
  <si>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</si>
  <si>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</si>
  <si>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</si>
  <si>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</si>
  <si>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</si>
  <si>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</si>
  <si>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</si>
  <si>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</si>
  <si>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</si>
  <si>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</si>
  <si>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</si>
  <si>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</si>
  <si>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</si>
  <si>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</si>
  <si>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</si>
  <si>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</si>
  <si>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</si>
  <si>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</si>
  <si>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</si>
  <si>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</si>
  <si>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</si>
  <si>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</si>
  <si>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</si>
  <si>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</si>
  <si>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</si>
  <si>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</si>
  <si>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</si>
  <si>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</si>
  <si>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</si>
  <si>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</si>
  <si>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</si>
  <si>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</si>
  <si>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</si>
  <si>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</si>
  <si>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</si>
  <si>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</si>
  <si>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</si>
  <si>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</si>
  <si>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</si>
  <si>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</si>
  <si>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</si>
  <si>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</si>
  <si>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</si>
  <si>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</si>
  <si>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</si>
  <si>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</si>
  <si>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</si>
  <si>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</si>
  <si>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</si>
  <si>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</si>
  <si>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</si>
  <si>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</si>
  <si>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</si>
  <si>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</si>
  <si>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</si>
  <si>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</si>
  <si>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</si>
  <si>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</si>
  <si>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</si>
  <si>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</si>
  <si>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</si>
  <si>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</si>
  <si>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</si>
  <si>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</si>
  <si>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</si>
  <si>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</si>
  <si>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</si>
  <si>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</si>
  <si>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</si>
  <si>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</si>
  <si>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</si>
  <si>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</si>
  <si>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</si>
  <si>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</si>
  <si>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</si>
  <si>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</si>
  <si>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</si>
  <si>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</si>
  <si>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</si>
  <si>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</si>
  <si>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</si>
  <si>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</si>
  <si>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</si>
  <si>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</si>
  <si>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</si>
  <si>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</si>
  <si>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</si>
  <si>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</si>
  <si>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</si>
  <si>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</si>
  <si>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</si>
  <si>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Zeshan</t>
  </si>
  <si>
    <t>Shop Bill Summary (Zeshan)</t>
  </si>
  <si>
    <t>Customer Name : Luqman Bakery</t>
  </si>
  <si>
    <t>Address: Bedian Road</t>
  </si>
  <si>
    <t>5493325-4</t>
  </si>
  <si>
    <t>Customer Name : Ravi Store</t>
  </si>
  <si>
    <t>Customer Name : China Store</t>
  </si>
  <si>
    <t>Address: Cant View</t>
  </si>
  <si>
    <t>5493326-6</t>
  </si>
  <si>
    <t xml:space="preserve">Customer Name : Esajee </t>
  </si>
  <si>
    <t>Address: Phase 5</t>
  </si>
  <si>
    <t>1302558-9</t>
  </si>
  <si>
    <t>Customer Name : Malik Store</t>
  </si>
  <si>
    <t>Customer Name : Khalil Store</t>
  </si>
  <si>
    <t xml:space="preserve">Customer Name : Fakhar Groccery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</si>
</sst>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3" zoomScale="70" zoomScaleNormal="70" workbookViewId="0">
      <selection activeCell="T32" sqref="T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Luqman Bakery</v>
      </c>
      <c r="U14" s="164">
        <f>+'1'!P35</f>
        <v>13160.466799200003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Ravi Store</v>
      </c>
      <c r="U15" s="164">
        <f>+'2'!P35</f>
        <v>1687.7686080000003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335.76</v>
      </c>
      <c r="M16" s="106">
        <f>I16-K16-L16</f>
        <v>3861.24</v>
      </c>
      <c r="N16" s="101">
        <f>+'1'!N16+'2'!N16+'4'!N16+'3'!N16+'5'!N16+'6'!N16+'7'!N16+'8'!N16+'9'!N16+'10'!N16</f>
        <v>814.21800000000007</v>
      </c>
      <c r="O16" s="101">
        <f>+'1'!O16+'2'!O16+'4'!O16+'3'!O16+'5'!O16+'6'!O16+'7'!O16+'8'!O16+'9'!O16+'10'!O16</f>
        <v>23.377289999999999</v>
      </c>
      <c r="P16" s="105">
        <f t="shared" ref="P16:P24" si="0">M16+N16+O16</f>
        <v>4698.83529</v>
      </c>
      <c r="Q16" s="108"/>
      <c r="T16" s="163" t="str">
        <f>+'3'!A5</f>
        <v>Customer Name : China Store</v>
      </c>
      <c r="U16" s="164">
        <f>+'3'!P35</f>
        <v>5070.1295250000003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11.8921995</v>
      </c>
      <c r="P17" s="120">
        <f t="shared" si="0"/>
        <v>2390.3320994999999</v>
      </c>
      <c r="S17" s="64"/>
      <c r="T17" s="163" t="str">
        <f>+'4'!A5</f>
        <v xml:space="preserve">Customer Name : Esajee </v>
      </c>
      <c r="U17" s="164">
        <f>+'4'!P35</f>
        <v>15303.092649300002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Malik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106</v>
      </c>
      <c r="I19" s="1">
        <f t="shared" si="1"/>
        <v>7699.84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615.98720000000003</v>
      </c>
      <c r="M19" s="118">
        <f t="shared" si="2"/>
        <v>7083.8528000000006</v>
      </c>
      <c r="N19" s="101">
        <f>+'1'!N19+'2'!N19+'4'!N19+'3'!N19+'5'!N19+'6'!N19+'7'!N19+'8'!N19+'9'!N19+'10'!N19</f>
        <v>1525.6143360000001</v>
      </c>
      <c r="O19" s="101">
        <f>+'1'!O19+'2'!O19+'4'!O19+'3'!O19+'5'!O19+'6'!O19+'7'!O19+'8'!O19+'9'!O19+'10'!O19</f>
        <v>52.831072000000006</v>
      </c>
      <c r="P19" s="120">
        <f t="shared" si="0"/>
        <v>8662.298208000002</v>
      </c>
      <c r="T19" s="163" t="str">
        <f>+'6'!A5</f>
        <v>Customer Name : Khalil Store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16</v>
      </c>
      <c r="I20" s="1">
        <f t="shared" si="1"/>
        <v>1162.24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92.979200000000006</v>
      </c>
      <c r="M20" s="118">
        <f t="shared" si="2"/>
        <v>1069.2608</v>
      </c>
      <c r="N20" s="101">
        <f>+'1'!N20+'2'!N20+'4'!N20+'3'!N20+'5'!N20+'6'!N20+'7'!N20+'8'!N20+'9'!N20+'10'!N20</f>
        <v>267.19897600000002</v>
      </c>
      <c r="O20" s="101">
        <f>+'1'!O20+'2'!O20+'4'!O20+'3'!O20+'5'!O20+'6'!O20+'7'!O20+'8'!O20+'9'!O20+'10'!O20</f>
        <v>16.7856512</v>
      </c>
      <c r="P20" s="120">
        <f t="shared" si="0"/>
        <v>1353.2454272000002</v>
      </c>
      <c r="T20" s="163" t="str">
        <f>+'7'!A5</f>
        <v xml:space="preserve">Customer Name : Fakhar Groccery 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138</v>
      </c>
      <c r="I21" s="1">
        <f t="shared" si="1"/>
        <v>10024.32</v>
      </c>
      <c r="J21" s="172">
        <f>+'1'!J21+'2'!J21+'4'!J21+'3'!J21+'5'!J21+'6'!J21+'7'!J21+'8'!J21+'9'!J21+'10'!J21+'11'!J21+'12'!J21+'13'!J21+'14'!J21+'15'!J21+'16'!J21+'17'!J21+'18'!J21</f>
        <v>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801.94560000000001</v>
      </c>
      <c r="M21" s="118">
        <f t="shared" si="2"/>
        <v>9222.3744000000006</v>
      </c>
      <c r="N21" s="101">
        <f>+'1'!N21+'2'!N21+'4'!N21+'3'!N21+'5'!N21+'6'!N21+'7'!N21+'8'!N21+'9'!N21+'10'!N21</f>
        <v>1899.3326079999999</v>
      </c>
      <c r="O21" s="101">
        <f>+'1'!O21+'2'!O21+'4'!O21+'3'!O21+'5'!O21+'6'!O21+'7'!O21+'8'!O21+'9'!O21+'10'!O21</f>
        <v>68.653516800000006</v>
      </c>
      <c r="P21" s="120">
        <f t="shared" si="0"/>
        <v>11190.3605248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190</v>
      </c>
      <c r="I22" s="1">
        <f t="shared" si="1"/>
        <v>7453.7000000000007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260.87950000000006</v>
      </c>
      <c r="L22" s="175">
        <f>+'1'!L22+'2'!L22+'4'!L22+'3'!L22+'5'!L22+'6'!L22+'7'!L22+'8'!L22+'9'!L22+'10'!L22</f>
        <v>372.68500000000012</v>
      </c>
      <c r="M22" s="118">
        <f t="shared" si="2"/>
        <v>6820.1355000000003</v>
      </c>
      <c r="N22" s="101">
        <f>+'1'!N22+'2'!N22+'4'!N22+'3'!N22+'5'!N22+'6'!N22+'7'!N22+'8'!N22+'9'!N22+'10'!N22</f>
        <v>1385.5643700000003</v>
      </c>
      <c r="O22" s="101">
        <f>+'1'!O22+'2'!O22+'4'!O22+'3'!O22+'5'!O22+'6'!O22+'7'!O22+'8'!O22+'9'!O22+'10'!O22</f>
        <v>67.30396875000001</v>
      </c>
      <c r="P22" s="120">
        <f t="shared" si="0"/>
        <v>8273.0038387500008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14.25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570</v>
      </c>
      <c r="I25" s="178">
        <f t="shared" si="3"/>
        <v>32635.600000000002</v>
      </c>
      <c r="J25" s="177">
        <f t="shared" si="3"/>
        <v>19</v>
      </c>
      <c r="K25" s="178">
        <f t="shared" si="3"/>
        <v>260.87950000000006</v>
      </c>
      <c r="L25" s="179">
        <f t="shared" si="3"/>
        <v>2387.2370000000001</v>
      </c>
      <c r="M25" s="141">
        <f t="shared" si="3"/>
        <v>29987.483500000002</v>
      </c>
      <c r="N25" s="142">
        <f>SUM(N16:N24)</f>
        <v>6339.7481900000002</v>
      </c>
      <c r="O25" s="143">
        <f>SUM(O16:O24)</f>
        <v>240.84369825000005</v>
      </c>
      <c r="P25" s="144">
        <f>SUM(P16:P24)</f>
        <v>36568.075388250007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36568.075388249999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32635.600000000002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2387.2370000000001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260.87950000000006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29987.483500000002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6339.7481900000002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36327.231690000001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908.18079225000008</v>
      </c>
    </row>
    <row r="39" spans="2:16" ht="15.75" customHeight="1" thickBot="1" x14ac:dyDescent="0.4">
      <c r="N39" s="203" t="s">
        <v>92</v>
      </c>
      <c r="O39" s="204"/>
      <c r="P39" s="160">
        <f>P37+P38</f>
        <v>37235.412482250002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879.11599999999999</v>
      </c>
      <c r="M25" s="141">
        <f t="shared" si="9"/>
        <v>10643.362000000001</v>
      </c>
      <c r="N25" s="142">
        <f>SUM(N16:N24)</f>
        <v>2451.6298400000005</v>
      </c>
      <c r="O25" s="143">
        <f>SUM(O16:O24)</f>
        <v>65.474959200000001</v>
      </c>
      <c r="P25" s="144">
        <f>SUM(P16:P24)</f>
        <v>13160.4667992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11577.400000000001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879.11599999999999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10643.362000000001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2451.6298400000005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13094.991840000002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65.474959200000015</v>
      </c>
    </row>
    <row r="35" spans="2:16" ht="15.75" customHeight="1" thickBot="1" x14ac:dyDescent="0.4">
      <c r="N35" s="203" t="s">
        <v>92</v>
      </c>
      <c r="O35" s="204"/>
      <c r="P35" s="160">
        <f>P33+P34</f>
        <v>13160.466799200003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104.194816</v>
      </c>
      <c r="O20" s="119">
        <f t="shared" si="6"/>
        <v>12.629190400000001</v>
      </c>
      <c r="P20" s="120">
        <f t="shared" si="1"/>
        <v>517.79680640000004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117.61868800000001</v>
      </c>
      <c r="O21" s="119">
        <f t="shared" si="6"/>
        <v>16.306227200000002</v>
      </c>
      <c r="P21" s="120">
        <f t="shared" si="1"/>
        <v>668.5553152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41.165088000000011</v>
      </c>
    </row>
    <row r="35" spans="2:16" ht="15.75" customHeight="1" thickBot="1" x14ac:dyDescent="0.4">
      <c r="N35" s="203" t="s">
        <v>92</v>
      </c>
      <c r="O35" s="204"/>
      <c r="P35" s="160">
        <f>P33+P34</f>
        <v>1687.7686080000003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4474.8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310.90800000000002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4108.97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5044.9050000000007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03" t="s">
        <v>92</v>
      </c>
      <c r="O35" s="204"/>
      <c r="P35" s="160">
        <f>P33+P34</f>
        <v>5070.1295250000003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0" workbookViewId="0">
      <selection activeCell="A2" sqref="A2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3740504480721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13953.7</v>
      </c>
      <c r="J25" s="138"/>
      <c r="K25" s="139">
        <f t="shared" si="9"/>
        <v>109.84400000000002</v>
      </c>
      <c r="L25" s="140">
        <f t="shared" si="9"/>
        <v>1022.144</v>
      </c>
      <c r="M25" s="141">
        <f t="shared" si="9"/>
        <v>12821.712000000001</v>
      </c>
      <c r="N25" s="142">
        <f>SUM(N16:N24)</f>
        <v>2405.24586</v>
      </c>
      <c r="O25" s="143">
        <f>SUM(O16:O24)</f>
        <v>76.134789299999994</v>
      </c>
      <c r="P25" s="144">
        <f>SUM(P16:P24)</f>
        <v>15303.092649299999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13953.7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1022.144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12821.712000000001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2405.24586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15226.957860000002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76.134789300000008</v>
      </c>
    </row>
    <row r="35" spans="2:16" ht="15.75" customHeight="1" thickBot="1" x14ac:dyDescent="0.4">
      <c r="N35" s="203" t="s">
        <v>92</v>
      </c>
      <c r="O35" s="204"/>
      <c r="P35" s="160">
        <f>P33+P34</f>
        <v>15303.092649300002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2026-06-29T04:42:04Z</dcterms:modified>
</cp:coreProperties>
</file>