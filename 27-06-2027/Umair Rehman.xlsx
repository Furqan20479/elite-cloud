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3829BEAC-8AE6-4530-BE70-C6B7BB0CC92A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9" l="1"/>
  <c r="L18" i="17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L21" i="15" l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7"/>
  <c r="O25" i="17" s="1"/>
  <c r="N25" i="17"/>
  <c r="P32" i="17" s="1"/>
  <c r="O16" i="16"/>
  <c r="O16" i="18" l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<sst xmlns="http://schemas.openxmlformats.org/spreadsheetml/2006/main" count="1582" uniqueCount="120">
  <si>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</si>
  <si>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</si>
  <si>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</si>
  <si>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</si>
  <si>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</si>
  <si>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</si>
  <si>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</si>
  <si>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</si>
  <si>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</si>
  <si>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</si>
  <si>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</si>
  <si>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</si>
  <si>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</si>
  <si>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</si>
  <si>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</si>
  <si>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</si>
  <si>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</si>
  <si>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</si>
  <si>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</si>
  <si>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</si>
  <si>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</si>
  <si>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</si>
  <si>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</si>
  <si>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</si>
  <si>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</si>
  <si>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</si>
  <si>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</si>
  <si>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</si>
  <si>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</si>
  <si>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</si>
  <si>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</si>
  <si>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</si>
  <si>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</si>
  <si>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</si>
  <si>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</si>
  <si>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</si>
  <si>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</si>
  <si>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</si>
  <si>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</si>
  <si>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</si>
  <si>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</si>
  <si>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</si>
  <si>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</si>
  <si>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</si>
  <si>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</si>
  <si>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</si>
  <si>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</si>
  <si>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</si>
  <si>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</si>
  <si>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</si>
  <si>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</si>
  <si>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</si>
  <si>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</si>
  <si>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</si>
  <si>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</si>
  <si>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</si>
  <si>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</si>
  <si>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</si>
  <si>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</si>
  <si>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</si>
  <si>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</si>
  <si>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</si>
  <si>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</si>
  <si>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</si>
  <si>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</si>
  <si>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</si>
  <si>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</si>
  <si>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</si>
  <si>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</si>
  <si>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</si>
  <si>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</si>
  <si>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</si>
  <si>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</si>
  <si>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</si>
  <si>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</si>
  <si>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</si>
  <si>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</si>
  <si>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</si>
  <si>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</si>
  <si>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</si>
  <si>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</si>
  <si>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</si>
  <si>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</si>
  <si>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</si>
  <si>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</si>
  <si>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</si>
  <si>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</si>
  <si>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</si>
  <si>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</si>
  <si>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</si>
  <si>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</si>
  <si>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</si>
  <si>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</si>
  <si>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</si>
  <si>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</si>
  <si>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</si>
  <si>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</si>
  <si>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</si>
  <si>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</si>
  <si>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</si>
  <si>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</si>
  <si>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</si>
  <si>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</si>
  <si>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</si>
  <si>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(Vacant_01)</t>
  </si>
  <si>
    <t>Umair Rehman</t>
  </si>
  <si>
    <t>Umer Nawaz</t>
  </si>
  <si>
    <t>Customer Name : Permier Mart</t>
  </si>
  <si>
    <t>Address: Awan Market Ferozpur Road</t>
  </si>
  <si>
    <t>i040700-2</t>
  </si>
  <si>
    <t xml:space="preserve">Customer Name : Panda Mart </t>
  </si>
  <si>
    <t xml:space="preserve">Address: Pak Arab </t>
  </si>
  <si>
    <t>Customer Name : Awan Super Store</t>
  </si>
  <si>
    <t xml:space="preserve">Customer Name : Chohan Super Mart </t>
  </si>
  <si>
    <t xml:space="preserve">Customer Name : Al Noor Bakery </t>
  </si>
  <si>
    <t xml:space="preserve">Address: Pak Arab Ghora Chowk </t>
  </si>
  <si>
    <t>Customer Name : Alnoor Store 2</t>
  </si>
  <si>
    <t>Customer Name : Bismillah GS</t>
  </si>
  <si>
    <t xml:space="preserve">Customer Name : Waleed Super Mart </t>
  </si>
  <si>
    <t>Address: Pak Arab Vital 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</si>
</sst>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105</v>
      </c>
    </row>
    <row r="15" spans="1:2" x14ac:dyDescent="0.35">
      <c r="A15">
        <v>10</v>
      </c>
      <c r="B15" t="s">
        <v>106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24" zoomScale="70" zoomScaleNormal="70" workbookViewId="0">
      <selection activeCell="S33" sqref="S3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105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104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Permier Mart</v>
      </c>
      <c r="U14" s="164">
        <f>+'1'!P35</f>
        <v>17100.015524099999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Panda Mart </v>
      </c>
      <c r="U15" s="164">
        <f>+'2'!P35</f>
        <v>19858.038451199998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60</v>
      </c>
      <c r="I16" s="1">
        <f>(G16*D16)*F16+H16*F16</f>
        <v>3147.75</v>
      </c>
      <c r="J16" s="172">
        <f>+'1'!J16+'2'!J16+'4'!J16+'3'!J16+'5'!J16+'6'!J16+'7'!J16+'8'!J16+'9'!J16+'10'!J16+'11'!J16+'12'!J16+'13'!J16+'14'!J16+'15'!J16+'16'!J16+'17'!J16+'18'!J16</f>
        <v>3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251.82</v>
      </c>
      <c r="M16" s="106">
        <f>I16-K16-L16</f>
        <v>2895.93</v>
      </c>
      <c r="N16" s="101">
        <f>+'1'!N16+'2'!N16+'4'!N16+'3'!N16+'5'!N16+'6'!N16+'7'!N16+'8'!N16+'9'!N16+'10'!N16</f>
        <v>671.72985000000006</v>
      </c>
      <c r="O16" s="101">
        <f>+'1'!O16+'2'!O16+'4'!O16+'3'!O16+'5'!O16+'6'!O16+'7'!O16+'8'!O16+'9'!O16+'10'!O16</f>
        <v>41.622698249999999</v>
      </c>
      <c r="P16" s="105">
        <f t="shared" ref="P16:P24" si="0">M16+N16+O16</f>
        <v>3609.2825482500002</v>
      </c>
      <c r="Q16" s="108"/>
      <c r="T16" s="163" t="str">
        <f>+'3'!A5</f>
        <v>Customer Name : Awan Super Store</v>
      </c>
      <c r="U16" s="164">
        <f>+'3'!P35</f>
        <v>10126.611648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100</v>
      </c>
      <c r="I17" s="1">
        <f t="shared" ref="I17:I23" si="1">(G17*D17)*F17+H17*F17</f>
        <v>5246.25</v>
      </c>
      <c r="J17" s="172">
        <f>+'1'!J17+'2'!J17+'4'!J17+'3'!J17+'5'!J17+'6'!J17+'7'!J17+'8'!J17+'9'!J17+'10'!J17+'11'!J17+'12'!J17+'13'!J17+'14'!J17+'15'!J17+'16'!J17+'17'!J17+'18'!J17</f>
        <v>5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419.7</v>
      </c>
      <c r="M17" s="118">
        <f t="shared" ref="M17:M23" si="2">I17-K17-L17</f>
        <v>4826.55</v>
      </c>
      <c r="N17" s="101">
        <f>+'1'!N17+'2'!N17+'4'!N17+'3'!N17+'5'!N17+'6'!N17+'7'!N17+'8'!N17+'9'!N17+'10'!N17</f>
        <v>1119.5497500000001</v>
      </c>
      <c r="O17" s="101">
        <f>+'1'!O17+'2'!O17+'4'!O17+'3'!O17+'5'!O17+'6'!O17+'7'!O17+'8'!O17+'9'!O17+'10'!O17</f>
        <v>53.514897750000003</v>
      </c>
      <c r="P17" s="120">
        <f t="shared" si="0"/>
        <v>5999.6146477500006</v>
      </c>
      <c r="S17" s="64"/>
      <c r="T17" s="163" t="str">
        <f>+'4'!A5</f>
        <v xml:space="preserve">Customer Name : Chohan Super Mart </v>
      </c>
      <c r="U17" s="164">
        <f>+'4'!P35</f>
        <v>2437.9008974999997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Al Noor Bakery </v>
      </c>
      <c r="U18" s="164">
        <f>+'5'!P35</f>
        <v>9929.0192255999991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247</v>
      </c>
      <c r="I19" s="1">
        <f t="shared" si="1"/>
        <v>17942.080000000002</v>
      </c>
      <c r="J19" s="172">
        <f>+'1'!J19+'2'!J19+'4'!J19+'3'!J19+'5'!J19+'6'!J19+'7'!J19+'8'!J19+'9'!J19+'10'!J19+'11'!J19+'12'!J19+'13'!J19+'14'!J19+'15'!J19+'16'!J19+'17'!J19+'18'!J19</f>
        <v>11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1435.3664000000001</v>
      </c>
      <c r="M19" s="118">
        <f t="shared" si="2"/>
        <v>16506.713600000003</v>
      </c>
      <c r="N19" s="101">
        <f>+'1'!N19+'2'!N19+'4'!N19+'3'!N19+'5'!N19+'6'!N19+'7'!N19+'8'!N19+'9'!N19+'10'!N19</f>
        <v>3807.2657920000001</v>
      </c>
      <c r="O19" s="101">
        <f>+'1'!O19+'2'!O19+'4'!O19+'3'!O19+'5'!O19+'6'!O19+'7'!O19+'8'!O19+'9'!O19+'10'!O19</f>
        <v>188.63213311999999</v>
      </c>
      <c r="P19" s="120">
        <f t="shared" si="0"/>
        <v>20502.611525120003</v>
      </c>
      <c r="T19" s="163" t="str">
        <f>+'6'!A5</f>
        <v>Customer Name : Alnoor Store 2</v>
      </c>
      <c r="U19" s="164">
        <f>+'6'!P35</f>
        <v>5947.775112960001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247</v>
      </c>
      <c r="I20" s="1">
        <f t="shared" si="1"/>
        <v>17942.080000000002</v>
      </c>
      <c r="J20" s="172">
        <f>+'1'!J20+'2'!J20+'4'!J20+'3'!J20+'5'!J20+'6'!J20+'7'!J20+'8'!J20+'9'!J20+'10'!J20+'11'!J20+'12'!J20+'13'!J20+'14'!J20+'15'!J20+'16'!J20+'17'!J20+'18'!J20</f>
        <v>14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1435.3664000000001</v>
      </c>
      <c r="M20" s="118">
        <f t="shared" si="2"/>
        <v>16506.713600000003</v>
      </c>
      <c r="N20" s="101">
        <f>+'1'!N20+'2'!N20+'4'!N20+'3'!N20+'5'!N20+'6'!N20+'7'!N20+'8'!N20+'9'!N20+'10'!N20</f>
        <v>3855.2081920000001</v>
      </c>
      <c r="O20" s="101">
        <f>+'1'!O20+'2'!O20+'4'!O20+'3'!O20+'5'!O20+'6'!O20+'7'!O20+'8'!O20+'9'!O20+'10'!O20</f>
        <v>189.51107711999998</v>
      </c>
      <c r="P20" s="120">
        <f t="shared" si="0"/>
        <v>20551.432869120003</v>
      </c>
      <c r="T20" s="163" t="str">
        <f>+'7'!A5</f>
        <v>Customer Name : Bismillah GS</v>
      </c>
      <c r="U20" s="164">
        <f>+'7'!P35</f>
        <v>3309.6730752000003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258</v>
      </c>
      <c r="I21" s="1">
        <f t="shared" si="1"/>
        <v>18741.12</v>
      </c>
      <c r="J21" s="172">
        <f>+'1'!J21+'2'!J21+'4'!J21+'3'!J21+'5'!J21+'6'!J21+'7'!J21+'8'!J21+'9'!J21+'10'!J21+'11'!J21+'12'!J21+'13'!J21+'14'!J21+'15'!J21+'16'!J21+'17'!J21+'18'!J21</f>
        <v>12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1499.2896000000001</v>
      </c>
      <c r="M21" s="118">
        <f t="shared" si="2"/>
        <v>17241.830399999999</v>
      </c>
      <c r="N21" s="101">
        <f>+'1'!N21+'2'!N21+'4'!N21+'3'!N21+'5'!N21+'6'!N21+'7'!N21+'8'!N21+'9'!N21+'10'!N21</f>
        <v>3984.9722879999999</v>
      </c>
      <c r="O21" s="101">
        <f>+'1'!O21+'2'!O21+'4'!O21+'3'!O21+'5'!O21+'6'!O21+'7'!O21+'8'!O21+'9'!O21+'10'!O21</f>
        <v>194.82687232000001</v>
      </c>
      <c r="P21" s="120">
        <f t="shared" si="0"/>
        <v>21421.629560320001</v>
      </c>
      <c r="T21" s="163" t="str">
        <f>+'8'!A5</f>
        <v xml:space="preserve">Customer Name : Waleed Super Mart </v>
      </c>
      <c r="U21" s="164">
        <f>+'8'!P35</f>
        <v>3375.5372160000006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22.8</v>
      </c>
      <c r="D25" s="205"/>
      <c r="E25" s="205"/>
      <c r="F25" s="205"/>
      <c r="G25" s="176">
        <f t="shared" ref="G25:M25" si="3">SUM(G16:G24)</f>
        <v>0</v>
      </c>
      <c r="H25" s="177">
        <f t="shared" si="3"/>
        <v>912</v>
      </c>
      <c r="I25" s="178">
        <f t="shared" si="3"/>
        <v>63019.28</v>
      </c>
      <c r="J25" s="177">
        <f t="shared" si="3"/>
        <v>45</v>
      </c>
      <c r="K25" s="178">
        <f t="shared" si="3"/>
        <v>0</v>
      </c>
      <c r="L25" s="179">
        <f t="shared" si="3"/>
        <v>5041.5424000000003</v>
      </c>
      <c r="M25" s="141">
        <f t="shared" si="3"/>
        <v>57977.7376</v>
      </c>
      <c r="N25" s="142">
        <f>SUM(N16:N24)</f>
        <v>13438.725871999999</v>
      </c>
      <c r="O25" s="143">
        <f>SUM(O16:O24)</f>
        <v>668.10767855999995</v>
      </c>
      <c r="P25" s="144">
        <f>SUM(P16:P24)</f>
        <v>72084.571150560005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72084.57115055999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63019.28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5041.5424000000003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0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57977.7376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13438.725871999999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71416.463472000003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1785.4115868000001</v>
      </c>
    </row>
    <row r="39" spans="2:16" ht="15.75" customHeight="1" thickBot="1" x14ac:dyDescent="0.4">
      <c r="N39" s="203" t="s">
        <v>92</v>
      </c>
      <c r="O39" s="204"/>
      <c r="P39" s="160">
        <f>P37+P38</f>
        <v>73201.875058799997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108</v>
      </c>
      <c r="B6" s="229"/>
      <c r="C6" s="229"/>
      <c r="F6" s="70"/>
      <c r="G6" s="74"/>
      <c r="K6" s="229" t="s">
        <v>52</v>
      </c>
      <c r="L6" s="229"/>
      <c r="M6" s="229"/>
      <c r="N6" s="242" t="s">
        <v>105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109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447.81990000000002</v>
      </c>
      <c r="O16" s="107">
        <f t="shared" ref="O16:O24" si="1">(N16+M16)*$O$15</f>
        <v>11.8921995</v>
      </c>
      <c r="P16" s="105">
        <f t="shared" ref="P16:P24" si="2">M16+N16+O16</f>
        <v>2390.3320994999999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3">(G17*D17)*F17+H17*F17</f>
        <v>4197</v>
      </c>
      <c r="J17" s="117">
        <v>4</v>
      </c>
      <c r="K17" s="1">
        <f t="shared" ref="K17:K21" si="4">I17*$K$13</f>
        <v>0</v>
      </c>
      <c r="L17" s="105">
        <f t="shared" ref="L17:L21" si="5">I17*8%</f>
        <v>335.76</v>
      </c>
      <c r="M17" s="118">
        <f t="shared" ref="M17:M23" si="6">I17-K17-L17</f>
        <v>3861.24</v>
      </c>
      <c r="N17" s="118">
        <f t="shared" si="0"/>
        <v>895.63980000000004</v>
      </c>
      <c r="O17" s="119">
        <f t="shared" si="1"/>
        <v>23.784399000000001</v>
      </c>
      <c r="P17" s="120">
        <f t="shared" si="2"/>
        <v>4780.6641989999998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2</v>
      </c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620.05503999999996</v>
      </c>
      <c r="O19" s="119">
        <f t="shared" si="1"/>
        <v>16.4660352</v>
      </c>
      <c r="P19" s="120">
        <f t="shared" si="2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>
        <v>2</v>
      </c>
      <c r="K20" s="1">
        <f t="shared" si="4"/>
        <v>0</v>
      </c>
      <c r="L20" s="105">
        <f t="shared" si="5"/>
        <v>232.44800000000001</v>
      </c>
      <c r="M20" s="118">
        <f t="shared" si="6"/>
        <v>2673.152</v>
      </c>
      <c r="N20" s="118">
        <f t="shared" si="0"/>
        <v>620.05503999999996</v>
      </c>
      <c r="O20" s="119">
        <f t="shared" si="1"/>
        <v>16.4660352</v>
      </c>
      <c r="P20" s="120">
        <f t="shared" si="2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>
        <v>2</v>
      </c>
      <c r="K21" s="1">
        <f t="shared" si="4"/>
        <v>0</v>
      </c>
      <c r="L21" s="105">
        <f t="shared" si="5"/>
        <v>232.44800000000001</v>
      </c>
      <c r="M21" s="118">
        <f t="shared" si="6"/>
        <v>2673.152</v>
      </c>
      <c r="N21" s="118">
        <f t="shared" si="0"/>
        <v>620.05503999999996</v>
      </c>
      <c r="O21" s="119">
        <f t="shared" si="1"/>
        <v>16.4660352</v>
      </c>
      <c r="P21" s="120">
        <f t="shared" si="2"/>
        <v>3309.6730752000003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240</v>
      </c>
      <c r="I25" s="137">
        <f t="shared" si="9"/>
        <v>15012.300000000001</v>
      </c>
      <c r="J25" s="138"/>
      <c r="K25" s="139">
        <f t="shared" si="9"/>
        <v>0</v>
      </c>
      <c r="L25" s="140">
        <f t="shared" si="9"/>
        <v>1200.9839999999999</v>
      </c>
      <c r="M25" s="141">
        <f t="shared" si="9"/>
        <v>13811.315999999999</v>
      </c>
      <c r="N25" s="142">
        <f>SUM(N16:N24)</f>
        <v>3203.62482</v>
      </c>
      <c r="O25" s="143">
        <f>SUM(O16:O24)</f>
        <v>85.074704099999991</v>
      </c>
      <c r="P25" s="144">
        <f>SUM(P16:P24)</f>
        <v>17100.015524100003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15012.300000000001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1200.9839999999999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13811.316000000001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3203.62482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17014.94082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85.074704100000005</v>
      </c>
    </row>
    <row r="35" spans="2:16" ht="15.75" customHeight="1" thickBot="1" x14ac:dyDescent="0.4">
      <c r="N35" s="203" t="s">
        <v>92</v>
      </c>
      <c r="O35" s="204"/>
      <c r="P35" s="160">
        <f>P33+P34</f>
        <v>17100.015524099999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105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3520263248545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>
        <v>4</v>
      </c>
      <c r="K19" s="1">
        <f t="shared" si="3"/>
        <v>0</v>
      </c>
      <c r="L19" s="105">
        <f t="shared" si="4"/>
        <v>464.89600000000002</v>
      </c>
      <c r="M19" s="118">
        <f t="shared" si="5"/>
        <v>5346.3040000000001</v>
      </c>
      <c r="N19" s="118">
        <f t="shared" si="0"/>
        <v>1240.1100799999999</v>
      </c>
      <c r="O19" s="119">
        <f t="shared" si="6"/>
        <v>32.932070400000001</v>
      </c>
      <c r="P19" s="120">
        <f t="shared" si="1"/>
        <v>6619.3461504000006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>
        <v>4</v>
      </c>
      <c r="K20" s="1">
        <f t="shared" si="3"/>
        <v>0</v>
      </c>
      <c r="L20" s="105">
        <f t="shared" si="4"/>
        <v>464.89600000000002</v>
      </c>
      <c r="M20" s="118">
        <f t="shared" si="5"/>
        <v>5346.3040000000001</v>
      </c>
      <c r="N20" s="118">
        <f t="shared" si="0"/>
        <v>1240.1100799999999</v>
      </c>
      <c r="O20" s="119">
        <f t="shared" si="6"/>
        <v>32.932070400000001</v>
      </c>
      <c r="P20" s="120">
        <f t="shared" si="1"/>
        <v>6619.3461504000006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>
        <v>4</v>
      </c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1240.1100799999999</v>
      </c>
      <c r="O21" s="119">
        <f t="shared" si="6"/>
        <v>32.932070400000001</v>
      </c>
      <c r="P21" s="120">
        <f t="shared" si="1"/>
        <v>6619.3461504000006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240</v>
      </c>
      <c r="I25" s="137">
        <f t="shared" si="9"/>
        <v>17433.599999999999</v>
      </c>
      <c r="J25" s="138"/>
      <c r="K25" s="139">
        <f t="shared" si="9"/>
        <v>0</v>
      </c>
      <c r="L25" s="140">
        <f t="shared" si="9"/>
        <v>1394.6880000000001</v>
      </c>
      <c r="M25" s="141">
        <f t="shared" si="9"/>
        <v>16038.912</v>
      </c>
      <c r="N25" s="142">
        <f>SUM(N16:N24)</f>
        <v>3720.3302399999998</v>
      </c>
      <c r="O25" s="143">
        <f>SUM(O16:O24)</f>
        <v>98.796211200000002</v>
      </c>
      <c r="P25" s="144">
        <f>SUM(P16:P24)</f>
        <v>19858.038451200002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17433.599999999999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1394.6880000000001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16038.911999999998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3720.3302399999998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19759.24224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98.796211200000002</v>
      </c>
    </row>
    <row r="35" spans="2:16" ht="15.75" customHeight="1" thickBot="1" x14ac:dyDescent="0.4">
      <c r="N35" s="203" t="s">
        <v>92</v>
      </c>
      <c r="O35" s="204"/>
      <c r="P35" s="160">
        <f>P33+P34</f>
        <v>19858.038451199998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1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105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82.330176000000009</v>
      </c>
      <c r="P19" s="120">
        <f t="shared" si="1"/>
        <v>3375.5372160000002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82.330176000000009</v>
      </c>
      <c r="P20" s="120">
        <f t="shared" si="1"/>
        <v>3375.5372160000002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82.330176000000009</v>
      </c>
      <c r="P21" s="120">
        <f t="shared" si="1"/>
        <v>3375.5372160000002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0</v>
      </c>
      <c r="L25" s="140">
        <f t="shared" si="9"/>
        <v>697.34400000000005</v>
      </c>
      <c r="M25" s="141">
        <f t="shared" si="9"/>
        <v>8019.4560000000001</v>
      </c>
      <c r="N25" s="142">
        <f>SUM(N16:N24)</f>
        <v>1860.1651199999999</v>
      </c>
      <c r="O25" s="143">
        <f>SUM(O16:O24)</f>
        <v>246.99052800000004</v>
      </c>
      <c r="P25" s="144">
        <f>SUM(P16:P24)</f>
        <v>10126.611648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8716.7999999999993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697.34400000000005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8019.4559999999992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1860.1651199999999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9879.6211199999998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246.99052800000001</v>
      </c>
    </row>
    <row r="35" spans="2:16" ht="15.75" customHeight="1" thickBot="1" x14ac:dyDescent="0.4">
      <c r="N35" s="203" t="s">
        <v>92</v>
      </c>
      <c r="O35" s="204"/>
      <c r="P35" s="160">
        <f>P33+P34</f>
        <v>10126.611648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105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29.730498749999999</v>
      </c>
      <c r="P16" s="105">
        <f t="shared" ref="P16:P24" si="1">M16+N16+O16</f>
        <v>1218.9504487499999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29.730498749999999</v>
      </c>
      <c r="P17" s="120">
        <f t="shared" si="1"/>
        <v>1218.9504487499999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59.460997499999998</v>
      </c>
      <c r="P25" s="144">
        <f>SUM(P16:P24)</f>
        <v>2437.9008974999997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2098.5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167.88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1930.62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2378.4398999999999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59.460997499999998</v>
      </c>
    </row>
    <row r="35" spans="2:16" ht="15.75" customHeight="1" thickBot="1" x14ac:dyDescent="0.4">
      <c r="N35" s="203" t="s">
        <v>92</v>
      </c>
      <c r="O35" s="204"/>
      <c r="P35" s="160">
        <f>P33+P34</f>
        <v>2437.9008974999997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2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115</v>
      </c>
      <c r="B6" s="229"/>
      <c r="C6" s="229"/>
      <c r="F6" s="70"/>
      <c r="G6" s="74"/>
      <c r="K6" s="229" t="s">
        <v>52</v>
      </c>
      <c r="L6" s="229"/>
      <c r="M6" s="229"/>
      <c r="N6" s="242" t="s">
        <v>105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3110265550895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16.4660352</v>
      </c>
      <c r="P20" s="120">
        <f t="shared" si="1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0</v>
      </c>
      <c r="L25" s="140">
        <f t="shared" si="9"/>
        <v>697.34400000000005</v>
      </c>
      <c r="M25" s="141">
        <f t="shared" si="9"/>
        <v>8019.4560000000001</v>
      </c>
      <c r="N25" s="142">
        <f>SUM(N16:N24)</f>
        <v>1860.1651199999999</v>
      </c>
      <c r="O25" s="143">
        <f>SUM(O16:O24)</f>
        <v>49.398105600000001</v>
      </c>
      <c r="P25" s="144">
        <f>SUM(P16:P24)</f>
        <v>9929.0192256000009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8716.7999999999993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697.34400000000005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8019.4559999999992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1860.1651199999999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9879.6211199999998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49.398105600000001</v>
      </c>
    </row>
    <row r="35" spans="2:16" ht="15.75" customHeight="1" thickBot="1" x14ac:dyDescent="0.4">
      <c r="N35" s="203" t="s">
        <v>92</v>
      </c>
      <c r="O35" s="204"/>
      <c r="P35" s="160">
        <f>P33+P34</f>
        <v>9929.0192255999991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22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105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3110265550895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24</v>
      </c>
      <c r="I19" s="116">
        <f t="shared" si="2"/>
        <v>1743.3600000000001</v>
      </c>
      <c r="J19" s="117">
        <v>1</v>
      </c>
      <c r="K19" s="1">
        <f t="shared" si="3"/>
        <v>0</v>
      </c>
      <c r="L19" s="105">
        <f t="shared" si="4"/>
        <v>139.46880000000002</v>
      </c>
      <c r="M19" s="118">
        <f t="shared" si="5"/>
        <v>1603.8912</v>
      </c>
      <c r="N19" s="118">
        <f t="shared" si="0"/>
        <v>368.83686399999999</v>
      </c>
      <c r="O19" s="119">
        <f t="shared" si="6"/>
        <v>9.86364032</v>
      </c>
      <c r="P19" s="120">
        <f t="shared" si="1"/>
        <v>1982.59170432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24</v>
      </c>
      <c r="I20" s="116">
        <f t="shared" si="2"/>
        <v>1743.3600000000001</v>
      </c>
      <c r="J20" s="117">
        <v>1</v>
      </c>
      <c r="K20" s="1">
        <f t="shared" si="3"/>
        <v>0</v>
      </c>
      <c r="L20" s="105">
        <f t="shared" si="4"/>
        <v>139.46880000000002</v>
      </c>
      <c r="M20" s="118">
        <f t="shared" si="5"/>
        <v>1603.8912</v>
      </c>
      <c r="N20" s="118">
        <f t="shared" si="0"/>
        <v>368.83686399999999</v>
      </c>
      <c r="O20" s="119">
        <f t="shared" si="6"/>
        <v>9.86364032</v>
      </c>
      <c r="P20" s="120">
        <f t="shared" si="1"/>
        <v>1982.59170432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24</v>
      </c>
      <c r="I21" s="116">
        <f t="shared" si="2"/>
        <v>1743.3600000000001</v>
      </c>
      <c r="J21" s="117">
        <v>1</v>
      </c>
      <c r="K21" s="1">
        <f t="shared" si="3"/>
        <v>0</v>
      </c>
      <c r="L21" s="105">
        <f t="shared" si="4"/>
        <v>139.46880000000002</v>
      </c>
      <c r="M21" s="118">
        <f t="shared" si="5"/>
        <v>1603.8912</v>
      </c>
      <c r="N21" s="118">
        <f t="shared" si="0"/>
        <v>368.83686399999999</v>
      </c>
      <c r="O21" s="119">
        <f t="shared" si="6"/>
        <v>9.86364032</v>
      </c>
      <c r="P21" s="120">
        <f t="shared" si="1"/>
        <v>1982.59170432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72</v>
      </c>
      <c r="I25" s="137">
        <f t="shared" si="9"/>
        <v>5230.08</v>
      </c>
      <c r="J25" s="138"/>
      <c r="K25" s="139">
        <f t="shared" si="9"/>
        <v>0</v>
      </c>
      <c r="L25" s="140">
        <f t="shared" si="9"/>
        <v>418.40640000000008</v>
      </c>
      <c r="M25" s="141">
        <f t="shared" si="9"/>
        <v>4811.6736000000001</v>
      </c>
      <c r="N25" s="142">
        <f>SUM(N16:N24)</f>
        <v>1106.5105920000001</v>
      </c>
      <c r="O25" s="143">
        <f>SUM(O16:O24)</f>
        <v>29.590920959999998</v>
      </c>
      <c r="P25" s="144">
        <f>SUM(P16:P24)</f>
        <v>5947.7751129600001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5230.08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418.40640000000008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4811.6736000000001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1106.5105920000001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5918.1841920000006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29.590920960000005</v>
      </c>
    </row>
    <row r="35" spans="2:16" ht="15.75" customHeight="1" thickBot="1" x14ac:dyDescent="0.4">
      <c r="N35" s="203" t="s">
        <v>92</v>
      </c>
      <c r="O35" s="204"/>
      <c r="P35" s="160">
        <f>P33+P34</f>
        <v>5947.775112960001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2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105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3520186128205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4.0765568000000005</v>
      </c>
      <c r="P19" s="120">
        <f t="shared" si="1"/>
        <v>819.38791680000008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8.2330176000000002</v>
      </c>
      <c r="P21" s="120">
        <f t="shared" si="1"/>
        <v>1654.8365376000002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232.44800000000001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20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119</v>
      </c>
      <c r="B6" s="229"/>
      <c r="C6" s="229"/>
      <c r="F6" s="70"/>
      <c r="G6" s="74"/>
      <c r="K6" s="229" t="s">
        <v>52</v>
      </c>
      <c r="L6" s="229"/>
      <c r="M6" s="229"/>
      <c r="N6" s="242" t="s">
        <v>105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/>
      <c r="K19" s="1">
        <f t="shared" si="3"/>
        <v>0</v>
      </c>
      <c r="L19" s="105">
        <f t="shared" si="4"/>
        <v>75.545600000000007</v>
      </c>
      <c r="M19" s="118">
        <f t="shared" si="5"/>
        <v>868.77440000000001</v>
      </c>
      <c r="N19" s="118">
        <f t="shared" si="0"/>
        <v>191.130368</v>
      </c>
      <c r="O19" s="119">
        <f t="shared" si="6"/>
        <v>26.497619200000003</v>
      </c>
      <c r="P19" s="120">
        <f t="shared" si="1"/>
        <v>1086.4023872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13</v>
      </c>
      <c r="I20" s="116">
        <f t="shared" si="2"/>
        <v>944.32</v>
      </c>
      <c r="J20" s="117">
        <v>2</v>
      </c>
      <c r="K20" s="1">
        <f t="shared" si="3"/>
        <v>0</v>
      </c>
      <c r="L20" s="105">
        <f t="shared" si="4"/>
        <v>75.545600000000007</v>
      </c>
      <c r="M20" s="118">
        <f t="shared" si="5"/>
        <v>868.77440000000001</v>
      </c>
      <c r="N20" s="118">
        <f t="shared" si="0"/>
        <v>223.09196800000001</v>
      </c>
      <c r="O20" s="119">
        <f t="shared" si="6"/>
        <v>27.296659200000001</v>
      </c>
      <c r="P20" s="120">
        <f t="shared" si="1"/>
        <v>1119.1630272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14</v>
      </c>
      <c r="I21" s="116">
        <f t="shared" si="2"/>
        <v>1016.96</v>
      </c>
      <c r="J21" s="117"/>
      <c r="K21" s="1">
        <f t="shared" si="3"/>
        <v>0</v>
      </c>
      <c r="L21" s="105">
        <f t="shared" si="4"/>
        <v>81.356800000000007</v>
      </c>
      <c r="M21" s="118">
        <f t="shared" si="5"/>
        <v>935.60320000000002</v>
      </c>
      <c r="N21" s="118">
        <f t="shared" si="0"/>
        <v>205.83270400000001</v>
      </c>
      <c r="O21" s="119">
        <f t="shared" si="6"/>
        <v>28.535897599999998</v>
      </c>
      <c r="P21" s="120">
        <f t="shared" si="1"/>
        <v>1169.9718015999999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2905.6000000000004</v>
      </c>
      <c r="J25" s="138"/>
      <c r="K25" s="139">
        <f t="shared" si="9"/>
        <v>0</v>
      </c>
      <c r="L25" s="140">
        <f t="shared" si="9"/>
        <v>232.44800000000004</v>
      </c>
      <c r="M25" s="141">
        <f t="shared" si="9"/>
        <v>2673.152</v>
      </c>
      <c r="N25" s="142">
        <f>SUM(N16:N24)</f>
        <v>620.05504000000008</v>
      </c>
      <c r="O25" s="143">
        <f>SUM(O16:O24)</f>
        <v>82.330175999999994</v>
      </c>
      <c r="P25" s="144">
        <f>SUM(P16:P24)</f>
        <v>3375.5372159999997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2905.6000000000004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232.44800000000004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620.05504000000008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3293.2070400000007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82.330176000000023</v>
      </c>
    </row>
    <row r="35" spans="2:16" ht="15.75" customHeight="1" thickBot="1" x14ac:dyDescent="0.4">
      <c r="N35" s="203" t="s">
        <v>92</v>
      </c>
      <c r="O35" s="204"/>
      <c r="P35" s="160">
        <f>P33+P34</f>
        <v>3375.5372160000006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2026-06-29T04:40:26Z</dcterms:modified>
</cp:coreProperties>
</file>