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9ED9E4F-40F6-4031-B0F8-7F5DD7B4910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<sst xmlns="http://schemas.openxmlformats.org/spreadsheetml/2006/main" count="1581" uniqueCount="117">
  <si>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</si>
  <si>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</si>
  <si>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</si>
  <si>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</si>
  <si>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</si>
  <si>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</si>
  <si>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</si>
  <si>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</si>
  <si>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</si>
  <si>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</si>
  <si>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</si>
  <si>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</si>
  <si>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</si>
  <si>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</si>
  <si>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</si>
  <si>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</si>
  <si>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</si>
  <si>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</si>
  <si>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</si>
  <si>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</si>
  <si>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</si>
  <si>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</si>
  <si>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</si>
  <si>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</si>
  <si>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</si>
  <si>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</si>
  <si>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</si>
  <si>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</si>
  <si>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</si>
  <si>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</si>
  <si>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</si>
  <si>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</si>
  <si>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</si>
  <si>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</si>
  <si>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</si>
  <si>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</si>
  <si>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</si>
  <si>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</si>
  <si>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</si>
  <si>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</si>
  <si>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</si>
  <si>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</si>
  <si>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</si>
  <si>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</si>
  <si>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</si>
  <si>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</si>
  <si>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</si>
  <si>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</si>
  <si>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</si>
  <si>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</si>
  <si>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</si>
  <si>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</si>
  <si>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</si>
  <si>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</si>
  <si>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</si>
  <si>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</si>
  <si>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</si>
  <si>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</si>
  <si>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</si>
  <si>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</si>
  <si>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</si>
  <si>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</si>
  <si>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</si>
  <si>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</si>
  <si>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</si>
  <si>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</si>
  <si>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</si>
  <si>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</si>
  <si>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</si>
  <si>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</si>
  <si>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</si>
  <si>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</si>
  <si>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</si>
  <si>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</si>
  <si>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</si>
  <si>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</si>
  <si>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</si>
  <si>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</si>
  <si>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</si>
  <si>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</si>
  <si>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</si>
  <si>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</si>
  <si>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</si>
  <si>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</si>
  <si>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</si>
  <si>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</si>
  <si>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</si>
  <si>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</si>
  <si>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</si>
  <si>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</si>
  <si>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</si>
  <si>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</si>
  <si>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</si>
  <si>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</si>
  <si>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</si>
  <si>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</si>
  <si>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</si>
  <si>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</si>
  <si>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</si>
  <si>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</si>
  <si>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</si>
  <si>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</si>
  <si>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</si>
  <si>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</si>
  <si>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</si>
  <si>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</si>
  <si>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Salman</t>
  </si>
  <si>
    <t>Shop Bill Summary (Salman)</t>
  </si>
  <si>
    <t>Customer Name : Al Falah Bakers</t>
  </si>
  <si>
    <t>Address: 7 Up Road</t>
  </si>
  <si>
    <t xml:space="preserve">Customer Name : Al Harmain  Mart </t>
  </si>
  <si>
    <t>Address: Calvery Ground</t>
  </si>
  <si>
    <t>Customer Name : Bhola GS</t>
  </si>
  <si>
    <t xml:space="preserve">Address: Calevery </t>
  </si>
  <si>
    <t xml:space="preserve">Customer Name : K mart </t>
  </si>
  <si>
    <t>Customer Name : Al Fatah Super Store</t>
  </si>
  <si>
    <t>Address: Calevery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</si>
</sst>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2" zoomScale="70" zoomScaleNormal="70" workbookViewId="0">
      <selection activeCell="T33" sqref="T3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107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Al Falah Bakers</v>
      </c>
      <c r="U14" s="164">
        <f>+'1'!P35</f>
        <v>5070.1295250000003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Al Harmain  Mart </v>
      </c>
      <c r="U15" s="164">
        <f>+'2'!P35</f>
        <v>2585.5138125000003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20</v>
      </c>
      <c r="I16" s="1">
        <f>(G16*D16)*F16+H16*F16</f>
        <v>1049.25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83.94</v>
      </c>
      <c r="M16" s="106">
        <f>I16-K16-L16</f>
        <v>965.31</v>
      </c>
      <c r="N16" s="101">
        <f>+'1'!N16+'2'!N16+'4'!N16+'3'!N16+'5'!N16+'6'!N16+'7'!N16+'8'!N16+'9'!N16+'10'!N16</f>
        <v>223.90995000000001</v>
      </c>
      <c r="O16" s="101">
        <f>+'1'!O16+'2'!O16+'4'!O16+'3'!O16+'5'!O16+'6'!O16+'7'!O16+'8'!O16+'9'!O16+'10'!O16</f>
        <v>29.730498749999999</v>
      </c>
      <c r="P16" s="105">
        <f t="shared" ref="P16:P24" si="0">M16+N16+O16</f>
        <v>1218.9504487499999</v>
      </c>
      <c r="Q16" s="108"/>
      <c r="T16" s="163" t="str">
        <f>+'3'!A5</f>
        <v>Customer Name : Bhola GS</v>
      </c>
      <c r="U16" s="164">
        <f>+'3'!P35</f>
        <v>1687.7686080000003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20</v>
      </c>
      <c r="I17" s="1">
        <f t="shared" ref="I17:I23" si="1">(G17*D17)*F17+H17*F17</f>
        <v>1049.25</v>
      </c>
      <c r="J17" s="172">
        <f>+'1'!J17+'2'!J17+'4'!J17+'3'!J17+'5'!J17+'6'!J17+'7'!J17+'8'!J17+'9'!J17+'10'!J17+'11'!J17+'12'!J17+'13'!J17+'14'!J17+'15'!J17+'16'!J17+'17'!J17+'18'!J17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83.94</v>
      </c>
      <c r="M17" s="118">
        <f t="shared" ref="M17:M23" si="2">I17-K17-L17</f>
        <v>965.31</v>
      </c>
      <c r="N17" s="101">
        <f>+'1'!N17+'2'!N17+'4'!N17+'3'!N17+'5'!N17+'6'!N17+'7'!N17+'8'!N17+'9'!N17+'10'!N17</f>
        <v>223.90995000000001</v>
      </c>
      <c r="O17" s="101">
        <f>+'1'!O17+'2'!O17+'4'!O17+'3'!O17+'5'!O17+'6'!O17+'7'!O17+'8'!O17+'9'!O17+'10'!O17</f>
        <v>29.730498749999999</v>
      </c>
      <c r="P17" s="120">
        <f t="shared" si="0"/>
        <v>1218.9504487499999</v>
      </c>
      <c r="S17" s="64"/>
      <c r="T17" s="163" t="str">
        <f>+'4'!A5</f>
        <v xml:space="preserve">Customer Name : K mart </v>
      </c>
      <c r="U17" s="164">
        <f>+'4'!P35</f>
        <v>4044.0925311999999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Al Fatah Super Store</v>
      </c>
      <c r="U18" s="164">
        <f>+'5'!P35</f>
        <v>2437.9008974999997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16</v>
      </c>
      <c r="I19" s="1">
        <f t="shared" si="1"/>
        <v>1162.24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92.979200000000006</v>
      </c>
      <c r="M19" s="118">
        <f t="shared" si="2"/>
        <v>1069.2608</v>
      </c>
      <c r="N19" s="101">
        <f>+'1'!N19+'2'!N19+'4'!N19+'3'!N19+'5'!N19+'6'!N19+'7'!N19+'8'!N19+'9'!N19+'10'!N19</f>
        <v>251.21817599999997</v>
      </c>
      <c r="O19" s="101">
        <f>+'1'!O19+'2'!O19+'4'!O19+'3'!O19+'5'!O19+'6'!O19+'7'!O19+'8'!O19+'9'!O19+'10'!O19</f>
        <v>16.386131200000001</v>
      </c>
      <c r="P19" s="120">
        <f t="shared" si="0"/>
        <v>1336.8651071999998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232.44800000000001</v>
      </c>
      <c r="M20" s="118">
        <f t="shared" si="2"/>
        <v>2673.152</v>
      </c>
      <c r="N20" s="101">
        <f>+'1'!N20+'2'!N20+'4'!N20+'3'!N20+'5'!N20+'6'!N20+'7'!N20+'8'!N20+'9'!N20+'10'!N20</f>
        <v>620.05503999999996</v>
      </c>
      <c r="O20" s="101">
        <f>+'1'!O20+'2'!O20+'4'!O20+'3'!O20+'5'!O20+'6'!O20+'7'!O20+'8'!O20+'9'!O20+'10'!O20</f>
        <v>66.023948799999999</v>
      </c>
      <c r="P20" s="120">
        <f t="shared" si="0"/>
        <v>3359.2309888000004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72</v>
      </c>
      <c r="I21" s="1">
        <f t="shared" si="1"/>
        <v>5230.08</v>
      </c>
      <c r="J21" s="172">
        <f>+'1'!J21+'2'!J21+'4'!J21+'3'!J21+'5'!J21+'6'!J21+'7'!J21+'8'!J21+'9'!J21+'10'!J21+'11'!J21+'12'!J21+'13'!J21+'14'!J21+'15'!J21+'16'!J21+'17'!J21+'18'!J21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418.40640000000002</v>
      </c>
      <c r="M21" s="118">
        <f t="shared" si="2"/>
        <v>4811.6736000000001</v>
      </c>
      <c r="N21" s="101">
        <f>+'1'!N21+'2'!N21+'4'!N21+'3'!N21+'5'!N21+'6'!N21+'7'!N21+'8'!N21+'9'!N21+'10'!N21</f>
        <v>1106.5105919999999</v>
      </c>
      <c r="O21" s="101">
        <f>+'1'!O21+'2'!O21+'4'!O21+'3'!O21+'5'!O21+'6'!O21+'7'!O21+'8'!O21+'9'!O21+'10'!O21</f>
        <v>115.02253440000001</v>
      </c>
      <c r="P21" s="120">
        <f t="shared" si="0"/>
        <v>6033.2067263999998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60</v>
      </c>
      <c r="I22" s="1">
        <f t="shared" si="1"/>
        <v>2353.8000000000002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82.38300000000001</v>
      </c>
      <c r="L22" s="175">
        <f>+'1'!L22+'2'!L22+'4'!L22+'3'!L22+'5'!L22+'6'!L22+'7'!L22+'8'!L22+'9'!L22+'10'!L22</f>
        <v>117.69000000000003</v>
      </c>
      <c r="M22" s="118">
        <f t="shared" si="2"/>
        <v>2153.7270000000003</v>
      </c>
      <c r="N22" s="101">
        <f>+'1'!N22+'2'!N22+'4'!N22+'3'!N22+'5'!N22+'6'!N22+'7'!N22+'8'!N22+'9'!N22+'10'!N22</f>
        <v>473.81994000000009</v>
      </c>
      <c r="O22" s="101">
        <f>+'1'!O22+'2'!O22+'4'!O22+'3'!O22+'5'!O22+'6'!O22+'7'!O22+'8'!O22+'9'!O22+'10'!O22</f>
        <v>30.654714300000002</v>
      </c>
      <c r="P22" s="120">
        <f t="shared" si="0"/>
        <v>2658.2016543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5.7</v>
      </c>
      <c r="D25" s="221"/>
      <c r="E25" s="221"/>
      <c r="F25" s="221"/>
      <c r="G25" s="176">
        <f t="shared" ref="G25:M25" si="3">SUM(G16:G24)</f>
        <v>0</v>
      </c>
      <c r="H25" s="177">
        <f t="shared" si="3"/>
        <v>228</v>
      </c>
      <c r="I25" s="178">
        <f t="shared" si="3"/>
        <v>13750.220000000001</v>
      </c>
      <c r="J25" s="177">
        <f t="shared" si="3"/>
        <v>8</v>
      </c>
      <c r="K25" s="178">
        <f t="shared" si="3"/>
        <v>82.38300000000001</v>
      </c>
      <c r="L25" s="179">
        <f t="shared" si="3"/>
        <v>1029.4036000000001</v>
      </c>
      <c r="M25" s="141">
        <f t="shared" si="3"/>
        <v>12638.4334</v>
      </c>
      <c r="N25" s="142">
        <f>SUM(N16:N24)</f>
        <v>2899.423648</v>
      </c>
      <c r="O25" s="143">
        <f>SUM(O16:O24)</f>
        <v>287.54832620000002</v>
      </c>
      <c r="P25" s="144">
        <f>SUM(P16:P24)</f>
        <v>15825.4053742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15825.4053742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13750.220000000001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1029.4036000000001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82.38300000000001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12638.433400000002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2899.423648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15537.857048000002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388.44642620000008</v>
      </c>
    </row>
    <row r="39" spans="2:16" ht="15.75" customHeight="1" thickBot="1" x14ac:dyDescent="0.4">
      <c r="N39" s="219" t="s">
        <v>92</v>
      </c>
      <c r="O39" s="220"/>
      <c r="P39" s="160">
        <f>P37+P38</f>
        <v>15926.303474200002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3520114769301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3"/>
        <v>726.4</v>
      </c>
      <c r="J19" s="117">
        <v>1</v>
      </c>
      <c r="K19" s="1">
        <f t="shared" si="4"/>
        <v>0</v>
      </c>
      <c r="L19" s="105">
        <f t="shared" si="5"/>
        <v>58.112000000000002</v>
      </c>
      <c r="M19" s="118">
        <f t="shared" si="6"/>
        <v>668.28800000000001</v>
      </c>
      <c r="N19" s="118">
        <f t="shared" si="0"/>
        <v>163.00415999999998</v>
      </c>
      <c r="O19" s="119">
        <f t="shared" si="1"/>
        <v>4.1564607999999996</v>
      </c>
      <c r="P19" s="120">
        <f t="shared" si="2"/>
        <v>835.44862079999996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">
        <f t="shared" si="4"/>
        <v>0</v>
      </c>
      <c r="L20" s="105">
        <f t="shared" si="5"/>
        <v>58.112000000000002</v>
      </c>
      <c r="M20" s="118">
        <f t="shared" si="6"/>
        <v>668.28800000000001</v>
      </c>
      <c r="N20" s="118">
        <f t="shared" si="0"/>
        <v>147.02336</v>
      </c>
      <c r="O20" s="119">
        <f t="shared" si="1"/>
        <v>4.0765568000000005</v>
      </c>
      <c r="P20" s="120">
        <f t="shared" si="2"/>
        <v>819.38791680000008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8.7584898000000013</v>
      </c>
      <c r="P22" s="120">
        <f t="shared" si="2"/>
        <v>1760.4564498000002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4108.97</v>
      </c>
      <c r="N25" s="142">
        <f>SUM(N16:N24)</f>
        <v>935.93499999999995</v>
      </c>
      <c r="O25" s="143">
        <f>SUM(O16:O24)</f>
        <v>25.224525</v>
      </c>
      <c r="P25" s="144">
        <f>SUM(P16:P24)</f>
        <v>5070.1295250000003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4474.8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310.90800000000002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4108.97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935.93499999999995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5044.9050000000007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25.224525000000003</v>
      </c>
    </row>
    <row r="35" spans="2:16" ht="15.75" customHeight="1" thickBot="1" x14ac:dyDescent="0.4">
      <c r="N35" s="219" t="s">
        <v>92</v>
      </c>
      <c r="O35" s="220"/>
      <c r="P35" s="160">
        <f>P33+P34</f>
        <v>5070.1295250000003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2237.4</v>
      </c>
      <c r="J25" s="138"/>
      <c r="K25" s="139">
        <f t="shared" si="9"/>
        <v>27.461000000000006</v>
      </c>
      <c r="L25" s="140">
        <f t="shared" si="9"/>
        <v>155.45400000000001</v>
      </c>
      <c r="M25" s="141">
        <f t="shared" si="9"/>
        <v>2054.4850000000001</v>
      </c>
      <c r="N25" s="142">
        <f>SUM(N16:N24)</f>
        <v>467.96749999999997</v>
      </c>
      <c r="O25" s="143">
        <f>SUM(O16:O24)</f>
        <v>63.061312500000007</v>
      </c>
      <c r="P25" s="144">
        <f>SUM(P16:P24)</f>
        <v>2585.5138125000003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2237.4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155.45400000000001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27.461000000000006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2054.4850000000001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467.96749999999997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2522.4525000000003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63.061312500000014</v>
      </c>
    </row>
    <row r="35" spans="2:16" ht="15.75" customHeight="1" thickBot="1" x14ac:dyDescent="0.4">
      <c r="N35" s="219" t="s">
        <v>92</v>
      </c>
      <c r="O35" s="220"/>
      <c r="P35" s="160">
        <f>P33+P34</f>
        <v>2585.5138125000003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12.229670400000002</v>
      </c>
      <c r="P19" s="120">
        <f t="shared" si="1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>
        <v>1</v>
      </c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104.194816</v>
      </c>
      <c r="O20" s="119">
        <f t="shared" si="6"/>
        <v>12.629190400000001</v>
      </c>
      <c r="P20" s="120">
        <f t="shared" si="1"/>
        <v>517.79680640000004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">
        <f t="shared" si="3"/>
        <v>0</v>
      </c>
      <c r="L21" s="105">
        <f t="shared" si="4"/>
        <v>46.489600000000003</v>
      </c>
      <c r="M21" s="118">
        <f t="shared" si="5"/>
        <v>534.63040000000001</v>
      </c>
      <c r="N21" s="118">
        <f t="shared" si="0"/>
        <v>117.61868800000001</v>
      </c>
      <c r="O21" s="119">
        <f t="shared" si="6"/>
        <v>16.306227200000002</v>
      </c>
      <c r="P21" s="120">
        <f t="shared" si="1"/>
        <v>668.5553152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0</v>
      </c>
      <c r="L25" s="140">
        <f t="shared" si="9"/>
        <v>116.22400000000002</v>
      </c>
      <c r="M25" s="141">
        <f t="shared" si="9"/>
        <v>1336.576</v>
      </c>
      <c r="N25" s="142">
        <f>SUM(N16:N24)</f>
        <v>310.02752000000004</v>
      </c>
      <c r="O25" s="143">
        <f>SUM(O16:O24)</f>
        <v>41.165088000000004</v>
      </c>
      <c r="P25" s="144">
        <f>SUM(P16:P24)</f>
        <v>1687.7686080000001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1452.8000000000002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310.02752000000004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41.165088000000011</v>
      </c>
    </row>
    <row r="35" spans="2:16" ht="15.75" customHeight="1" thickBot="1" x14ac:dyDescent="0.4">
      <c r="N35" s="219" t="s">
        <v>92</v>
      </c>
      <c r="O35" s="220"/>
      <c r="P35" s="160">
        <f>P33+P34</f>
        <v>1687.7686080000003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</v>
      </c>
      <c r="I20" s="116">
        <f t="shared" si="2"/>
        <v>1743.3600000000001</v>
      </c>
      <c r="J20" s="117">
        <v>1</v>
      </c>
      <c r="K20" s="1">
        <f t="shared" si="3"/>
        <v>0</v>
      </c>
      <c r="L20" s="105">
        <f t="shared" si="4"/>
        <v>139.46880000000002</v>
      </c>
      <c r="M20" s="118">
        <f t="shared" si="5"/>
        <v>1603.8912</v>
      </c>
      <c r="N20" s="118">
        <f t="shared" si="0"/>
        <v>368.83686399999999</v>
      </c>
      <c r="O20" s="119">
        <f t="shared" si="6"/>
        <v>49.318201600000002</v>
      </c>
      <c r="P20" s="120">
        <f t="shared" si="1"/>
        <v>2022.0462656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</v>
      </c>
      <c r="I21" s="116">
        <f t="shared" si="2"/>
        <v>1743.3600000000001</v>
      </c>
      <c r="J21" s="117">
        <v>1</v>
      </c>
      <c r="K21" s="1">
        <f t="shared" si="3"/>
        <v>0</v>
      </c>
      <c r="L21" s="105">
        <f t="shared" si="4"/>
        <v>139.46880000000002</v>
      </c>
      <c r="M21" s="118">
        <f t="shared" si="5"/>
        <v>1603.8912</v>
      </c>
      <c r="N21" s="118">
        <f t="shared" si="0"/>
        <v>368.83686399999999</v>
      </c>
      <c r="O21" s="119">
        <f t="shared" si="6"/>
        <v>49.318201600000002</v>
      </c>
      <c r="P21" s="120">
        <f t="shared" si="1"/>
        <v>2022.0462656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48</v>
      </c>
      <c r="I25" s="137">
        <f t="shared" si="9"/>
        <v>3486.7200000000003</v>
      </c>
      <c r="J25" s="138"/>
      <c r="K25" s="139">
        <f t="shared" si="9"/>
        <v>0</v>
      </c>
      <c r="L25" s="140">
        <f t="shared" si="9"/>
        <v>278.93760000000003</v>
      </c>
      <c r="M25" s="141">
        <f t="shared" si="9"/>
        <v>3207.7824000000001</v>
      </c>
      <c r="N25" s="142">
        <f>SUM(N16:N24)</f>
        <v>737.67372799999998</v>
      </c>
      <c r="O25" s="143">
        <f>SUM(O16:O24)</f>
        <v>98.636403200000004</v>
      </c>
      <c r="P25" s="144">
        <f>SUM(P16:P24)</f>
        <v>4044.0925311999999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3486.7200000000003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278.93760000000003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3207.7824000000001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737.67372799999998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3945.4561279999998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98.636403200000004</v>
      </c>
    </row>
    <row r="35" spans="2:16" ht="15.75" customHeight="1" thickBot="1" x14ac:dyDescent="0.4">
      <c r="N35" s="219" t="s">
        <v>92</v>
      </c>
      <c r="O35" s="220"/>
      <c r="P35" s="160">
        <f>P33+P34</f>
        <v>4044.0925311999999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116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59.460997499999998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2378.4398999999999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19" t="s">
        <v>92</v>
      </c>
      <c r="O35" s="220"/>
      <c r="P35" s="160">
        <f>P33+P34</f>
        <v>2437.9008974999997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2026-06-29T04:35:49Z</dcterms:modified>
</cp:coreProperties>
</file>