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CC196CC-80D2-4D19-9282-DDB6B3B2564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P22" i="20"/>
  <c r="M25" i="20"/>
  <c r="P19" i="18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P25" i="20" l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<sst xmlns="http://schemas.openxmlformats.org/spreadsheetml/2006/main" count="1581" uniqueCount="118">
  <si>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</si>
  <si>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</si>
  <si>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</si>
  <si>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</si>
  <si>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</si>
  <si>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</si>
  <si>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</si>
  <si>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</si>
  <si>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</si>
  <si>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</si>
  <si>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</si>
  <si>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</si>
  <si>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</si>
  <si>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</si>
  <si>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</si>
  <si>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</si>
  <si>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</si>
  <si>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</si>
  <si>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</si>
  <si>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</si>
  <si>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</si>
  <si>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</si>
  <si>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</si>
  <si>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</si>
  <si>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</si>
  <si>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</si>
  <si>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</si>
  <si>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</si>
  <si>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</si>
  <si>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</si>
  <si>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</si>
  <si>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</si>
  <si>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</si>
  <si>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</si>
  <si>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</si>
  <si>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</si>
  <si>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</si>
  <si>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</si>
  <si>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</si>
  <si>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</si>
  <si>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</si>
  <si>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</si>
  <si>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</si>
  <si>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</si>
  <si>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</si>
  <si>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</si>
  <si>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</si>
  <si>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</si>
  <si>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</si>
  <si>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</si>
  <si>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</si>
  <si>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</si>
  <si>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</si>
  <si>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</si>
  <si>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</si>
  <si>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</si>
  <si>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</si>
  <si>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</si>
  <si>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</si>
  <si>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</si>
  <si>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</si>
  <si>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</si>
  <si>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</si>
  <si>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</si>
  <si>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</si>
  <si>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</si>
  <si>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</si>
  <si>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</si>
  <si>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</si>
  <si>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</si>
  <si>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</si>
  <si>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</si>
  <si>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</si>
  <si>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</si>
  <si>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</si>
  <si>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</si>
  <si>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</si>
  <si>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</si>
  <si>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</si>
  <si>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</si>
  <si>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</si>
  <si>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</si>
  <si>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</si>
  <si>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</si>
  <si>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</si>
  <si>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</si>
  <si>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</si>
  <si>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</si>
  <si>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</si>
  <si>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</si>
  <si>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</si>
  <si>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</si>
  <si>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</si>
  <si>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</si>
  <si>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</si>
  <si>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</si>
  <si>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</si>
  <si>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</si>
  <si>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</si>
  <si>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</si>
  <si>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</si>
  <si>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</si>
  <si>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</si>
  <si>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</si>
  <si>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Mubeen </t>
  </si>
  <si>
    <t>Shop Bill Summary (Mubeen)</t>
  </si>
  <si>
    <t>Customer Name : Madina Store</t>
  </si>
  <si>
    <t>Address: Dharampura</t>
  </si>
  <si>
    <t>7599495-3</t>
  </si>
  <si>
    <t>Address: Sader Bazaar</t>
  </si>
  <si>
    <t>Customer Name : Sitara Bakers</t>
  </si>
  <si>
    <t>Customer Name : Sohail Store</t>
  </si>
  <si>
    <t>Address: Dharam pura</t>
  </si>
  <si>
    <t>Customer Name : Cant Medical Store</t>
  </si>
  <si>
    <t>Address: Sadar Bazaar</t>
  </si>
  <si>
    <t>Customer Name : Imran Bakers</t>
  </si>
  <si>
    <t>Address: Aray Bazar</t>
  </si>
  <si>
    <t>2861495-0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</si>
</sst>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5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Madina Store</v>
      </c>
      <c r="U14" s="164">
        <f>+'1'!P35</f>
        <v>11689.475675399999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Sitara Bakers</v>
      </c>
      <c r="U15" s="164">
        <f>+'2'!P35</f>
        <v>4150.7885493000003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15</v>
      </c>
      <c r="I16" s="1">
        <f>(G16*D16)*F16+H16*F16</f>
        <v>786.9375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62.954999999999998</v>
      </c>
      <c r="M16" s="106">
        <f>I16-K16-L16</f>
        <v>723.98249999999996</v>
      </c>
      <c r="N16" s="101">
        <f>+'1'!N16+'2'!N16+'4'!N16+'3'!N16+'5'!N16+'6'!N16+'7'!N16+'8'!N16+'9'!N16+'10'!N16</f>
        <v>170.81790000000001</v>
      </c>
      <c r="O16" s="101">
        <f>+'1'!O16+'2'!O16+'4'!O16+'3'!O16+'5'!O16+'6'!O16+'7'!O16+'8'!O16+'9'!O16+'10'!O16</f>
        <v>4.4740019999999996</v>
      </c>
      <c r="P16" s="105">
        <f t="shared" ref="P16:P24" si="0">M16+N16+O16</f>
        <v>899.27440200000001</v>
      </c>
      <c r="Q16" s="108"/>
      <c r="T16" s="163" t="str">
        <f>+'4'!A5</f>
        <v>Customer Name : Cant Medical Store</v>
      </c>
      <c r="U16" s="164">
        <f>+'4'!P35</f>
        <v>9929.0192255999991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117.72585000000001</v>
      </c>
      <c r="O17" s="101">
        <f>+'1'!O17+'2'!O17+'4'!O17+'3'!O17+'5'!O17+'6'!O17+'7'!O17+'8'!O17+'9'!O17+'10'!O17</f>
        <v>3.0019042499999999</v>
      </c>
      <c r="P17" s="120">
        <f t="shared" si="0"/>
        <v>603.38275425000006</v>
      </c>
      <c r="S17" s="64"/>
      <c r="T17" s="163" t="str">
        <f>+'3'!A5</f>
        <v>Customer Name : Sohail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</v>
      </c>
      <c r="I18" s="1">
        <f t="shared" si="1"/>
        <v>786.9375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62.954999999999998</v>
      </c>
      <c r="M18" s="118">
        <f t="shared" si="2"/>
        <v>723.98249999999996</v>
      </c>
      <c r="N18" s="101">
        <f>+'1'!N18+'2'!N18+'4'!N18+'3'!N18+'5'!N18+'6'!N18+'7'!N18+'8'!N18+'9'!N18+'10'!N18</f>
        <v>159.27615</v>
      </c>
      <c r="O18" s="101">
        <f>+'1'!O18+'2'!O18+'4'!O18+'3'!O18+'5'!O18+'6'!O18+'7'!O18+'8'!O18+'9'!O18+'10'!O18</f>
        <v>4.4162932499999998</v>
      </c>
      <c r="P18" s="120">
        <f t="shared" si="0"/>
        <v>887.67494324999996</v>
      </c>
      <c r="T18" s="163" t="str">
        <f>+'5'!A5</f>
        <v>Customer Name : Imran Bakers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1240.1100799999999</v>
      </c>
      <c r="O19" s="101">
        <f>+'1'!O19+'2'!O19+'4'!O19+'3'!O19+'5'!O19+'6'!O19+'7'!O19+'8'!O19+'9'!O19+'10'!O19</f>
        <v>32.932070400000001</v>
      </c>
      <c r="P19" s="120">
        <f t="shared" si="0"/>
        <v>6619.3461504000006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1240.1100799999999</v>
      </c>
      <c r="O20" s="101">
        <f>+'1'!O20+'2'!O20+'4'!O20+'3'!O20+'5'!O20+'6'!O20+'7'!O20+'8'!O20+'9'!O20+'10'!O20</f>
        <v>32.932070400000001</v>
      </c>
      <c r="P20" s="120">
        <f t="shared" si="0"/>
        <v>6619.3461504000006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464.89600000000002</v>
      </c>
      <c r="M21" s="118">
        <f t="shared" si="2"/>
        <v>5346.3040000000001</v>
      </c>
      <c r="N21" s="101">
        <f>+'1'!N21+'2'!N21+'4'!N21+'3'!N21+'5'!N21+'6'!N21+'7'!N21+'8'!N21+'9'!N21+'10'!N21</f>
        <v>1240.1100799999999</v>
      </c>
      <c r="O21" s="101">
        <f>+'1'!O21+'2'!O21+'4'!O21+'3'!O21+'5'!O21+'6'!O21+'7'!O21+'8'!O21+'9'!O21+'10'!O21</f>
        <v>32.932070400000001</v>
      </c>
      <c r="P21" s="120">
        <f t="shared" si="0"/>
        <v>6619.3461504000006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80</v>
      </c>
      <c r="I22" s="1">
        <f t="shared" si="1"/>
        <v>3138.4000000000005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109.84400000000002</v>
      </c>
      <c r="L22" s="175">
        <f>+'1'!L22+'2'!L22+'4'!L22+'3'!L22+'5'!L22+'6'!L22+'7'!L22+'8'!L22+'9'!L22+'10'!L22</f>
        <v>156.92000000000004</v>
      </c>
      <c r="M22" s="118">
        <f t="shared" si="2"/>
        <v>2871.6360000000004</v>
      </c>
      <c r="N22" s="101">
        <f>+'1'!N22+'2'!N22+'4'!N22+'3'!N22+'5'!N22+'6'!N22+'7'!N22+'8'!N22+'9'!N22+'10'!N22</f>
        <v>631.75992000000008</v>
      </c>
      <c r="O22" s="101">
        <f>+'1'!O22+'2'!O22+'4'!O22+'3'!O22+'5'!O22+'6'!O22+'7'!O22+'8'!O22+'9'!O22+'10'!O22</f>
        <v>17.516979600000003</v>
      </c>
      <c r="P22" s="120">
        <f t="shared" si="0"/>
        <v>3520.9128996000004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9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360</v>
      </c>
      <c r="I25" s="178">
        <f t="shared" si="3"/>
        <v>22670.5</v>
      </c>
      <c r="J25" s="177">
        <f t="shared" si="3"/>
        <v>14</v>
      </c>
      <c r="K25" s="178">
        <f t="shared" si="3"/>
        <v>109.84400000000002</v>
      </c>
      <c r="L25" s="179">
        <f t="shared" si="3"/>
        <v>1719.4880000000001</v>
      </c>
      <c r="M25" s="141">
        <f t="shared" si="3"/>
        <v>20841.167999999998</v>
      </c>
      <c r="N25" s="142">
        <f>SUM(N16:N24)</f>
        <v>4799.9100600000002</v>
      </c>
      <c r="O25" s="143">
        <f>SUM(O16:O24)</f>
        <v>128.2053903</v>
      </c>
      <c r="P25" s="144">
        <f>SUM(P16:P24)</f>
        <v>25769.283450300001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25769.283450299998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22670.5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1719.4880000000001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109.84400000000002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20841.167999999998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4799.9100600000002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25641.07806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641.0269515</v>
      </c>
    </row>
    <row r="39" spans="2:16" ht="15.75" customHeight="1" thickBot="1" x14ac:dyDescent="0.4">
      <c r="N39" s="219" t="s">
        <v>92</v>
      </c>
      <c r="O39" s="220"/>
      <c r="P39" s="160">
        <f>P37+P38</f>
        <v>26282.1050115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54.922000000000011</v>
      </c>
      <c r="L25" s="140">
        <f t="shared" si="9"/>
        <v>775.80400000000009</v>
      </c>
      <c r="M25" s="141">
        <f t="shared" si="9"/>
        <v>9455.2740000000013</v>
      </c>
      <c r="N25" s="142">
        <f>SUM(N16:N24)</f>
        <v>2176.0450799999999</v>
      </c>
      <c r="O25" s="143">
        <f>SUM(O16:O24)</f>
        <v>58.1565954</v>
      </c>
      <c r="P25" s="144">
        <f>SUM(P16:P24)</f>
        <v>11689.475675400001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10286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775.80400000000009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9455.2739999999994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2176.0450799999999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11631.319079999999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58.1565954</v>
      </c>
    </row>
    <row r="35" spans="2:16" ht="15.75" customHeight="1" thickBot="1" x14ac:dyDescent="0.4">
      <c r="N35" s="219" t="s">
        <v>92</v>
      </c>
      <c r="O35" s="220"/>
      <c r="P35" s="160">
        <f>P33+P34</f>
        <v>11689.475675399999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2161460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763.69986000000017</v>
      </c>
      <c r="O25" s="143">
        <f>SUM(O16:O24)</f>
        <v>20.650689300000003</v>
      </c>
      <c r="P25" s="144">
        <f>SUM(P16:P24)</f>
        <v>4150.7885493000003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3667.7000000000003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246.34000000000003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3366.4380000000001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763.69986000000017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4130.1378600000007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20.650689300000003</v>
      </c>
    </row>
    <row r="35" spans="2:16" ht="15.75" customHeight="1" thickBot="1" x14ac:dyDescent="0.4">
      <c r="N35" s="219" t="s">
        <v>92</v>
      </c>
      <c r="O35" s="220"/>
      <c r="P35" s="160">
        <f>P33+P34</f>
        <v>4150.7885493000003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9879.6211199999998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19" t="s">
        <v>92</v>
      </c>
      <c r="O35" s="220"/>
      <c r="P35" s="160">
        <f>P33+P34</f>
        <v>9929.0192255999991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9" sqref="B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2026-06-22T13:42:32Z</dcterms:modified>
</cp:coreProperties>
</file>