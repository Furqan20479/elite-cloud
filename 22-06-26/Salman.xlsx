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5A3BBE6C-3799-4992-99CA-1EACEB28D89E}" xr6:coauthVersionLast="47" xr6:coauthVersionMax="47" xr10:uidLastSave="{00000000-0000-0000-0000-000000000000}"/>
  <bookViews>
    <workbookView xWindow="-110" yWindow="-110" windowWidth="19420" windowHeight="10420" tabRatio="949" activeTab="5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17" i="23" l="1"/>
  <c r="L18" i="23"/>
  <c r="L19" i="23"/>
  <c r="L16" i="23"/>
  <c r="I17" i="21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I23" i="23"/>
  <c r="L17" i="2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2" i="19"/>
  <c r="L22" i="19"/>
  <c r="L21" i="19"/>
  <c r="K21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1" i="23" l="1"/>
  <c r="L21" i="23"/>
  <c r="L18" i="17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M21" i="21" s="1"/>
  <c r="N21" i="21" s="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M16" i="22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5" i="19" l="1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19" i="18" l="1"/>
  <c r="M25" i="18"/>
  <c r="M16" i="15"/>
  <c r="M18" i="15"/>
  <c r="N16" i="18"/>
  <c r="N16" i="15" s="1"/>
  <c r="M18" i="16"/>
  <c r="N18" i="16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0" i="15" l="1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<sst xmlns="http://schemas.openxmlformats.org/spreadsheetml/2006/main" count="1580" uniqueCount="119">
  <si>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</si>
  <si>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</si>
  <si>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</si>
  <si>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</si>
  <si>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</si>
  <si>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</si>
  <si>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</si>
  <si>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</si>
  <si>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</si>
  <si>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</si>
  <si>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</si>
  <si>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</si>
  <si>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</si>
  <si>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</si>
  <si>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</si>
  <si>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</si>
  <si>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</si>
  <si>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</si>
  <si>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</si>
  <si>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</si>
  <si>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</si>
  <si>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</si>
  <si>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</si>
  <si>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</si>
  <si>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</si>
  <si>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</si>
  <si>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</si>
  <si>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</si>
  <si>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</si>
  <si>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</si>
  <si>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</si>
  <si>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</si>
  <si>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</si>
  <si>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</si>
  <si>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</si>
  <si>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</si>
  <si>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</si>
  <si>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</si>
  <si>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</si>
  <si>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</si>
  <si>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</si>
  <si>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</si>
  <si>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</si>
  <si>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</si>
  <si>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</si>
  <si>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</si>
  <si>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</si>
  <si>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</si>
  <si>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</si>
  <si>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</si>
  <si>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</si>
  <si>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</si>
  <si>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</si>
  <si>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</si>
  <si>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</si>
  <si>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</si>
  <si>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</si>
  <si>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</si>
  <si>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</si>
  <si>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</si>
  <si>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</si>
  <si>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</si>
  <si>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</si>
  <si>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</si>
  <si>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</si>
  <si>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</si>
  <si>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</si>
  <si>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</si>
  <si>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</si>
  <si>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</si>
  <si>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</si>
  <si>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</si>
  <si>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</si>
  <si>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</si>
  <si>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</si>
  <si>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</si>
  <si>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</si>
  <si>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</si>
  <si>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</si>
  <si>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</si>
  <si>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</si>
  <si>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</si>
  <si>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</si>
  <si>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</si>
  <si>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</si>
  <si>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</si>
  <si>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</si>
  <si>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</si>
  <si>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</si>
  <si>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</si>
  <si>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</si>
  <si>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</si>
  <si>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</si>
  <si>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</si>
  <si>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</si>
  <si>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</si>
  <si>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</si>
  <si>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</si>
  <si>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</si>
  <si>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</si>
  <si>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</si>
  <si>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</si>
  <si>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</si>
  <si>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</si>
  <si>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Shop Bill Summary (Salman)</t>
  </si>
  <si>
    <t>Salman</t>
  </si>
  <si>
    <t>Customer Name : Wali Super Store</t>
  </si>
  <si>
    <t>Address: calevary Ground</t>
  </si>
  <si>
    <t>Customer Name : Alfatah Super Store</t>
  </si>
  <si>
    <t>Address: Calvery Ground</t>
  </si>
  <si>
    <t>Customer Name : Ali General Store</t>
  </si>
  <si>
    <t>7401062-2</t>
  </si>
  <si>
    <t>Customer Name : Khurram Super Store</t>
  </si>
  <si>
    <t>Customer Name : Ashiana Store</t>
  </si>
  <si>
    <t>Address: Calevery Ground</t>
  </si>
  <si>
    <t>Customer Name : Sher Rubai Store</t>
  </si>
  <si>
    <t>Customer Name : Abdullah Super Store</t>
  </si>
  <si>
    <t>E389702-2</t>
  </si>
  <si>
    <t>Customer Name : Best Buy Super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</si>
</sst>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J19" sqref="J1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J19" sqref="J19"/>
      <selection pane="topRight" activeCell="J19" sqref="J19"/>
      <selection pane="bottomLeft" activeCell="J19" sqref="J19"/>
      <selection pane="bottomRight" activeCell="J19" sqref="J1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opLeftCell="A19" zoomScale="70" zoomScaleNormal="70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46" t="s">
        <v>45</v>
      </c>
      <c r="B2" s="246"/>
      <c r="C2" s="246"/>
    </row>
    <row r="3" spans="1:21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5" t="s">
        <v>105</v>
      </c>
      <c r="B5" s="245"/>
      <c r="C5" s="245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21 16383:16384" ht="15" customHeight="1" x14ac:dyDescent="0.35">
      <c r="A6" s="245"/>
      <c r="B6" s="245"/>
      <c r="C6" s="245"/>
      <c r="F6" s="70"/>
      <c r="G6" s="74"/>
      <c r="K6" s="230" t="s">
        <v>52</v>
      </c>
      <c r="L6" s="230"/>
      <c r="M6" s="230"/>
      <c r="N6" s="243" t="s">
        <v>42</v>
      </c>
      <c r="O6" s="243"/>
      <c r="P6" s="24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21 16383:16384" hidden="1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21 16383:16384" x14ac:dyDescent="0.35">
      <c r="A10" s="228"/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21 16383:16384" ht="15" thickBot="1" x14ac:dyDescent="0.4">
      <c r="A11" s="228"/>
      <c r="B11" s="76"/>
      <c r="C11" s="77"/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21 16383:16384" ht="14.65" customHeight="1" x14ac:dyDescent="0.35">
      <c r="A12" s="228"/>
      <c r="B12" s="76"/>
      <c r="C12" s="77"/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T12" s="200" t="s">
        <v>104</v>
      </c>
      <c r="U12" s="201"/>
      <c r="XFD12" t="s">
        <v>62</v>
      </c>
    </row>
    <row r="13" spans="1:21 16383:16384" ht="15" thickBot="1" x14ac:dyDescent="0.4">
      <c r="A13" s="229"/>
      <c r="J13" s="78"/>
      <c r="K13" s="78"/>
      <c r="L13" s="79">
        <v>0.05</v>
      </c>
      <c r="T13" s="202"/>
      <c r="U13" s="203"/>
      <c r="XFD13" t="s">
        <v>63</v>
      </c>
    </row>
    <row r="14" spans="1:21 16383:16384" ht="29.25" customHeight="1" x14ac:dyDescent="0.6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38" t="s">
        <v>68</v>
      </c>
      <c r="H14" s="239"/>
      <c r="I14" s="239" t="s">
        <v>69</v>
      </c>
      <c r="J14" s="239" t="s">
        <v>70</v>
      </c>
      <c r="K14" s="239"/>
      <c r="L14" s="241"/>
      <c r="M14" s="23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Wali Super Store</v>
      </c>
      <c r="U14" s="164">
        <f>+'1'!P35</f>
        <v>2437.9008974999997</v>
      </c>
      <c r="XFD14" t="s">
        <v>75</v>
      </c>
    </row>
    <row r="15" spans="1:21 16383:16384" ht="29.25" customHeight="1" thickBot="1" x14ac:dyDescent="0.65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40"/>
      <c r="J15" s="171" t="s">
        <v>78</v>
      </c>
      <c r="K15" s="171" t="s">
        <v>79</v>
      </c>
      <c r="L15" s="174" t="s">
        <v>80</v>
      </c>
      <c r="M15" s="23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Alfatah Super Store</v>
      </c>
      <c r="U15" s="164">
        <f>+'2'!P35</f>
        <v>929.00070374999996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54</v>
      </c>
      <c r="I16" s="1">
        <f>(G16*D16)*F16+H16*F16</f>
        <v>2832.9749999999999</v>
      </c>
      <c r="J16" s="172">
        <f>+'1'!J16+'2'!J16+'4'!J16+'3'!J16+'5'!J16+'6'!J16+'7'!J16+'8'!J16+'9'!J16+'10'!J16+'11'!J16+'12'!J16+'13'!J16+'14'!J16+'15'!J16+'16'!J16+'17'!J16+'18'!J16</f>
        <v>1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226.63799999999998</v>
      </c>
      <c r="M16" s="106">
        <f>I16-K16-L16</f>
        <v>2606.337</v>
      </c>
      <c r="N16" s="101">
        <f>+'1'!N16+'2'!N16+'4'!N16+'3'!N16+'5'!N16+'6'!N16+'7'!N16+'8'!N16+'9'!N16+'10'!N16</f>
        <v>584.93588999999997</v>
      </c>
      <c r="O16" s="101">
        <f>+'1'!O16+'2'!O16+'4'!O16+'3'!O16+'5'!O16+'6'!O16+'7'!O16+'8'!O16+'9'!O16+'10'!O16</f>
        <v>45.398319450000002</v>
      </c>
      <c r="P16" s="105">
        <f t="shared" ref="P16:P24" si="0">M16+N16+O16</f>
        <v>3236.6712094500003</v>
      </c>
      <c r="Q16" s="108"/>
      <c r="T16" s="163" t="str">
        <f>+'4'!A5</f>
        <v>Customer Name : Khurram Super Store</v>
      </c>
      <c r="U16" s="164">
        <f>+'4'!P35</f>
        <v>1002.8329728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57</v>
      </c>
      <c r="I17" s="1">
        <f t="shared" ref="I17:I23" si="1">(G17*D17)*F17+H17*F17</f>
        <v>2990.3624999999997</v>
      </c>
      <c r="J17" s="172">
        <f>+'1'!J17+'2'!J17+'4'!J17+'3'!J17+'5'!J17+'6'!J17+'7'!J17+'8'!J17+'9'!J17+'10'!J17+'11'!J17+'12'!J17+'13'!J17+'14'!J17+'15'!J17+'16'!J17+'17'!J17+'18'!J17</f>
        <v>7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239.22899999999998</v>
      </c>
      <c r="M17" s="118">
        <f t="shared" ref="M17:M23" si="2">I17-K17-L17</f>
        <v>2751.1334999999999</v>
      </c>
      <c r="N17" s="101">
        <f>+'1'!N17+'2'!N17+'4'!N17+'3'!N17+'5'!N17+'6'!N17+'7'!N17+'8'!N17+'9'!N17+'10'!N17</f>
        <v>686.04161999999997</v>
      </c>
      <c r="O17" s="101">
        <f>+'1'!O17+'2'!O17+'4'!O17+'3'!O17+'5'!O17+'6'!O17+'7'!O17+'8'!O17+'9'!O17+'10'!O17</f>
        <v>41.893614599999999</v>
      </c>
      <c r="P17" s="120">
        <f t="shared" si="0"/>
        <v>3479.0687346</v>
      </c>
      <c r="S17" s="64"/>
      <c r="T17" s="163" t="str">
        <f>+'3'!A5</f>
        <v>Customer Name : Ali General Store</v>
      </c>
      <c r="U17" s="164">
        <f>+'3'!P35</f>
        <v>1609.4143566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75</v>
      </c>
      <c r="I18" s="1">
        <f t="shared" si="1"/>
        <v>3934.6875</v>
      </c>
      <c r="J18" s="172">
        <f>+'1'!J18+'2'!J18+'4'!J18+'3'!J18+'5'!J18+'6'!J18+'7'!J18+'8'!J18+'9'!J18+'10'!J18+'11'!J18+'12'!J18+'13'!J18+'14'!J18+'15'!J18+'16'!J18+'17'!J18+'18'!J18</f>
        <v>2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398.71499999999997</v>
      </c>
      <c r="M18" s="118">
        <f t="shared" si="2"/>
        <v>3535.9724999999999</v>
      </c>
      <c r="N18" s="101">
        <f>+'1'!N18+'2'!N18+'4'!N18+'3'!N18+'5'!N18+'6'!N18+'7'!N18+'8'!N18+'9'!N18+'10'!N18</f>
        <v>722.93325000000004</v>
      </c>
      <c r="O18" s="101">
        <f>+'1'!O18+'2'!O18+'4'!O18+'3'!O18+'5'!O18+'6'!O18+'7'!O18+'8'!O18+'9'!O18+'10'!O18</f>
        <v>56.624874750000004</v>
      </c>
      <c r="P18" s="120">
        <f t="shared" si="0"/>
        <v>4315.5306247500002</v>
      </c>
      <c r="T18" s="163" t="str">
        <f>+'5'!A5</f>
        <v>Customer Name : Ashiana Store</v>
      </c>
      <c r="U18" s="164">
        <f>+'5'!P35</f>
        <v>3408.1355431500006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27</v>
      </c>
      <c r="I19" s="1">
        <f t="shared" si="1"/>
        <v>1961.28</v>
      </c>
      <c r="J19" s="172">
        <f>+'1'!J19+'2'!J19+'4'!J19+'3'!J19+'5'!J19+'6'!J19+'7'!J19+'8'!J19+'9'!J19+'10'!J19+'11'!J19+'12'!J19+'13'!J19+'14'!J19+'15'!J19+'16'!J19+'17'!J19+'18'!J19</f>
        <v>0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156.9024</v>
      </c>
      <c r="M19" s="118">
        <f t="shared" si="2"/>
        <v>1804.3776</v>
      </c>
      <c r="N19" s="101">
        <f>+'1'!N19+'2'!N19+'4'!N19+'3'!N19+'5'!N19+'6'!N19+'7'!N19+'8'!N19+'9'!N19+'10'!N19</f>
        <v>396.96307200000001</v>
      </c>
      <c r="O19" s="101">
        <f>+'1'!O19+'2'!O19+'4'!O19+'3'!O19+'5'!O19+'6'!O19+'7'!O19+'8'!O19+'9'!O19+'10'!O19</f>
        <v>30.574176000000001</v>
      </c>
      <c r="P19" s="120">
        <f t="shared" si="0"/>
        <v>2231.9148480000003</v>
      </c>
      <c r="T19" s="163" t="str">
        <f>+'6'!A5</f>
        <v>Customer Name : Sher Rubai Store</v>
      </c>
      <c r="U19" s="164">
        <f>+'6'!P35</f>
        <v>3901.4563706999993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23</v>
      </c>
      <c r="I20" s="1">
        <f t="shared" si="1"/>
        <v>1670.72</v>
      </c>
      <c r="J20" s="172">
        <f>+'1'!J20+'2'!J20+'4'!J20+'3'!J20+'5'!J20+'6'!J20+'7'!J20+'8'!J20+'9'!J20+'10'!J20+'11'!J20+'12'!J20+'13'!J20+'14'!J20+'15'!J20+'16'!J20+'17'!J20+'18'!J20</f>
        <v>3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133.6576</v>
      </c>
      <c r="M20" s="118">
        <f t="shared" si="2"/>
        <v>1537.0624</v>
      </c>
      <c r="N20" s="101">
        <f>+'1'!N20+'2'!N20+'4'!N20+'3'!N20+'5'!N20+'6'!N20+'7'!N20+'8'!N20+'9'!N20+'10'!N20</f>
        <v>386.09612800000002</v>
      </c>
      <c r="O20" s="101">
        <f>+'1'!O20+'2'!O20+'4'!O20+'3'!O20+'5'!O20+'6'!O20+'7'!O20+'8'!O20+'9'!O20+'10'!O20</f>
        <v>31.133503999999999</v>
      </c>
      <c r="P20" s="120">
        <f t="shared" si="0"/>
        <v>1954.2920319999998</v>
      </c>
      <c r="T20" s="163" t="str">
        <f>+'7'!A5</f>
        <v>Customer Name : Abdullah Super Store</v>
      </c>
      <c r="U20" s="164">
        <f>+'7'!P35</f>
        <v>2035.2621221999998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28</v>
      </c>
      <c r="I21" s="1">
        <f t="shared" si="1"/>
        <v>2033.92</v>
      </c>
      <c r="J21" s="172">
        <f>+'1'!J21+'2'!J21+'4'!J21+'3'!J21+'5'!J21+'6'!J21+'7'!J21+'8'!J21+'9'!J21+'10'!J21+'11'!J21+'12'!J21+'13'!J21+'14'!J21+'15'!J21+'16'!J21+'17'!J21+'18'!J21</f>
        <v>0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162.71359999999999</v>
      </c>
      <c r="M21" s="118">
        <f t="shared" si="2"/>
        <v>1871.2064</v>
      </c>
      <c r="N21" s="101">
        <f>+'1'!N21+'2'!N21+'4'!N21+'3'!N21+'5'!N21+'6'!N21+'7'!N21+'8'!N21+'9'!N21+'10'!N21</f>
        <v>411.66540799999996</v>
      </c>
      <c r="O21" s="101">
        <f>+'1'!O21+'2'!O21+'4'!O21+'3'!O21+'5'!O21+'6'!O21+'7'!O21+'8'!O21+'9'!O21+'10'!O21</f>
        <v>32.612454400000004</v>
      </c>
      <c r="P21" s="120">
        <f t="shared" si="0"/>
        <v>2315.4842623999998</v>
      </c>
      <c r="T21" s="163" t="str">
        <f>+'8'!A5</f>
        <v>Customer Name : Best Buy Super store</v>
      </c>
      <c r="U21" s="164">
        <f>+'8'!P35</f>
        <v>2208.9587444999997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0</v>
      </c>
      <c r="I22" s="1">
        <f t="shared" si="1"/>
        <v>0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0</v>
      </c>
      <c r="L22" s="175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10" t="s">
        <v>84</v>
      </c>
      <c r="B25" s="211"/>
      <c r="C25" s="212">
        <f>H25/40</f>
        <v>6.6</v>
      </c>
      <c r="D25" s="206"/>
      <c r="E25" s="206"/>
      <c r="F25" s="206"/>
      <c r="G25" s="176">
        <f t="shared" ref="G25:M25" si="3">SUM(G16:G24)</f>
        <v>0</v>
      </c>
      <c r="H25" s="177">
        <f t="shared" si="3"/>
        <v>264</v>
      </c>
      <c r="I25" s="178">
        <f t="shared" si="3"/>
        <v>15423.945</v>
      </c>
      <c r="J25" s="177">
        <f t="shared" si="3"/>
        <v>13</v>
      </c>
      <c r="K25" s="178">
        <f t="shared" si="3"/>
        <v>0</v>
      </c>
      <c r="L25" s="179">
        <f t="shared" si="3"/>
        <v>1317.8555999999999</v>
      </c>
      <c r="M25" s="141">
        <f t="shared" si="3"/>
        <v>14106.089400000001</v>
      </c>
      <c r="N25" s="142">
        <f>SUM(N16:N24)</f>
        <v>3188.6353680000002</v>
      </c>
      <c r="O25" s="143">
        <f>SUM(O16:O24)</f>
        <v>238.23694319999998</v>
      </c>
      <c r="P25" s="144">
        <f>SUM(P16:P24)</f>
        <v>17532.961711200001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17532.961711199998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13" t="s">
        <v>85</v>
      </c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N32" s="222" t="s">
        <v>86</v>
      </c>
      <c r="O32" s="223"/>
      <c r="P32" s="152">
        <f>I25</f>
        <v>15423.945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N33" s="224" t="s">
        <v>87</v>
      </c>
      <c r="O33" s="225"/>
      <c r="P33" s="153">
        <f>L25</f>
        <v>1317.8555999999999</v>
      </c>
    </row>
    <row r="34" spans="2:16" ht="15" customHeight="1" x14ac:dyDescent="0.35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N34" s="224" t="s">
        <v>4</v>
      </c>
      <c r="O34" s="225"/>
      <c r="P34" s="154">
        <f>K25</f>
        <v>0</v>
      </c>
    </row>
    <row r="35" spans="2:16" ht="15" customHeight="1" x14ac:dyDescent="0.35">
      <c r="B35" s="216"/>
      <c r="C35" s="217"/>
      <c r="D35" s="217"/>
      <c r="E35" s="217"/>
      <c r="F35" s="217"/>
      <c r="G35" s="217"/>
      <c r="H35" s="217"/>
      <c r="I35" s="217"/>
      <c r="J35" s="217"/>
      <c r="K35" s="217"/>
      <c r="L35" s="218"/>
      <c r="M35" s="2"/>
      <c r="N35" s="224" t="s">
        <v>88</v>
      </c>
      <c r="O35" s="225"/>
      <c r="P35" s="153">
        <f>P32-P33-P34</f>
        <v>14106.089400000001</v>
      </c>
    </row>
    <row r="36" spans="2:16" ht="15" customHeight="1" x14ac:dyDescent="0.35">
      <c r="B36" s="216"/>
      <c r="C36" s="217"/>
      <c r="D36" s="217"/>
      <c r="E36" s="217"/>
      <c r="F36" s="217"/>
      <c r="G36" s="217"/>
      <c r="H36" s="217"/>
      <c r="I36" s="217"/>
      <c r="J36" s="217"/>
      <c r="K36" s="217"/>
      <c r="L36" s="218"/>
      <c r="M36" s="2"/>
      <c r="N36" s="155" t="s">
        <v>89</v>
      </c>
      <c r="O36" s="156">
        <f>IF(B12="Registered",18%,22%)</f>
        <v>0.22</v>
      </c>
      <c r="P36" s="153">
        <f>N25</f>
        <v>3188.6353680000002</v>
      </c>
    </row>
    <row r="37" spans="2:16" ht="15" customHeight="1" x14ac:dyDescent="0.35">
      <c r="B37" s="216"/>
      <c r="C37" s="217"/>
      <c r="D37" s="217"/>
      <c r="E37" s="217"/>
      <c r="F37" s="217"/>
      <c r="G37" s="217"/>
      <c r="H37" s="217"/>
      <c r="I37" s="217"/>
      <c r="J37" s="217"/>
      <c r="K37" s="217"/>
      <c r="L37" s="218"/>
      <c r="M37" s="2"/>
      <c r="N37" s="226" t="s">
        <v>90</v>
      </c>
      <c r="O37" s="227"/>
      <c r="P37" s="153">
        <f>P35+P36</f>
        <v>17294.724768</v>
      </c>
    </row>
    <row r="38" spans="2:16" ht="15" customHeight="1" thickBot="1" x14ac:dyDescent="0.4">
      <c r="B38" s="219"/>
      <c r="C38" s="220"/>
      <c r="D38" s="220"/>
      <c r="E38" s="220"/>
      <c r="F38" s="220"/>
      <c r="G38" s="220"/>
      <c r="H38" s="220"/>
      <c r="I38" s="220"/>
      <c r="J38" s="220"/>
      <c r="K38" s="220"/>
      <c r="L38" s="221"/>
      <c r="M38" s="157"/>
      <c r="N38" s="158" t="s">
        <v>91</v>
      </c>
      <c r="O38" s="159">
        <f>IF(B11="Filer",0.5%,2.5%)</f>
        <v>2.5000000000000001E-2</v>
      </c>
      <c r="P38" s="153">
        <f>O38*P37</f>
        <v>432.36811920000002</v>
      </c>
    </row>
    <row r="39" spans="2:16" ht="15.75" customHeight="1" thickBot="1" x14ac:dyDescent="0.4">
      <c r="N39" s="204" t="s">
        <v>92</v>
      </c>
      <c r="O39" s="205"/>
      <c r="P39" s="160">
        <f>P37+P38</f>
        <v>17727.0928872</v>
      </c>
    </row>
    <row r="40" spans="2:16" ht="15" thickBot="1" x14ac:dyDescent="0.4">
      <c r="B40" s="161" t="s">
        <v>93</v>
      </c>
      <c r="C40" s="206"/>
      <c r="D40" s="206"/>
      <c r="E40" s="206"/>
      <c r="F40" s="206"/>
      <c r="G40" s="206"/>
      <c r="H40" s="206"/>
      <c r="I40" s="207"/>
      <c r="J40" s="208"/>
      <c r="K40" s="209"/>
    </row>
    <row r="41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7" workbookViewId="0">
      <selection activeCell="I17" sqref="I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107</v>
      </c>
      <c r="B6" s="230"/>
      <c r="C6" s="230"/>
      <c r="F6" s="70"/>
      <c r="G6" s="74"/>
      <c r="K6" s="230" t="s">
        <v>52</v>
      </c>
      <c r="L6" s="230"/>
      <c r="M6" s="230"/>
      <c r="N6" s="243" t="s">
        <v>98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15</v>
      </c>
      <c r="I16" s="102">
        <f>(G16*D16)*F16+H16*F16</f>
        <v>786.9375</v>
      </c>
      <c r="J16" s="103"/>
      <c r="K16" s="104">
        <f>I16*$K$13</f>
        <v>0</v>
      </c>
      <c r="L16" s="105">
        <f>I16*8%</f>
        <v>62.954999999999998</v>
      </c>
      <c r="M16" s="106">
        <f>I16-K16-L16</f>
        <v>723.98249999999996</v>
      </c>
      <c r="N16" s="106">
        <f t="shared" ref="N16:N24" si="0">(M16*$N$15)+(J16*F16)*$N$15</f>
        <v>159.27615</v>
      </c>
      <c r="O16" s="107">
        <f t="shared" ref="O16:O24" si="1">(N16+M16)*$O$15</f>
        <v>22.081466250000002</v>
      </c>
      <c r="P16" s="105">
        <f t="shared" ref="P16:P24" si="2">M16+N16+O16</f>
        <v>905.34011624999994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3">(G17*D17)*F17+H17*F17</f>
        <v>524.625</v>
      </c>
      <c r="J17" s="117">
        <v>2</v>
      </c>
      <c r="K17" s="1">
        <f t="shared" ref="K17:K21" si="4">I17*$K$13</f>
        <v>0</v>
      </c>
      <c r="L17" s="105">
        <f t="shared" ref="L17:L21" si="5">I17*8%</f>
        <v>41.97</v>
      </c>
      <c r="M17" s="118">
        <f t="shared" ref="M17:M23" si="6">I17-K17-L17</f>
        <v>482.65499999999997</v>
      </c>
      <c r="N17" s="118">
        <f t="shared" si="0"/>
        <v>129.26760000000002</v>
      </c>
      <c r="O17" s="119">
        <f t="shared" si="1"/>
        <v>15.298065000000001</v>
      </c>
      <c r="P17" s="120">
        <f t="shared" si="2"/>
        <v>627.22066499999994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15</v>
      </c>
      <c r="I18" s="116">
        <f t="shared" si="3"/>
        <v>786.9375</v>
      </c>
      <c r="J18" s="117"/>
      <c r="K18" s="1">
        <f t="shared" si="4"/>
        <v>0</v>
      </c>
      <c r="L18" s="105">
        <f t="shared" si="5"/>
        <v>62.954999999999998</v>
      </c>
      <c r="M18" s="118">
        <f t="shared" si="6"/>
        <v>723.98249999999996</v>
      </c>
      <c r="N18" s="118">
        <f t="shared" si="0"/>
        <v>159.27615</v>
      </c>
      <c r="O18" s="119">
        <f t="shared" si="1"/>
        <v>22.081466250000002</v>
      </c>
      <c r="P18" s="120">
        <f t="shared" si="2"/>
        <v>905.34011624999994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40</v>
      </c>
      <c r="I25" s="137">
        <f t="shared" si="9"/>
        <v>2098.5</v>
      </c>
      <c r="J25" s="138"/>
      <c r="K25" s="139">
        <f t="shared" si="9"/>
        <v>0</v>
      </c>
      <c r="L25" s="140">
        <f t="shared" si="9"/>
        <v>167.88</v>
      </c>
      <c r="M25" s="141">
        <f t="shared" si="9"/>
        <v>1930.62</v>
      </c>
      <c r="N25" s="142">
        <f>SUM(N16:N24)</f>
        <v>447.81990000000008</v>
      </c>
      <c r="O25" s="143">
        <f>SUM(O16:O24)</f>
        <v>59.460997500000005</v>
      </c>
      <c r="P25" s="144">
        <f>SUM(P16:P24)</f>
        <v>2437.9008974999997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2098.5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167.88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1930.62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447.81990000000008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2378.4398999999999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59.460997499999998</v>
      </c>
    </row>
    <row r="35" spans="2:16" ht="15.75" customHeight="1" thickBot="1" x14ac:dyDescent="0.4">
      <c r="N35" s="204" t="s">
        <v>92</v>
      </c>
      <c r="O35" s="205"/>
      <c r="P35" s="160">
        <f>P33+P34</f>
        <v>2437.9008974999997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2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108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109</v>
      </c>
      <c r="B6" s="230"/>
      <c r="C6" s="230"/>
      <c r="F6" s="70"/>
      <c r="G6" s="74"/>
      <c r="K6" s="230" t="s">
        <v>52</v>
      </c>
      <c r="L6" s="230"/>
      <c r="M6" s="230"/>
      <c r="N6" s="243" t="s">
        <v>98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>
        <v>2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23.083500000000001</v>
      </c>
      <c r="O17" s="119">
        <f t="shared" ref="O17:O24" si="6">(N17+M17)*$O$15</f>
        <v>0.57708750000000009</v>
      </c>
      <c r="P17" s="120">
        <f t="shared" si="1"/>
        <v>23.660587500000002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15</v>
      </c>
      <c r="I18" s="116">
        <f t="shared" si="2"/>
        <v>786.9375</v>
      </c>
      <c r="J18" s="117"/>
      <c r="K18" s="1">
        <f t="shared" si="3"/>
        <v>0</v>
      </c>
      <c r="L18" s="105">
        <f t="shared" si="4"/>
        <v>62.954999999999998</v>
      </c>
      <c r="M18" s="118">
        <f t="shared" si="5"/>
        <v>723.98249999999996</v>
      </c>
      <c r="N18" s="118">
        <f t="shared" si="0"/>
        <v>159.27615</v>
      </c>
      <c r="O18" s="119">
        <f t="shared" si="6"/>
        <v>22.081466250000002</v>
      </c>
      <c r="P18" s="120">
        <f t="shared" si="1"/>
        <v>905.34011624999994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15</v>
      </c>
      <c r="I25" s="137">
        <f t="shared" si="9"/>
        <v>786.9375</v>
      </c>
      <c r="J25" s="138"/>
      <c r="K25" s="139">
        <f t="shared" si="9"/>
        <v>0</v>
      </c>
      <c r="L25" s="140">
        <f t="shared" si="9"/>
        <v>62.954999999999998</v>
      </c>
      <c r="M25" s="141">
        <f t="shared" si="9"/>
        <v>723.98249999999996</v>
      </c>
      <c r="N25" s="142">
        <f>SUM(N16:N24)</f>
        <v>182.35964999999999</v>
      </c>
      <c r="O25" s="143">
        <f>SUM(O16:O24)</f>
        <v>22.658553750000003</v>
      </c>
      <c r="P25" s="144">
        <f>SUM(P16:P24)</f>
        <v>929.00070374999996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786.9375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62.954999999999998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723.98249999999996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182.35964999999999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906.34214999999995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22.658553749999999</v>
      </c>
    </row>
    <row r="35" spans="2:16" ht="15.75" customHeight="1" thickBot="1" x14ac:dyDescent="0.4">
      <c r="N35" s="204" t="s">
        <v>92</v>
      </c>
      <c r="O35" s="205"/>
      <c r="P35" s="160">
        <f>P33+P34</f>
        <v>929.00070374999996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abSelected="1" topLeftCell="A7" workbookViewId="0">
      <selection activeCell="J18" sqref="J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4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110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109</v>
      </c>
      <c r="B6" s="230"/>
      <c r="C6" s="230"/>
      <c r="F6" s="70"/>
      <c r="G6" s="74"/>
      <c r="K6" s="230" t="s">
        <v>52</v>
      </c>
      <c r="L6" s="230"/>
      <c r="M6" s="230"/>
      <c r="N6" s="243" t="s">
        <v>98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9" t="s">
        <v>111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9</v>
      </c>
      <c r="I16" s="102">
        <f>(G16*D16)*F16+H16*F16</f>
        <v>472.16249999999997</v>
      </c>
      <c r="J16" s="103"/>
      <c r="K16" s="104">
        <f>I16*$K$13</f>
        <v>0</v>
      </c>
      <c r="L16" s="105">
        <f>I16*8%</f>
        <v>37.772999999999996</v>
      </c>
      <c r="M16" s="106">
        <f>I16-K16-L16</f>
        <v>434.3895</v>
      </c>
      <c r="N16" s="106">
        <f t="shared" ref="N16:N24" si="0">(M16*$N$15)+(J16*F16)*$N$15</f>
        <v>95.565690000000004</v>
      </c>
      <c r="O16" s="107">
        <f>(N16+M16)*$O$15</f>
        <v>2.64977595</v>
      </c>
      <c r="P16" s="105">
        <f t="shared" ref="P16:P24" si="1">M16+N16+O16</f>
        <v>532.60496595000006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13</v>
      </c>
      <c r="I17" s="116">
        <f t="shared" ref="I17:I23" si="2">(G17*D17)*F17+H17*F17</f>
        <v>682.01249999999993</v>
      </c>
      <c r="J17" s="117">
        <v>1</v>
      </c>
      <c r="K17" s="1">
        <f t="shared" ref="K17:K21" si="3">I17*$K$13</f>
        <v>0</v>
      </c>
      <c r="L17" s="105">
        <f t="shared" ref="L17:L21" si="4">I17*8%</f>
        <v>54.560999999999993</v>
      </c>
      <c r="M17" s="118">
        <f t="shared" ref="M17:M23" si="5">I17-K17-L17</f>
        <v>627.4514999999999</v>
      </c>
      <c r="N17" s="118">
        <f t="shared" si="0"/>
        <v>149.58107999999999</v>
      </c>
      <c r="O17" s="119">
        <f t="shared" ref="O17:O24" si="6">(N17+M17)*$O$15</f>
        <v>3.8851628999999992</v>
      </c>
      <c r="P17" s="120">
        <f t="shared" si="1"/>
        <v>780.91774289999978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5</v>
      </c>
      <c r="I18" s="116">
        <f t="shared" si="2"/>
        <v>262.3125</v>
      </c>
      <c r="J18" s="117"/>
      <c r="K18" s="1">
        <f t="shared" si="3"/>
        <v>0</v>
      </c>
      <c r="L18" s="105">
        <f t="shared" si="4"/>
        <v>20.984999999999999</v>
      </c>
      <c r="M18" s="118">
        <f t="shared" si="5"/>
        <v>241.32749999999999</v>
      </c>
      <c r="N18" s="118">
        <f t="shared" si="0"/>
        <v>53.09205</v>
      </c>
      <c r="O18" s="119">
        <f t="shared" si="6"/>
        <v>1.4720977499999999</v>
      </c>
      <c r="P18" s="120">
        <f t="shared" si="1"/>
        <v>295.89164774999995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27</v>
      </c>
      <c r="I25" s="137">
        <f t="shared" si="9"/>
        <v>1416.4875</v>
      </c>
      <c r="J25" s="138"/>
      <c r="K25" s="139">
        <f t="shared" si="9"/>
        <v>0</v>
      </c>
      <c r="L25" s="140">
        <f t="shared" si="9"/>
        <v>113.31899999999999</v>
      </c>
      <c r="M25" s="141">
        <f t="shared" si="9"/>
        <v>1303.1684999999998</v>
      </c>
      <c r="N25" s="142">
        <f>SUM(N16:N24)</f>
        <v>298.23882000000003</v>
      </c>
      <c r="O25" s="143">
        <f>SUM(O16:O24)</f>
        <v>8.0070365999999993</v>
      </c>
      <c r="P25" s="144">
        <f>SUM(P16:P24)</f>
        <v>1609.4143565999998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1416.4875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113.31899999999999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1303.1685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298.23882000000003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1601.40732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5.0000000000000001E-3</v>
      </c>
      <c r="P34" s="153">
        <f>O34*P33</f>
        <v>8.0070366000000011</v>
      </c>
    </row>
    <row r="35" spans="2:16" ht="15.75" customHeight="1" thickBot="1" x14ac:dyDescent="0.4">
      <c r="N35" s="204" t="s">
        <v>92</v>
      </c>
      <c r="O35" s="205"/>
      <c r="P35" s="160">
        <f>P33+P34</f>
        <v>1609.4143566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7" workbookViewId="0">
      <selection activeCell="H19" sqref="H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3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112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109</v>
      </c>
      <c r="B6" s="230"/>
      <c r="C6" s="230"/>
      <c r="F6" s="70"/>
      <c r="G6" s="74"/>
      <c r="K6" s="230" t="s">
        <v>52</v>
      </c>
      <c r="L6" s="230"/>
      <c r="M6" s="230"/>
      <c r="N6" s="243" t="s">
        <v>98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12</v>
      </c>
      <c r="I19" s="116">
        <f t="shared" si="2"/>
        <v>871.68000000000006</v>
      </c>
      <c r="J19" s="117"/>
      <c r="K19" s="1">
        <f t="shared" si="3"/>
        <v>0</v>
      </c>
      <c r="L19" s="105">
        <f t="shared" si="4"/>
        <v>69.734400000000008</v>
      </c>
      <c r="M19" s="118">
        <f t="shared" si="5"/>
        <v>801.94560000000001</v>
      </c>
      <c r="N19" s="118">
        <f t="shared" si="0"/>
        <v>176.428032</v>
      </c>
      <c r="O19" s="119">
        <f t="shared" si="6"/>
        <v>24.459340800000003</v>
      </c>
      <c r="P19" s="120">
        <f t="shared" si="1"/>
        <v>1002.8329728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12</v>
      </c>
      <c r="I25" s="137">
        <f t="shared" si="9"/>
        <v>871.68000000000006</v>
      </c>
      <c r="J25" s="138"/>
      <c r="K25" s="139">
        <f t="shared" si="9"/>
        <v>0</v>
      </c>
      <c r="L25" s="140">
        <f t="shared" si="9"/>
        <v>69.734400000000008</v>
      </c>
      <c r="M25" s="141">
        <f t="shared" si="9"/>
        <v>801.94560000000001</v>
      </c>
      <c r="N25" s="142">
        <f>SUM(N16:N24)</f>
        <v>176.428032</v>
      </c>
      <c r="O25" s="143">
        <f>SUM(O16:O24)</f>
        <v>24.459340800000003</v>
      </c>
      <c r="P25" s="144">
        <f>SUM(P16:P24)</f>
        <v>1002.8329728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871.68000000000006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69.734400000000008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801.94560000000001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176.428032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978.37363200000004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24.459340800000003</v>
      </c>
    </row>
    <row r="35" spans="2:16" ht="15.75" customHeight="1" thickBot="1" x14ac:dyDescent="0.4">
      <c r="N35" s="204" t="s">
        <v>92</v>
      </c>
      <c r="O35" s="205"/>
      <c r="P35" s="160">
        <f>P33+P34</f>
        <v>1002.8329728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J19" sqref="J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5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113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114</v>
      </c>
      <c r="B6" s="230"/>
      <c r="C6" s="230"/>
      <c r="F6" s="70"/>
      <c r="G6" s="74"/>
      <c r="K6" s="230" t="s">
        <v>52</v>
      </c>
      <c r="L6" s="230"/>
      <c r="M6" s="230"/>
      <c r="N6" s="243" t="s">
        <v>98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9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/>
      <c r="K16" s="104">
        <f>I16*$K$13</f>
        <v>0</v>
      </c>
      <c r="L16" s="105">
        <f>I16*8%</f>
        <v>41.97</v>
      </c>
      <c r="M16" s="106">
        <f>I16-K16-L16</f>
        <v>482.65499999999997</v>
      </c>
      <c r="N16" s="106">
        <f t="shared" ref="N16:N24" si="0">(M16*$N$15)+(J16*F16)*$N$15</f>
        <v>106.1841</v>
      </c>
      <c r="O16" s="107">
        <f>(N16+M16)*$O$15</f>
        <v>14.720977499999998</v>
      </c>
      <c r="P16" s="105">
        <f t="shared" ref="P16:P24" si="1">M16+N16+O16</f>
        <v>603.56007749999992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>
        <v>1</v>
      </c>
      <c r="K17" s="1">
        <f t="shared" ref="K17:K21" si="3">I17*$K$13</f>
        <v>0</v>
      </c>
      <c r="L17" s="105">
        <f t="shared" ref="L17:L21" si="4">I17*8%</f>
        <v>41.97</v>
      </c>
      <c r="M17" s="118">
        <f t="shared" ref="M17:M23" si="5">I17-K17-L17</f>
        <v>482.65499999999997</v>
      </c>
      <c r="N17" s="118">
        <f t="shared" si="0"/>
        <v>117.72585000000001</v>
      </c>
      <c r="O17" s="119">
        <f t="shared" ref="O17:O24" si="6">(N17+M17)*$O$15</f>
        <v>15.009521250000001</v>
      </c>
      <c r="P17" s="120">
        <f t="shared" si="1"/>
        <v>615.39037125000004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13</v>
      </c>
      <c r="I20" s="116">
        <f t="shared" si="2"/>
        <v>944.32</v>
      </c>
      <c r="J20" s="117">
        <v>1</v>
      </c>
      <c r="K20" s="1">
        <f t="shared" si="3"/>
        <v>0</v>
      </c>
      <c r="L20" s="105">
        <f t="shared" si="4"/>
        <v>75.545600000000007</v>
      </c>
      <c r="M20" s="118">
        <f t="shared" si="5"/>
        <v>868.77440000000001</v>
      </c>
      <c r="N20" s="118">
        <f t="shared" si="0"/>
        <v>207.11116799999999</v>
      </c>
      <c r="O20" s="119">
        <f t="shared" si="6"/>
        <v>26.897139199999998</v>
      </c>
      <c r="P20" s="120">
        <f t="shared" si="1"/>
        <v>1102.7827072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13</v>
      </c>
      <c r="I21" s="116">
        <f t="shared" si="2"/>
        <v>944.32</v>
      </c>
      <c r="J21" s="117"/>
      <c r="K21" s="1">
        <f t="shared" si="3"/>
        <v>0</v>
      </c>
      <c r="L21" s="105">
        <f t="shared" si="4"/>
        <v>75.545600000000007</v>
      </c>
      <c r="M21" s="118">
        <f t="shared" si="5"/>
        <v>868.77440000000001</v>
      </c>
      <c r="N21" s="118">
        <f t="shared" si="0"/>
        <v>191.130368</v>
      </c>
      <c r="O21" s="119">
        <f t="shared" si="6"/>
        <v>26.497619200000003</v>
      </c>
      <c r="P21" s="120">
        <f t="shared" si="1"/>
        <v>1086.4023872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46</v>
      </c>
      <c r="I25" s="137">
        <f t="shared" si="9"/>
        <v>2937.8900000000003</v>
      </c>
      <c r="J25" s="138"/>
      <c r="K25" s="139">
        <f t="shared" si="9"/>
        <v>0</v>
      </c>
      <c r="L25" s="140">
        <f t="shared" si="9"/>
        <v>235.03120000000001</v>
      </c>
      <c r="M25" s="141">
        <f t="shared" si="9"/>
        <v>2702.8588</v>
      </c>
      <c r="N25" s="142">
        <f>SUM(N16:N24)</f>
        <v>622.15148599999998</v>
      </c>
      <c r="O25" s="143">
        <f>SUM(O16:O24)</f>
        <v>83.125257149999996</v>
      </c>
      <c r="P25" s="144">
        <f>SUM(P16:P24)</f>
        <v>3408.1355431499996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2937.8900000000003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235.03120000000001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2702.8588000000004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622.15148599999998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3325.0102860000006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83.125257150000024</v>
      </c>
    </row>
    <row r="35" spans="2:16" ht="15.75" customHeight="1" thickBot="1" x14ac:dyDescent="0.4">
      <c r="N35" s="204" t="s">
        <v>92</v>
      </c>
      <c r="O35" s="205"/>
      <c r="P35" s="160">
        <f>P33+P34</f>
        <v>3408.1355431500006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6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115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109</v>
      </c>
      <c r="B6" s="230"/>
      <c r="C6" s="230"/>
      <c r="F6" s="70"/>
      <c r="G6" s="74"/>
      <c r="K6" s="230" t="s">
        <v>52</v>
      </c>
      <c r="L6" s="230"/>
      <c r="M6" s="230"/>
      <c r="N6" s="243" t="s">
        <v>98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80">
        <v>3520145889633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>
        <v>0</v>
      </c>
      <c r="K17" s="1">
        <f t="shared" ref="K17:K21" si="3">I17*$K$13</f>
        <v>0</v>
      </c>
      <c r="L17" s="105">
        <f t="shared" ref="L17:L21" si="4">I17*8%</f>
        <v>41.97</v>
      </c>
      <c r="M17" s="118">
        <f t="shared" ref="M17:M23" si="5">I17-K17-L17</f>
        <v>482.65499999999997</v>
      </c>
      <c r="N17" s="118">
        <f t="shared" si="0"/>
        <v>106.1841</v>
      </c>
      <c r="O17" s="119">
        <f t="shared" ref="O17:O24" si="6">(N17+M17)*$O$15</f>
        <v>2.9441954999999997</v>
      </c>
      <c r="P17" s="120">
        <f t="shared" si="1"/>
        <v>591.78329549999989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">
        <f t="shared" si="3"/>
        <v>0</v>
      </c>
      <c r="L19" s="105">
        <f t="shared" si="4"/>
        <v>87.167999999999992</v>
      </c>
      <c r="M19" s="118">
        <f t="shared" si="5"/>
        <v>1002.4319999999999</v>
      </c>
      <c r="N19" s="118">
        <f t="shared" si="0"/>
        <v>220.53503999999998</v>
      </c>
      <c r="O19" s="119">
        <f t="shared" si="6"/>
        <v>6.1148351999999999</v>
      </c>
      <c r="P19" s="120">
        <f t="shared" si="1"/>
        <v>1229.0818752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2</v>
      </c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178.98496</v>
      </c>
      <c r="O20" s="119">
        <f t="shared" si="6"/>
        <v>4.2363648000000005</v>
      </c>
      <c r="P20" s="120">
        <f t="shared" si="1"/>
        <v>851.50932480000006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">
        <f t="shared" si="3"/>
        <v>0</v>
      </c>
      <c r="L21" s="105">
        <f t="shared" si="4"/>
        <v>87.167999999999992</v>
      </c>
      <c r="M21" s="118">
        <f t="shared" si="5"/>
        <v>1002.4319999999999</v>
      </c>
      <c r="N21" s="118">
        <f t="shared" si="0"/>
        <v>220.53503999999998</v>
      </c>
      <c r="O21" s="119">
        <f t="shared" si="6"/>
        <v>6.1148351999999999</v>
      </c>
      <c r="P21" s="120">
        <f t="shared" si="1"/>
        <v>1229.0818752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50</v>
      </c>
      <c r="I25" s="137">
        <f t="shared" si="9"/>
        <v>3430.2249999999999</v>
      </c>
      <c r="J25" s="138"/>
      <c r="K25" s="139">
        <f t="shared" si="9"/>
        <v>0</v>
      </c>
      <c r="L25" s="140">
        <f t="shared" si="9"/>
        <v>274.41799999999995</v>
      </c>
      <c r="M25" s="141">
        <f t="shared" si="9"/>
        <v>3155.8069999999998</v>
      </c>
      <c r="N25" s="142">
        <f>SUM(N16:N24)</f>
        <v>726.23913999999991</v>
      </c>
      <c r="O25" s="143">
        <f>SUM(O16:O24)</f>
        <v>19.4102307</v>
      </c>
      <c r="P25" s="144">
        <f>SUM(P16:P24)</f>
        <v>3901.4563707000002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3430.2249999999999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274.41799999999995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3155.8069999999998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726.23913999999991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3882.0461399999995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5.0000000000000001E-3</v>
      </c>
      <c r="P34" s="153">
        <f>O34*P33</f>
        <v>19.410230699999996</v>
      </c>
    </row>
    <row r="35" spans="2:16" ht="15.75" customHeight="1" thickBot="1" x14ac:dyDescent="0.4">
      <c r="N35" s="204" t="s">
        <v>92</v>
      </c>
      <c r="O35" s="205"/>
      <c r="P35" s="160">
        <f>P33+P34</f>
        <v>3901.4563706999993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7" workbookViewId="0">
      <selection activeCell="J17" sqref="J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7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116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114</v>
      </c>
      <c r="B6" s="230"/>
      <c r="C6" s="230"/>
      <c r="F6" s="70"/>
      <c r="G6" s="74"/>
      <c r="K6" s="230" t="s">
        <v>52</v>
      </c>
      <c r="L6" s="230"/>
      <c r="M6" s="230"/>
      <c r="N6" s="243" t="s">
        <v>98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9" t="s">
        <v>117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>
        <v>1</v>
      </c>
      <c r="K16" s="104">
        <f>I16*$K$13</f>
        <v>0</v>
      </c>
      <c r="L16" s="105">
        <f>I16*8%</f>
        <v>83.94</v>
      </c>
      <c r="M16" s="106">
        <f>I16-K16-L16</f>
        <v>965.31</v>
      </c>
      <c r="N16" s="106">
        <f t="shared" ref="N16:N24" si="0">(M16*$N$15)+(J16*F16)*$N$15</f>
        <v>223.90995000000001</v>
      </c>
      <c r="O16" s="107">
        <f>(N16+M16)*$O$15</f>
        <v>5.9460997500000001</v>
      </c>
      <c r="P16" s="105">
        <f t="shared" ref="P16:P24" si="1">M16+N16+O16</f>
        <v>1195.16604975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14</v>
      </c>
      <c r="I17" s="116">
        <f t="shared" ref="I17:I23" si="2">(G17*D17)*F17+H17*F17</f>
        <v>734.47500000000002</v>
      </c>
      <c r="J17" s="117">
        <v>1</v>
      </c>
      <c r="K17" s="1">
        <f t="shared" ref="K17:K21" si="3">I17*$K$13</f>
        <v>0</v>
      </c>
      <c r="L17" s="105">
        <f t="shared" ref="L17:L21" si="4">I17*8%</f>
        <v>58.758000000000003</v>
      </c>
      <c r="M17" s="118">
        <f t="shared" ref="M17:M23" si="5">I17-K17-L17</f>
        <v>675.71699999999998</v>
      </c>
      <c r="N17" s="118">
        <f t="shared" si="0"/>
        <v>160.19949</v>
      </c>
      <c r="O17" s="119">
        <f t="shared" ref="O17:O24" si="6">(N17+M17)*$O$15</f>
        <v>4.1795824499999998</v>
      </c>
      <c r="P17" s="120">
        <f t="shared" si="1"/>
        <v>840.09607244999995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34</v>
      </c>
      <c r="I25" s="137">
        <f t="shared" si="9"/>
        <v>1783.7249999999999</v>
      </c>
      <c r="J25" s="138"/>
      <c r="K25" s="139">
        <f t="shared" si="9"/>
        <v>0</v>
      </c>
      <c r="L25" s="140">
        <f t="shared" si="9"/>
        <v>142.69800000000001</v>
      </c>
      <c r="M25" s="141">
        <f t="shared" si="9"/>
        <v>1641.027</v>
      </c>
      <c r="N25" s="142">
        <f>SUM(N16:N24)</f>
        <v>384.10944000000001</v>
      </c>
      <c r="O25" s="143">
        <f>SUM(O16:O24)</f>
        <v>10.1256822</v>
      </c>
      <c r="P25" s="144">
        <f>SUM(P16:P24)</f>
        <v>2035.2621221999998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1783.7249999999999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142.69800000000001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1641.0269999999998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384.10944000000001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2025.1364399999998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5.0000000000000001E-3</v>
      </c>
      <c r="P34" s="153">
        <f>O34*P33</f>
        <v>10.125682199999998</v>
      </c>
    </row>
    <row r="35" spans="2:16" ht="15.75" customHeight="1" thickBot="1" x14ac:dyDescent="0.4">
      <c r="N35" s="204" t="s">
        <v>92</v>
      </c>
      <c r="O35" s="205"/>
      <c r="P35" s="160">
        <f>P33+P34</f>
        <v>2035.2621221999998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7" workbookViewId="0">
      <selection activeCell="J21" sqref="J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8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118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109</v>
      </c>
      <c r="B6" s="230"/>
      <c r="C6" s="230"/>
      <c r="F6" s="70"/>
      <c r="G6" s="74"/>
      <c r="K6" s="230" t="s">
        <v>52</v>
      </c>
      <c r="L6" s="230"/>
      <c r="M6" s="230"/>
      <c r="N6" s="243" t="s">
        <v>98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841315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0.12</v>
      </c>
      <c r="M15" s="251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I16*12%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I17*12%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40</v>
      </c>
      <c r="I18" s="116">
        <f t="shared" si="2"/>
        <v>2098.5</v>
      </c>
      <c r="J18" s="117">
        <v>2</v>
      </c>
      <c r="K18" s="1">
        <f t="shared" si="3"/>
        <v>0</v>
      </c>
      <c r="L18" s="105">
        <f t="shared" si="4"/>
        <v>251.82</v>
      </c>
      <c r="M18" s="118">
        <f t="shared" si="5"/>
        <v>1846.68</v>
      </c>
      <c r="N18" s="118">
        <f t="shared" si="0"/>
        <v>351.28890000000001</v>
      </c>
      <c r="O18" s="119">
        <f t="shared" si="6"/>
        <v>10.9898445</v>
      </c>
      <c r="P18" s="120">
        <f t="shared" si="1"/>
        <v>2208.9587444999997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40</v>
      </c>
      <c r="I25" s="137">
        <f t="shared" si="9"/>
        <v>2098.5</v>
      </c>
      <c r="J25" s="138"/>
      <c r="K25" s="139">
        <f t="shared" si="9"/>
        <v>0</v>
      </c>
      <c r="L25" s="140">
        <f t="shared" si="9"/>
        <v>251.82</v>
      </c>
      <c r="M25" s="141">
        <f t="shared" si="9"/>
        <v>1846.68</v>
      </c>
      <c r="N25" s="142">
        <f>SUM(N16:N24)</f>
        <v>351.28890000000001</v>
      </c>
      <c r="O25" s="143">
        <f>SUM(O16:O24)</f>
        <v>10.9898445</v>
      </c>
      <c r="P25" s="144">
        <f>SUM(P16:P24)</f>
        <v>2208.9587444999997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2098.5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251.82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1846.68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0.18</v>
      </c>
      <c r="P32" s="153">
        <f>N25</f>
        <v>351.28890000000001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2197.9688999999998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5.0000000000000001E-3</v>
      </c>
      <c r="P34" s="153">
        <f>O34*P33</f>
        <v>10.9898445</v>
      </c>
    </row>
    <row r="35" spans="2:16" ht="15.75" customHeight="1" thickBot="1" x14ac:dyDescent="0.4">
      <c r="N35" s="204" t="s">
        <v>92</v>
      </c>
      <c r="O35" s="205"/>
      <c r="P35" s="160">
        <f>P33+P34</f>
        <v>2208.9587444999997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9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7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C11" sqref="C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80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E5" sqref="E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2026-06-23T06:02:07Z</dcterms:modified>
</cp:coreProperties>
</file>