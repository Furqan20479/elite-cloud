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4658342-FD6A-4BAC-BAA1-89D49E5F03E6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23" l="1"/>
  <c r="L18" i="23"/>
  <c r="L19" i="23"/>
  <c r="L16" i="23"/>
  <c r="I17" i="21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I23" i="23"/>
  <c r="L17" i="2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3" l="1"/>
  <c r="L21" i="23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18"/>
  <c r="M16" i="15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<sst xmlns="http://schemas.openxmlformats.org/spreadsheetml/2006/main" count="1580" uniqueCount="119">
  <si>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</si>
  <si>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</si>
  <si>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</si>
  <si>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</si>
  <si>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</si>
  <si>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</si>
  <si>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</si>
  <si>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</si>
  <si>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</si>
  <si>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</si>
  <si>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</si>
  <si>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</si>
  <si>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</si>
  <si>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</si>
  <si>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</si>
  <si>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</si>
  <si>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</si>
  <si>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</si>
  <si>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</si>
  <si>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</si>
  <si>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</si>
  <si>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</si>
  <si>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</si>
  <si>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</si>
  <si>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</si>
  <si>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</si>
  <si>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</si>
  <si>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</si>
  <si>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</si>
  <si>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</si>
  <si>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</si>
  <si>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</si>
  <si>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</si>
  <si>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</si>
  <si>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</si>
  <si>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</si>
  <si>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</si>
  <si>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</si>
  <si>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</si>
  <si>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</si>
  <si>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</si>
  <si>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</si>
  <si>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</si>
  <si>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</si>
  <si>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</si>
  <si>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</si>
  <si>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</si>
  <si>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</si>
  <si>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</si>
  <si>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</si>
  <si>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</si>
  <si>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</si>
  <si>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</si>
  <si>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</si>
  <si>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</si>
  <si>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</si>
  <si>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</si>
  <si>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</si>
  <si>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</si>
  <si>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</si>
  <si>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</si>
  <si>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</si>
  <si>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</si>
  <si>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</si>
  <si>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</si>
  <si>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</si>
  <si>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</si>
  <si>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</si>
  <si>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</si>
  <si>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</si>
  <si>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</si>
  <si>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</si>
  <si>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</si>
  <si>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</si>
  <si>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</si>
  <si>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</si>
  <si>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</si>
  <si>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</si>
  <si>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</si>
  <si>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</si>
  <si>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</si>
  <si>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</si>
  <si>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</si>
  <si>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</si>
  <si>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</si>
  <si>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</si>
  <si>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</si>
  <si>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</si>
  <si>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</si>
  <si>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</si>
  <si>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</si>
  <si>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</si>
  <si>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</si>
  <si>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</si>
  <si>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</si>
  <si>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</si>
  <si>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</si>
  <si>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</si>
  <si>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</si>
  <si>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</si>
  <si>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</si>
  <si>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</si>
  <si>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</si>
  <si>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</si>
  <si>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(Salman)</t>
  </si>
  <si>
    <t>Salman</t>
  </si>
  <si>
    <t>Customer Name : Wali Super Store</t>
  </si>
  <si>
    <t>Address: calevary Ground</t>
  </si>
  <si>
    <t>Customer Name : Alfatah Super Store</t>
  </si>
  <si>
    <t>Address: Calvery Ground</t>
  </si>
  <si>
    <t>Customer Name : Ali General Store</t>
  </si>
  <si>
    <t>7401062-2</t>
  </si>
  <si>
    <t>Customer Name : Khurram Super Store</t>
  </si>
  <si>
    <t>Customer Name : Ashiana Store</t>
  </si>
  <si>
    <t>Address: Calevery Ground</t>
  </si>
  <si>
    <t>Customer Name : Sher Rubai Store</t>
  </si>
  <si>
    <t>Customer Name : Abdullah Super Store</t>
  </si>
  <si>
    <t>E389702-2</t>
  </si>
  <si>
    <t>Customer Name : Best Buy Super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</si>
</sst>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zoomScale="70" zoomScaleNormal="70" workbookViewId="0">
      <selection activeCell="B16" sqref="B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105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104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Wali Super Store</v>
      </c>
      <c r="U14" s="164">
        <f>+'1'!P35</f>
        <v>2437.9008974999997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Alfatah Super Store</v>
      </c>
      <c r="U15" s="164">
        <f>+'2'!P35</f>
        <v>929.00070374999996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54</v>
      </c>
      <c r="I16" s="1">
        <f>(G16*D16)*F16+H16*F16</f>
        <v>2832.9749999999999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226.63799999999998</v>
      </c>
      <c r="M16" s="106">
        <f>I16-K16-L16</f>
        <v>2606.337</v>
      </c>
      <c r="N16" s="101">
        <f>+'1'!N16+'2'!N16+'4'!N16+'3'!N16+'5'!N16+'6'!N16+'7'!N16+'8'!N16+'9'!N16+'10'!N16</f>
        <v>584.93588999999997</v>
      </c>
      <c r="O16" s="101">
        <f>+'1'!O16+'2'!O16+'4'!O16+'3'!O16+'5'!O16+'6'!O16+'7'!O16+'8'!O16+'9'!O16+'10'!O16</f>
        <v>45.398319450000002</v>
      </c>
      <c r="P16" s="105">
        <f t="shared" ref="P16:P24" si="0">M16+N16+O16</f>
        <v>3236.6712094500003</v>
      </c>
      <c r="Q16" s="108"/>
      <c r="T16" s="163" t="str">
        <f>+'4'!A5</f>
        <v>Customer Name : Khurram Super Store</v>
      </c>
      <c r="U16" s="164">
        <f>+'4'!P35</f>
        <v>1002.8329728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57</v>
      </c>
      <c r="I17" s="1">
        <f t="shared" ref="I17:I23" si="1">(G17*D17)*F17+H17*F17</f>
        <v>2990.3624999999997</v>
      </c>
      <c r="J17" s="172">
        <f>+'1'!J17+'2'!J17+'4'!J17+'3'!J17+'5'!J17+'6'!J17+'7'!J17+'8'!J17+'9'!J17+'10'!J17+'11'!J17+'12'!J17+'13'!J17+'14'!J17+'15'!J17+'16'!J17+'17'!J17+'18'!J17</f>
        <v>7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239.22899999999998</v>
      </c>
      <c r="M17" s="118">
        <f t="shared" ref="M17:M23" si="2">I17-K17-L17</f>
        <v>2751.1334999999999</v>
      </c>
      <c r="N17" s="101">
        <f>+'1'!N17+'2'!N17+'4'!N17+'3'!N17+'5'!N17+'6'!N17+'7'!N17+'8'!N17+'9'!N17+'10'!N17</f>
        <v>686.04161999999997</v>
      </c>
      <c r="O17" s="101">
        <f>+'1'!O17+'2'!O17+'4'!O17+'3'!O17+'5'!O17+'6'!O17+'7'!O17+'8'!O17+'9'!O17+'10'!O17</f>
        <v>41.893614599999999</v>
      </c>
      <c r="P17" s="120">
        <f t="shared" si="0"/>
        <v>3479.0687346</v>
      </c>
      <c r="S17" s="64"/>
      <c r="T17" s="163" t="str">
        <f>+'3'!A5</f>
        <v>Customer Name : Ali General Store</v>
      </c>
      <c r="U17" s="164">
        <f>+'3'!P35</f>
        <v>1609.4143566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75</v>
      </c>
      <c r="I18" s="1">
        <f t="shared" si="1"/>
        <v>3934.6875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398.71499999999997</v>
      </c>
      <c r="M18" s="118">
        <f t="shared" si="2"/>
        <v>3535.9724999999999</v>
      </c>
      <c r="N18" s="101">
        <f>+'1'!N18+'2'!N18+'4'!N18+'3'!N18+'5'!N18+'6'!N18+'7'!N18+'8'!N18+'9'!N18+'10'!N18</f>
        <v>722.93325000000004</v>
      </c>
      <c r="O18" s="101">
        <f>+'1'!O18+'2'!O18+'4'!O18+'3'!O18+'5'!O18+'6'!O18+'7'!O18+'8'!O18+'9'!O18+'10'!O18</f>
        <v>56.624874750000004</v>
      </c>
      <c r="P18" s="120">
        <f t="shared" si="0"/>
        <v>4315.5306247500002</v>
      </c>
      <c r="T18" s="163" t="str">
        <f>+'5'!A5</f>
        <v>Customer Name : Ashiana Store</v>
      </c>
      <c r="U18" s="164">
        <f>+'5'!P35</f>
        <v>3408.1355431500006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27</v>
      </c>
      <c r="I19" s="1">
        <f t="shared" si="1"/>
        <v>1961.28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156.9024</v>
      </c>
      <c r="M19" s="118">
        <f t="shared" si="2"/>
        <v>1804.3776</v>
      </c>
      <c r="N19" s="101">
        <f>+'1'!N19+'2'!N19+'4'!N19+'3'!N19+'5'!N19+'6'!N19+'7'!N19+'8'!N19+'9'!N19+'10'!N19</f>
        <v>396.96307200000001</v>
      </c>
      <c r="O19" s="101">
        <f>+'1'!O19+'2'!O19+'4'!O19+'3'!O19+'5'!O19+'6'!O19+'7'!O19+'8'!O19+'9'!O19+'10'!O19</f>
        <v>30.574176000000001</v>
      </c>
      <c r="P19" s="120">
        <f t="shared" si="0"/>
        <v>2231.9148480000003</v>
      </c>
      <c r="T19" s="163" t="str">
        <f>+'6'!A5</f>
        <v>Customer Name : Sher Rubai Store</v>
      </c>
      <c r="U19" s="164">
        <f>+'6'!P35</f>
        <v>3901.4563706999993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23</v>
      </c>
      <c r="I20" s="1">
        <f t="shared" si="1"/>
        <v>1670.72</v>
      </c>
      <c r="J20" s="172">
        <f>+'1'!J20+'2'!J20+'4'!J20+'3'!J20+'5'!J20+'6'!J20+'7'!J20+'8'!J20+'9'!J20+'10'!J20+'11'!J20+'12'!J20+'13'!J20+'14'!J20+'15'!J20+'16'!J20+'17'!J20+'18'!J20</f>
        <v>3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133.6576</v>
      </c>
      <c r="M20" s="118">
        <f t="shared" si="2"/>
        <v>1537.0624</v>
      </c>
      <c r="N20" s="101">
        <f>+'1'!N20+'2'!N20+'4'!N20+'3'!N20+'5'!N20+'6'!N20+'7'!N20+'8'!N20+'9'!N20+'10'!N20</f>
        <v>386.09612800000002</v>
      </c>
      <c r="O20" s="101">
        <f>+'1'!O20+'2'!O20+'4'!O20+'3'!O20+'5'!O20+'6'!O20+'7'!O20+'8'!O20+'9'!O20+'10'!O20</f>
        <v>31.133503999999999</v>
      </c>
      <c r="P20" s="120">
        <f t="shared" si="0"/>
        <v>1954.2920319999998</v>
      </c>
      <c r="T20" s="163" t="str">
        <f>+'7'!A5</f>
        <v>Customer Name : Abdullah Super Store</v>
      </c>
      <c r="U20" s="164">
        <f>+'7'!P35</f>
        <v>2035.2621221999998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28</v>
      </c>
      <c r="I21" s="1">
        <f t="shared" si="1"/>
        <v>2033.92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162.71359999999999</v>
      </c>
      <c r="M21" s="118">
        <f t="shared" si="2"/>
        <v>1871.2064</v>
      </c>
      <c r="N21" s="101">
        <f>+'1'!N21+'2'!N21+'4'!N21+'3'!N21+'5'!N21+'6'!N21+'7'!N21+'8'!N21+'9'!N21+'10'!N21</f>
        <v>411.66540799999996</v>
      </c>
      <c r="O21" s="101">
        <f>+'1'!O21+'2'!O21+'4'!O21+'3'!O21+'5'!O21+'6'!O21+'7'!O21+'8'!O21+'9'!O21+'10'!O21</f>
        <v>32.612454400000004</v>
      </c>
      <c r="P21" s="120">
        <f t="shared" si="0"/>
        <v>2315.4842623999998</v>
      </c>
      <c r="T21" s="163" t="str">
        <f>+'8'!A5</f>
        <v>Customer Name : Best Buy Super store</v>
      </c>
      <c r="U21" s="164">
        <f>+'8'!P35</f>
        <v>2208.9587444999997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6.6</v>
      </c>
      <c r="D25" s="222"/>
      <c r="E25" s="222"/>
      <c r="F25" s="222"/>
      <c r="G25" s="176">
        <f t="shared" ref="G25:M25" si="3">SUM(G16:G24)</f>
        <v>0</v>
      </c>
      <c r="H25" s="177">
        <f t="shared" si="3"/>
        <v>264</v>
      </c>
      <c r="I25" s="178">
        <f t="shared" si="3"/>
        <v>15423.945</v>
      </c>
      <c r="J25" s="177">
        <f t="shared" si="3"/>
        <v>13</v>
      </c>
      <c r="K25" s="178">
        <f t="shared" si="3"/>
        <v>0</v>
      </c>
      <c r="L25" s="179">
        <f t="shared" si="3"/>
        <v>1317.8555999999999</v>
      </c>
      <c r="M25" s="141">
        <f t="shared" si="3"/>
        <v>14106.089400000001</v>
      </c>
      <c r="N25" s="142">
        <f>SUM(N16:N24)</f>
        <v>3188.6353680000002</v>
      </c>
      <c r="O25" s="143">
        <f>SUM(O16:O24)</f>
        <v>238.23694319999998</v>
      </c>
      <c r="P25" s="144">
        <f>SUM(P16:P24)</f>
        <v>17532.961711200001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17532.961711199998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15423.945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1317.8555999999999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0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14106.089400000001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3188.6353680000002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17294.724768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432.36811920000002</v>
      </c>
    </row>
    <row r="39" spans="2:16" ht="15.75" customHeight="1" thickBot="1" x14ac:dyDescent="0.4">
      <c r="N39" s="220" t="s">
        <v>92</v>
      </c>
      <c r="O39" s="221"/>
      <c r="P39" s="160">
        <f>P37+P38</f>
        <v>17727.0928872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I17" sqref="I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107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159.27615</v>
      </c>
      <c r="O16" s="107">
        <f t="shared" ref="O16:O24" si="1">(N16+M16)*$O$15</f>
        <v>22.081466250000002</v>
      </c>
      <c r="P16" s="105">
        <f t="shared" ref="P16:P24" si="2">M16+N16+O16</f>
        <v>905.34011624999994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3">(G17*D17)*F17+H17*F17</f>
        <v>524.625</v>
      </c>
      <c r="J17" s="117">
        <v>2</v>
      </c>
      <c r="K17" s="1">
        <f t="shared" ref="K17:K21" si="4">I17*$K$13</f>
        <v>0</v>
      </c>
      <c r="L17" s="105">
        <f t="shared" ref="L17:L21" si="5">I17*8%</f>
        <v>41.97</v>
      </c>
      <c r="M17" s="118">
        <f t="shared" ref="M17:M23" si="6">I17-K17-L17</f>
        <v>482.65499999999997</v>
      </c>
      <c r="N17" s="118">
        <f t="shared" si="0"/>
        <v>129.26760000000002</v>
      </c>
      <c r="O17" s="119">
        <f t="shared" si="1"/>
        <v>15.298065000000001</v>
      </c>
      <c r="P17" s="120">
        <f t="shared" si="2"/>
        <v>627.22066499999994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3"/>
        <v>786.9375</v>
      </c>
      <c r="J18" s="117"/>
      <c r="K18" s="1">
        <f t="shared" si="4"/>
        <v>0</v>
      </c>
      <c r="L18" s="105">
        <f t="shared" si="5"/>
        <v>62.954999999999998</v>
      </c>
      <c r="M18" s="118">
        <f t="shared" si="6"/>
        <v>723.98249999999996</v>
      </c>
      <c r="N18" s="118">
        <f t="shared" si="0"/>
        <v>159.27615</v>
      </c>
      <c r="O18" s="119">
        <f t="shared" si="1"/>
        <v>22.081466250000002</v>
      </c>
      <c r="P18" s="120">
        <f t="shared" si="2"/>
        <v>905.34011624999994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447.81990000000008</v>
      </c>
      <c r="O25" s="143">
        <f>SUM(O16:O24)</f>
        <v>59.460997500000005</v>
      </c>
      <c r="P25" s="144">
        <f>SUM(P16:P24)</f>
        <v>2437.9008974999997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2098.5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167.88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1930.62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447.81990000000008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2378.4398999999999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59.460997499999998</v>
      </c>
    </row>
    <row r="35" spans="2:16" ht="15.75" customHeight="1" thickBot="1" x14ac:dyDescent="0.4">
      <c r="N35" s="220" t="s">
        <v>92</v>
      </c>
      <c r="O35" s="221"/>
      <c r="P35" s="160">
        <f>P33+P34</f>
        <v>2437.9008974999997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>
        <v>2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23.083500000000001</v>
      </c>
      <c r="O17" s="119">
        <f t="shared" ref="O17:O24" si="6">(N17+M17)*$O$15</f>
        <v>0.57708750000000009</v>
      </c>
      <c r="P17" s="120">
        <f t="shared" si="1"/>
        <v>23.660587500000002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159.27615</v>
      </c>
      <c r="O18" s="119">
        <f t="shared" si="6"/>
        <v>22.081466250000002</v>
      </c>
      <c r="P18" s="120">
        <f t="shared" si="1"/>
        <v>905.34011624999994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15</v>
      </c>
      <c r="I25" s="137">
        <f t="shared" si="9"/>
        <v>786.9375</v>
      </c>
      <c r="J25" s="138"/>
      <c r="K25" s="139">
        <f t="shared" si="9"/>
        <v>0</v>
      </c>
      <c r="L25" s="140">
        <f t="shared" si="9"/>
        <v>62.954999999999998</v>
      </c>
      <c r="M25" s="141">
        <f t="shared" si="9"/>
        <v>723.98249999999996</v>
      </c>
      <c r="N25" s="142">
        <f>SUM(N16:N24)</f>
        <v>182.35964999999999</v>
      </c>
      <c r="O25" s="143">
        <f>SUM(O16:O24)</f>
        <v>22.658553750000003</v>
      </c>
      <c r="P25" s="144">
        <f>SUM(P16:P24)</f>
        <v>929.00070374999996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786.9375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62.954999999999998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723.98249999999996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182.35964999999999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906.34214999999995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22.658553749999999</v>
      </c>
    </row>
    <row r="35" spans="2:16" ht="15.75" customHeight="1" thickBot="1" x14ac:dyDescent="0.4">
      <c r="N35" s="220" t="s">
        <v>92</v>
      </c>
      <c r="O35" s="221"/>
      <c r="P35" s="160">
        <f>P33+P34</f>
        <v>929.00070374999996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110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111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9</v>
      </c>
      <c r="I16" s="102">
        <f>(G16*D16)*F16+H16*F16</f>
        <v>472.16249999999997</v>
      </c>
      <c r="J16" s="103"/>
      <c r="K16" s="104">
        <f>I16*$K$13</f>
        <v>0</v>
      </c>
      <c r="L16" s="105">
        <f>I16*8%</f>
        <v>37.772999999999996</v>
      </c>
      <c r="M16" s="106">
        <f>I16-K16-L16</f>
        <v>434.3895</v>
      </c>
      <c r="N16" s="106">
        <f t="shared" ref="N16:N24" si="0">(M16*$N$15)+(J16*F16)*$N$15</f>
        <v>95.565690000000004</v>
      </c>
      <c r="O16" s="107">
        <f>(N16+M16)*$O$15</f>
        <v>2.64977595</v>
      </c>
      <c r="P16" s="105">
        <f t="shared" ref="P16:P24" si="1">M16+N16+O16</f>
        <v>532.60496595000006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13</v>
      </c>
      <c r="I17" s="116">
        <f t="shared" ref="I17:I23" si="2">(G17*D17)*F17+H17*F17</f>
        <v>682.01249999999993</v>
      </c>
      <c r="J17" s="117">
        <v>1</v>
      </c>
      <c r="K17" s="1">
        <f t="shared" ref="K17:K21" si="3">I17*$K$13</f>
        <v>0</v>
      </c>
      <c r="L17" s="105">
        <f t="shared" ref="L17:L21" si="4">I17*8%</f>
        <v>54.560999999999993</v>
      </c>
      <c r="M17" s="118">
        <f t="shared" ref="M17:M23" si="5">I17-K17-L17</f>
        <v>627.4514999999999</v>
      </c>
      <c r="N17" s="118">
        <f t="shared" si="0"/>
        <v>149.58107999999999</v>
      </c>
      <c r="O17" s="119">
        <f t="shared" ref="O17:O24" si="6">(N17+M17)*$O$15</f>
        <v>3.8851628999999992</v>
      </c>
      <c r="P17" s="120">
        <f t="shared" si="1"/>
        <v>780.91774289999978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5</v>
      </c>
      <c r="I18" s="116">
        <f t="shared" si="2"/>
        <v>262.3125</v>
      </c>
      <c r="J18" s="117"/>
      <c r="K18" s="1">
        <f t="shared" si="3"/>
        <v>0</v>
      </c>
      <c r="L18" s="105">
        <f t="shared" si="4"/>
        <v>20.984999999999999</v>
      </c>
      <c r="M18" s="118">
        <f t="shared" si="5"/>
        <v>241.32749999999999</v>
      </c>
      <c r="N18" s="118">
        <f t="shared" si="0"/>
        <v>53.09205</v>
      </c>
      <c r="O18" s="119">
        <f t="shared" si="6"/>
        <v>1.4720977499999999</v>
      </c>
      <c r="P18" s="120">
        <f t="shared" si="1"/>
        <v>295.89164774999995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27</v>
      </c>
      <c r="I25" s="137">
        <f t="shared" si="9"/>
        <v>1416.4875</v>
      </c>
      <c r="J25" s="138"/>
      <c r="K25" s="139">
        <f t="shared" si="9"/>
        <v>0</v>
      </c>
      <c r="L25" s="140">
        <f t="shared" si="9"/>
        <v>113.31899999999999</v>
      </c>
      <c r="M25" s="141">
        <f t="shared" si="9"/>
        <v>1303.1684999999998</v>
      </c>
      <c r="N25" s="142">
        <f>SUM(N16:N24)</f>
        <v>298.23882000000003</v>
      </c>
      <c r="O25" s="143">
        <f>SUM(O16:O24)</f>
        <v>8.0070365999999993</v>
      </c>
      <c r="P25" s="144">
        <f>SUM(P16:P24)</f>
        <v>1609.4143565999998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1416.4875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113.31899999999999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1303.1685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298.23882000000003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1601.40732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8.0070366000000011</v>
      </c>
    </row>
    <row r="35" spans="2:16" ht="15.75" customHeight="1" thickBot="1" x14ac:dyDescent="0.4">
      <c r="N35" s="220" t="s">
        <v>92</v>
      </c>
      <c r="O35" s="221"/>
      <c r="P35" s="160">
        <f>P33+P34</f>
        <v>1609.4143566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">
        <f t="shared" si="3"/>
        <v>0</v>
      </c>
      <c r="L19" s="105">
        <f t="shared" si="4"/>
        <v>69.734400000000008</v>
      </c>
      <c r="M19" s="118">
        <f t="shared" si="5"/>
        <v>801.94560000000001</v>
      </c>
      <c r="N19" s="118">
        <f t="shared" si="0"/>
        <v>176.428032</v>
      </c>
      <c r="O19" s="119">
        <f t="shared" si="6"/>
        <v>24.459340800000003</v>
      </c>
      <c r="P19" s="120">
        <f t="shared" si="1"/>
        <v>1002.8329728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12</v>
      </c>
      <c r="I25" s="137">
        <f t="shared" si="9"/>
        <v>871.68000000000006</v>
      </c>
      <c r="J25" s="138"/>
      <c r="K25" s="139">
        <f t="shared" si="9"/>
        <v>0</v>
      </c>
      <c r="L25" s="140">
        <f t="shared" si="9"/>
        <v>69.734400000000008</v>
      </c>
      <c r="M25" s="141">
        <f t="shared" si="9"/>
        <v>801.94560000000001</v>
      </c>
      <c r="N25" s="142">
        <f>SUM(N16:N24)</f>
        <v>176.428032</v>
      </c>
      <c r="O25" s="143">
        <f>SUM(O16:O24)</f>
        <v>24.459340800000003</v>
      </c>
      <c r="P25" s="144">
        <f>SUM(P16:P24)</f>
        <v>1002.8329728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871.68000000000006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69.734400000000008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801.94560000000001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176.428032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978.37363200000004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24.459340800000003</v>
      </c>
    </row>
    <row r="35" spans="2:16" ht="15.75" customHeight="1" thickBot="1" x14ac:dyDescent="0.4">
      <c r="N35" s="220" t="s">
        <v>92</v>
      </c>
      <c r="O35" s="221"/>
      <c r="P35" s="160">
        <f>P33+P34</f>
        <v>1002.8329728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114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14.720977499999998</v>
      </c>
      <c r="P16" s="105">
        <f t="shared" ref="P16:P24" si="1">M16+N16+O16</f>
        <v>603.56007749999992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117.72585000000001</v>
      </c>
      <c r="O17" s="119">
        <f t="shared" ref="O17:O24" si="6">(N17+M17)*$O$15</f>
        <v>15.009521250000001</v>
      </c>
      <c r="P17" s="120">
        <f t="shared" si="1"/>
        <v>615.39037125000004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>
        <v>1</v>
      </c>
      <c r="K20" s="1">
        <f t="shared" si="3"/>
        <v>0</v>
      </c>
      <c r="L20" s="105">
        <f t="shared" si="4"/>
        <v>75.545600000000007</v>
      </c>
      <c r="M20" s="118">
        <f t="shared" si="5"/>
        <v>868.77440000000001</v>
      </c>
      <c r="N20" s="118">
        <f t="shared" si="0"/>
        <v>207.11116799999999</v>
      </c>
      <c r="O20" s="119">
        <f t="shared" si="6"/>
        <v>26.897139199999998</v>
      </c>
      <c r="P20" s="120">
        <f t="shared" si="1"/>
        <v>1102.7827072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13</v>
      </c>
      <c r="I21" s="116">
        <f t="shared" si="2"/>
        <v>944.32</v>
      </c>
      <c r="J21" s="117"/>
      <c r="K21" s="1">
        <f t="shared" si="3"/>
        <v>0</v>
      </c>
      <c r="L21" s="105">
        <f t="shared" si="4"/>
        <v>75.545600000000007</v>
      </c>
      <c r="M21" s="118">
        <f t="shared" si="5"/>
        <v>868.77440000000001</v>
      </c>
      <c r="N21" s="118">
        <f t="shared" si="0"/>
        <v>191.130368</v>
      </c>
      <c r="O21" s="119">
        <f t="shared" si="6"/>
        <v>26.497619200000003</v>
      </c>
      <c r="P21" s="120">
        <f t="shared" si="1"/>
        <v>1086.4023872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46</v>
      </c>
      <c r="I25" s="137">
        <f t="shared" si="9"/>
        <v>2937.8900000000003</v>
      </c>
      <c r="J25" s="138"/>
      <c r="K25" s="139">
        <f t="shared" si="9"/>
        <v>0</v>
      </c>
      <c r="L25" s="140">
        <f t="shared" si="9"/>
        <v>235.03120000000001</v>
      </c>
      <c r="M25" s="141">
        <f t="shared" si="9"/>
        <v>2702.8588</v>
      </c>
      <c r="N25" s="142">
        <f>SUM(N16:N24)</f>
        <v>622.15148599999998</v>
      </c>
      <c r="O25" s="143">
        <f>SUM(O16:O24)</f>
        <v>83.125257149999996</v>
      </c>
      <c r="P25" s="144">
        <f>SUM(P16:P24)</f>
        <v>3408.1355431499996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2937.8900000000003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235.03120000000001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2702.8588000000004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622.15148599999998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3325.0102860000006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83.125257150000024</v>
      </c>
    </row>
    <row r="35" spans="2:16" ht="15.75" customHeight="1" thickBot="1" x14ac:dyDescent="0.4">
      <c r="N35" s="220" t="s">
        <v>92</v>
      </c>
      <c r="O35" s="221"/>
      <c r="P35" s="160">
        <f>P33+P34</f>
        <v>3408.1355431500006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3520145889633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0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2.9441954999999997</v>
      </c>
      <c r="P17" s="120">
        <f t="shared" si="1"/>
        <v>591.78329549999989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4.2363648000000005</v>
      </c>
      <c r="P20" s="120">
        <f t="shared" si="1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50</v>
      </c>
      <c r="I25" s="137">
        <f t="shared" si="9"/>
        <v>3430.2249999999999</v>
      </c>
      <c r="J25" s="138"/>
      <c r="K25" s="139">
        <f t="shared" si="9"/>
        <v>0</v>
      </c>
      <c r="L25" s="140">
        <f t="shared" si="9"/>
        <v>274.41799999999995</v>
      </c>
      <c r="M25" s="141">
        <f t="shared" si="9"/>
        <v>3155.8069999999998</v>
      </c>
      <c r="N25" s="142">
        <f>SUM(N16:N24)</f>
        <v>726.23913999999991</v>
      </c>
      <c r="O25" s="143">
        <f>SUM(O16:O24)</f>
        <v>19.4102307</v>
      </c>
      <c r="P25" s="144">
        <f>SUM(P16:P24)</f>
        <v>3901.4563707000002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3430.2249999999999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274.41799999999995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3155.8069999999998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726.23913999999991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3882.0461399999995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19.410230699999996</v>
      </c>
    </row>
    <row r="35" spans="2:16" ht="15.75" customHeight="1" thickBot="1" x14ac:dyDescent="0.4">
      <c r="N35" s="220" t="s">
        <v>92</v>
      </c>
      <c r="O35" s="221"/>
      <c r="P35" s="160">
        <f>P33+P34</f>
        <v>3901.4563706999993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activeCell="J17" sqref="J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114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117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14</v>
      </c>
      <c r="I17" s="116">
        <f t="shared" ref="I17:I23" si="2">(G17*D17)*F17+H17*F17</f>
        <v>734.47500000000002</v>
      </c>
      <c r="J17" s="117">
        <v>1</v>
      </c>
      <c r="K17" s="1">
        <f t="shared" ref="K17:K21" si="3">I17*$K$13</f>
        <v>0</v>
      </c>
      <c r="L17" s="105">
        <f t="shared" ref="L17:L21" si="4">I17*8%</f>
        <v>58.758000000000003</v>
      </c>
      <c r="M17" s="118">
        <f t="shared" ref="M17:M23" si="5">I17-K17-L17</f>
        <v>675.71699999999998</v>
      </c>
      <c r="N17" s="118">
        <f t="shared" si="0"/>
        <v>160.19949</v>
      </c>
      <c r="O17" s="119">
        <f t="shared" ref="O17:O24" si="6">(N17+M17)*$O$15</f>
        <v>4.1795824499999998</v>
      </c>
      <c r="P17" s="120">
        <f t="shared" si="1"/>
        <v>840.09607244999995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34</v>
      </c>
      <c r="I25" s="137">
        <f t="shared" si="9"/>
        <v>1783.7249999999999</v>
      </c>
      <c r="J25" s="138"/>
      <c r="K25" s="139">
        <f t="shared" si="9"/>
        <v>0</v>
      </c>
      <c r="L25" s="140">
        <f t="shared" si="9"/>
        <v>142.69800000000001</v>
      </c>
      <c r="M25" s="141">
        <f t="shared" si="9"/>
        <v>1641.027</v>
      </c>
      <c r="N25" s="142">
        <f>SUM(N16:N24)</f>
        <v>384.10944000000001</v>
      </c>
      <c r="O25" s="143">
        <f>SUM(O16:O24)</f>
        <v>10.1256822</v>
      </c>
      <c r="P25" s="144">
        <f>SUM(P16:P24)</f>
        <v>2035.2621221999998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1783.7249999999999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142.69800000000001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1641.0269999999998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384.10944000000001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2025.1364399999998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10.125682199999998</v>
      </c>
    </row>
    <row r="35" spans="2:16" ht="15.75" customHeight="1" thickBot="1" x14ac:dyDescent="0.4">
      <c r="N35" s="220" t="s">
        <v>92</v>
      </c>
      <c r="O35" s="221"/>
      <c r="P35" s="160">
        <f>P33+P34</f>
        <v>2035.2621221999998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>
      <selection activeCell="J21" sqref="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841315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0.12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251.82</v>
      </c>
      <c r="M18" s="118">
        <f t="shared" si="5"/>
        <v>1846.68</v>
      </c>
      <c r="N18" s="118">
        <f t="shared" si="0"/>
        <v>351.28890000000001</v>
      </c>
      <c r="O18" s="119">
        <f t="shared" si="6"/>
        <v>10.9898445</v>
      </c>
      <c r="P18" s="120">
        <f t="shared" si="1"/>
        <v>2208.9587444999997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251.82</v>
      </c>
      <c r="M25" s="141">
        <f t="shared" si="9"/>
        <v>1846.68</v>
      </c>
      <c r="N25" s="142">
        <f>SUM(N16:N24)</f>
        <v>351.28890000000001</v>
      </c>
      <c r="O25" s="143">
        <f>SUM(O16:O24)</f>
        <v>10.9898445</v>
      </c>
      <c r="P25" s="144">
        <f>SUM(P16:P24)</f>
        <v>2208.9587444999997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2098.5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251.82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1846.68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351.28890000000001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2197.9688999999998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10.9898445</v>
      </c>
    </row>
    <row r="35" spans="2:16" ht="15.75" customHeight="1" thickBot="1" x14ac:dyDescent="0.4">
      <c r="N35" s="220" t="s">
        <v>92</v>
      </c>
      <c r="O35" s="221"/>
      <c r="P35" s="160">
        <f>P33+P34</f>
        <v>2208.9587444999997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E5" sqref="E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2026-06-24T08:49:28Z</dcterms:modified>
</cp:coreProperties>
</file>