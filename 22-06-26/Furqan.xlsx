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7F8EF986-B987-4059-87A8-632B1379C608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5" i="19" l="1"/>
  <c r="P30" i="19" s="1"/>
  <c r="K22" i="15"/>
  <c r="M19" i="18"/>
  <c r="N19" i="18" s="1"/>
  <c r="O19" i="18" s="1"/>
  <c r="P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P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2" i="15" l="1"/>
  <c r="M18" i="15"/>
  <c r="N16" i="18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<sst xmlns="http://schemas.openxmlformats.org/spreadsheetml/2006/main" count="1583" uniqueCount="123">
  <si>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</si>
  <si>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</si>
  <si>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</si>
  <si>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</si>
  <si>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</si>
  <si>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</si>
  <si>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</si>
  <si>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</si>
  <si>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</si>
  <si>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</si>
  <si>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</si>
  <si>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</si>
  <si>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</si>
  <si>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</si>
  <si>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</si>
  <si>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</si>
  <si>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</si>
  <si>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</si>
  <si>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</si>
  <si>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</si>
  <si>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</si>
  <si>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</si>
  <si>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</si>
  <si>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</si>
  <si>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</si>
  <si>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</si>
  <si>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</si>
  <si>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</si>
  <si>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</si>
  <si>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</si>
  <si>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</si>
  <si>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</si>
  <si>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</si>
  <si>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</si>
  <si>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</si>
  <si>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</si>
  <si>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</si>
  <si>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</si>
  <si>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</si>
  <si>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</si>
  <si>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</si>
  <si>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</si>
  <si>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</si>
  <si>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</si>
  <si>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</si>
  <si>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</si>
  <si>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</si>
  <si>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</si>
  <si>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</si>
  <si>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</si>
  <si>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</si>
  <si>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</si>
  <si>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</si>
  <si>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</si>
  <si>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</si>
  <si>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</si>
  <si>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</si>
  <si>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</si>
  <si>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</si>
  <si>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</si>
  <si>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</si>
  <si>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</si>
  <si>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</si>
  <si>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</si>
  <si>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</si>
  <si>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</si>
  <si>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</si>
  <si>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</si>
  <si>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</si>
  <si>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</si>
  <si>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</si>
  <si>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</si>
  <si>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</si>
  <si>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</si>
  <si>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</si>
  <si>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</si>
  <si>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</si>
  <si>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</si>
  <si>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</si>
  <si>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</si>
  <si>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</si>
  <si>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</si>
  <si>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</si>
  <si>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</si>
  <si>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</si>
  <si>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</si>
  <si>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</si>
  <si>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</si>
  <si>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</si>
  <si>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</si>
  <si>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</si>
  <si>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</si>
  <si>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</si>
  <si>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</si>
  <si>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</si>
  <si>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</si>
  <si>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</si>
  <si>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</si>
  <si>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</si>
  <si>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</si>
  <si>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</si>
  <si>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</si>
  <si>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</si>
  <si>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</si>
  <si>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Shop Bill Summary (Furqan)</t>
  </si>
  <si>
    <t xml:space="preserve">Furqan </t>
  </si>
  <si>
    <t>Customer Name : Barkat Store</t>
  </si>
  <si>
    <t>Address: Near Rehman Store</t>
  </si>
  <si>
    <t>Customer Name : Arif Store</t>
  </si>
  <si>
    <t xml:space="preserve">Address: Gawal Mandi </t>
  </si>
  <si>
    <t>Customer Name : Mehboob Store</t>
  </si>
  <si>
    <t>Customer Name : Mairaj din Bakers</t>
  </si>
  <si>
    <t>Address: Nisbat Road</t>
  </si>
  <si>
    <t>1446856-7</t>
  </si>
  <si>
    <t>Customer Name : ASB Super store</t>
  </si>
  <si>
    <t>Address: Rabbani Road</t>
  </si>
  <si>
    <t>2506537-8</t>
  </si>
  <si>
    <t>Customer Name : Zeenat Store</t>
  </si>
  <si>
    <t>Address: Rabani Road</t>
  </si>
  <si>
    <t>C257014-1</t>
  </si>
  <si>
    <t>Customer Name : Chaudary General Store</t>
  </si>
  <si>
    <t xml:space="preserve">Address: Main Anarkali </t>
  </si>
  <si>
    <t>792884-8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</si>
</sst>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25" zoomScale="70" zoomScaleNormal="70" workbookViewId="0">
      <selection activeCell="T34" sqref="T3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105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104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Barkat Store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Arif Store</v>
      </c>
      <c r="U15" s="164">
        <f>+'2'!P35</f>
        <v>3309.6730752000003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6</v>
      </c>
      <c r="I16" s="1">
        <f>(G16*D16)*F16+H16*F16</f>
        <v>314.77499999999998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25.181999999999999</v>
      </c>
      <c r="M16" s="106">
        <f>I16-K16-L16</f>
        <v>289.59299999999996</v>
      </c>
      <c r="N16" s="101">
        <f>+'1'!N16+'2'!N16+'4'!N16+'3'!N16+'5'!N16+'6'!N16+'7'!N16+'8'!N16+'9'!N16+'10'!N16</f>
        <v>63.710459999999991</v>
      </c>
      <c r="O16" s="101">
        <f>+'1'!O16+'2'!O16+'4'!O16+'3'!O16+'5'!O16+'6'!O16+'7'!O16+'8'!O16+'9'!O16+'10'!O16</f>
        <v>1.7665172999999998</v>
      </c>
      <c r="P16" s="105">
        <f t="shared" ref="P16:P24" si="0">M16+N16+O16</f>
        <v>355.06997729999995</v>
      </c>
      <c r="Q16" s="108"/>
      <c r="T16" s="163" t="str">
        <f>+'4'!A5</f>
        <v>Customer Name : Mairaj din Bakers</v>
      </c>
      <c r="U16" s="164">
        <f>+'4'!P35</f>
        <v>1593.3468668400001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6</v>
      </c>
      <c r="I17" s="1">
        <f t="shared" ref="I17:I23" si="1">(G17*D17)*F17+H17*F17</f>
        <v>314.77499999999998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25.181999999999999</v>
      </c>
      <c r="M17" s="118">
        <f t="shared" ref="M17:M23" si="2">I17-K17-L17</f>
        <v>289.59299999999996</v>
      </c>
      <c r="N17" s="101">
        <f>+'1'!N17+'2'!N17+'4'!N17+'3'!N17+'5'!N17+'6'!N17+'7'!N17+'8'!N17+'9'!N17+'10'!N17</f>
        <v>63.710459999999991</v>
      </c>
      <c r="O17" s="101">
        <f>+'1'!O17+'2'!O17+'4'!O17+'3'!O17+'5'!O17+'6'!O17+'7'!O17+'8'!O17+'9'!O17+'10'!O17</f>
        <v>1.7665172999999998</v>
      </c>
      <c r="P17" s="120">
        <f t="shared" si="0"/>
        <v>355.06997729999995</v>
      </c>
      <c r="S17" s="64"/>
      <c r="T17" s="163" t="str">
        <f>+'3'!A5</f>
        <v>Customer Name : Mehboob Store</v>
      </c>
      <c r="U17" s="164">
        <f>+'3'!P35</f>
        <v>3309.6730752000003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6</v>
      </c>
      <c r="I18" s="1">
        <f t="shared" si="1"/>
        <v>314.77499999999998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25.181999999999999</v>
      </c>
      <c r="M18" s="118">
        <f t="shared" si="2"/>
        <v>289.59299999999996</v>
      </c>
      <c r="N18" s="101">
        <f>+'1'!N18+'2'!N18+'4'!N18+'3'!N18+'5'!N18+'6'!N18+'7'!N18+'8'!N18+'9'!N18+'10'!N18</f>
        <v>63.710459999999991</v>
      </c>
      <c r="O18" s="101">
        <f>+'1'!O18+'2'!O18+'4'!O18+'3'!O18+'5'!O18+'6'!O18+'7'!O18+'8'!O18+'9'!O18+'10'!O18</f>
        <v>1.7665172999999998</v>
      </c>
      <c r="P18" s="120">
        <f t="shared" si="0"/>
        <v>355.06997729999995</v>
      </c>
      <c r="T18" s="163" t="str">
        <f>+'5'!A5</f>
        <v>Customer Name : ASB Super store</v>
      </c>
      <c r="U18" s="164">
        <f>+'5'!P35</f>
        <v>6619.3461504000006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115</v>
      </c>
      <c r="I19" s="1">
        <f t="shared" si="1"/>
        <v>8353.6</v>
      </c>
      <c r="J19" s="172">
        <f>+'1'!J19+'2'!J19+'4'!J19+'3'!J19+'5'!J19+'6'!J19+'7'!J19+'8'!J19+'9'!J19+'10'!J19+'11'!J19+'12'!J19+'13'!J19+'14'!J19+'15'!J19+'16'!J19+'17'!J19+'18'!J19</f>
        <v>5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668.28800000000001</v>
      </c>
      <c r="M19" s="118">
        <f t="shared" si="2"/>
        <v>7685.3119999999999</v>
      </c>
      <c r="N19" s="101">
        <f>+'1'!N19+'2'!N19+'4'!N19+'3'!N19+'5'!N19+'6'!N19+'7'!N19+'8'!N19+'9'!N19+'10'!N19</f>
        <v>1770.67264</v>
      </c>
      <c r="O19" s="101">
        <f>+'1'!O19+'2'!O19+'4'!O19+'3'!O19+'5'!O19+'6'!O19+'7'!O19+'8'!O19+'9'!O19+'10'!O19</f>
        <v>47.279923199999999</v>
      </c>
      <c r="P19" s="120">
        <f t="shared" si="0"/>
        <v>9503.2645632000003</v>
      </c>
      <c r="T19" s="163" t="str">
        <f>+'6'!A5</f>
        <v>Customer Name : Zeenat Store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50</v>
      </c>
      <c r="I20" s="1">
        <f t="shared" si="1"/>
        <v>3632</v>
      </c>
      <c r="J20" s="172">
        <f>+'1'!J20+'2'!J20+'4'!J20+'3'!J20+'5'!J20+'6'!J20+'7'!J20+'8'!J20+'9'!J20+'10'!J20+'11'!J20+'12'!J20+'13'!J20+'14'!J20+'15'!J20+'16'!J20+'17'!J20+'18'!J20</f>
        <v>4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290.56</v>
      </c>
      <c r="M20" s="118">
        <f t="shared" si="2"/>
        <v>3341.44</v>
      </c>
      <c r="N20" s="101">
        <f>+'1'!N20+'2'!N20+'4'!N20+'3'!N20+'5'!N20+'6'!N20+'7'!N20+'8'!N20+'9'!N20+'10'!N20</f>
        <v>799.04</v>
      </c>
      <c r="O20" s="101">
        <f>+'1'!O20+'2'!O20+'4'!O20+'3'!O20+'5'!O20+'6'!O20+'7'!O20+'8'!O20+'9'!O20+'10'!O20</f>
        <v>20.702400000000001</v>
      </c>
      <c r="P20" s="120">
        <f t="shared" si="0"/>
        <v>4161.1823999999997</v>
      </c>
      <c r="T20" s="163" t="str">
        <f>+'7'!A5</f>
        <v>Customer Name : Chaudary General Store</v>
      </c>
      <c r="U20" s="164">
        <f>+'7'!P35</f>
        <v>9929.0192255999991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115</v>
      </c>
      <c r="I21" s="1">
        <f t="shared" si="1"/>
        <v>8353.6</v>
      </c>
      <c r="J21" s="172">
        <f>+'1'!J21+'2'!J21+'4'!J21+'3'!J21+'5'!J21+'6'!J21+'7'!J21+'8'!J21+'9'!J21+'10'!J21+'11'!J21+'12'!J21+'13'!J21+'14'!J21+'15'!J21+'16'!J21+'17'!J21+'18'!J21</f>
        <v>5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668.28800000000001</v>
      </c>
      <c r="M21" s="118">
        <f t="shared" si="2"/>
        <v>7685.3119999999999</v>
      </c>
      <c r="N21" s="101">
        <f>+'1'!N21+'2'!N21+'4'!N21+'3'!N21+'5'!N21+'6'!N21+'7'!N21+'8'!N21+'9'!N21+'10'!N21</f>
        <v>1770.67264</v>
      </c>
      <c r="O21" s="101">
        <f>+'1'!O21+'2'!O21+'4'!O21+'3'!O21+'5'!O21+'6'!O21+'7'!O21+'8'!O21+'9'!O21+'10'!O21</f>
        <v>47.279923199999999</v>
      </c>
      <c r="P21" s="120">
        <f t="shared" si="0"/>
        <v>9503.2645632000003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12</v>
      </c>
      <c r="I22" s="1">
        <f t="shared" si="1"/>
        <v>470.76000000000005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16.476600000000005</v>
      </c>
      <c r="L22" s="175">
        <f>+'1'!L22+'2'!L22+'4'!L22+'3'!L22+'5'!L22+'6'!L22+'7'!L22+'8'!L22+'9'!L22+'10'!L22</f>
        <v>23.538000000000004</v>
      </c>
      <c r="M22" s="118">
        <f t="shared" si="2"/>
        <v>430.74540000000002</v>
      </c>
      <c r="N22" s="101">
        <f>+'1'!N22+'2'!N22+'4'!N22+'3'!N22+'5'!N22+'6'!N22+'7'!N22+'8'!N22+'9'!N22+'10'!N22</f>
        <v>94.763987999999998</v>
      </c>
      <c r="O22" s="101">
        <f>+'1'!O22+'2'!O22+'4'!O22+'3'!O22+'5'!O22+'6'!O22+'7'!O22+'8'!O22+'9'!O22+'10'!O22</f>
        <v>2.6275469400000002</v>
      </c>
      <c r="P22" s="120">
        <f t="shared" si="0"/>
        <v>528.13693494000006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7.75</v>
      </c>
      <c r="D25" s="205"/>
      <c r="E25" s="205"/>
      <c r="F25" s="205"/>
      <c r="G25" s="176">
        <f t="shared" ref="G25:M25" si="3">SUM(G16:G24)</f>
        <v>0</v>
      </c>
      <c r="H25" s="177">
        <f t="shared" si="3"/>
        <v>310</v>
      </c>
      <c r="I25" s="178">
        <f t="shared" si="3"/>
        <v>21754.285</v>
      </c>
      <c r="J25" s="177">
        <f t="shared" si="3"/>
        <v>14</v>
      </c>
      <c r="K25" s="178">
        <f t="shared" si="3"/>
        <v>16.476600000000005</v>
      </c>
      <c r="L25" s="179">
        <f t="shared" si="3"/>
        <v>1726.22</v>
      </c>
      <c r="M25" s="141">
        <f t="shared" si="3"/>
        <v>20011.588400000001</v>
      </c>
      <c r="N25" s="142">
        <f>SUM(N16:N24)</f>
        <v>4626.2806479999999</v>
      </c>
      <c r="O25" s="143">
        <f>SUM(O16:O24)</f>
        <v>123.18934523999999</v>
      </c>
      <c r="P25" s="144">
        <f>SUM(P16:P24)</f>
        <v>24761.05839324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24761.05839324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2">
        <f>I25</f>
        <v>21754.285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3">
        <f>L25</f>
        <v>1726.22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4">
        <f>K25</f>
        <v>16.476600000000005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3">
        <f>P32-P33-P34</f>
        <v>20011.588399999997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5" t="s">
        <v>89</v>
      </c>
      <c r="O36" s="156">
        <f>IF(B12="Registered",18%,22%)</f>
        <v>0.22</v>
      </c>
      <c r="P36" s="153">
        <f>N25</f>
        <v>4626.2806479999999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3">
        <f>P35+P36</f>
        <v>24637.869047999997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7"/>
      <c r="N38" s="158" t="s">
        <v>91</v>
      </c>
      <c r="O38" s="159">
        <f>IF(B11="Filer",0.5%,2.5%)</f>
        <v>2.5000000000000001E-2</v>
      </c>
      <c r="P38" s="153">
        <f>O38*P37</f>
        <v>615.94672619999994</v>
      </c>
    </row>
    <row r="39" spans="2:16" ht="15.75" customHeight="1" thickBot="1" x14ac:dyDescent="0.4">
      <c r="N39" s="203" t="s">
        <v>92</v>
      </c>
      <c r="O39" s="204"/>
      <c r="P39" s="160">
        <f>P37+P38</f>
        <v>25253.815774199997</v>
      </c>
    </row>
    <row r="40" spans="2:16" ht="15" thickBot="1" x14ac:dyDescent="0.4">
      <c r="B40" s="161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96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3520114212677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96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3520262710933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220.53503999999998</v>
      </c>
      <c r="O19" s="119">
        <f t="shared" si="6"/>
        <v>6.1148351999999999</v>
      </c>
      <c r="P19" s="120">
        <f t="shared" si="1"/>
        <v>1229.0818752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2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178.98496</v>
      </c>
      <c r="O20" s="119">
        <f t="shared" si="6"/>
        <v>4.2363648000000005</v>
      </c>
      <c r="P20" s="120">
        <f t="shared" si="1"/>
        <v>851.50932480000006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6.1148351999999999</v>
      </c>
      <c r="P21" s="120">
        <f t="shared" si="1"/>
        <v>1229.0818752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2673.1519999999996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3309.6730751999999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232.44799999999998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2673.152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3293.2070400000002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03" t="s">
        <v>92</v>
      </c>
      <c r="O35" s="204"/>
      <c r="P35" s="160">
        <f>P33+P34</f>
        <v>3309.6730752000003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110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96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3277876196185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310.02751999999998</v>
      </c>
      <c r="O19" s="119">
        <f t="shared" si="6"/>
        <v>8.2330176000000002</v>
      </c>
      <c r="P19" s="120">
        <f t="shared" si="1"/>
        <v>1654.8365376000002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>
        <v>1</v>
      </c>
      <c r="K21" s="1">
        <f t="shared" si="3"/>
        <v>0</v>
      </c>
      <c r="L21" s="105">
        <f t="shared" si="4"/>
        <v>116.224</v>
      </c>
      <c r="M21" s="118">
        <f t="shared" si="5"/>
        <v>1336.576</v>
      </c>
      <c r="N21" s="118">
        <f t="shared" si="0"/>
        <v>310.02751999999998</v>
      </c>
      <c r="O21" s="119">
        <f t="shared" si="6"/>
        <v>8.2330176000000002</v>
      </c>
      <c r="P21" s="120">
        <f t="shared" si="1"/>
        <v>1654.8365376000002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232.44800000000001</v>
      </c>
      <c r="M25" s="141">
        <f t="shared" si="9"/>
        <v>2673.152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3309.6730752000003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232.44800000000001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2673.152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3293.2070400000002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03" t="s">
        <v>92</v>
      </c>
      <c r="O35" s="204"/>
      <c r="P35" s="160">
        <f>P33+P34</f>
        <v>3309.6730752000003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111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112</v>
      </c>
      <c r="B6" s="229"/>
      <c r="C6" s="229"/>
      <c r="F6" s="70"/>
      <c r="G6" s="74"/>
      <c r="K6" s="229" t="s">
        <v>52</v>
      </c>
      <c r="L6" s="229"/>
      <c r="M6" s="229"/>
      <c r="N6" s="242" t="s">
        <v>96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113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6</v>
      </c>
      <c r="I16" s="102">
        <f>(G16*D16)*F16+H16*F16</f>
        <v>314.77499999999998</v>
      </c>
      <c r="J16" s="103"/>
      <c r="K16" s="104">
        <f>I16*$K$13</f>
        <v>0</v>
      </c>
      <c r="L16" s="105">
        <f>I16*8%</f>
        <v>25.181999999999999</v>
      </c>
      <c r="M16" s="106">
        <f>I16-K16-L16</f>
        <v>289.59299999999996</v>
      </c>
      <c r="N16" s="106">
        <f t="shared" ref="N16:N24" si="0">(M16*$N$15)+(J16*F16)*$N$15</f>
        <v>63.710459999999991</v>
      </c>
      <c r="O16" s="107">
        <f>(N16+M16)*$O$15</f>
        <v>1.7665172999999998</v>
      </c>
      <c r="P16" s="105">
        <f t="shared" ref="P16:P24" si="1">M16+N16+O16</f>
        <v>355.06997729999995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6</v>
      </c>
      <c r="I17" s="116">
        <f t="shared" ref="I17:I23" si="2">(G17*D17)*F17+H17*F17</f>
        <v>314.77499999999998</v>
      </c>
      <c r="J17" s="117"/>
      <c r="K17" s="1">
        <f t="shared" ref="K17:K21" si="3">I17*$K$13</f>
        <v>0</v>
      </c>
      <c r="L17" s="105">
        <f t="shared" ref="L17:L21" si="4">I17*8%</f>
        <v>25.181999999999999</v>
      </c>
      <c r="M17" s="118">
        <f t="shared" ref="M17:M23" si="5">I17-K17-L17</f>
        <v>289.59299999999996</v>
      </c>
      <c r="N17" s="118">
        <f t="shared" si="0"/>
        <v>63.710459999999991</v>
      </c>
      <c r="O17" s="119">
        <f t="shared" ref="O17:O24" si="6">(N17+M17)*$O$15</f>
        <v>1.7665172999999998</v>
      </c>
      <c r="P17" s="120">
        <f t="shared" si="1"/>
        <v>355.06997729999995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6</v>
      </c>
      <c r="I18" s="116">
        <f t="shared" si="2"/>
        <v>314.77499999999998</v>
      </c>
      <c r="J18" s="117"/>
      <c r="K18" s="1">
        <f t="shared" si="3"/>
        <v>0</v>
      </c>
      <c r="L18" s="105">
        <f t="shared" si="4"/>
        <v>25.181999999999999</v>
      </c>
      <c r="M18" s="118">
        <f t="shared" si="5"/>
        <v>289.59299999999996</v>
      </c>
      <c r="N18" s="118">
        <f t="shared" si="0"/>
        <v>63.710459999999991</v>
      </c>
      <c r="O18" s="119">
        <f t="shared" si="6"/>
        <v>1.7665172999999998</v>
      </c>
      <c r="P18" s="120">
        <f t="shared" si="1"/>
        <v>355.06997729999995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2.6275469400000002</v>
      </c>
      <c r="P22" s="120">
        <f t="shared" si="1"/>
        <v>528.13693494000006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30</v>
      </c>
      <c r="I25" s="137">
        <f t="shared" si="9"/>
        <v>1415.085</v>
      </c>
      <c r="J25" s="138"/>
      <c r="K25" s="139">
        <f t="shared" si="9"/>
        <v>16.476600000000005</v>
      </c>
      <c r="L25" s="140">
        <f t="shared" si="9"/>
        <v>99.084000000000003</v>
      </c>
      <c r="M25" s="141">
        <f t="shared" si="9"/>
        <v>1299.5243999999998</v>
      </c>
      <c r="N25" s="142">
        <f>SUM(N16:N24)</f>
        <v>285.89536799999996</v>
      </c>
      <c r="O25" s="143">
        <f>SUM(O16:O24)</f>
        <v>7.9270988399999993</v>
      </c>
      <c r="P25" s="144">
        <f>SUM(P16:P24)</f>
        <v>1593.3468668400001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1415.085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99.084000000000003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16.476600000000005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1299.5244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285.89536799999996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1585.419768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7.9270988400000002</v>
      </c>
    </row>
    <row r="35" spans="2:16" ht="15.75" customHeight="1" thickBot="1" x14ac:dyDescent="0.4">
      <c r="N35" s="203" t="s">
        <v>92</v>
      </c>
      <c r="O35" s="204"/>
      <c r="P35" s="160">
        <f>P33+P34</f>
        <v>1593.3468668400001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115</v>
      </c>
      <c r="B6" s="229"/>
      <c r="C6" s="229"/>
      <c r="F6" s="70"/>
      <c r="G6" s="74"/>
      <c r="K6" s="229" t="s">
        <v>52</v>
      </c>
      <c r="L6" s="229"/>
      <c r="M6" s="229"/>
      <c r="N6" s="242" t="s">
        <v>96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 t="s">
        <v>116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620.05503999999996</v>
      </c>
      <c r="O19" s="119">
        <f t="shared" si="6"/>
        <v>16.4660352</v>
      </c>
      <c r="P19" s="120">
        <f t="shared" si="1"/>
        <v>3309.6730752000003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620.05503999999996</v>
      </c>
      <c r="O21" s="119">
        <f t="shared" si="6"/>
        <v>16.4660352</v>
      </c>
      <c r="P21" s="120">
        <f t="shared" si="1"/>
        <v>3309.6730752000003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80</v>
      </c>
      <c r="I25" s="137">
        <f t="shared" si="9"/>
        <v>5811.2</v>
      </c>
      <c r="J25" s="138"/>
      <c r="K25" s="139">
        <f t="shared" si="9"/>
        <v>0</v>
      </c>
      <c r="L25" s="140">
        <f t="shared" si="9"/>
        <v>464.89600000000002</v>
      </c>
      <c r="M25" s="141">
        <f t="shared" si="9"/>
        <v>5346.3040000000001</v>
      </c>
      <c r="N25" s="142">
        <f>SUM(N16:N24)</f>
        <v>1240.1100799999999</v>
      </c>
      <c r="O25" s="143">
        <f>SUM(O16:O24)</f>
        <v>32.932070400000001</v>
      </c>
      <c r="P25" s="144">
        <f>SUM(P16:P24)</f>
        <v>6619.3461504000006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5811.2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464.89600000000002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5346.3040000000001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1240.1100799999999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6586.4140800000005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32.932070400000001</v>
      </c>
    </row>
    <row r="35" spans="2:16" ht="15.75" customHeight="1" thickBot="1" x14ac:dyDescent="0.4">
      <c r="N35" s="203" t="s">
        <v>92</v>
      </c>
      <c r="O35" s="204"/>
      <c r="P35" s="160">
        <f>P33+P34</f>
        <v>6619.3461504000006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117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118</v>
      </c>
      <c r="B6" s="229"/>
      <c r="C6" s="229"/>
      <c r="F6" s="70"/>
      <c r="G6" s="74"/>
      <c r="K6" s="229" t="s">
        <v>52</v>
      </c>
      <c r="L6" s="229"/>
      <c r="M6" s="229"/>
      <c r="N6" s="242" t="s">
        <v>96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119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21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120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121</v>
      </c>
      <c r="B6" s="229"/>
      <c r="C6" s="229"/>
      <c r="F6" s="70"/>
      <c r="G6" s="74"/>
      <c r="K6" s="229" t="s">
        <v>52</v>
      </c>
      <c r="L6" s="229"/>
      <c r="M6" s="229"/>
      <c r="N6" s="242" t="s">
        <v>96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 t="s">
        <v>122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620.05503999999996</v>
      </c>
      <c r="O19" s="119">
        <f t="shared" si="6"/>
        <v>16.4660352</v>
      </c>
      <c r="P19" s="120">
        <f t="shared" si="1"/>
        <v>3309.6730752000003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620.05503999999996</v>
      </c>
      <c r="O20" s="119">
        <f t="shared" si="6"/>
        <v>16.4660352</v>
      </c>
      <c r="P20" s="120">
        <f t="shared" si="1"/>
        <v>3309.6730752000003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620.05503999999996</v>
      </c>
      <c r="O21" s="119">
        <f t="shared" si="6"/>
        <v>16.4660352</v>
      </c>
      <c r="P21" s="120">
        <f t="shared" si="1"/>
        <v>3309.6730752000003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120</v>
      </c>
      <c r="I25" s="137">
        <f t="shared" si="9"/>
        <v>8716.7999999999993</v>
      </c>
      <c r="J25" s="138"/>
      <c r="K25" s="139">
        <f t="shared" si="9"/>
        <v>0</v>
      </c>
      <c r="L25" s="140">
        <f t="shared" si="9"/>
        <v>697.34400000000005</v>
      </c>
      <c r="M25" s="141">
        <f t="shared" si="9"/>
        <v>8019.4560000000001</v>
      </c>
      <c r="N25" s="142">
        <f>SUM(N16:N24)</f>
        <v>1860.1651199999999</v>
      </c>
      <c r="O25" s="143">
        <f>SUM(O16:O24)</f>
        <v>49.398105600000001</v>
      </c>
      <c r="P25" s="144">
        <f>SUM(P16:P24)</f>
        <v>9929.0192256000009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8716.7999999999993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697.34400000000005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8019.4559999999992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1860.1651199999999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9879.6211199999998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49.398105600000001</v>
      </c>
    </row>
    <row r="35" spans="2:16" ht="15.75" customHeight="1" thickBot="1" x14ac:dyDescent="0.4">
      <c r="N35" s="203" t="s">
        <v>92</v>
      </c>
      <c r="O35" s="204"/>
      <c r="P35" s="160">
        <f>P33+P34</f>
        <v>9929.0192255999991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1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2026-06-22T13:37:52Z</dcterms:modified>
</cp:coreProperties>
</file>