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751BAE6-CC17-4BD9-A687-BE28B3585D3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<sst xmlns="http://schemas.openxmlformats.org/spreadsheetml/2006/main" count="1585" uniqueCount="123">
  <si>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</si>
  <si>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</si>
  <si>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</si>
  <si>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</si>
  <si>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</si>
  <si>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</si>
  <si>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</si>
  <si>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</si>
  <si>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</si>
  <si>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</si>
  <si>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</si>
  <si>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</si>
  <si>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</si>
  <si>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</si>
  <si>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</si>
  <si>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</si>
  <si>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</si>
  <si>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</si>
  <si>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</si>
  <si>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</si>
  <si>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</si>
  <si>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</si>
  <si>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</si>
  <si>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</si>
  <si>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</si>
  <si>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</si>
  <si>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</si>
  <si>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</si>
  <si>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</si>
  <si>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</si>
  <si>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</si>
  <si>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</si>
  <si>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</si>
  <si>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</si>
  <si>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</si>
  <si>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</si>
  <si>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</si>
  <si>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</si>
  <si>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</si>
  <si>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</si>
  <si>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</si>
  <si>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</si>
  <si>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</si>
  <si>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</si>
  <si>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</si>
  <si>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</si>
  <si>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</si>
  <si>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</si>
  <si>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</si>
  <si>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</si>
  <si>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</si>
  <si>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</si>
  <si>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</si>
  <si>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</si>
  <si>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</si>
  <si>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</si>
  <si>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</si>
  <si>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</si>
  <si>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</si>
  <si>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</si>
  <si>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</si>
  <si>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</si>
  <si>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</si>
  <si>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</si>
  <si>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</si>
  <si>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</si>
  <si>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</si>
  <si>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</si>
  <si>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</si>
  <si>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</si>
  <si>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</si>
  <si>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</si>
  <si>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</si>
  <si>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</si>
  <si>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</si>
  <si>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</si>
  <si>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</si>
  <si>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</si>
  <si>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</si>
  <si>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</si>
  <si>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</si>
  <si>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</si>
  <si>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</si>
  <si>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</si>
  <si>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</si>
  <si>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</si>
  <si>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</si>
  <si>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</si>
  <si>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</si>
  <si>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</si>
  <si>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</si>
  <si>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</si>
  <si>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</si>
  <si>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</si>
  <si>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</si>
  <si>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</si>
  <si>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</si>
  <si>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</si>
  <si>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</si>
  <si>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</si>
  <si>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</si>
  <si>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</si>
  <si>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</si>
  <si>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</si>
  <si>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Zeshan</t>
  </si>
  <si>
    <t>Shop Bill Summary (Zeshan)</t>
  </si>
  <si>
    <t>Customer Name : Yaseen Sadique</t>
  </si>
  <si>
    <t>Address: Badian Road</t>
  </si>
  <si>
    <t>0725094-7</t>
  </si>
  <si>
    <t>Customer Name : MM Cash &amp; Carry</t>
  </si>
  <si>
    <t>Address: Bedian Road</t>
  </si>
  <si>
    <t>2123057-9</t>
  </si>
  <si>
    <t>Customer Name : Fakhar Grocery</t>
  </si>
  <si>
    <t>Customer Name : Mian Bakers</t>
  </si>
  <si>
    <t>Customer Name : Hikma Store</t>
  </si>
  <si>
    <t>Address: Askari 11</t>
  </si>
  <si>
    <t>2302644-8</t>
  </si>
  <si>
    <t>Customer Name : Aslam Super Store</t>
  </si>
  <si>
    <t>Customer Name : Zeshan Bakers</t>
  </si>
  <si>
    <t>Customer Name : Ghafar Store</t>
  </si>
  <si>
    <t>Customer Name : Nadeem Store</t>
  </si>
  <si>
    <t>Customer Name : Toheed Store</t>
  </si>
  <si>
    <t>E260396-8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</si>
</sst>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Yaseen Sadique</v>
      </c>
      <c r="U14" s="164">
        <f>+'1'!P35</f>
        <v>1654.8365376000002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MM Cash &amp; Carry</v>
      </c>
      <c r="U15" s="164">
        <f>+'2'!P35</f>
        <v>1598.1860543999999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549.59715000000006</v>
      </c>
      <c r="O16" s="101">
        <f>+'1'!O16+'2'!O16+'4'!O16+'3'!O16+'5'!O16+'6'!O16+'7'!O16+'8'!O16+'9'!O16+'10'!O16</f>
        <v>17.227635749999997</v>
      </c>
      <c r="P16" s="105">
        <f t="shared" ref="P16:P24" si="0">M16+N16+O16</f>
        <v>3462.7547857499999</v>
      </c>
      <c r="Q16" s="108"/>
      <c r="T16" s="163" t="str">
        <f>+'4'!A5</f>
        <v>Customer Name : Mian Bakers</v>
      </c>
      <c r="U16" s="164">
        <f>+'4'!P35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549.59715000000006</v>
      </c>
      <c r="O17" s="101">
        <f>+'1'!O17+'2'!O17+'4'!O17+'3'!O17+'5'!O17+'6'!O17+'7'!O17+'8'!O17+'9'!O17+'10'!O17</f>
        <v>17.227635749999997</v>
      </c>
      <c r="P17" s="120">
        <f t="shared" si="0"/>
        <v>3462.7547857499999</v>
      </c>
      <c r="S17" s="64"/>
      <c r="T17" s="163" t="str">
        <f>+'3'!A5</f>
        <v>Customer Name : Fakhar Grocery</v>
      </c>
      <c r="U17" s="164">
        <f>+'3'!P35</f>
        <v>835.69414400000005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Store</v>
      </c>
      <c r="U18" s="164">
        <f>+'5'!P35</f>
        <v>20807.967948599999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1028.2918399999999</v>
      </c>
      <c r="O19" s="101">
        <f>+'1'!O19+'2'!O19+'4'!O19+'3'!O19+'5'!O19+'6'!O19+'7'!O19+'8'!O19+'9'!O19+'10'!O19</f>
        <v>48.179206399999998</v>
      </c>
      <c r="P19" s="120">
        <f t="shared" si="0"/>
        <v>6422.7750464000001</v>
      </c>
      <c r="T19" s="163" t="str">
        <f>+'6'!A5</f>
        <v>Customer Name : Hikma Store</v>
      </c>
      <c r="U19" s="164">
        <f>+'6'!P35</f>
        <v>10403.983974299999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1057.3478399999999</v>
      </c>
      <c r="O20" s="101">
        <f>+'1'!O20+'2'!O20+'4'!O20+'3'!O20+'5'!O20+'6'!O20+'7'!O20+'8'!O20+'9'!O20+'10'!O20</f>
        <v>48.644102400000001</v>
      </c>
      <c r="P20" s="120">
        <f t="shared" si="0"/>
        <v>6452.2959424000001</v>
      </c>
      <c r="T20" s="163" t="str">
        <f>+'7'!A5</f>
        <v>Customer Name : Aslam Super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150</v>
      </c>
      <c r="I21" s="1">
        <f t="shared" si="1"/>
        <v>10896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871.68</v>
      </c>
      <c r="M21" s="118">
        <f t="shared" si="2"/>
        <v>10024.32</v>
      </c>
      <c r="N21" s="101">
        <f>+'1'!N21+'2'!N21+'4'!N21+'3'!N21+'5'!N21+'6'!N21+'7'!N21+'8'!N21+'9'!N21+'10'!N21</f>
        <v>1979.00416</v>
      </c>
      <c r="O21" s="101">
        <f>+'1'!O21+'2'!O21+'4'!O21+'3'!O21+'5'!O21+'6'!O21+'7'!O21+'8'!O21+'9'!O21+'10'!O21</f>
        <v>76.322848000000008</v>
      </c>
      <c r="P21" s="120">
        <f t="shared" si="0"/>
        <v>12079.647008</v>
      </c>
      <c r="T21" s="163" t="str">
        <f>+'8'!A5</f>
        <v>Customer Name : Zeshan Bakers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313.84000000000009</v>
      </c>
      <c r="M22" s="118">
        <f t="shared" si="2"/>
        <v>7312.4720000000007</v>
      </c>
      <c r="N22" s="101">
        <f>+'1'!N22+'2'!N22+'4'!N22+'3'!N22+'5'!N22+'6'!N22+'7'!N22+'8'!N22+'9'!N22+'10'!N22</f>
        <v>1091.2216800000003</v>
      </c>
      <c r="O22" s="101">
        <f>+'1'!O22+'2'!O22+'4'!O22+'3'!O22+'5'!O22+'6'!O22+'7'!O22+'8'!O22+'9'!O22+'10'!O22</f>
        <v>69.206427600000012</v>
      </c>
      <c r="P22" s="120">
        <f t="shared" si="0"/>
        <v>8472.9001076000004</v>
      </c>
      <c r="T22" s="163" t="str">
        <f>+'9'!A5</f>
        <v>Customer Name : Ghafar Store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Nadeem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Toheed Store</v>
      </c>
      <c r="U24" s="164">
        <f>+'11'!P35</f>
        <v>1702.7365662000002</v>
      </c>
    </row>
    <row r="25" spans="1:21 16384:16384" ht="26.5" thickBot="1" x14ac:dyDescent="0.65">
      <c r="A25" s="209" t="s">
        <v>84</v>
      </c>
      <c r="B25" s="210"/>
      <c r="C25" s="211">
        <f>H25/40</f>
        <v>15.75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630</v>
      </c>
      <c r="I25" s="178">
        <f t="shared" si="3"/>
        <v>36659.9</v>
      </c>
      <c r="J25" s="177">
        <f t="shared" si="3"/>
        <v>21</v>
      </c>
      <c r="K25" s="178">
        <f t="shared" si="3"/>
        <v>219.68800000000005</v>
      </c>
      <c r="L25" s="179">
        <f t="shared" si="3"/>
        <v>2618.9520000000002</v>
      </c>
      <c r="M25" s="141">
        <f t="shared" si="3"/>
        <v>33821.26</v>
      </c>
      <c r="N25" s="142">
        <f>SUM(N16:N24)</f>
        <v>6255.0598200000004</v>
      </c>
      <c r="O25" s="143">
        <f>SUM(O16:O24)</f>
        <v>276.80785590000005</v>
      </c>
      <c r="P25" s="144">
        <f>SUM(P16:P24)</f>
        <v>40353.127675900003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40486.664242099992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36659.9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2618.9520000000002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219.68800000000005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33821.26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6255.0598200000004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40076.319820000004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1001.9079955000002</v>
      </c>
    </row>
    <row r="39" spans="2:16" ht="15.75" customHeight="1" thickBot="1" x14ac:dyDescent="0.4">
      <c r="N39" s="203" t="s">
        <v>92</v>
      </c>
      <c r="O39" s="204"/>
      <c r="P39" s="160">
        <f>P37+P38</f>
        <v>41078.227815500002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3" t="s">
        <v>92</v>
      </c>
      <c r="O35" s="204"/>
      <c r="P35" s="160">
        <f>P33+P34</f>
        <v>1654.8365376000002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3520202792073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253.65888000000001</v>
      </c>
      <c r="O25" s="143">
        <f>SUM(O16:O24)</f>
        <v>7.9511743999999993</v>
      </c>
      <c r="P25" s="144">
        <f>SUM(P16:P24)</f>
        <v>1598.1860544000001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253.65888000000001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1590.23488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7.9511744000000002</v>
      </c>
    </row>
    <row r="35" spans="2:16" ht="15.75" customHeight="1" thickBot="1" x14ac:dyDescent="0.4">
      <c r="N35" s="203" t="s">
        <v>92</v>
      </c>
      <c r="O35" s="204"/>
      <c r="P35" s="160">
        <f>P33+P34</f>
        <v>1598.1860543999999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726.4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58.112000000000002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668.28800000000001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815.31136000000004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03" t="s">
        <v>92</v>
      </c>
      <c r="O35" s="204"/>
      <c r="P35" s="160">
        <f>P33+P34</f>
        <v>835.69414400000005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18957.800000000003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1422.472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17425.484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20704.44572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03" t="s">
        <v>92</v>
      </c>
      <c r="O35" s="204"/>
      <c r="P35" s="160">
        <f>P33+P34</f>
        <v>20807.967948599999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160</v>
      </c>
      <c r="I25" s="137">
        <f t="shared" si="9"/>
        <v>9478.9000000000015</v>
      </c>
      <c r="J25" s="138"/>
      <c r="K25" s="139">
        <f t="shared" si="9"/>
        <v>54.922000000000011</v>
      </c>
      <c r="L25" s="140">
        <f t="shared" si="9"/>
        <v>711.23599999999999</v>
      </c>
      <c r="M25" s="141">
        <f t="shared" si="9"/>
        <v>8712.7420000000002</v>
      </c>
      <c r="N25" s="142">
        <f>SUM(N16:N24)</f>
        <v>1639.4808599999999</v>
      </c>
      <c r="O25" s="143">
        <f>SUM(O16:O24)</f>
        <v>51.761114299999996</v>
      </c>
      <c r="P25" s="144">
        <f>SUM(P16:P24)</f>
        <v>10403.983974300001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9478.9000000000015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711.23599999999999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8712.7420000000002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1639.4808599999999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10352.22286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51.761114300000003</v>
      </c>
    </row>
    <row r="35" spans="2:16" ht="15.75" customHeight="1" thickBot="1" x14ac:dyDescent="0.4">
      <c r="N35" s="203" t="s">
        <v>92</v>
      </c>
      <c r="O35" s="204"/>
      <c r="P35" s="160">
        <f>P33+P34</f>
        <v>10403.983974299999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4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1694.2652400000002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03" t="s">
        <v>92</v>
      </c>
      <c r="O35" s="204"/>
      <c r="P35" s="160">
        <f>P33+P34</f>
        <v>1702.7365662000002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3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2026-06-23T10:23:01Z</dcterms:modified>
</cp:coreProperties>
</file>