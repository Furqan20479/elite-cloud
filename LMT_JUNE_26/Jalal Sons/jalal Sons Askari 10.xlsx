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D1E2C795-9987-4CFB-9BEC-54EFBAECD3F6}" xr6:coauthVersionLast="47" xr6:coauthVersionMax="47" xr10:uidLastSave="{00000000-0000-0000-0000-000000000000}"/>
  <bookViews>
    <workbookView xWindow="-110" yWindow="-110" windowWidth="19420" windowHeight="10420" tabRatio="949" activeTab="3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L20" i="16" l="1"/>
  <c r="L21" i="16"/>
  <c r="L17" i="16" l="1"/>
  <c r="L18" i="16"/>
  <c r="L19" i="16"/>
  <c r="L22" i="16"/>
  <c r="L16" i="16"/>
  <c r="O34" i="35" l="1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I24" i="34" s="1"/>
  <c r="B24" i="34"/>
  <c r="C24" i="34" s="1"/>
  <c r="F23" i="34"/>
  <c r="E23" i="34"/>
  <c r="D23" i="34"/>
  <c r="I23" i="34" s="1"/>
  <c r="B23" i="34"/>
  <c r="C23" i="34" s="1"/>
  <c r="F22" i="34"/>
  <c r="E22" i="34"/>
  <c r="D22" i="34"/>
  <c r="I22" i="34" s="1"/>
  <c r="B22" i="34"/>
  <c r="C22" i="34" s="1"/>
  <c r="F21" i="34"/>
  <c r="E21" i="34"/>
  <c r="D21" i="34"/>
  <c r="I21" i="34" s="1"/>
  <c r="B21" i="34"/>
  <c r="C21" i="34" s="1"/>
  <c r="F20" i="34"/>
  <c r="E20" i="34"/>
  <c r="D20" i="34"/>
  <c r="I20" i="34" s="1"/>
  <c r="B20" i="34"/>
  <c r="C20" i="34" s="1"/>
  <c r="F19" i="34"/>
  <c r="E19" i="34"/>
  <c r="D19" i="34"/>
  <c r="I19" i="34" s="1"/>
  <c r="B19" i="34"/>
  <c r="C19" i="34" s="1"/>
  <c r="F18" i="34"/>
  <c r="E18" i="34"/>
  <c r="D18" i="34"/>
  <c r="I18" i="34" s="1"/>
  <c r="B18" i="34"/>
  <c r="C18" i="34" s="1"/>
  <c r="F17" i="34"/>
  <c r="E17" i="34"/>
  <c r="D17" i="34"/>
  <c r="I17" i="34" s="1"/>
  <c r="B17" i="34"/>
  <c r="C17" i="34" s="1"/>
  <c r="F16" i="34"/>
  <c r="E16" i="34"/>
  <c r="D16" i="34"/>
  <c r="I16" i="34" s="1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C24" i="33"/>
  <c r="B24" i="33"/>
  <c r="F23" i="33"/>
  <c r="E23" i="33"/>
  <c r="D23" i="33"/>
  <c r="I23" i="33" s="1"/>
  <c r="C23" i="33"/>
  <c r="B23" i="33"/>
  <c r="F22" i="33"/>
  <c r="E22" i="33"/>
  <c r="D22" i="33"/>
  <c r="I22" i="33" s="1"/>
  <c r="C22" i="33"/>
  <c r="B22" i="33"/>
  <c r="F21" i="33"/>
  <c r="E21" i="33"/>
  <c r="D21" i="33"/>
  <c r="I21" i="33" s="1"/>
  <c r="C21" i="33"/>
  <c r="B21" i="33"/>
  <c r="F20" i="33"/>
  <c r="E20" i="33"/>
  <c r="D20" i="33"/>
  <c r="I20" i="33" s="1"/>
  <c r="C20" i="33"/>
  <c r="B20" i="33"/>
  <c r="F19" i="33"/>
  <c r="E19" i="33"/>
  <c r="D19" i="33"/>
  <c r="I19" i="33" s="1"/>
  <c r="C19" i="33"/>
  <c r="B19" i="33"/>
  <c r="L18" i="33"/>
  <c r="I18" i="33"/>
  <c r="K18" i="33" s="1"/>
  <c r="F18" i="33"/>
  <c r="E18" i="33"/>
  <c r="D18" i="33"/>
  <c r="C18" i="33"/>
  <c r="B18" i="33"/>
  <c r="L17" i="33"/>
  <c r="I17" i="33"/>
  <c r="K17" i="33" s="1"/>
  <c r="F17" i="33"/>
  <c r="E17" i="33"/>
  <c r="D17" i="33"/>
  <c r="C17" i="33"/>
  <c r="B17" i="33"/>
  <c r="L16" i="33"/>
  <c r="I16" i="33"/>
  <c r="I25" i="33" s="1"/>
  <c r="P28" i="33" s="1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I24" i="32" s="1"/>
  <c r="C24" i="32"/>
  <c r="B24" i="32"/>
  <c r="F23" i="32"/>
  <c r="E23" i="32"/>
  <c r="D23" i="32"/>
  <c r="I23" i="32" s="1"/>
  <c r="C23" i="32"/>
  <c r="B23" i="32"/>
  <c r="F22" i="32"/>
  <c r="E22" i="32"/>
  <c r="D22" i="32"/>
  <c r="I22" i="32" s="1"/>
  <c r="C22" i="32"/>
  <c r="B22" i="32"/>
  <c r="F21" i="32"/>
  <c r="E21" i="32"/>
  <c r="D21" i="32"/>
  <c r="I21" i="32" s="1"/>
  <c r="B21" i="32"/>
  <c r="C21" i="32" s="1"/>
  <c r="F20" i="32"/>
  <c r="E20" i="32"/>
  <c r="D20" i="32"/>
  <c r="I20" i="32" s="1"/>
  <c r="B20" i="32"/>
  <c r="C20" i="32" s="1"/>
  <c r="F19" i="32"/>
  <c r="E19" i="32"/>
  <c r="D19" i="32"/>
  <c r="I19" i="32" s="1"/>
  <c r="B19" i="32"/>
  <c r="C19" i="32" s="1"/>
  <c r="F18" i="32"/>
  <c r="E18" i="32"/>
  <c r="D18" i="32"/>
  <c r="I18" i="32" s="1"/>
  <c r="B18" i="32"/>
  <c r="C18" i="32" s="1"/>
  <c r="F17" i="32"/>
  <c r="E17" i="32"/>
  <c r="D17" i="32"/>
  <c r="I17" i="32" s="1"/>
  <c r="B17" i="32"/>
  <c r="C17" i="32" s="1"/>
  <c r="F16" i="32"/>
  <c r="E16" i="32"/>
  <c r="D16" i="32"/>
  <c r="I16" i="32" s="1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I24" i="31" s="1"/>
  <c r="B24" i="31"/>
  <c r="C24" i="31" s="1"/>
  <c r="F23" i="31"/>
  <c r="E23" i="31"/>
  <c r="D23" i="31"/>
  <c r="I23" i="31" s="1"/>
  <c r="B23" i="31"/>
  <c r="C23" i="31" s="1"/>
  <c r="F22" i="31"/>
  <c r="E22" i="31"/>
  <c r="D22" i="31"/>
  <c r="I22" i="31" s="1"/>
  <c r="B22" i="31"/>
  <c r="C22" i="31" s="1"/>
  <c r="F21" i="31"/>
  <c r="E21" i="31"/>
  <c r="D21" i="31"/>
  <c r="I21" i="31" s="1"/>
  <c r="B21" i="31"/>
  <c r="C21" i="31" s="1"/>
  <c r="F20" i="31"/>
  <c r="E20" i="31"/>
  <c r="D20" i="31"/>
  <c r="I20" i="31" s="1"/>
  <c r="B20" i="31"/>
  <c r="C20" i="31" s="1"/>
  <c r="F19" i="31"/>
  <c r="E19" i="31"/>
  <c r="D19" i="31"/>
  <c r="I19" i="31" s="1"/>
  <c r="B19" i="31"/>
  <c r="C19" i="31" s="1"/>
  <c r="F18" i="31"/>
  <c r="E18" i="31"/>
  <c r="D18" i="31"/>
  <c r="I18" i="31" s="1"/>
  <c r="B18" i="31"/>
  <c r="C18" i="31" s="1"/>
  <c r="F17" i="31"/>
  <c r="E17" i="31"/>
  <c r="D17" i="31"/>
  <c r="I17" i="31" s="1"/>
  <c r="B17" i="31"/>
  <c r="C17" i="31" s="1"/>
  <c r="F16" i="31"/>
  <c r="E16" i="31"/>
  <c r="D16" i="31"/>
  <c r="I16" i="31" s="1"/>
  <c r="C16" i="31"/>
  <c r="B16" i="31"/>
  <c r="O15" i="31"/>
  <c r="N15" i="31"/>
  <c r="C12" i="31"/>
  <c r="C11" i="31"/>
  <c r="N4" i="31"/>
  <c r="N5" i="31" s="1"/>
  <c r="O34" i="30"/>
  <c r="O32" i="30"/>
  <c r="H25" i="30"/>
  <c r="G25" i="30"/>
  <c r="F24" i="30"/>
  <c r="E24" i="30"/>
  <c r="D24" i="30"/>
  <c r="I24" i="30" s="1"/>
  <c r="B24" i="30"/>
  <c r="C24" i="30" s="1"/>
  <c r="F23" i="30"/>
  <c r="E23" i="30"/>
  <c r="D23" i="30"/>
  <c r="I23" i="30" s="1"/>
  <c r="B23" i="30"/>
  <c r="C23" i="30" s="1"/>
  <c r="F22" i="30"/>
  <c r="E22" i="30"/>
  <c r="D22" i="30"/>
  <c r="I22" i="30" s="1"/>
  <c r="B22" i="30"/>
  <c r="C22" i="30" s="1"/>
  <c r="F21" i="30"/>
  <c r="E21" i="30"/>
  <c r="D21" i="30"/>
  <c r="I21" i="30" s="1"/>
  <c r="B21" i="30"/>
  <c r="C21" i="30" s="1"/>
  <c r="F20" i="30"/>
  <c r="E20" i="30"/>
  <c r="D20" i="30"/>
  <c r="I20" i="30" s="1"/>
  <c r="B20" i="30"/>
  <c r="C20" i="30" s="1"/>
  <c r="F19" i="30"/>
  <c r="E19" i="30"/>
  <c r="D19" i="30"/>
  <c r="I19" i="30" s="1"/>
  <c r="B19" i="30"/>
  <c r="C19" i="30" s="1"/>
  <c r="F18" i="30"/>
  <c r="E18" i="30"/>
  <c r="D18" i="30"/>
  <c r="I18" i="30" s="1"/>
  <c r="B18" i="30"/>
  <c r="C18" i="30" s="1"/>
  <c r="F17" i="30"/>
  <c r="E17" i="30"/>
  <c r="D17" i="30"/>
  <c r="I17" i="30" s="1"/>
  <c r="B17" i="30"/>
  <c r="C17" i="30" s="1"/>
  <c r="F16" i="30"/>
  <c r="E16" i="30"/>
  <c r="D16" i="30"/>
  <c r="I16" i="30" s="1"/>
  <c r="C16" i="30"/>
  <c r="B16" i="30"/>
  <c r="O15" i="30"/>
  <c r="N15" i="30"/>
  <c r="C12" i="30"/>
  <c r="C11" i="30"/>
  <c r="N4" i="30"/>
  <c r="N5" i="30" s="1"/>
  <c r="O34" i="29"/>
  <c r="O32" i="29"/>
  <c r="H25" i="29"/>
  <c r="G25" i="29"/>
  <c r="F24" i="29"/>
  <c r="E24" i="29"/>
  <c r="D24" i="29"/>
  <c r="I24" i="29" s="1"/>
  <c r="B24" i="29"/>
  <c r="C24" i="29" s="1"/>
  <c r="F23" i="29"/>
  <c r="E23" i="29"/>
  <c r="D23" i="29"/>
  <c r="I23" i="29" s="1"/>
  <c r="B23" i="29"/>
  <c r="C23" i="29" s="1"/>
  <c r="F22" i="29"/>
  <c r="E22" i="29"/>
  <c r="D22" i="29"/>
  <c r="I22" i="29" s="1"/>
  <c r="B22" i="29"/>
  <c r="C22" i="29" s="1"/>
  <c r="F21" i="29"/>
  <c r="E21" i="29"/>
  <c r="D21" i="29"/>
  <c r="I21" i="29" s="1"/>
  <c r="B21" i="29"/>
  <c r="C21" i="29" s="1"/>
  <c r="F20" i="29"/>
  <c r="E20" i="29"/>
  <c r="D20" i="29"/>
  <c r="I20" i="29" s="1"/>
  <c r="B20" i="29"/>
  <c r="C20" i="29" s="1"/>
  <c r="F19" i="29"/>
  <c r="E19" i="29"/>
  <c r="D19" i="29"/>
  <c r="I19" i="29" s="1"/>
  <c r="B19" i="29"/>
  <c r="C19" i="29" s="1"/>
  <c r="F18" i="29"/>
  <c r="E18" i="29"/>
  <c r="D18" i="29"/>
  <c r="I18" i="29" s="1"/>
  <c r="B18" i="29"/>
  <c r="C18" i="29" s="1"/>
  <c r="F17" i="29"/>
  <c r="E17" i="29"/>
  <c r="D17" i="29"/>
  <c r="I17" i="29" s="1"/>
  <c r="B17" i="29"/>
  <c r="C17" i="29" s="1"/>
  <c r="F16" i="29"/>
  <c r="E16" i="29"/>
  <c r="D16" i="29"/>
  <c r="I16" i="29" s="1"/>
  <c r="C16" i="29"/>
  <c r="B16" i="29"/>
  <c r="O15" i="29"/>
  <c r="N15" i="29"/>
  <c r="C12" i="29"/>
  <c r="C11" i="29"/>
  <c r="N4" i="29"/>
  <c r="N5" i="29" s="1"/>
  <c r="O34" i="28"/>
  <c r="O32" i="28"/>
  <c r="H25" i="28"/>
  <c r="G25" i="28"/>
  <c r="F24" i="28"/>
  <c r="E24" i="28"/>
  <c r="D24" i="28"/>
  <c r="I24" i="28" s="1"/>
  <c r="B24" i="28"/>
  <c r="C24" i="28" s="1"/>
  <c r="F23" i="28"/>
  <c r="E23" i="28"/>
  <c r="D23" i="28"/>
  <c r="I23" i="28" s="1"/>
  <c r="B23" i="28"/>
  <c r="C23" i="28" s="1"/>
  <c r="F22" i="28"/>
  <c r="E22" i="28"/>
  <c r="D22" i="28"/>
  <c r="I22" i="28" s="1"/>
  <c r="B22" i="28"/>
  <c r="C22" i="28" s="1"/>
  <c r="F21" i="28"/>
  <c r="E21" i="28"/>
  <c r="D21" i="28"/>
  <c r="I21" i="28" s="1"/>
  <c r="B21" i="28"/>
  <c r="C21" i="28" s="1"/>
  <c r="F20" i="28"/>
  <c r="E20" i="28"/>
  <c r="D20" i="28"/>
  <c r="I20" i="28" s="1"/>
  <c r="B20" i="28"/>
  <c r="C20" i="28" s="1"/>
  <c r="F19" i="28"/>
  <c r="E19" i="28"/>
  <c r="D19" i="28"/>
  <c r="I19" i="28" s="1"/>
  <c r="B19" i="28"/>
  <c r="C19" i="28" s="1"/>
  <c r="F18" i="28"/>
  <c r="E18" i="28"/>
  <c r="D18" i="28"/>
  <c r="I18" i="28" s="1"/>
  <c r="B18" i="28"/>
  <c r="C18" i="28" s="1"/>
  <c r="F17" i="28"/>
  <c r="E17" i="28"/>
  <c r="D17" i="28"/>
  <c r="I17" i="28" s="1"/>
  <c r="B17" i="28"/>
  <c r="C17" i="28" s="1"/>
  <c r="F16" i="28"/>
  <c r="E16" i="28"/>
  <c r="D16" i="28"/>
  <c r="I16" i="28" s="1"/>
  <c r="C16" i="28"/>
  <c r="B16" i="28"/>
  <c r="O15" i="28"/>
  <c r="N15" i="28"/>
  <c r="C12" i="28"/>
  <c r="C11" i="28"/>
  <c r="N4" i="28"/>
  <c r="N5" i="28" s="1"/>
  <c r="I25" i="35" l="1"/>
  <c r="P28" i="35" s="1"/>
  <c r="K16" i="35"/>
  <c r="L16" i="35"/>
  <c r="K17" i="35"/>
  <c r="M17" i="35"/>
  <c r="L17" i="35"/>
  <c r="K18" i="35"/>
  <c r="L18" i="35"/>
  <c r="M18" i="35" s="1"/>
  <c r="K19" i="35"/>
  <c r="L19" i="35"/>
  <c r="M19" i="35"/>
  <c r="K20" i="35"/>
  <c r="M20" i="35" s="1"/>
  <c r="L20" i="35"/>
  <c r="K21" i="35"/>
  <c r="M21" i="35"/>
  <c r="L21" i="35"/>
  <c r="K22" i="35"/>
  <c r="L22" i="35"/>
  <c r="M22" i="35"/>
  <c r="K23" i="35"/>
  <c r="L23" i="35"/>
  <c r="M23" i="35"/>
  <c r="K24" i="35"/>
  <c r="M24" i="35" s="1"/>
  <c r="L24" i="35"/>
  <c r="I25" i="34"/>
  <c r="P28" i="34" s="1"/>
  <c r="K16" i="34"/>
  <c r="L16" i="34"/>
  <c r="M16" i="34"/>
  <c r="K17" i="34"/>
  <c r="M17" i="34" s="1"/>
  <c r="L17" i="34"/>
  <c r="K18" i="34"/>
  <c r="M18" i="34" s="1"/>
  <c r="L18" i="34"/>
  <c r="K19" i="34"/>
  <c r="M19" i="34"/>
  <c r="L19" i="34"/>
  <c r="K20" i="34"/>
  <c r="L20" i="34"/>
  <c r="M20" i="34" s="1"/>
  <c r="K21" i="34"/>
  <c r="L21" i="34"/>
  <c r="M21" i="34"/>
  <c r="K22" i="34"/>
  <c r="M22" i="34" s="1"/>
  <c r="L22" i="34"/>
  <c r="K23" i="34"/>
  <c r="M23" i="34"/>
  <c r="L23" i="34"/>
  <c r="K24" i="34"/>
  <c r="L24" i="34"/>
  <c r="M24" i="34" s="1"/>
  <c r="K21" i="33"/>
  <c r="L21" i="33"/>
  <c r="M21" i="33"/>
  <c r="K22" i="33"/>
  <c r="L22" i="33"/>
  <c r="M22" i="33"/>
  <c r="K19" i="33"/>
  <c r="M19" i="33" s="1"/>
  <c r="L19" i="33"/>
  <c r="L25" i="33" s="1"/>
  <c r="P29" i="33" s="1"/>
  <c r="P31" i="33" s="1"/>
  <c r="K23" i="33"/>
  <c r="M23" i="33" s="1"/>
  <c r="L23" i="33"/>
  <c r="K20" i="33"/>
  <c r="L20" i="33"/>
  <c r="M20" i="33" s="1"/>
  <c r="K24" i="33"/>
  <c r="L24" i="33"/>
  <c r="M24" i="33"/>
  <c r="M17" i="33"/>
  <c r="M18" i="33"/>
  <c r="K16" i="33"/>
  <c r="K25" i="33" s="1"/>
  <c r="P30" i="33" s="1"/>
  <c r="K24" i="32"/>
  <c r="M24" i="32" s="1"/>
  <c r="L24" i="32"/>
  <c r="I25" i="32"/>
  <c r="P28" i="32" s="1"/>
  <c r="K16" i="32"/>
  <c r="M16" i="32" s="1"/>
  <c r="L16" i="32"/>
  <c r="K17" i="32"/>
  <c r="M17" i="32" s="1"/>
  <c r="L17" i="32"/>
  <c r="K18" i="32"/>
  <c r="L18" i="32"/>
  <c r="M18" i="32" s="1"/>
  <c r="K19" i="32"/>
  <c r="M19" i="32" s="1"/>
  <c r="L19" i="32"/>
  <c r="K20" i="32"/>
  <c r="M20" i="32" s="1"/>
  <c r="L20" i="32"/>
  <c r="K21" i="32"/>
  <c r="M21" i="32" s="1"/>
  <c r="L21" i="32"/>
  <c r="K23" i="32"/>
  <c r="L23" i="32"/>
  <c r="M23" i="32" s="1"/>
  <c r="K22" i="32"/>
  <c r="L22" i="32"/>
  <c r="M22" i="32"/>
  <c r="K17" i="31"/>
  <c r="L17" i="31"/>
  <c r="M17" i="31"/>
  <c r="K19" i="31"/>
  <c r="L19" i="31"/>
  <c r="M19" i="31"/>
  <c r="K21" i="31"/>
  <c r="M21" i="31" s="1"/>
  <c r="L21" i="31"/>
  <c r="K22" i="31"/>
  <c r="M22" i="31"/>
  <c r="L22" i="31"/>
  <c r="K24" i="31"/>
  <c r="L24" i="31"/>
  <c r="M24" i="31" s="1"/>
  <c r="I25" i="31"/>
  <c r="P28" i="31" s="1"/>
  <c r="K16" i="31"/>
  <c r="L16" i="31"/>
  <c r="L25" i="31" s="1"/>
  <c r="P29" i="31" s="1"/>
  <c r="K18" i="31"/>
  <c r="L18" i="31"/>
  <c r="M18" i="31" s="1"/>
  <c r="K20" i="31"/>
  <c r="M20" i="31" s="1"/>
  <c r="L20" i="31"/>
  <c r="K23" i="31"/>
  <c r="M23" i="31"/>
  <c r="L23" i="31"/>
  <c r="K18" i="30"/>
  <c r="M18" i="30" s="1"/>
  <c r="L18" i="30"/>
  <c r="K20" i="30"/>
  <c r="M20" i="30" s="1"/>
  <c r="L20" i="30"/>
  <c r="K21" i="30"/>
  <c r="L21" i="30"/>
  <c r="M21" i="30" s="1"/>
  <c r="K23" i="30"/>
  <c r="L23" i="30"/>
  <c r="M23" i="30"/>
  <c r="I25" i="30"/>
  <c r="P28" i="30" s="1"/>
  <c r="K16" i="30"/>
  <c r="M16" i="30" s="1"/>
  <c r="L16" i="30"/>
  <c r="L25" i="30" s="1"/>
  <c r="P29" i="30" s="1"/>
  <c r="K17" i="30"/>
  <c r="M17" i="30" s="1"/>
  <c r="L17" i="30"/>
  <c r="K19" i="30"/>
  <c r="M19" i="30" s="1"/>
  <c r="L19" i="30"/>
  <c r="K22" i="30"/>
  <c r="M22" i="30"/>
  <c r="L22" i="30"/>
  <c r="K24" i="30"/>
  <c r="L24" i="30"/>
  <c r="M24" i="30"/>
  <c r="I25" i="29"/>
  <c r="P28" i="29" s="1"/>
  <c r="K16" i="29"/>
  <c r="L16" i="29"/>
  <c r="M16" i="29" s="1"/>
  <c r="K19" i="29"/>
  <c r="L19" i="29"/>
  <c r="M19" i="29" s="1"/>
  <c r="K21" i="29"/>
  <c r="M21" i="29" s="1"/>
  <c r="L21" i="29"/>
  <c r="K24" i="29"/>
  <c r="M24" i="29"/>
  <c r="L24" i="29"/>
  <c r="K17" i="29"/>
  <c r="M17" i="29" s="1"/>
  <c r="L17" i="29"/>
  <c r="K20" i="29"/>
  <c r="L20" i="29"/>
  <c r="M20" i="29" s="1"/>
  <c r="K22" i="29"/>
  <c r="M22" i="29" s="1"/>
  <c r="L22" i="29"/>
  <c r="K18" i="29"/>
  <c r="M18" i="29" s="1"/>
  <c r="L18" i="29"/>
  <c r="K23" i="29"/>
  <c r="M23" i="29" s="1"/>
  <c r="L23" i="29"/>
  <c r="I25" i="28"/>
  <c r="P28" i="28" s="1"/>
  <c r="K16" i="28"/>
  <c r="L16" i="28"/>
  <c r="K17" i="28"/>
  <c r="M17" i="28"/>
  <c r="L17" i="28"/>
  <c r="K18" i="28"/>
  <c r="L18" i="28"/>
  <c r="M18" i="28"/>
  <c r="K19" i="28"/>
  <c r="M19" i="28"/>
  <c r="L19" i="28"/>
  <c r="K20" i="28"/>
  <c r="M20" i="28" s="1"/>
  <c r="L20" i="28"/>
  <c r="K21" i="28"/>
  <c r="M21" i="28"/>
  <c r="L21" i="28"/>
  <c r="K22" i="28"/>
  <c r="L22" i="28"/>
  <c r="M22" i="28"/>
  <c r="K23" i="28"/>
  <c r="M23" i="28"/>
  <c r="L23" i="28"/>
  <c r="K24" i="28"/>
  <c r="M24" i="28" s="1"/>
  <c r="L24" i="28"/>
  <c r="T25" i="15"/>
  <c r="T24" i="15"/>
  <c r="J24" i="15"/>
  <c r="J23" i="15"/>
  <c r="J22" i="15"/>
  <c r="J21" i="15"/>
  <c r="J20" i="15"/>
  <c r="J19" i="15"/>
  <c r="J18" i="15"/>
  <c r="J17" i="15"/>
  <c r="J16" i="15"/>
  <c r="H24" i="15"/>
  <c r="H23" i="15"/>
  <c r="H22" i="15"/>
  <c r="H21" i="15"/>
  <c r="H20" i="15"/>
  <c r="H19" i="15"/>
  <c r="H18" i="15"/>
  <c r="H17" i="15"/>
  <c r="H16" i="15"/>
  <c r="O34" i="27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I21" i="27" s="1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C11" i="27"/>
  <c r="N4" i="27"/>
  <c r="N5" i="27" s="1"/>
  <c r="O34" i="26"/>
  <c r="C11" i="26" s="1"/>
  <c r="O32" i="26"/>
  <c r="H25" i="26"/>
  <c r="G25" i="26"/>
  <c r="F24" i="26"/>
  <c r="E24" i="26"/>
  <c r="D24" i="26"/>
  <c r="I24" i="26" s="1"/>
  <c r="B24" i="26"/>
  <c r="C24" i="26" s="1"/>
  <c r="F23" i="26"/>
  <c r="E23" i="26"/>
  <c r="D23" i="26"/>
  <c r="I23" i="26" s="1"/>
  <c r="B23" i="26"/>
  <c r="C23" i="26" s="1"/>
  <c r="F22" i="26"/>
  <c r="E22" i="26"/>
  <c r="D22" i="26"/>
  <c r="I22" i="26" s="1"/>
  <c r="B22" i="26"/>
  <c r="C22" i="26" s="1"/>
  <c r="F21" i="26"/>
  <c r="E21" i="26"/>
  <c r="D21" i="26"/>
  <c r="I21" i="26" s="1"/>
  <c r="B21" i="26"/>
  <c r="C21" i="26" s="1"/>
  <c r="F20" i="26"/>
  <c r="E20" i="26"/>
  <c r="D20" i="26"/>
  <c r="I20" i="26" s="1"/>
  <c r="B20" i="26"/>
  <c r="C20" i="26" s="1"/>
  <c r="F19" i="26"/>
  <c r="E19" i="26"/>
  <c r="D19" i="26"/>
  <c r="I19" i="26" s="1"/>
  <c r="B19" i="26"/>
  <c r="C19" i="26" s="1"/>
  <c r="F18" i="26"/>
  <c r="E18" i="26"/>
  <c r="D18" i="26"/>
  <c r="I18" i="26" s="1"/>
  <c r="B18" i="26"/>
  <c r="C18" i="26" s="1"/>
  <c r="F17" i="26"/>
  <c r="E17" i="26"/>
  <c r="D17" i="26"/>
  <c r="I17" i="26" s="1"/>
  <c r="B17" i="26"/>
  <c r="C17" i="26" s="1"/>
  <c r="F16" i="26"/>
  <c r="E16" i="26"/>
  <c r="D16" i="26"/>
  <c r="I16" i="26" s="1"/>
  <c r="C16" i="26"/>
  <c r="B16" i="26"/>
  <c r="O15" i="26"/>
  <c r="N15" i="26"/>
  <c r="C12" i="26"/>
  <c r="N4" i="26"/>
  <c r="N5" i="26" s="1"/>
  <c r="N20" i="35" l="1"/>
  <c r="O20" i="35" s="1"/>
  <c r="P20" i="35" s="1"/>
  <c r="N24" i="35"/>
  <c r="O24" i="35" s="1"/>
  <c r="P24" i="35"/>
  <c r="N18" i="35"/>
  <c r="O18" i="35" s="1"/>
  <c r="N22" i="35"/>
  <c r="O22" i="35" s="1"/>
  <c r="P22" i="35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P31" i="35" s="1"/>
  <c r="M16" i="35"/>
  <c r="N22" i="34"/>
  <c r="O22" i="34" s="1"/>
  <c r="N20" i="34"/>
  <c r="O20" i="34" s="1"/>
  <c r="P20" i="34"/>
  <c r="N17" i="34"/>
  <c r="O17" i="34" s="1"/>
  <c r="N24" i="34"/>
  <c r="O24" i="34" s="1"/>
  <c r="P24" i="34"/>
  <c r="N18" i="34"/>
  <c r="O18" i="34" s="1"/>
  <c r="P18" i="34" s="1"/>
  <c r="N21" i="34"/>
  <c r="O21" i="34" s="1"/>
  <c r="L25" i="34"/>
  <c r="P29" i="34" s="1"/>
  <c r="K25" i="34"/>
  <c r="P30" i="34" s="1"/>
  <c r="N23" i="34"/>
  <c r="O23" i="34" s="1"/>
  <c r="P23" i="34"/>
  <c r="N19" i="34"/>
  <c r="O19" i="34" s="1"/>
  <c r="M25" i="34"/>
  <c r="N16" i="34"/>
  <c r="P31" i="34"/>
  <c r="N23" i="33"/>
  <c r="O23" i="33" s="1"/>
  <c r="N20" i="33"/>
  <c r="O20" i="33" s="1"/>
  <c r="N19" i="33"/>
  <c r="O19" i="33" s="1"/>
  <c r="N24" i="33"/>
  <c r="O24" i="33" s="1"/>
  <c r="N18" i="33"/>
  <c r="O18" i="33" s="1"/>
  <c r="N21" i="33"/>
  <c r="O21" i="33" s="1"/>
  <c r="P17" i="33"/>
  <c r="N17" i="33"/>
  <c r="O17" i="33" s="1"/>
  <c r="N22" i="33"/>
  <c r="O22" i="33" s="1"/>
  <c r="M16" i="33"/>
  <c r="N21" i="32"/>
  <c r="O21" i="32" s="1"/>
  <c r="N19" i="32"/>
  <c r="O19" i="32" s="1"/>
  <c r="P19" i="32"/>
  <c r="N17" i="32"/>
  <c r="O17" i="32" s="1"/>
  <c r="P17" i="32"/>
  <c r="N23" i="32"/>
  <c r="O23" i="32" s="1"/>
  <c r="P23" i="32"/>
  <c r="N18" i="32"/>
  <c r="O18" i="32" s="1"/>
  <c r="N24" i="32"/>
  <c r="O24" i="32" s="1"/>
  <c r="P24" i="32"/>
  <c r="N20" i="32"/>
  <c r="O20" i="32" s="1"/>
  <c r="M25" i="32"/>
  <c r="N16" i="32"/>
  <c r="L25" i="32"/>
  <c r="P29" i="32" s="1"/>
  <c r="P31" i="32" s="1"/>
  <c r="N22" i="32"/>
  <c r="O22" i="32" s="1"/>
  <c r="P22" i="32"/>
  <c r="K25" i="32"/>
  <c r="P30" i="32" s="1"/>
  <c r="N21" i="31"/>
  <c r="O21" i="31" s="1"/>
  <c r="P21" i="31"/>
  <c r="N18" i="31"/>
  <c r="O18" i="31" s="1"/>
  <c r="P18" i="31"/>
  <c r="N20" i="31"/>
  <c r="O20" i="31" s="1"/>
  <c r="P20" i="31"/>
  <c r="N24" i="31"/>
  <c r="O24" i="31" s="1"/>
  <c r="P24" i="31"/>
  <c r="N23" i="31"/>
  <c r="O23" i="31" s="1"/>
  <c r="P23" i="31"/>
  <c r="N17" i="31"/>
  <c r="O17" i="31" s="1"/>
  <c r="P17" i="31"/>
  <c r="M16" i="31"/>
  <c r="N19" i="31"/>
  <c r="O19" i="31" s="1"/>
  <c r="K25" i="31"/>
  <c r="P30" i="31" s="1"/>
  <c r="P31" i="31" s="1"/>
  <c r="N22" i="31"/>
  <c r="O22" i="31" s="1"/>
  <c r="P22" i="31"/>
  <c r="N19" i="30"/>
  <c r="O19" i="30" s="1"/>
  <c r="P19" i="30" s="1"/>
  <c r="M25" i="30"/>
  <c r="N16" i="30"/>
  <c r="N20" i="30"/>
  <c r="O20" i="30" s="1"/>
  <c r="P21" i="30"/>
  <c r="N21" i="30"/>
  <c r="O21" i="30" s="1"/>
  <c r="N17" i="30"/>
  <c r="O17" i="30" s="1"/>
  <c r="P18" i="30"/>
  <c r="N18" i="30"/>
  <c r="O18" i="30" s="1"/>
  <c r="K25" i="30"/>
  <c r="P30" i="30" s="1"/>
  <c r="P31" i="30" s="1"/>
  <c r="N24" i="30"/>
  <c r="O24" i="30" s="1"/>
  <c r="P24" i="30"/>
  <c r="N22" i="30"/>
  <c r="O22" i="30" s="1"/>
  <c r="P22" i="30"/>
  <c r="N23" i="30"/>
  <c r="O23" i="30" s="1"/>
  <c r="N22" i="29"/>
  <c r="O22" i="29" s="1"/>
  <c r="N21" i="29"/>
  <c r="O21" i="29" s="1"/>
  <c r="P21" i="29"/>
  <c r="N23" i="29"/>
  <c r="O23" i="29" s="1"/>
  <c r="N17" i="29"/>
  <c r="O17" i="29" s="1"/>
  <c r="P17" i="29"/>
  <c r="M25" i="29"/>
  <c r="N16" i="29"/>
  <c r="N20" i="29"/>
  <c r="O20" i="29" s="1"/>
  <c r="N18" i="29"/>
  <c r="O18" i="29" s="1"/>
  <c r="P18" i="29"/>
  <c r="N19" i="29"/>
  <c r="O19" i="29" s="1"/>
  <c r="N24" i="29"/>
  <c r="O24" i="29" s="1"/>
  <c r="P24" i="29"/>
  <c r="L25" i="29"/>
  <c r="P29" i="29" s="1"/>
  <c r="P31" i="29" s="1"/>
  <c r="K25" i="29"/>
  <c r="P30" i="29" s="1"/>
  <c r="N24" i="28"/>
  <c r="O24" i="28" s="1"/>
  <c r="P24" i="28"/>
  <c r="N20" i="28"/>
  <c r="O20" i="28" s="1"/>
  <c r="P20" i="28"/>
  <c r="N22" i="28"/>
  <c r="O22" i="28" s="1"/>
  <c r="P22" i="28"/>
  <c r="K25" i="28"/>
  <c r="P30" i="28" s="1"/>
  <c r="N23" i="28"/>
  <c r="O23" i="28" s="1"/>
  <c r="P23" i="28"/>
  <c r="N19" i="28"/>
  <c r="O19" i="28" s="1"/>
  <c r="L25" i="28"/>
  <c r="P29" i="28" s="1"/>
  <c r="M16" i="28"/>
  <c r="N21" i="28"/>
  <c r="O21" i="28" s="1"/>
  <c r="N18" i="28"/>
  <c r="O18" i="28" s="1"/>
  <c r="P18" i="28"/>
  <c r="N17" i="28"/>
  <c r="O17" i="28" s="1"/>
  <c r="P31" i="28"/>
  <c r="J25" i="15"/>
  <c r="I25" i="27"/>
  <c r="P28" i="27" s="1"/>
  <c r="K16" i="27"/>
  <c r="L16" i="27"/>
  <c r="K17" i="27"/>
  <c r="L17" i="27"/>
  <c r="K20" i="27"/>
  <c r="L20" i="27"/>
  <c r="K21" i="27"/>
  <c r="L21" i="27"/>
  <c r="K22" i="27"/>
  <c r="L22" i="27"/>
  <c r="K23" i="27"/>
  <c r="M23" i="27" s="1"/>
  <c r="L23" i="27"/>
  <c r="K24" i="27"/>
  <c r="L24" i="27"/>
  <c r="K19" i="27"/>
  <c r="L19" i="27"/>
  <c r="K18" i="27"/>
  <c r="L18" i="27"/>
  <c r="K17" i="26"/>
  <c r="M17" i="26" s="1"/>
  <c r="L17" i="26"/>
  <c r="K19" i="26"/>
  <c r="L19" i="26"/>
  <c r="K22" i="26"/>
  <c r="L22" i="26"/>
  <c r="K23" i="26"/>
  <c r="L23" i="26"/>
  <c r="K18" i="26"/>
  <c r="L18" i="26"/>
  <c r="K20" i="26"/>
  <c r="L20" i="26"/>
  <c r="K21" i="26"/>
  <c r="L21" i="26"/>
  <c r="K24" i="26"/>
  <c r="L24" i="26"/>
  <c r="M24" i="26" s="1"/>
  <c r="I25" i="26"/>
  <c r="P28" i="26" s="1"/>
  <c r="K16" i="26"/>
  <c r="L16" i="26"/>
  <c r="T23" i="15"/>
  <c r="T22" i="15"/>
  <c r="T21" i="15"/>
  <c r="T20" i="15"/>
  <c r="T19" i="15"/>
  <c r="T18" i="15"/>
  <c r="T17" i="15"/>
  <c r="T16" i="15"/>
  <c r="T15" i="15"/>
  <c r="T14" i="15"/>
  <c r="M25" i="35" l="1"/>
  <c r="N16" i="35"/>
  <c r="P23" i="35"/>
  <c r="P21" i="35"/>
  <c r="P18" i="35"/>
  <c r="P17" i="35"/>
  <c r="P19" i="35"/>
  <c r="P17" i="34"/>
  <c r="P22" i="34"/>
  <c r="P21" i="34"/>
  <c r="N25" i="34"/>
  <c r="P32" i="34" s="1"/>
  <c r="P33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16" i="32"/>
  <c r="P25" i="32" s="1"/>
  <c r="P20" i="32"/>
  <c r="P18" i="32"/>
  <c r="P21" i="32"/>
  <c r="P19" i="31"/>
  <c r="M25" i="31"/>
  <c r="N16" i="31"/>
  <c r="N25" i="30"/>
  <c r="P32" i="30" s="1"/>
  <c r="P33" i="30" s="1"/>
  <c r="O16" i="30"/>
  <c r="O25" i="30" s="1"/>
  <c r="P23" i="30"/>
  <c r="P17" i="30"/>
  <c r="P20" i="30"/>
  <c r="P16" i="30"/>
  <c r="N25" i="29"/>
  <c r="P32" i="29" s="1"/>
  <c r="P33" i="29" s="1"/>
  <c r="O16" i="29"/>
  <c r="P23" i="29"/>
  <c r="P22" i="29"/>
  <c r="P19" i="29"/>
  <c r="P20" i="29"/>
  <c r="M25" i="28"/>
  <c r="N16" i="28"/>
  <c r="P17" i="28"/>
  <c r="P21" i="28"/>
  <c r="P19" i="28"/>
  <c r="M17" i="27"/>
  <c r="M19" i="27"/>
  <c r="N19" i="27" s="1"/>
  <c r="O19" i="27" s="1"/>
  <c r="M20" i="26"/>
  <c r="M20" i="27"/>
  <c r="N20" i="27" s="1"/>
  <c r="O20" i="27" s="1"/>
  <c r="M23" i="26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M19" i="26"/>
  <c r="N19" i="26" s="1"/>
  <c r="O19" i="26" s="1"/>
  <c r="N23" i="27"/>
  <c r="O23" i="27" s="1"/>
  <c r="N17" i="27"/>
  <c r="O17" i="27" s="1"/>
  <c r="N24" i="27"/>
  <c r="O24" i="27" s="1"/>
  <c r="L25" i="27"/>
  <c r="P29" i="27" s="1"/>
  <c r="K25" i="27"/>
  <c r="P30" i="27" s="1"/>
  <c r="L25" i="26"/>
  <c r="P29" i="26" s="1"/>
  <c r="N20" i="26"/>
  <c r="O20" i="26" s="1"/>
  <c r="N22" i="26"/>
  <c r="O22" i="26" s="1"/>
  <c r="P22" i="26" s="1"/>
  <c r="N17" i="26"/>
  <c r="O17" i="26" s="1"/>
  <c r="P17" i="26" s="1"/>
  <c r="M16" i="26"/>
  <c r="N24" i="26"/>
  <c r="O24" i="26" s="1"/>
  <c r="N23" i="26"/>
  <c r="O23" i="26" s="1"/>
  <c r="P23" i="26" s="1"/>
  <c r="K25" i="26"/>
  <c r="P30" i="26" s="1"/>
  <c r="O34" i="25"/>
  <c r="C11" i="25" s="1"/>
  <c r="O32" i="25"/>
  <c r="H25" i="25"/>
  <c r="G25" i="25"/>
  <c r="F24" i="25"/>
  <c r="E24" i="25"/>
  <c r="D24" i="25"/>
  <c r="I24" i="25" s="1"/>
  <c r="B24" i="25"/>
  <c r="C24" i="25" s="1"/>
  <c r="F23" i="25"/>
  <c r="E23" i="25"/>
  <c r="D23" i="25"/>
  <c r="I23" i="25" s="1"/>
  <c r="B23" i="25"/>
  <c r="C23" i="25" s="1"/>
  <c r="F22" i="25"/>
  <c r="E22" i="25"/>
  <c r="D22" i="25"/>
  <c r="I22" i="25" s="1"/>
  <c r="K22" i="25" s="1"/>
  <c r="B22" i="25"/>
  <c r="C22" i="25" s="1"/>
  <c r="F21" i="25"/>
  <c r="E21" i="25"/>
  <c r="D21" i="25"/>
  <c r="B21" i="25"/>
  <c r="C21" i="25" s="1"/>
  <c r="F20" i="25"/>
  <c r="E20" i="25"/>
  <c r="D20" i="25"/>
  <c r="I20" i="25" s="1"/>
  <c r="B20" i="25"/>
  <c r="C20" i="25" s="1"/>
  <c r="F19" i="25"/>
  <c r="E19" i="25"/>
  <c r="D19" i="25"/>
  <c r="I19" i="25" s="1"/>
  <c r="B19" i="25"/>
  <c r="C19" i="25" s="1"/>
  <c r="F18" i="25"/>
  <c r="E18" i="25"/>
  <c r="D18" i="25"/>
  <c r="I18" i="25" s="1"/>
  <c r="B18" i="25"/>
  <c r="C18" i="25" s="1"/>
  <c r="F17" i="25"/>
  <c r="E17" i="25"/>
  <c r="D17" i="25"/>
  <c r="I17" i="25" s="1"/>
  <c r="B17" i="25"/>
  <c r="C17" i="25" s="1"/>
  <c r="F16" i="25"/>
  <c r="E16" i="25"/>
  <c r="D16" i="25"/>
  <c r="I16" i="25" s="1"/>
  <c r="C16" i="25"/>
  <c r="B16" i="25"/>
  <c r="O15" i="25"/>
  <c r="N15" i="25"/>
  <c r="C12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I24" i="19" s="1"/>
  <c r="B24" i="19"/>
  <c r="C24" i="19" s="1"/>
  <c r="F23" i="19"/>
  <c r="E23" i="19"/>
  <c r="D23" i="19"/>
  <c r="I23" i="19" s="1"/>
  <c r="B23" i="19"/>
  <c r="C23" i="19" s="1"/>
  <c r="F22" i="19"/>
  <c r="E22" i="19"/>
  <c r="D22" i="19"/>
  <c r="I22" i="19" s="1"/>
  <c r="B22" i="19"/>
  <c r="C22" i="19" s="1"/>
  <c r="F21" i="19"/>
  <c r="E21" i="19"/>
  <c r="D21" i="19"/>
  <c r="I21" i="19" s="1"/>
  <c r="B21" i="19"/>
  <c r="C21" i="19" s="1"/>
  <c r="F20" i="19"/>
  <c r="E20" i="19"/>
  <c r="D20" i="19"/>
  <c r="I20" i="19" s="1"/>
  <c r="B20" i="19"/>
  <c r="C20" i="19" s="1"/>
  <c r="F19" i="19"/>
  <c r="E19" i="19"/>
  <c r="D19" i="19"/>
  <c r="I19" i="19" s="1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I24" i="18" s="1"/>
  <c r="L24" i="18" s="1"/>
  <c r="B24" i="18"/>
  <c r="C24" i="18" s="1"/>
  <c r="F23" i="18"/>
  <c r="E23" i="18"/>
  <c r="D23" i="18"/>
  <c r="B23" i="18"/>
  <c r="C23" i="18" s="1"/>
  <c r="F22" i="18"/>
  <c r="E22" i="18"/>
  <c r="D22" i="18"/>
  <c r="I22" i="18" s="1"/>
  <c r="L22" i="18" s="1"/>
  <c r="B22" i="18"/>
  <c r="C22" i="18" s="1"/>
  <c r="F21" i="18"/>
  <c r="E21" i="18"/>
  <c r="D21" i="18"/>
  <c r="I21" i="18" s="1"/>
  <c r="C21" i="18"/>
  <c r="B21" i="18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N25" i="35" l="1"/>
  <c r="P32" i="35" s="1"/>
  <c r="P33" i="35" s="1"/>
  <c r="O16" i="35"/>
  <c r="P34" i="34"/>
  <c r="P35" i="34" s="1"/>
  <c r="O25" i="34"/>
  <c r="P16" i="34"/>
  <c r="P25" i="34" s="1"/>
  <c r="N25" i="33"/>
  <c r="P32" i="33" s="1"/>
  <c r="P33" i="33" s="1"/>
  <c r="O16" i="33"/>
  <c r="P34" i="32"/>
  <c r="P35" i="32" s="1"/>
  <c r="N25" i="31"/>
  <c r="P32" i="31" s="1"/>
  <c r="P33" i="31" s="1"/>
  <c r="O16" i="31"/>
  <c r="O25" i="31" s="1"/>
  <c r="P34" i="30"/>
  <c r="P35" i="30" s="1"/>
  <c r="P25" i="30"/>
  <c r="P34" i="29"/>
  <c r="P35" i="29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K17" i="20" s="1"/>
  <c r="I19" i="20"/>
  <c r="K19" i="20" s="1"/>
  <c r="I21" i="20"/>
  <c r="I23" i="20"/>
  <c r="L23" i="20" s="1"/>
  <c r="M25" i="27"/>
  <c r="P24" i="27"/>
  <c r="P31" i="26"/>
  <c r="I16" i="24"/>
  <c r="I17" i="24"/>
  <c r="I18" i="24"/>
  <c r="K18" i="24" s="1"/>
  <c r="I19" i="24"/>
  <c r="L19" i="24" s="1"/>
  <c r="I20" i="24"/>
  <c r="K20" i="24" s="1"/>
  <c r="I21" i="24"/>
  <c r="L21" i="24" s="1"/>
  <c r="I22" i="24"/>
  <c r="K22" i="24" s="1"/>
  <c r="I21" i="23"/>
  <c r="K21" i="23" s="1"/>
  <c r="I23" i="23"/>
  <c r="I17" i="21"/>
  <c r="L17" i="21" s="1"/>
  <c r="I19" i="21"/>
  <c r="K19" i="21" s="1"/>
  <c r="I21" i="21"/>
  <c r="K21" i="21" s="1"/>
  <c r="O21" i="27"/>
  <c r="P21" i="27" s="1"/>
  <c r="P31" i="27"/>
  <c r="P23" i="27"/>
  <c r="P18" i="27"/>
  <c r="I21" i="25"/>
  <c r="L21" i="25" s="1"/>
  <c r="I23" i="24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K19" i="23" s="1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K18" i="20" s="1"/>
  <c r="I20" i="20"/>
  <c r="L20" i="20" s="1"/>
  <c r="I22" i="20"/>
  <c r="K22" i="20" s="1"/>
  <c r="I24" i="20"/>
  <c r="I16" i="21"/>
  <c r="L16" i="21" s="1"/>
  <c r="I18" i="21"/>
  <c r="K18" i="21" s="1"/>
  <c r="I20" i="21"/>
  <c r="K20" i="21" s="1"/>
  <c r="I22" i="21"/>
  <c r="K22" i="21" s="1"/>
  <c r="I24" i="21"/>
  <c r="K24" i="21" s="1"/>
  <c r="I16" i="17"/>
  <c r="K16" i="17" s="1"/>
  <c r="I17" i="17"/>
  <c r="K17" i="17" s="1"/>
  <c r="I18" i="17"/>
  <c r="I19" i="17"/>
  <c r="K19" i="17" s="1"/>
  <c r="I20" i="17"/>
  <c r="K20" i="17" s="1"/>
  <c r="I21" i="17"/>
  <c r="L21" i="17" s="1"/>
  <c r="I22" i="17"/>
  <c r="L22" i="17" s="1"/>
  <c r="I23" i="17"/>
  <c r="K23" i="17" s="1"/>
  <c r="I24" i="17"/>
  <c r="K24" i="17" s="1"/>
  <c r="I19" i="18"/>
  <c r="K19" i="18" s="1"/>
  <c r="I23" i="18"/>
  <c r="L23" i="18" s="1"/>
  <c r="K18" i="25"/>
  <c r="L18" i="25"/>
  <c r="K20" i="25"/>
  <c r="L20" i="25"/>
  <c r="I25" i="25"/>
  <c r="P28" i="25" s="1"/>
  <c r="K16" i="25"/>
  <c r="L16" i="25"/>
  <c r="K24" i="25"/>
  <c r="L24" i="25"/>
  <c r="L22" i="25"/>
  <c r="L17" i="25"/>
  <c r="K17" i="25"/>
  <c r="L19" i="25"/>
  <c r="K19" i="25"/>
  <c r="K21" i="25"/>
  <c r="L23" i="25"/>
  <c r="K23" i="25"/>
  <c r="L16" i="24"/>
  <c r="K16" i="24"/>
  <c r="L17" i="24"/>
  <c r="K17" i="24"/>
  <c r="K21" i="24"/>
  <c r="L23" i="24"/>
  <c r="K23" i="24"/>
  <c r="K17" i="23"/>
  <c r="L23" i="23"/>
  <c r="K23" i="23"/>
  <c r="K16" i="22"/>
  <c r="L16" i="22"/>
  <c r="K18" i="22"/>
  <c r="L18" i="22"/>
  <c r="K20" i="22"/>
  <c r="L20" i="22"/>
  <c r="K22" i="22"/>
  <c r="L22" i="22"/>
  <c r="L17" i="22"/>
  <c r="K17" i="22"/>
  <c r="L19" i="22"/>
  <c r="K19" i="22"/>
  <c r="L21" i="22"/>
  <c r="K21" i="22"/>
  <c r="L23" i="22"/>
  <c r="L21" i="21"/>
  <c r="K24" i="20"/>
  <c r="L24" i="20"/>
  <c r="L21" i="20"/>
  <c r="K21" i="20"/>
  <c r="K23" i="20"/>
  <c r="K20" i="19"/>
  <c r="L20" i="19"/>
  <c r="K18" i="19"/>
  <c r="K24" i="19"/>
  <c r="L24" i="19"/>
  <c r="K22" i="19"/>
  <c r="L22" i="19"/>
  <c r="L19" i="19"/>
  <c r="K19" i="19"/>
  <c r="L21" i="19"/>
  <c r="K21" i="19"/>
  <c r="L23" i="19"/>
  <c r="K23" i="19"/>
  <c r="L21" i="18"/>
  <c r="K21" i="18"/>
  <c r="K22" i="18"/>
  <c r="M22" i="18" s="1"/>
  <c r="K24" i="18"/>
  <c r="M24" i="18" s="1"/>
  <c r="K18" i="18"/>
  <c r="M18" i="18" s="1"/>
  <c r="K18" i="17"/>
  <c r="L18" i="17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34" i="15"/>
  <c r="O32" i="15"/>
  <c r="H25" i="15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O25" i="35" l="1"/>
  <c r="P16" i="35"/>
  <c r="P25" i="35" s="1"/>
  <c r="P34" i="35"/>
  <c r="P35" i="35" s="1"/>
  <c r="O25" i="33"/>
  <c r="P16" i="33"/>
  <c r="P25" i="33" s="1"/>
  <c r="P34" i="33"/>
  <c r="P35" i="33" s="1"/>
  <c r="P16" i="31"/>
  <c r="P25" i="31" s="1"/>
  <c r="P35" i="31"/>
  <c r="P34" i="31"/>
  <c r="O25" i="28"/>
  <c r="P16" i="28"/>
  <c r="P25" i="28" s="1"/>
  <c r="P34" i="28"/>
  <c r="P35" i="28" s="1"/>
  <c r="L20" i="24"/>
  <c r="K19" i="24"/>
  <c r="L24" i="21"/>
  <c r="L17" i="20"/>
  <c r="K17" i="19"/>
  <c r="L16" i="17"/>
  <c r="K20" i="18"/>
  <c r="M20" i="18" s="1"/>
  <c r="L17" i="17"/>
  <c r="L19" i="20"/>
  <c r="K16" i="23"/>
  <c r="L24" i="24"/>
  <c r="L25" i="24" s="1"/>
  <c r="P29" i="24" s="1"/>
  <c r="L18" i="24"/>
  <c r="L22" i="21"/>
  <c r="L18" i="21"/>
  <c r="K16" i="20"/>
  <c r="M16" i="20" s="1"/>
  <c r="N16" i="20" s="1"/>
  <c r="K16" i="19"/>
  <c r="K25" i="19" s="1"/>
  <c r="P30" i="19" s="1"/>
  <c r="K22" i="17"/>
  <c r="M22" i="17" s="1"/>
  <c r="N22" i="17" s="1"/>
  <c r="O22" i="17" s="1"/>
  <c r="L19" i="21"/>
  <c r="M19" i="21" s="1"/>
  <c r="N19" i="21" s="1"/>
  <c r="O19" i="21" s="1"/>
  <c r="K17" i="21"/>
  <c r="M17" i="21" s="1"/>
  <c r="N17" i="21" s="1"/>
  <c r="O17" i="21" s="1"/>
  <c r="P17" i="21" s="1"/>
  <c r="K18" i="23"/>
  <c r="L19" i="17"/>
  <c r="M19" i="17" s="1"/>
  <c r="N19" i="17" s="1"/>
  <c r="O19" i="17" s="1"/>
  <c r="P19" i="17" s="1"/>
  <c r="L20" i="17"/>
  <c r="M20" i="17" s="1"/>
  <c r="N20" i="17" s="1"/>
  <c r="O20" i="17" s="1"/>
  <c r="K21" i="17"/>
  <c r="L22" i="24"/>
  <c r="M22" i="24" s="1"/>
  <c r="N22" i="24" s="1"/>
  <c r="O22" i="24" s="1"/>
  <c r="L21" i="23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P33" i="27"/>
  <c r="P34" i="27" s="1"/>
  <c r="P35" i="27" s="1"/>
  <c r="U25" i="15" s="1"/>
  <c r="K20" i="23"/>
  <c r="L22" i="23"/>
  <c r="M16" i="23"/>
  <c r="L23" i="21"/>
  <c r="M23" i="21" s="1"/>
  <c r="N23" i="21" s="1"/>
  <c r="O23" i="21" s="1"/>
  <c r="P23" i="21" s="1"/>
  <c r="I25" i="19"/>
  <c r="P28" i="19" s="1"/>
  <c r="L19" i="18"/>
  <c r="L25" i="18" s="1"/>
  <c r="P29" i="18" s="1"/>
  <c r="K23" i="18"/>
  <c r="O25" i="27"/>
  <c r="M23" i="25"/>
  <c r="M16" i="24"/>
  <c r="M20" i="24"/>
  <c r="M21" i="24"/>
  <c r="K24" i="23"/>
  <c r="M24" i="23" s="1"/>
  <c r="N24" i="23" s="1"/>
  <c r="O24" i="23" s="1"/>
  <c r="K24" i="22"/>
  <c r="I25" i="22"/>
  <c r="P28" i="22" s="1"/>
  <c r="K20" i="20"/>
  <c r="M20" i="20" s="1"/>
  <c r="N20" i="20" s="1"/>
  <c r="O20" i="20" s="1"/>
  <c r="L18" i="20"/>
  <c r="M18" i="20" s="1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M24" i="25"/>
  <c r="M19" i="24"/>
  <c r="N19" i="24" s="1"/>
  <c r="O19" i="24" s="1"/>
  <c r="P19" i="24" s="1"/>
  <c r="M18" i="24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21" i="20"/>
  <c r="N21" i="20" s="1"/>
  <c r="O21" i="20" s="1"/>
  <c r="M17" i="20"/>
  <c r="N17" i="20" s="1"/>
  <c r="O17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M22" i="25"/>
  <c r="N22" i="25" s="1"/>
  <c r="O22" i="25" s="1"/>
  <c r="M20" i="25"/>
  <c r="N20" i="25" s="1"/>
  <c r="O20" i="25" s="1"/>
  <c r="M24" i="24"/>
  <c r="M17" i="24"/>
  <c r="M23" i="24"/>
  <c r="M18" i="23"/>
  <c r="N18" i="23" s="1"/>
  <c r="O18" i="23" s="1"/>
  <c r="I25" i="23"/>
  <c r="P28" i="23" s="1"/>
  <c r="M24" i="22"/>
  <c r="M19" i="22"/>
  <c r="N19" i="22" s="1"/>
  <c r="O19" i="22" s="1"/>
  <c r="M18" i="22"/>
  <c r="I25" i="21"/>
  <c r="P28" i="21" s="1"/>
  <c r="M22" i="21"/>
  <c r="N22" i="21" s="1"/>
  <c r="O22" i="21" s="1"/>
  <c r="K16" i="21"/>
  <c r="M16" i="21" s="1"/>
  <c r="L22" i="20"/>
  <c r="I25" i="20"/>
  <c r="P28" i="20" s="1"/>
  <c r="M20" i="19"/>
  <c r="M23" i="19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K16" i="16" s="1"/>
  <c r="I17" i="16"/>
  <c r="I18" i="16"/>
  <c r="K18" i="16" s="1"/>
  <c r="K18" i="15" s="1"/>
  <c r="I19" i="16"/>
  <c r="I20" i="16"/>
  <c r="K20" i="16" s="1"/>
  <c r="I21" i="16"/>
  <c r="L21" i="15" s="1"/>
  <c r="I22" i="16"/>
  <c r="K22" i="16" s="1"/>
  <c r="K22" i="15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21" i="23"/>
  <c r="N21" i="23" s="1"/>
  <c r="O21" i="23" s="1"/>
  <c r="M17" i="23"/>
  <c r="N17" i="23" s="1"/>
  <c r="O17" i="23" s="1"/>
  <c r="M17" i="17"/>
  <c r="N17" i="17" s="1"/>
  <c r="O17" i="17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M18" i="21"/>
  <c r="N18" i="21" s="1"/>
  <c r="O18" i="21" s="1"/>
  <c r="K25" i="22"/>
  <c r="P30" i="22" s="1"/>
  <c r="M20" i="23"/>
  <c r="N20" i="23" s="1"/>
  <c r="O20" i="23" s="1"/>
  <c r="L25" i="25"/>
  <c r="P29" i="25" s="1"/>
  <c r="M21" i="25"/>
  <c r="N21" i="25" s="1"/>
  <c r="O21" i="25" s="1"/>
  <c r="P21" i="25" s="1"/>
  <c r="N24" i="25"/>
  <c r="O24" i="25" s="1"/>
  <c r="N17" i="25"/>
  <c r="O17" i="25" s="1"/>
  <c r="K25" i="25"/>
  <c r="P30" i="25" s="1"/>
  <c r="M16" i="25"/>
  <c r="N23" i="25"/>
  <c r="O23" i="25" s="1"/>
  <c r="P23" i="25" s="1"/>
  <c r="N19" i="25"/>
  <c r="O19" i="25" s="1"/>
  <c r="N20" i="24"/>
  <c r="O20" i="24" s="1"/>
  <c r="N23" i="24"/>
  <c r="O23" i="24" s="1"/>
  <c r="N24" i="24"/>
  <c r="O24" i="24" s="1"/>
  <c r="N17" i="24"/>
  <c r="O17" i="24" s="1"/>
  <c r="N18" i="24"/>
  <c r="O18" i="24" s="1"/>
  <c r="N16" i="24"/>
  <c r="K25" i="24"/>
  <c r="P30" i="24" s="1"/>
  <c r="N21" i="24"/>
  <c r="O21" i="24" s="1"/>
  <c r="N16" i="23"/>
  <c r="N24" i="22"/>
  <c r="O24" i="22" s="1"/>
  <c r="P24" i="22" s="1"/>
  <c r="N18" i="22"/>
  <c r="O18" i="22" s="1"/>
  <c r="L25" i="22"/>
  <c r="P29" i="22" s="1"/>
  <c r="M16" i="22"/>
  <c r="M21" i="21"/>
  <c r="N21" i="21" s="1"/>
  <c r="N16" i="21"/>
  <c r="M19" i="20"/>
  <c r="N19" i="20" s="1"/>
  <c r="O19" i="20" s="1"/>
  <c r="M17" i="19"/>
  <c r="N17" i="19" s="1"/>
  <c r="O17" i="19" s="1"/>
  <c r="M21" i="19"/>
  <c r="N23" i="19"/>
  <c r="O23" i="19" s="1"/>
  <c r="N24" i="19"/>
  <c r="O24" i="19" s="1"/>
  <c r="N20" i="19"/>
  <c r="O20" i="19" s="1"/>
  <c r="L25" i="19"/>
  <c r="P29" i="19" s="1"/>
  <c r="M19" i="18"/>
  <c r="N19" i="18" s="1"/>
  <c r="O19" i="18" s="1"/>
  <c r="N24" i="18"/>
  <c r="O24" i="18" s="1"/>
  <c r="N18" i="18"/>
  <c r="O18" i="18" s="1"/>
  <c r="N22" i="18"/>
  <c r="O22" i="18" s="1"/>
  <c r="N20" i="18"/>
  <c r="O20" i="18" s="1"/>
  <c r="M16" i="17"/>
  <c r="I23" i="15"/>
  <c r="L17" i="15" l="1"/>
  <c r="L23" i="15"/>
  <c r="L16" i="15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L25" i="17"/>
  <c r="P29" i="17" s="1"/>
  <c r="P31" i="17" s="1"/>
  <c r="K24" i="16"/>
  <c r="K24" i="15" s="1"/>
  <c r="M24" i="15" s="1"/>
  <c r="M21" i="17"/>
  <c r="N21" i="17" s="1"/>
  <c r="O21" i="17" s="1"/>
  <c r="L18" i="15"/>
  <c r="M18" i="15" s="1"/>
  <c r="L20" i="15"/>
  <c r="L25" i="21"/>
  <c r="P29" i="21" s="1"/>
  <c r="P31" i="21" s="1"/>
  <c r="K16" i="15"/>
  <c r="L22" i="15"/>
  <c r="M22" i="15" s="1"/>
  <c r="M22" i="23"/>
  <c r="N22" i="23" s="1"/>
  <c r="O22" i="23" s="1"/>
  <c r="M22" i="20"/>
  <c r="N22" i="20" s="1"/>
  <c r="O22" i="20" s="1"/>
  <c r="M25" i="24"/>
  <c r="K20" i="15"/>
  <c r="K21" i="16"/>
  <c r="K21" i="15" s="1"/>
  <c r="M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6"/>
  <c r="K17" i="15" s="1"/>
  <c r="M17" i="15" s="1"/>
  <c r="P23" i="22"/>
  <c r="I25" i="15"/>
  <c r="P28" i="15" s="1"/>
  <c r="M24" i="16"/>
  <c r="N24" i="16" s="1"/>
  <c r="K23" i="16"/>
  <c r="K19" i="16"/>
  <c r="K19" i="15" s="1"/>
  <c r="O21" i="21"/>
  <c r="P21" i="21" s="1"/>
  <c r="M16" i="16"/>
  <c r="N16" i="16" s="1"/>
  <c r="P24" i="23"/>
  <c r="P31" i="24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P22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9" i="18"/>
  <c r="P17" i="18"/>
  <c r="P20" i="18"/>
  <c r="P21" i="18"/>
  <c r="P23" i="18"/>
  <c r="P24" i="18"/>
  <c r="M25" i="18"/>
  <c r="N16" i="18"/>
  <c r="P22" i="18"/>
  <c r="P18" i="18"/>
  <c r="P17" i="17"/>
  <c r="N16" i="17"/>
  <c r="P20" i="17"/>
  <c r="P24" i="17"/>
  <c r="P18" i="17"/>
  <c r="P22" i="17"/>
  <c r="M22" i="16"/>
  <c r="N22" i="16" s="1"/>
  <c r="M20" i="16"/>
  <c r="N20" i="16" s="1"/>
  <c r="M16" i="15" l="1"/>
  <c r="L25" i="16"/>
  <c r="P29" i="16" s="1"/>
  <c r="M18" i="16"/>
  <c r="N18" i="16" s="1"/>
  <c r="N18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29" i="15" s="1"/>
  <c r="N25" i="23"/>
  <c r="P32" i="23" s="1"/>
  <c r="P33" i="23" s="1"/>
  <c r="P34" i="23" s="1"/>
  <c r="P35" i="23" s="1"/>
  <c r="U21" i="15" s="1"/>
  <c r="P22" i="23"/>
  <c r="O25" i="23"/>
  <c r="M25" i="23"/>
  <c r="M19" i="15"/>
  <c r="N16" i="15"/>
  <c r="O20" i="16"/>
  <c r="O20" i="15" s="1"/>
  <c r="N20" i="15"/>
  <c r="O24" i="16"/>
  <c r="O24" i="15" s="1"/>
  <c r="N24" i="15"/>
  <c r="O22" i="16"/>
  <c r="O22" i="15" s="1"/>
  <c r="N22" i="15"/>
  <c r="P33" i="21"/>
  <c r="P34" i="21" s="1"/>
  <c r="P35" i="21" s="1"/>
  <c r="U19" i="15" s="1"/>
  <c r="P33" i="24"/>
  <c r="P34" i="24" s="1"/>
  <c r="P35" i="24" s="1"/>
  <c r="U22" i="15" s="1"/>
  <c r="P16" i="23"/>
  <c r="P25" i="23" s="1"/>
  <c r="O25" i="21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8"/>
  <c r="O16" i="17"/>
  <c r="O25" i="17" s="1"/>
  <c r="N25" i="17"/>
  <c r="P32" i="17" s="1"/>
  <c r="P33" i="17" s="1"/>
  <c r="O16" i="16"/>
  <c r="O18" i="16" l="1"/>
  <c r="O18" i="15" s="1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P20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0" i="15" s="1"/>
  <c r="P31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6" i="15" s="1"/>
  <c r="P16" i="17"/>
  <c r="P25" i="17" s="1"/>
  <c r="P34" i="17"/>
  <c r="P35" i="17" s="1"/>
  <c r="U15" i="15" s="1"/>
  <c r="P16" i="16"/>
  <c r="P22" i="15"/>
  <c r="P33" i="16" l="1"/>
  <c r="P34" i="16" s="1"/>
  <c r="P35" i="16" s="1"/>
  <c r="U14" i="15" s="1"/>
  <c r="U26" i="15" s="1"/>
  <c r="N25" i="15"/>
  <c r="P32" i="15" s="1"/>
  <c r="P33" i="15" s="1"/>
  <c r="P34" i="15" s="1"/>
  <c r="P35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<sst xmlns="http://schemas.openxmlformats.org/spreadsheetml/2006/main" count="1598" uniqueCount="107">
  <si>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</si>
  <si>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</si>
  <si>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</si>
  <si>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</si>
  <si>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</si>
  <si>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</si>
  <si>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</si>
  <si>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</si>
  <si>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</si>
  <si>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</si>
  <si>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</si>
  <si>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</si>
  <si>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</si>
  <si>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</si>
  <si>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</si>
  <si>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</si>
  <si>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</si>
  <si>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</si>
  <si>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</si>
  <si>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</si>
  <si>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</si>
  <si>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</si>
  <si>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</si>
  <si>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</si>
  <si>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</si>
  <si>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</si>
  <si>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</si>
  <si>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</si>
  <si>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</si>
  <si>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</si>
  <si>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</si>
  <si>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</si>
  <si>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</si>
  <si>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</si>
  <si>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</si>
  <si>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</si>
  <si>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</si>
  <si>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</si>
  <si>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</si>
  <si>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</si>
  <si>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</si>
  <si>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</si>
  <si>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</si>
  <si>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</si>
  <si>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</si>
  <si>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</si>
  <si>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</si>
  <si>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</si>
  <si>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</si>
  <si>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</si>
  <si>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</si>
  <si>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</si>
  <si>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</si>
  <si>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</si>
  <si>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</si>
  <si>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</si>
  <si>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</si>
  <si>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</si>
  <si>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</si>
  <si>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</si>
  <si>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</si>
  <si>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</si>
  <si>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</si>
  <si>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</si>
  <si>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</si>
  <si>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</si>
  <si>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</si>
  <si>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</si>
  <si>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</si>
  <si>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</si>
  <si>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</si>
  <si>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</si>
  <si>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</si>
  <si>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</si>
  <si>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</si>
  <si>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</si>
  <si>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</si>
  <si>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</si>
  <si>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</si>
  <si>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</si>
  <si>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</si>
  <si>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</si>
  <si>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</si>
  <si>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</si>
  <si>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</si>
  <si>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</si>
  <si>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</si>
  <si>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</si>
  <si>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</si>
  <si>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</si>
  <si>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</si>
  <si>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</si>
  <si>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</si>
  <si>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</si>
  <si>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</si>
  <si>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</si>
  <si>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</si>
  <si>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</si>
  <si>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</si>
  <si>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Shop Bill Summary (Mobeen Ahmad)</t>
  </si>
  <si>
    <t>Mobeen Ahmad</t>
  </si>
  <si>
    <t>Rana Bilal Tso</t>
  </si>
  <si>
    <t>Shakoor</t>
  </si>
  <si>
    <t>vacant</t>
  </si>
  <si>
    <t xml:space="preserve">Customer Name : Jalal Sons </t>
  </si>
  <si>
    <t>Address: Askari 10</t>
  </si>
  <si>
    <t>1010737-1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</si>
</sst>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1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0" fillId="0" borderId="0" xfId="0" applyAlignment="1">
      <alignment horizontal="left" vertical="center" wrapText="1"/>
    </xf>
    <xf numFmtId="0" fontId="18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26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  <xf numFmtId="9" fontId="13" fillId="0" borderId="45" xfId="0" applyNumberFormat="1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A5" sqref="A5:C5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100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101</v>
      </c>
    </row>
    <row r="13" spans="1:2" x14ac:dyDescent="0.35">
      <c r="A13">
        <v>8</v>
      </c>
      <c r="B13" t="s">
        <v>102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A5" sqref="A5:C5"/>
      <selection pane="topRight" activeCell="A5" sqref="A5:C5"/>
      <selection pane="bottomLeft" activeCell="A5" sqref="A5:C5"/>
      <selection pane="bottomRight" activeCell="A5" sqref="A5:C5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0"/>
      <c r="B3" s="180"/>
      <c r="C3" s="180"/>
      <c r="D3" s="180"/>
      <c r="E3" s="180"/>
      <c r="F3" s="181"/>
      <c r="G3" s="181"/>
      <c r="H3" s="181"/>
      <c r="I3" s="181"/>
      <c r="J3" s="181"/>
      <c r="K3" s="181"/>
      <c r="L3" s="181"/>
      <c r="M3" s="181"/>
      <c r="N3" s="181"/>
      <c r="O3" s="181"/>
      <c r="P3" s="181"/>
      <c r="Q3" s="181"/>
      <c r="R3" s="181"/>
      <c r="S3" s="181"/>
      <c r="T3" s="181"/>
      <c r="U3" s="181"/>
      <c r="V3" s="181"/>
      <c r="W3" s="181"/>
      <c r="X3" s="181"/>
      <c r="Y3" s="181"/>
    </row>
    <row r="4" spans="1:29" x14ac:dyDescent="0.35">
      <c r="A4" s="182" t="s">
        <v>6</v>
      </c>
      <c r="B4" s="5" t="s">
        <v>7</v>
      </c>
      <c r="C4" s="5"/>
      <c r="D4" s="184" t="s">
        <v>8</v>
      </c>
      <c r="E4" s="186" t="s">
        <v>9</v>
      </c>
      <c r="F4" s="188" t="s">
        <v>3</v>
      </c>
      <c r="G4" s="188"/>
      <c r="H4" s="189" t="s">
        <v>10</v>
      </c>
      <c r="I4" s="189"/>
      <c r="J4" s="190" t="s">
        <v>11</v>
      </c>
      <c r="K4" s="191"/>
      <c r="L4" s="190" t="s">
        <v>12</v>
      </c>
      <c r="M4" s="191"/>
      <c r="N4" s="192" t="s">
        <v>13</v>
      </c>
      <c r="O4" s="192"/>
      <c r="P4" s="190" t="s">
        <v>4</v>
      </c>
      <c r="Q4" s="191"/>
      <c r="R4" s="190" t="s">
        <v>14</v>
      </c>
      <c r="S4" s="191"/>
      <c r="T4" s="193" t="s">
        <v>15</v>
      </c>
      <c r="U4" s="193"/>
      <c r="V4" s="194" t="s">
        <v>16</v>
      </c>
      <c r="W4" s="195"/>
      <c r="X4" s="194" t="s">
        <v>17</v>
      </c>
      <c r="Y4" s="195"/>
    </row>
    <row r="5" spans="1:29" ht="26.25" customHeight="1" thickBot="1" x14ac:dyDescent="0.4">
      <c r="A5" s="183"/>
      <c r="B5" s="7" t="s">
        <v>18</v>
      </c>
      <c r="C5" s="7" t="s">
        <v>8</v>
      </c>
      <c r="D5" s="185"/>
      <c r="E5" s="187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37"/>
  <sheetViews>
    <sheetView zoomScale="70" zoomScaleNormal="70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.453125" customWidth="1"/>
    <col min="9" max="9" width="11.54296875" hidden="1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2.453125" bestFit="1" customWidth="1"/>
  </cols>
  <sheetData>
    <row r="2" spans="1:21 16383:16384" ht="21" x14ac:dyDescent="0.5">
      <c r="A2" s="196" t="s">
        <v>45</v>
      </c>
      <c r="B2" s="196"/>
      <c r="C2" s="196"/>
    </row>
    <row r="3" spans="1:21 16383:16384" ht="15" customHeight="1" x14ac:dyDescent="0.35">
      <c r="A3" s="197" t="s">
        <v>46</v>
      </c>
      <c r="B3" s="197"/>
      <c r="C3" s="197"/>
      <c r="F3" s="70"/>
      <c r="G3" s="71"/>
      <c r="K3" s="198" t="s">
        <v>47</v>
      </c>
      <c r="L3" s="198"/>
      <c r="M3" s="198"/>
      <c r="N3" s="197">
        <v>1</v>
      </c>
      <c r="O3" s="197"/>
      <c r="P3" s="197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197" t="s">
        <v>94</v>
      </c>
      <c r="B4" s="197"/>
      <c r="C4" s="197"/>
      <c r="F4" s="70"/>
      <c r="G4" s="71"/>
      <c r="K4" s="198" t="s">
        <v>49</v>
      </c>
      <c r="L4" s="198"/>
      <c r="M4" s="198"/>
      <c r="N4" s="199">
        <f ca="1">TODAY()</f>
        <v>46196</v>
      </c>
      <c r="O4" s="199"/>
      <c r="P4" s="199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01" t="s">
        <v>103</v>
      </c>
      <c r="B5" s="201"/>
      <c r="C5" s="201"/>
      <c r="F5" s="70"/>
      <c r="G5" s="71"/>
      <c r="K5" s="198" t="s">
        <v>51</v>
      </c>
      <c r="L5" s="198"/>
      <c r="M5" s="198"/>
      <c r="N5" s="199">
        <f ca="1">N4-1</f>
        <v>46195</v>
      </c>
      <c r="O5" s="197"/>
      <c r="P5" s="197"/>
      <c r="R5" s="70"/>
      <c r="S5" s="71"/>
    </row>
    <row r="6" spans="1:21 16383:16384" ht="15" customHeight="1" x14ac:dyDescent="0.35">
      <c r="A6" s="201"/>
      <c r="B6" s="201"/>
      <c r="C6" s="201"/>
      <c r="F6" s="70"/>
      <c r="G6" s="74"/>
      <c r="K6" s="198" t="s">
        <v>52</v>
      </c>
      <c r="L6" s="198"/>
      <c r="M6" s="198"/>
      <c r="N6" s="200" t="s">
        <v>42</v>
      </c>
      <c r="O6" s="200"/>
      <c r="P6" s="200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198"/>
      <c r="B7" s="198"/>
      <c r="C7" s="198"/>
      <c r="F7" s="70"/>
      <c r="G7" s="74"/>
      <c r="K7" s="198"/>
      <c r="L7" s="198"/>
      <c r="M7" s="198"/>
      <c r="N7" s="200"/>
      <c r="O7" s="200"/>
      <c r="P7" s="200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02"/>
      <c r="B8" s="202"/>
      <c r="C8" s="202"/>
      <c r="F8" s="70"/>
      <c r="G8" s="74"/>
      <c r="K8" s="198"/>
      <c r="L8" s="198"/>
      <c r="M8" s="198"/>
      <c r="N8" s="200"/>
      <c r="O8" s="200"/>
      <c r="P8" s="200"/>
      <c r="R8" s="70"/>
      <c r="S8" s="74"/>
    </row>
    <row r="9" spans="1:21 16383:16384" hidden="1" x14ac:dyDescent="0.35">
      <c r="A9" s="202"/>
      <c r="B9" s="202"/>
      <c r="C9" s="202"/>
      <c r="F9" s="70"/>
      <c r="G9" s="74"/>
      <c r="K9" s="198"/>
      <c r="L9" s="198"/>
      <c r="M9" s="198"/>
      <c r="N9" s="200"/>
      <c r="O9" s="200"/>
      <c r="P9" s="200"/>
      <c r="R9" s="70"/>
      <c r="S9" s="74"/>
      <c r="XFD9" t="s">
        <v>55</v>
      </c>
    </row>
    <row r="10" spans="1:21 16383:16384" x14ac:dyDescent="0.35">
      <c r="A10" s="203"/>
      <c r="B10" s="75"/>
      <c r="C10" s="75"/>
      <c r="F10" s="70"/>
      <c r="G10" s="71"/>
      <c r="K10" s="198" t="s">
        <v>56</v>
      </c>
      <c r="L10" s="198"/>
      <c r="M10" s="198"/>
      <c r="N10" s="197" t="s">
        <v>57</v>
      </c>
      <c r="O10" s="197"/>
      <c r="P10" s="197"/>
      <c r="R10" s="70"/>
      <c r="S10" s="71"/>
      <c r="XFD10" t="s">
        <v>58</v>
      </c>
    </row>
    <row r="11" spans="1:21 16383:16384" ht="15" thickBot="1" x14ac:dyDescent="0.4">
      <c r="A11" s="203"/>
      <c r="B11" s="76"/>
      <c r="C11" s="77"/>
      <c r="F11" s="70"/>
      <c r="G11" s="71"/>
      <c r="K11" s="198" t="s">
        <v>59</v>
      </c>
      <c r="L11" s="198"/>
      <c r="M11" s="198"/>
      <c r="N11" s="197" t="s">
        <v>55</v>
      </c>
      <c r="O11" s="197"/>
      <c r="P11" s="197"/>
      <c r="R11" s="70"/>
      <c r="S11" s="71"/>
    </row>
    <row r="12" spans="1:21 16383:16384" ht="14.65" customHeight="1" x14ac:dyDescent="0.35">
      <c r="A12" s="203"/>
      <c r="B12" s="76"/>
      <c r="C12" s="77"/>
      <c r="F12" s="70"/>
      <c r="G12" s="71"/>
      <c r="K12" s="198" t="s">
        <v>61</v>
      </c>
      <c r="L12" s="198"/>
      <c r="M12" s="198"/>
      <c r="N12" s="197"/>
      <c r="O12" s="197"/>
      <c r="P12" s="197"/>
      <c r="R12" s="70"/>
      <c r="S12" s="71"/>
      <c r="T12" s="212" t="s">
        <v>99</v>
      </c>
      <c r="U12" s="213"/>
      <c r="XFD12" t="s">
        <v>62</v>
      </c>
    </row>
    <row r="13" spans="1:21 16383:16384" ht="15" thickBot="1" x14ac:dyDescent="0.4">
      <c r="A13" s="240"/>
      <c r="J13" s="78"/>
      <c r="K13" s="78"/>
      <c r="L13" s="79">
        <v>0.05</v>
      </c>
      <c r="T13" s="214"/>
      <c r="U13" s="215"/>
      <c r="XFD13" t="s">
        <v>63</v>
      </c>
    </row>
    <row r="14" spans="1:21 16383:16384" ht="29.25" customHeight="1" x14ac:dyDescent="0.6">
      <c r="A14" s="241" t="s">
        <v>64</v>
      </c>
      <c r="B14" s="210"/>
      <c r="C14" s="204" t="s">
        <v>65</v>
      </c>
      <c r="D14" s="80" t="s">
        <v>2</v>
      </c>
      <c r="E14" s="81" t="s">
        <v>66</v>
      </c>
      <c r="F14" s="82" t="s">
        <v>67</v>
      </c>
      <c r="G14" s="206" t="s">
        <v>68</v>
      </c>
      <c r="H14" s="207"/>
      <c r="I14" s="207" t="s">
        <v>69</v>
      </c>
      <c r="J14" s="207" t="s">
        <v>70</v>
      </c>
      <c r="K14" s="207"/>
      <c r="L14" s="209"/>
      <c r="M14" s="210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 xml:space="preserve">Customer Name : Jalal Sons </v>
      </c>
      <c r="U14" s="164">
        <f>+'1'!P35</f>
        <v>13476.738369600002</v>
      </c>
      <c r="XFD14" t="s">
        <v>75</v>
      </c>
    </row>
    <row r="15" spans="1:21 16383:16384" ht="29.25" customHeight="1" thickBot="1" x14ac:dyDescent="0.65">
      <c r="A15" s="242"/>
      <c r="B15" s="211"/>
      <c r="C15" s="205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08"/>
      <c r="J15" s="171" t="s">
        <v>78</v>
      </c>
      <c r="K15" s="171" t="s">
        <v>79</v>
      </c>
      <c r="L15" s="174" t="s">
        <v>80</v>
      </c>
      <c r="M15" s="21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 xml:space="preserve">Customer Name : Jalal Sons </v>
      </c>
      <c r="U15" s="164">
        <f>+'2'!P35</f>
        <v>0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</f>
        <v>0</v>
      </c>
      <c r="I16" s="1">
        <f>(G16*D16)*F16+H16*F16</f>
        <v>0</v>
      </c>
      <c r="J16" s="172">
        <f>+'1'!J16+'2'!J16+'4'!J16+'3'!J16+'5'!J16+'6'!J16+'7'!J16+'8'!J16+'9'!J16+'10'!J16+'11'!J16+'12'!J16</f>
        <v>0</v>
      </c>
      <c r="K16" s="172">
        <f>+'1'!K16+'2'!K16+'4'!K16+'3'!K16+'5'!K16+'6'!K16+'7'!K16+'8'!K16+'9'!K16+'10'!K16</f>
        <v>0</v>
      </c>
      <c r="L16" s="175">
        <f>+'1'!L16+'2'!L16+'4'!L16+'3'!L16+'5'!L16+'6'!L16+'7'!L16+'8'!L16+'9'!L16+'10'!L16</f>
        <v>0</v>
      </c>
      <c r="M16" s="106">
        <f>I16-K16-L16</f>
        <v>0</v>
      </c>
      <c r="N16" s="101">
        <f>+'1'!N16+'2'!N16+'4'!N16+'3'!N16+'5'!N16+'6'!N16+'7'!N16+'8'!N16+'9'!N16+'10'!N16</f>
        <v>0</v>
      </c>
      <c r="O16" s="101">
        <f>+'1'!O16+'2'!O16+'4'!O16+'3'!O16+'5'!O16+'6'!O16+'7'!O16+'8'!O16+'9'!O16+'10'!O16</f>
        <v>0</v>
      </c>
      <c r="P16" s="105">
        <f t="shared" ref="P16:P24" si="0">M16+N16+O16</f>
        <v>0</v>
      </c>
      <c r="Q16" s="108"/>
      <c r="T16" s="163" t="str">
        <f>+'4'!A5</f>
        <v xml:space="preserve">Customer Name : Jalal Sons </v>
      </c>
      <c r="U16" s="164">
        <f>+'4'!P35</f>
        <v>0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</f>
        <v>40</v>
      </c>
      <c r="I17" s="1">
        <f t="shared" ref="I17:I23" si="1">(G17*D17)*F17+H17*F17</f>
        <v>2098.5</v>
      </c>
      <c r="J17" s="172">
        <f>+'1'!J17+'2'!J17+'4'!J17+'3'!J17+'5'!J17+'6'!J17+'7'!J17+'8'!J17+'9'!J17+'10'!J17+'11'!J17+'12'!J17</f>
        <v>0</v>
      </c>
      <c r="K17" s="172">
        <f>+'1'!K17+'2'!K17+'4'!K17+'3'!K17+'5'!K17+'6'!K17+'7'!K17+'8'!K17+'9'!K17+'10'!K17</f>
        <v>0</v>
      </c>
      <c r="L17" s="175">
        <f>+'1'!L17+'2'!L17+'4'!L17+'3'!L17+'5'!L17+'6'!L17+'7'!L17+'8'!L17+'9'!L17+'10'!L17</f>
        <v>251.82</v>
      </c>
      <c r="M17" s="118">
        <f t="shared" ref="M17:M23" si="2">I17-K17-L17</f>
        <v>1846.68</v>
      </c>
      <c r="N17" s="101">
        <f>+'1'!N17+'2'!N17+'4'!N17+'3'!N17+'5'!N17+'6'!N17+'7'!N17+'8'!N17+'9'!N17+'10'!N17</f>
        <v>332.4024</v>
      </c>
      <c r="O17" s="101">
        <f>+'1'!O17+'2'!O17+'4'!O17+'3'!O17+'5'!O17+'6'!O17+'7'!O17+'8'!O17+'9'!O17+'10'!O17</f>
        <v>10.895412000000002</v>
      </c>
      <c r="P17" s="120">
        <f t="shared" si="0"/>
        <v>2189.9778120000001</v>
      </c>
      <c r="S17" s="64"/>
      <c r="T17" s="163" t="str">
        <f>+'3'!A5</f>
        <v xml:space="preserve">Customer Name : Jalal Sons </v>
      </c>
      <c r="U17" s="164">
        <f>+'3'!P35</f>
        <v>0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</f>
        <v>40</v>
      </c>
      <c r="I18" s="1">
        <f t="shared" si="1"/>
        <v>2098.5</v>
      </c>
      <c r="J18" s="172">
        <f>+'1'!J18+'2'!J18+'4'!J18+'3'!J18+'5'!J18+'6'!J18+'7'!J18+'8'!J18+'9'!J18+'10'!J18+'11'!J18+'12'!J18</f>
        <v>0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251.82</v>
      </c>
      <c r="M18" s="118">
        <f t="shared" si="2"/>
        <v>1846.68</v>
      </c>
      <c r="N18" s="101">
        <f>+'1'!N18+'2'!N18+'4'!N18+'3'!N18+'5'!N18+'6'!N18+'7'!N18+'8'!N18+'9'!N18+'10'!N18</f>
        <v>332.4024</v>
      </c>
      <c r="O18" s="101">
        <f>+'1'!O18+'2'!O18+'4'!O18+'3'!O18+'5'!O18+'6'!O18+'7'!O18+'8'!O18+'9'!O18+'10'!O18</f>
        <v>10.895412000000002</v>
      </c>
      <c r="P18" s="120">
        <f t="shared" si="0"/>
        <v>2189.9778120000001</v>
      </c>
      <c r="T18" s="163" t="str">
        <f>+'5'!A5</f>
        <v xml:space="preserve">Customer Name : Jalal Sons </v>
      </c>
      <c r="U18" s="164">
        <f>+'5'!P35</f>
        <v>0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</f>
        <v>40</v>
      </c>
      <c r="I19" s="1">
        <f t="shared" si="1"/>
        <v>2905.6</v>
      </c>
      <c r="J19" s="172">
        <f>+'1'!J19+'2'!J19+'4'!J19+'3'!J19+'5'!J19+'6'!J19+'7'!J19+'8'!J19+'9'!J19+'10'!J19+'11'!J19+'12'!J19</f>
        <v>0</v>
      </c>
      <c r="K19" s="172">
        <f>+'1'!K19+'2'!K19+'4'!K19+'3'!K19+'5'!K19+'6'!K19+'7'!K19+'8'!K19+'9'!K19+'10'!K19</f>
        <v>0</v>
      </c>
      <c r="L19" s="175">
        <f>+'1'!L19+'2'!L19+'4'!L19+'3'!L19+'5'!L19+'6'!L19+'7'!L19+'8'!L19+'9'!L19+'10'!L19</f>
        <v>348.67199999999997</v>
      </c>
      <c r="M19" s="118">
        <f t="shared" si="2"/>
        <v>2556.9279999999999</v>
      </c>
      <c r="N19" s="101">
        <f>+'1'!N19+'2'!N19+'4'!N19+'3'!N19+'5'!N19+'6'!N19+'7'!N19+'8'!N19+'9'!N19+'10'!N19</f>
        <v>460.24703999999997</v>
      </c>
      <c r="O19" s="101">
        <f>+'1'!O19+'2'!O19+'4'!O19+'3'!O19+'5'!O19+'6'!O19+'7'!O19+'8'!O19+'9'!O19+'10'!O19</f>
        <v>15.0858752</v>
      </c>
      <c r="P19" s="120">
        <f t="shared" si="0"/>
        <v>3032.2609152</v>
      </c>
      <c r="T19" s="163" t="str">
        <f>+'6'!A5</f>
        <v xml:space="preserve">Customer Name : Jalal Sons </v>
      </c>
      <c r="U19" s="164">
        <f>+'6'!P35</f>
        <v>0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</f>
        <v>40</v>
      </c>
      <c r="I20" s="1">
        <f t="shared" si="1"/>
        <v>2905.6</v>
      </c>
      <c r="J20" s="172">
        <f>+'1'!J20+'2'!J20+'4'!J20+'3'!J20+'5'!J20+'6'!J20+'7'!J20+'8'!J20+'9'!J20+'10'!J20+'11'!J20+'12'!J20</f>
        <v>0</v>
      </c>
      <c r="K20" s="172">
        <f>+'1'!K20+'2'!K20+'4'!K20+'3'!K20+'5'!K20+'6'!K20+'7'!K20+'8'!K20+'9'!K20+'10'!K20</f>
        <v>0</v>
      </c>
      <c r="L20" s="175">
        <f>+'1'!L20+'2'!L20+'4'!L20+'3'!L20+'5'!L20+'6'!L20+'7'!L20+'8'!L20+'9'!L20+'10'!L20</f>
        <v>348.67199999999997</v>
      </c>
      <c r="M20" s="118">
        <f t="shared" si="2"/>
        <v>2556.9279999999999</v>
      </c>
      <c r="N20" s="101">
        <f>+'1'!N20+'2'!N20+'4'!N20+'3'!N20+'5'!N20+'6'!N20+'7'!N20+'8'!N20+'9'!N20+'10'!N20</f>
        <v>460.24703999999997</v>
      </c>
      <c r="O20" s="101">
        <f>+'1'!O20+'2'!O20+'4'!O20+'3'!O20+'5'!O20+'6'!O20+'7'!O20+'8'!O20+'9'!O20+'10'!O20</f>
        <v>15.0858752</v>
      </c>
      <c r="P20" s="120">
        <f t="shared" si="0"/>
        <v>3032.2609152</v>
      </c>
      <c r="T20" s="163" t="str">
        <f>+'7'!A5</f>
        <v xml:space="preserve">Customer Name : Jalal Sons </v>
      </c>
      <c r="U20" s="164">
        <f>+'7'!P35</f>
        <v>0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</f>
        <v>40</v>
      </c>
      <c r="I21" s="1">
        <f t="shared" si="1"/>
        <v>2905.6</v>
      </c>
      <c r="J21" s="172">
        <f>+'1'!J21+'2'!J21+'4'!J21+'3'!J21+'5'!J21+'6'!J21+'7'!J21+'8'!J21+'9'!J21+'10'!J21+'11'!J21+'12'!J21</f>
        <v>0</v>
      </c>
      <c r="K21" s="172">
        <f>+'1'!K21+'2'!K21+'4'!K21+'3'!K21+'5'!K21+'6'!K21+'7'!K21+'8'!K21+'9'!K21+'10'!K21</f>
        <v>0</v>
      </c>
      <c r="L21" s="175">
        <f>+'1'!L21+'2'!L21+'4'!L21+'3'!L21+'5'!L21+'6'!L21+'7'!L21+'8'!L21+'9'!L21+'10'!L21</f>
        <v>348.67199999999997</v>
      </c>
      <c r="M21" s="118">
        <f t="shared" si="2"/>
        <v>2556.9279999999999</v>
      </c>
      <c r="N21" s="101">
        <f>+'1'!N21+'2'!N21+'4'!N21+'3'!N21+'5'!N21+'6'!N21+'7'!N21+'8'!N21+'9'!N21+'10'!N21</f>
        <v>460.24703999999997</v>
      </c>
      <c r="O21" s="101">
        <f>+'1'!O21+'2'!O21+'4'!O21+'3'!O21+'5'!O21+'6'!O21+'7'!O21+'8'!O21+'9'!O21+'10'!O21</f>
        <v>15.0858752</v>
      </c>
      <c r="P21" s="120">
        <f t="shared" si="0"/>
        <v>3032.2609152</v>
      </c>
      <c r="T21" s="163" t="str">
        <f>+'8'!A5</f>
        <v xml:space="preserve">Customer Name : Jalal Sons </v>
      </c>
      <c r="U21" s="164">
        <f>+'8'!P35</f>
        <v>0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</f>
        <v>0</v>
      </c>
      <c r="I22" s="1">
        <f t="shared" si="1"/>
        <v>0</v>
      </c>
      <c r="J22" s="172">
        <f>+'1'!J22+'2'!J22+'4'!J22+'3'!J22+'5'!J22+'6'!J22+'7'!J22+'8'!J22+'9'!J22+'10'!J22+'11'!J22+'12'!J22</f>
        <v>0</v>
      </c>
      <c r="K22" s="172">
        <f>+'1'!K22+'2'!K22+'4'!K22+'3'!K22+'5'!K22+'6'!K22+'7'!K22+'8'!K22+'9'!K22+'10'!K22</f>
        <v>0</v>
      </c>
      <c r="L22" s="175">
        <f>+'1'!L22+'2'!L22+'4'!L22+'3'!L22+'5'!L22+'6'!L22+'7'!L22+'8'!L22+'9'!L22+'10'!L22</f>
        <v>0</v>
      </c>
      <c r="M22" s="118">
        <f t="shared" si="2"/>
        <v>0</v>
      </c>
      <c r="N22" s="101">
        <f>+'1'!N22+'2'!N22+'4'!N22+'3'!N22+'5'!N22+'6'!N22+'7'!N22+'8'!N22+'9'!N22+'10'!N22</f>
        <v>0</v>
      </c>
      <c r="O22" s="101">
        <f>+'1'!O22+'2'!O22+'4'!O22+'3'!O22+'5'!O22+'6'!O22+'7'!O22+'8'!O22+'9'!O22+'10'!O22</f>
        <v>0</v>
      </c>
      <c r="P22" s="120">
        <f t="shared" si="0"/>
        <v>0</v>
      </c>
      <c r="T22" s="163" t="str">
        <f>+'9'!A5</f>
        <v xml:space="preserve">Customer Name : Jalal Sons </v>
      </c>
      <c r="U22" s="164">
        <f>+'9'!P35</f>
        <v>0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</f>
        <v>0</v>
      </c>
      <c r="I23" s="1">
        <f t="shared" si="1"/>
        <v>0</v>
      </c>
      <c r="J23" s="172">
        <f>+'1'!J23+'2'!J23+'4'!J23+'3'!J23+'5'!J23+'6'!J23+'7'!J23+'8'!J23+'9'!J23+'10'!J23+'11'!J23+'12'!J23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 xml:space="preserve">Customer Name : Jalal Sons 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</f>
        <v>0</v>
      </c>
      <c r="I24" s="1">
        <f>(G24*D24)*F24+H24*F24</f>
        <v>0</v>
      </c>
      <c r="J24" s="172">
        <f>+'1'!J24+'2'!J24+'4'!J24+'3'!J24+'5'!J24+'6'!J24+'7'!J24+'8'!J24+'9'!J24+'10'!J24+'11'!J24+'12'!J24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Jalal Sons </v>
      </c>
      <c r="U24" s="164">
        <f>+'11'!P35</f>
        <v>0</v>
      </c>
    </row>
    <row r="25" spans="1:21 16384:16384" ht="26.5" thickBot="1" x14ac:dyDescent="0.65">
      <c r="A25" s="222" t="s">
        <v>84</v>
      </c>
      <c r="B25" s="223"/>
      <c r="C25" s="224"/>
      <c r="D25" s="218"/>
      <c r="E25" s="218"/>
      <c r="F25" s="218"/>
      <c r="G25" s="176">
        <f t="shared" ref="G25:M25" si="3">SUM(G16:G24)</f>
        <v>0</v>
      </c>
      <c r="H25" s="177">
        <f t="shared" si="3"/>
        <v>200</v>
      </c>
      <c r="I25" s="178">
        <f t="shared" si="3"/>
        <v>12913.800000000001</v>
      </c>
      <c r="J25" s="177">
        <f t="shared" si="3"/>
        <v>0</v>
      </c>
      <c r="K25" s="178">
        <f t="shared" si="3"/>
        <v>0</v>
      </c>
      <c r="L25" s="179">
        <f t="shared" si="3"/>
        <v>1549.6559999999999</v>
      </c>
      <c r="M25" s="141">
        <f t="shared" si="3"/>
        <v>11364.144</v>
      </c>
      <c r="N25" s="142">
        <f>SUM(N16:N24)</f>
        <v>2045.54592</v>
      </c>
      <c r="O25" s="143">
        <f>SUM(O16:O24)</f>
        <v>67.048449600000012</v>
      </c>
      <c r="P25" s="144">
        <f>SUM(P16:P24)</f>
        <v>13476.738369600002</v>
      </c>
      <c r="T25" s="163" t="str">
        <f>+'12'!A5</f>
        <v xml:space="preserve">Customer Name : Jalal Sons </v>
      </c>
      <c r="U25" s="164">
        <f>+'12'!P35</f>
        <v>0</v>
      </c>
    </row>
    <row r="26" spans="1:21 16384:16384" ht="26.5" thickBot="1" x14ac:dyDescent="0.6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  <c r="T26" s="166" t="s">
        <v>84</v>
      </c>
      <c r="U26" s="165">
        <f>SUM(U14:U25)</f>
        <v>13476.738369600002</v>
      </c>
    </row>
    <row r="27" spans="1:21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21 16384:16384" x14ac:dyDescent="0.35">
      <c r="B28" s="225" t="s">
        <v>85</v>
      </c>
      <c r="C28" s="226"/>
      <c r="D28" s="226"/>
      <c r="E28" s="226"/>
      <c r="F28" s="226"/>
      <c r="G28" s="226"/>
      <c r="H28" s="226"/>
      <c r="I28" s="226"/>
      <c r="J28" s="226"/>
      <c r="K28" s="226"/>
      <c r="L28" s="227"/>
      <c r="N28" s="234" t="s">
        <v>86</v>
      </c>
      <c r="O28" s="235"/>
      <c r="P28" s="152">
        <f>I25</f>
        <v>12913.800000000001</v>
      </c>
    </row>
    <row r="29" spans="1:21 16384:16384" ht="15" customHeight="1" x14ac:dyDescent="0.35">
      <c r="B29" s="228"/>
      <c r="C29" s="229"/>
      <c r="D29" s="229"/>
      <c r="E29" s="229"/>
      <c r="F29" s="229"/>
      <c r="G29" s="229"/>
      <c r="H29" s="229"/>
      <c r="I29" s="229"/>
      <c r="J29" s="229"/>
      <c r="K29" s="229"/>
      <c r="L29" s="230"/>
      <c r="N29" s="236" t="s">
        <v>87</v>
      </c>
      <c r="O29" s="237"/>
      <c r="P29" s="153">
        <f>L25</f>
        <v>1549.6559999999999</v>
      </c>
    </row>
    <row r="30" spans="1:21 16384:16384" ht="15" customHeight="1" x14ac:dyDescent="0.35">
      <c r="B30" s="228"/>
      <c r="C30" s="229"/>
      <c r="D30" s="229"/>
      <c r="E30" s="229"/>
      <c r="F30" s="229"/>
      <c r="G30" s="229"/>
      <c r="H30" s="229"/>
      <c r="I30" s="229"/>
      <c r="J30" s="229"/>
      <c r="K30" s="229"/>
      <c r="L30" s="230"/>
      <c r="N30" s="236" t="s">
        <v>4</v>
      </c>
      <c r="O30" s="237"/>
      <c r="P30" s="154">
        <f>K25</f>
        <v>0</v>
      </c>
    </row>
    <row r="31" spans="1:21 16384:16384" ht="15" customHeight="1" x14ac:dyDescent="0.35">
      <c r="B31" s="228"/>
      <c r="C31" s="229"/>
      <c r="D31" s="229"/>
      <c r="E31" s="229"/>
      <c r="F31" s="229"/>
      <c r="G31" s="229"/>
      <c r="H31" s="229"/>
      <c r="I31" s="229"/>
      <c r="J31" s="229"/>
      <c r="K31" s="229"/>
      <c r="L31" s="230"/>
      <c r="M31" s="2"/>
      <c r="N31" s="236" t="s">
        <v>88</v>
      </c>
      <c r="O31" s="237"/>
      <c r="P31" s="153">
        <f>P28-P29-P30</f>
        <v>11364.144</v>
      </c>
    </row>
    <row r="32" spans="1:21 16384:16384" ht="15" customHeight="1" x14ac:dyDescent="0.35">
      <c r="B32" s="228"/>
      <c r="C32" s="229"/>
      <c r="D32" s="229"/>
      <c r="E32" s="229"/>
      <c r="F32" s="229"/>
      <c r="G32" s="229"/>
      <c r="H32" s="229"/>
      <c r="I32" s="229"/>
      <c r="J32" s="229"/>
      <c r="K32" s="229"/>
      <c r="L32" s="230"/>
      <c r="M32" s="2"/>
      <c r="N32" s="155" t="s">
        <v>89</v>
      </c>
      <c r="O32" s="156">
        <f>IF(B12="Registered",18%,22%)</f>
        <v>0.22</v>
      </c>
      <c r="P32" s="153">
        <f>N25</f>
        <v>2045.54592</v>
      </c>
    </row>
    <row r="33" spans="2:16" ht="15" customHeight="1" x14ac:dyDescent="0.35">
      <c r="B33" s="228"/>
      <c r="C33" s="229"/>
      <c r="D33" s="229"/>
      <c r="E33" s="229"/>
      <c r="F33" s="229"/>
      <c r="G33" s="229"/>
      <c r="H33" s="229"/>
      <c r="I33" s="229"/>
      <c r="J33" s="229"/>
      <c r="K33" s="229"/>
      <c r="L33" s="230"/>
      <c r="M33" s="2"/>
      <c r="N33" s="238" t="s">
        <v>90</v>
      </c>
      <c r="O33" s="239"/>
      <c r="P33" s="153">
        <f>P31+P32</f>
        <v>13409.689920000001</v>
      </c>
    </row>
    <row r="34" spans="2:16" ht="15" customHeight="1" thickBot="1" x14ac:dyDescent="0.4">
      <c r="B34" s="231"/>
      <c r="C34" s="232"/>
      <c r="D34" s="232"/>
      <c r="E34" s="232"/>
      <c r="F34" s="232"/>
      <c r="G34" s="232"/>
      <c r="H34" s="232"/>
      <c r="I34" s="232"/>
      <c r="J34" s="232"/>
      <c r="K34" s="232"/>
      <c r="L34" s="233"/>
      <c r="M34" s="157"/>
      <c r="N34" s="158" t="s">
        <v>91</v>
      </c>
      <c r="O34" s="159">
        <f>IF(B11="Filer",0.5%,2.5%)</f>
        <v>2.5000000000000001E-2</v>
      </c>
      <c r="P34" s="153">
        <f>O34*P33</f>
        <v>335.24224800000002</v>
      </c>
    </row>
    <row r="35" spans="2:16" ht="15.75" customHeight="1" thickBot="1" x14ac:dyDescent="0.4">
      <c r="N35" s="216" t="s">
        <v>92</v>
      </c>
      <c r="O35" s="217"/>
      <c r="P35" s="160">
        <f>P33+P34</f>
        <v>13744.932168000001</v>
      </c>
    </row>
    <row r="36" spans="2:16" ht="15" thickBot="1" x14ac:dyDescent="0.4">
      <c r="B36" s="161" t="s">
        <v>93</v>
      </c>
      <c r="C36" s="218"/>
      <c r="D36" s="218"/>
      <c r="E36" s="218"/>
      <c r="F36" s="218"/>
      <c r="G36" s="218"/>
      <c r="H36" s="218"/>
      <c r="I36" s="219"/>
      <c r="J36" s="220"/>
      <c r="K36" s="221"/>
    </row>
    <row r="37" spans="2:16" ht="15.75" customHeight="1" x14ac:dyDescent="0.35"/>
  </sheetData>
  <mergeCells count="47">
    <mergeCell ref="T12:U13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K5:M5"/>
    <mergeCell ref="N5:P5"/>
    <mergeCell ref="K6:M6"/>
    <mergeCell ref="N6:P6"/>
    <mergeCell ref="A5:C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abSelected="1" zoomScale="85" zoomScaleNormal="85" workbookViewId="0">
      <selection activeCell="L16" sqref="L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17.6328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906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6" t="s">
        <v>45</v>
      </c>
      <c r="B2" s="196"/>
      <c r="C2" s="196"/>
    </row>
    <row r="3" spans="1:19 16383:16384" ht="15" customHeight="1" x14ac:dyDescent="0.35">
      <c r="A3" s="197" t="s">
        <v>46</v>
      </c>
      <c r="B3" s="197"/>
      <c r="C3" s="197"/>
      <c r="F3" s="70"/>
      <c r="G3" s="71"/>
      <c r="K3" s="198" t="s">
        <v>47</v>
      </c>
      <c r="L3" s="198"/>
      <c r="M3" s="198"/>
      <c r="N3" s="197">
        <v>1001</v>
      </c>
      <c r="O3" s="197"/>
      <c r="P3" s="19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7" t="s">
        <v>94</v>
      </c>
      <c r="B4" s="197"/>
      <c r="C4" s="197"/>
      <c r="F4" s="70"/>
      <c r="G4" s="71"/>
      <c r="K4" s="198" t="s">
        <v>49</v>
      </c>
      <c r="L4" s="198"/>
      <c r="M4" s="198"/>
      <c r="N4" s="199">
        <f ca="1">TODAY()</f>
        <v>46196</v>
      </c>
      <c r="O4" s="199"/>
      <c r="P4" s="199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3" t="s">
        <v>104</v>
      </c>
      <c r="B5" s="243"/>
      <c r="C5" s="243"/>
      <c r="F5" s="70"/>
      <c r="G5" s="71"/>
      <c r="K5" s="198" t="s">
        <v>51</v>
      </c>
      <c r="L5" s="198"/>
      <c r="M5" s="198"/>
      <c r="N5" s="199">
        <f ca="1">N4-1</f>
        <v>46195</v>
      </c>
      <c r="O5" s="197"/>
      <c r="P5" s="197"/>
      <c r="R5" s="70"/>
      <c r="S5" s="71"/>
    </row>
    <row r="6" spans="1:19 16383:16384" ht="15" customHeight="1" x14ac:dyDescent="0.35">
      <c r="A6" s="198" t="s">
        <v>105</v>
      </c>
      <c r="B6" s="198"/>
      <c r="C6" s="198"/>
      <c r="F6" s="70"/>
      <c r="G6" s="74"/>
      <c r="K6" s="198" t="s">
        <v>52</v>
      </c>
      <c r="L6" s="198"/>
      <c r="M6" s="198"/>
      <c r="N6" s="200" t="s">
        <v>102</v>
      </c>
      <c r="O6" s="200"/>
      <c r="P6" s="200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198"/>
      <c r="B7" s="198"/>
      <c r="C7" s="198"/>
      <c r="F7" s="70"/>
      <c r="G7" s="74"/>
      <c r="K7" s="198"/>
      <c r="L7" s="198"/>
      <c r="M7" s="198"/>
      <c r="N7" s="200"/>
      <c r="O7" s="200"/>
      <c r="P7" s="200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2"/>
      <c r="B8" s="202"/>
      <c r="C8" s="202"/>
      <c r="F8" s="70"/>
      <c r="G8" s="74"/>
      <c r="K8" s="198"/>
      <c r="L8" s="198"/>
      <c r="M8" s="198"/>
      <c r="N8" s="200"/>
      <c r="O8" s="200"/>
      <c r="P8" s="200"/>
      <c r="R8" s="70"/>
      <c r="S8" s="74"/>
    </row>
    <row r="9" spans="1:19 16383:16384" x14ac:dyDescent="0.35">
      <c r="A9" s="202"/>
      <c r="B9" s="202"/>
      <c r="C9" s="202"/>
      <c r="F9" s="70"/>
      <c r="G9" s="74"/>
      <c r="K9" s="198"/>
      <c r="L9" s="198"/>
      <c r="M9" s="198"/>
      <c r="N9" s="200"/>
      <c r="O9" s="200"/>
      <c r="P9" s="200"/>
      <c r="R9" s="70"/>
      <c r="S9" s="74"/>
      <c r="XFD9" t="s">
        <v>55</v>
      </c>
    </row>
    <row r="10" spans="1:19 16383:16384" x14ac:dyDescent="0.35">
      <c r="A10" s="203" t="s">
        <v>95</v>
      </c>
      <c r="B10" s="75" t="s">
        <v>106</v>
      </c>
      <c r="C10" s="75"/>
      <c r="F10" s="70"/>
      <c r="G10" s="71"/>
      <c r="K10" s="198" t="s">
        <v>56</v>
      </c>
      <c r="L10" s="198"/>
      <c r="M10" s="198"/>
      <c r="N10" s="197" t="s">
        <v>57</v>
      </c>
      <c r="O10" s="197"/>
      <c r="P10" s="197"/>
      <c r="R10" s="70"/>
      <c r="S10" s="71"/>
      <c r="XFD10" t="s">
        <v>58</v>
      </c>
    </row>
    <row r="11" spans="1:19 16383:16384" x14ac:dyDescent="0.35">
      <c r="A11" s="203"/>
      <c r="B11" s="76" t="s">
        <v>48</v>
      </c>
      <c r="C11" s="77" t="str">
        <f>IF($O34&gt;2.49%,"No","Yes")</f>
        <v>Yes</v>
      </c>
      <c r="F11" s="70"/>
      <c r="G11" s="71"/>
      <c r="K11" s="198" t="s">
        <v>59</v>
      </c>
      <c r="L11" s="198"/>
      <c r="M11" s="198"/>
      <c r="N11" s="197" t="s">
        <v>55</v>
      </c>
      <c r="O11" s="197"/>
      <c r="P11" s="197"/>
      <c r="R11" s="70"/>
      <c r="S11" s="71"/>
    </row>
    <row r="12" spans="1:19 16383:16384" ht="14.65" customHeight="1" x14ac:dyDescent="0.35">
      <c r="A12" s="203" t="s">
        <v>60</v>
      </c>
      <c r="B12" s="76" t="s">
        <v>53</v>
      </c>
      <c r="C12" s="77" t="str">
        <f>IF($O32&gt;21.99%,"No","Yes")</f>
        <v>Yes</v>
      </c>
      <c r="F12" s="70"/>
      <c r="G12" s="71"/>
      <c r="K12" s="198" t="s">
        <v>61</v>
      </c>
      <c r="L12" s="198"/>
      <c r="M12" s="198"/>
      <c r="N12" s="197"/>
      <c r="O12" s="197"/>
      <c r="P12" s="197"/>
      <c r="R12" s="70"/>
      <c r="S12" s="71"/>
      <c r="XFD12" t="s">
        <v>62</v>
      </c>
    </row>
    <row r="13" spans="1:19 16383:16384" ht="15" thickBot="1" x14ac:dyDescent="0.4">
      <c r="A13" s="240"/>
      <c r="B13" s="168">
        <v>3520255124113</v>
      </c>
      <c r="D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10"/>
      <c r="C14" s="204" t="s">
        <v>65</v>
      </c>
      <c r="D14" s="80" t="s">
        <v>2</v>
      </c>
      <c r="E14" s="81" t="s">
        <v>66</v>
      </c>
      <c r="F14" s="82" t="s">
        <v>67</v>
      </c>
      <c r="G14" s="244" t="s">
        <v>68</v>
      </c>
      <c r="H14" s="245"/>
      <c r="I14" s="246" t="s">
        <v>69</v>
      </c>
      <c r="J14" s="244" t="s">
        <v>70</v>
      </c>
      <c r="K14" s="248"/>
      <c r="L14" s="245"/>
      <c r="M14" s="24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11"/>
      <c r="C15" s="20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7"/>
      <c r="J15" s="88" t="s">
        <v>78</v>
      </c>
      <c r="K15" s="90" t="s">
        <v>79</v>
      </c>
      <c r="L15" s="250">
        <v>0.12</v>
      </c>
      <c r="M15" s="247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I16*12%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 t="shared" ref="O16:O24" si="1">(N16+M16)*$O$15</f>
        <v>0</v>
      </c>
      <c r="P16" s="105">
        <f t="shared" ref="P16:P24" si="2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40</v>
      </c>
      <c r="I17" s="116">
        <f t="shared" ref="I17:I23" si="3">(G17*D17)*F17+H17*F17</f>
        <v>2098.5</v>
      </c>
      <c r="J17" s="117"/>
      <c r="K17" s="1">
        <f t="shared" ref="K17:K21" si="4">I17*$K$13</f>
        <v>0</v>
      </c>
      <c r="L17" s="105">
        <f t="shared" ref="L17:L22" si="5">I17*12%</f>
        <v>251.82</v>
      </c>
      <c r="M17" s="118">
        <f t="shared" ref="M17:M23" si="6">I17-K17-L17</f>
        <v>1846.68</v>
      </c>
      <c r="N17" s="118">
        <f t="shared" si="0"/>
        <v>332.4024</v>
      </c>
      <c r="O17" s="119">
        <f t="shared" si="1"/>
        <v>10.895412000000002</v>
      </c>
      <c r="P17" s="120">
        <f t="shared" si="2"/>
        <v>2189.9778120000001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40</v>
      </c>
      <c r="I18" s="116">
        <f t="shared" si="3"/>
        <v>2098.5</v>
      </c>
      <c r="J18" s="117"/>
      <c r="K18" s="1">
        <f t="shared" si="4"/>
        <v>0</v>
      </c>
      <c r="L18" s="105">
        <f t="shared" si="5"/>
        <v>251.82</v>
      </c>
      <c r="M18" s="118">
        <f t="shared" si="6"/>
        <v>1846.68</v>
      </c>
      <c r="N18" s="118">
        <f t="shared" si="0"/>
        <v>332.4024</v>
      </c>
      <c r="O18" s="119">
        <f t="shared" si="1"/>
        <v>10.895412000000002</v>
      </c>
      <c r="P18" s="120">
        <f t="shared" si="2"/>
        <v>2189.9778120000001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40</v>
      </c>
      <c r="I19" s="116">
        <f t="shared" si="3"/>
        <v>2905.6</v>
      </c>
      <c r="J19" s="117"/>
      <c r="K19" s="1">
        <f t="shared" si="4"/>
        <v>0</v>
      </c>
      <c r="L19" s="105">
        <f t="shared" si="5"/>
        <v>348.67199999999997</v>
      </c>
      <c r="M19" s="118">
        <f t="shared" si="6"/>
        <v>2556.9279999999999</v>
      </c>
      <c r="N19" s="118">
        <f t="shared" si="0"/>
        <v>460.24703999999997</v>
      </c>
      <c r="O19" s="119">
        <f t="shared" si="1"/>
        <v>15.0858752</v>
      </c>
      <c r="P19" s="120">
        <f t="shared" si="2"/>
        <v>3032.2609152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40</v>
      </c>
      <c r="I20" s="116">
        <f t="shared" si="3"/>
        <v>2905.6</v>
      </c>
      <c r="J20" s="117"/>
      <c r="K20" s="1">
        <f t="shared" si="4"/>
        <v>0</v>
      </c>
      <c r="L20" s="105">
        <f t="shared" si="5"/>
        <v>348.67199999999997</v>
      </c>
      <c r="M20" s="118">
        <f t="shared" si="6"/>
        <v>2556.9279999999999</v>
      </c>
      <c r="N20" s="118">
        <f t="shared" si="0"/>
        <v>460.24703999999997</v>
      </c>
      <c r="O20" s="119">
        <f t="shared" si="1"/>
        <v>15.0858752</v>
      </c>
      <c r="P20" s="120">
        <f t="shared" si="2"/>
        <v>3032.2609152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40</v>
      </c>
      <c r="I21" s="116">
        <f t="shared" si="3"/>
        <v>2905.6</v>
      </c>
      <c r="J21" s="117"/>
      <c r="K21" s="1">
        <f t="shared" si="4"/>
        <v>0</v>
      </c>
      <c r="L21" s="105">
        <f t="shared" si="5"/>
        <v>348.67199999999997</v>
      </c>
      <c r="M21" s="118">
        <f t="shared" si="6"/>
        <v>2556.9279999999999</v>
      </c>
      <c r="N21" s="118">
        <f t="shared" si="0"/>
        <v>460.24703999999997</v>
      </c>
      <c r="O21" s="119">
        <f t="shared" si="1"/>
        <v>15.0858752</v>
      </c>
      <c r="P21" s="120">
        <f t="shared" si="2"/>
        <v>3032.2609152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3"/>
        <v>0</v>
      </c>
      <c r="J22" s="117"/>
      <c r="K22" s="1">
        <f>I22*3.5%</f>
        <v>0</v>
      </c>
      <c r="L22" s="105">
        <f t="shared" si="5"/>
        <v>0</v>
      </c>
      <c r="M22" s="118">
        <f t="shared" si="6"/>
        <v>0</v>
      </c>
      <c r="N22" s="118">
        <f t="shared" si="0"/>
        <v>0</v>
      </c>
      <c r="O22" s="119">
        <f t="shared" si="1"/>
        <v>0</v>
      </c>
      <c r="P22" s="120">
        <f t="shared" si="2"/>
        <v>0</v>
      </c>
    </row>
    <row r="23" spans="1:19 16384:16384" ht="15" hidden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</row>
    <row r="25" spans="1:19 16384:16384" ht="15" thickBot="1" x14ac:dyDescent="0.4">
      <c r="A25" s="222" t="s">
        <v>84</v>
      </c>
      <c r="B25" s="223"/>
      <c r="C25" s="224"/>
      <c r="D25" s="218"/>
      <c r="E25" s="218"/>
      <c r="F25" s="249"/>
      <c r="G25" s="135">
        <f t="shared" ref="G25:M25" si="9">SUM(G16:G24)</f>
        <v>0</v>
      </c>
      <c r="H25" s="136">
        <f t="shared" si="9"/>
        <v>200</v>
      </c>
      <c r="I25" s="137">
        <f t="shared" si="9"/>
        <v>12913.800000000001</v>
      </c>
      <c r="J25" s="138"/>
      <c r="K25" s="139">
        <f t="shared" si="9"/>
        <v>0</v>
      </c>
      <c r="L25" s="140">
        <f t="shared" si="9"/>
        <v>1549.6559999999999</v>
      </c>
      <c r="M25" s="141">
        <f t="shared" si="9"/>
        <v>11364.144</v>
      </c>
      <c r="N25" s="142">
        <f>SUM(N16:N24)</f>
        <v>2045.54592</v>
      </c>
      <c r="O25" s="143">
        <f>SUM(O16:O24)</f>
        <v>67.048449600000012</v>
      </c>
      <c r="P25" s="144">
        <f>SUM(P16:P24)</f>
        <v>13476.738369600002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5" t="s">
        <v>85</v>
      </c>
      <c r="C28" s="226"/>
      <c r="D28" s="226"/>
      <c r="E28" s="226"/>
      <c r="F28" s="226"/>
      <c r="G28" s="226"/>
      <c r="H28" s="226"/>
      <c r="I28" s="226"/>
      <c r="J28" s="226"/>
      <c r="K28" s="226"/>
      <c r="L28" s="227"/>
      <c r="N28" s="234" t="s">
        <v>86</v>
      </c>
      <c r="O28" s="235"/>
      <c r="P28" s="152">
        <f>I25</f>
        <v>12913.800000000001</v>
      </c>
    </row>
    <row r="29" spans="1:19 16384:16384" ht="15" customHeight="1" x14ac:dyDescent="0.35">
      <c r="B29" s="228"/>
      <c r="C29" s="229"/>
      <c r="D29" s="229"/>
      <c r="E29" s="229"/>
      <c r="F29" s="229"/>
      <c r="G29" s="229"/>
      <c r="H29" s="229"/>
      <c r="I29" s="229"/>
      <c r="J29" s="229"/>
      <c r="K29" s="229"/>
      <c r="L29" s="230"/>
      <c r="N29" s="236" t="s">
        <v>87</v>
      </c>
      <c r="O29" s="237"/>
      <c r="P29" s="153">
        <f>L25</f>
        <v>1549.6559999999999</v>
      </c>
    </row>
    <row r="30" spans="1:19 16384:16384" ht="15" customHeight="1" x14ac:dyDescent="0.35">
      <c r="B30" s="228"/>
      <c r="C30" s="229"/>
      <c r="D30" s="229"/>
      <c r="E30" s="229"/>
      <c r="F30" s="229"/>
      <c r="G30" s="229"/>
      <c r="H30" s="229"/>
      <c r="I30" s="229"/>
      <c r="J30" s="229"/>
      <c r="K30" s="229"/>
      <c r="L30" s="230"/>
      <c r="N30" s="236" t="s">
        <v>4</v>
      </c>
      <c r="O30" s="237"/>
      <c r="P30" s="154">
        <f>K25</f>
        <v>0</v>
      </c>
    </row>
    <row r="31" spans="1:19 16384:16384" ht="15" customHeight="1" x14ac:dyDescent="0.35">
      <c r="B31" s="228"/>
      <c r="C31" s="229"/>
      <c r="D31" s="229"/>
      <c r="E31" s="229"/>
      <c r="F31" s="229"/>
      <c r="G31" s="229"/>
      <c r="H31" s="229"/>
      <c r="I31" s="229"/>
      <c r="J31" s="229"/>
      <c r="K31" s="229"/>
      <c r="L31" s="230"/>
      <c r="M31" s="2"/>
      <c r="N31" s="236" t="s">
        <v>88</v>
      </c>
      <c r="O31" s="237"/>
      <c r="P31" s="153">
        <f>P28-P29-P30</f>
        <v>11364.144</v>
      </c>
    </row>
    <row r="32" spans="1:19 16384:16384" ht="15" customHeight="1" x14ac:dyDescent="0.35">
      <c r="B32" s="228"/>
      <c r="C32" s="229"/>
      <c r="D32" s="229"/>
      <c r="E32" s="229"/>
      <c r="F32" s="229"/>
      <c r="G32" s="229"/>
      <c r="H32" s="229"/>
      <c r="I32" s="229"/>
      <c r="J32" s="229"/>
      <c r="K32" s="229"/>
      <c r="L32" s="230"/>
      <c r="M32" s="2"/>
      <c r="N32" s="155" t="s">
        <v>89</v>
      </c>
      <c r="O32" s="156">
        <f>IF(B12="Registered",18%,22%)</f>
        <v>0.18</v>
      </c>
      <c r="P32" s="153">
        <f>N25</f>
        <v>2045.54592</v>
      </c>
    </row>
    <row r="33" spans="2:16" ht="15" customHeight="1" x14ac:dyDescent="0.35">
      <c r="B33" s="228"/>
      <c r="C33" s="229"/>
      <c r="D33" s="229"/>
      <c r="E33" s="229"/>
      <c r="F33" s="229"/>
      <c r="G33" s="229"/>
      <c r="H33" s="229"/>
      <c r="I33" s="229"/>
      <c r="J33" s="229"/>
      <c r="K33" s="229"/>
      <c r="L33" s="230"/>
      <c r="M33" s="2"/>
      <c r="N33" s="238" t="s">
        <v>90</v>
      </c>
      <c r="O33" s="239"/>
      <c r="P33" s="153">
        <f>P31+P32</f>
        <v>13409.689920000001</v>
      </c>
    </row>
    <row r="34" spans="2:16" ht="15" customHeight="1" thickBot="1" x14ac:dyDescent="0.4">
      <c r="B34" s="231"/>
      <c r="C34" s="232"/>
      <c r="D34" s="232"/>
      <c r="E34" s="232"/>
      <c r="F34" s="232"/>
      <c r="G34" s="232"/>
      <c r="H34" s="232"/>
      <c r="I34" s="232"/>
      <c r="J34" s="232"/>
      <c r="K34" s="232"/>
      <c r="L34" s="233"/>
      <c r="M34" s="157"/>
      <c r="N34" s="158" t="s">
        <v>91</v>
      </c>
      <c r="O34" s="159">
        <f>IF(B11="Filer",0.5%,2.5%)</f>
        <v>5.0000000000000001E-3</v>
      </c>
      <c r="P34" s="153">
        <f>O34*P33</f>
        <v>67.048449599999998</v>
      </c>
    </row>
    <row r="35" spans="2:16" ht="15.75" customHeight="1" thickBot="1" x14ac:dyDescent="0.4">
      <c r="N35" s="216" t="s">
        <v>92</v>
      </c>
      <c r="O35" s="217"/>
      <c r="P35" s="160">
        <f>P33+P34</f>
        <v>13476.738369600002</v>
      </c>
    </row>
    <row r="36" spans="2:16" ht="15" thickBot="1" x14ac:dyDescent="0.4">
      <c r="B36" s="161" t="s">
        <v>93</v>
      </c>
      <c r="C36" s="218"/>
      <c r="D36" s="218"/>
      <c r="E36" s="218"/>
      <c r="F36" s="218"/>
      <c r="G36" s="218"/>
      <c r="H36" s="218"/>
      <c r="I36" s="219"/>
      <c r="J36" s="220"/>
      <c r="K36" s="221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workbookViewId="0">
      <selection activeCell="E9" sqref="E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16.4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6" t="s">
        <v>45</v>
      </c>
      <c r="B2" s="196"/>
      <c r="C2" s="196"/>
    </row>
    <row r="3" spans="1:19 16383:16384" ht="15" customHeight="1" x14ac:dyDescent="0.35">
      <c r="A3" s="197" t="s">
        <v>46</v>
      </c>
      <c r="B3" s="197"/>
      <c r="C3" s="197"/>
      <c r="F3" s="70"/>
      <c r="G3" s="71"/>
      <c r="K3" s="198" t="s">
        <v>47</v>
      </c>
      <c r="L3" s="198"/>
      <c r="M3" s="198"/>
      <c r="N3" s="197">
        <v>2</v>
      </c>
      <c r="O3" s="197"/>
      <c r="P3" s="19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7" t="s">
        <v>94</v>
      </c>
      <c r="B4" s="197"/>
      <c r="C4" s="197"/>
      <c r="F4" s="70"/>
      <c r="G4" s="71"/>
      <c r="K4" s="198" t="s">
        <v>49</v>
      </c>
      <c r="L4" s="198"/>
      <c r="M4" s="198"/>
      <c r="N4" s="199">
        <f ca="1">TODAY()</f>
        <v>46196</v>
      </c>
      <c r="O4" s="199"/>
      <c r="P4" s="199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3" t="s">
        <v>104</v>
      </c>
      <c r="B5" s="243"/>
      <c r="C5" s="243"/>
      <c r="F5" s="70"/>
      <c r="G5" s="71"/>
      <c r="K5" s="198" t="s">
        <v>51</v>
      </c>
      <c r="L5" s="198"/>
      <c r="M5" s="198"/>
      <c r="N5" s="199">
        <f ca="1">N4-1</f>
        <v>46195</v>
      </c>
      <c r="O5" s="197"/>
      <c r="P5" s="197"/>
      <c r="R5" s="70"/>
      <c r="S5" s="71"/>
    </row>
    <row r="6" spans="1:19 16383:16384" ht="15" customHeight="1" x14ac:dyDescent="0.35">
      <c r="A6" s="198" t="s">
        <v>105</v>
      </c>
      <c r="B6" s="198"/>
      <c r="C6" s="198"/>
      <c r="F6" s="70"/>
      <c r="G6" s="74"/>
      <c r="K6" s="198" t="s">
        <v>52</v>
      </c>
      <c r="L6" s="198"/>
      <c r="M6" s="198"/>
      <c r="N6" s="200" t="s">
        <v>44</v>
      </c>
      <c r="O6" s="200"/>
      <c r="P6" s="200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198"/>
      <c r="B7" s="198"/>
      <c r="C7" s="198"/>
      <c r="F7" s="70"/>
      <c r="G7" s="74"/>
      <c r="K7" s="198"/>
      <c r="L7" s="198"/>
      <c r="M7" s="198"/>
      <c r="N7" s="200"/>
      <c r="O7" s="200"/>
      <c r="P7" s="200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2"/>
      <c r="B8" s="202"/>
      <c r="C8" s="202"/>
      <c r="F8" s="70"/>
      <c r="G8" s="74"/>
      <c r="K8" s="198"/>
      <c r="L8" s="198"/>
      <c r="M8" s="198"/>
      <c r="N8" s="200"/>
      <c r="O8" s="200"/>
      <c r="P8" s="200"/>
      <c r="R8" s="70"/>
      <c r="S8" s="74"/>
    </row>
    <row r="9" spans="1:19 16383:16384" x14ac:dyDescent="0.35">
      <c r="A9" s="202"/>
      <c r="B9" s="202"/>
      <c r="C9" s="202"/>
      <c r="F9" s="70"/>
      <c r="G9" s="74"/>
      <c r="K9" s="198"/>
      <c r="L9" s="198"/>
      <c r="M9" s="198"/>
      <c r="N9" s="200"/>
      <c r="O9" s="200"/>
      <c r="P9" s="200"/>
      <c r="R9" s="70"/>
      <c r="S9" s="74"/>
      <c r="XFD9" t="s">
        <v>55</v>
      </c>
    </row>
    <row r="10" spans="1:19 16383:16384" x14ac:dyDescent="0.35">
      <c r="A10" s="203" t="s">
        <v>95</v>
      </c>
      <c r="B10" s="75" t="s">
        <v>106</v>
      </c>
      <c r="C10" s="75"/>
      <c r="F10" s="70"/>
      <c r="G10" s="71"/>
      <c r="K10" s="198" t="s">
        <v>56</v>
      </c>
      <c r="L10" s="198"/>
      <c r="M10" s="198"/>
      <c r="N10" s="197" t="s">
        <v>57</v>
      </c>
      <c r="O10" s="197"/>
      <c r="P10" s="197"/>
      <c r="R10" s="70"/>
      <c r="S10" s="71"/>
      <c r="XFD10" t="s">
        <v>58</v>
      </c>
    </row>
    <row r="11" spans="1:19 16383:16384" x14ac:dyDescent="0.35">
      <c r="A11" s="203"/>
      <c r="B11" s="76" t="s">
        <v>50</v>
      </c>
      <c r="C11" s="77" t="str">
        <f>IF($O34&gt;2.49%,"No","Yes")</f>
        <v>No</v>
      </c>
      <c r="F11" s="70"/>
      <c r="G11" s="71"/>
      <c r="K11" s="198" t="s">
        <v>59</v>
      </c>
      <c r="L11" s="198"/>
      <c r="M11" s="198"/>
      <c r="N11" s="197" t="s">
        <v>55</v>
      </c>
      <c r="O11" s="197"/>
      <c r="P11" s="197"/>
      <c r="R11" s="70"/>
      <c r="S11" s="71"/>
    </row>
    <row r="12" spans="1:19 16383:16384" ht="14.65" customHeight="1" x14ac:dyDescent="0.35">
      <c r="A12" s="203" t="s">
        <v>60</v>
      </c>
      <c r="B12" s="76" t="s">
        <v>54</v>
      </c>
      <c r="C12" s="77" t="str">
        <f>IF($O32&gt;21.99%,"No","Yes")</f>
        <v>No</v>
      </c>
      <c r="F12" s="70"/>
      <c r="G12" s="71"/>
      <c r="K12" s="198" t="s">
        <v>61</v>
      </c>
      <c r="L12" s="198"/>
      <c r="M12" s="198"/>
      <c r="N12" s="197"/>
      <c r="O12" s="197"/>
      <c r="P12" s="197"/>
      <c r="R12" s="70"/>
      <c r="S12" s="71"/>
      <c r="XFD12" t="s">
        <v>62</v>
      </c>
    </row>
    <row r="13" spans="1:19 16383:16384" ht="15" thickBot="1" x14ac:dyDescent="0.4">
      <c r="A13" s="240"/>
      <c r="B13" s="168">
        <v>3520255124113</v>
      </c>
      <c r="D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10"/>
      <c r="C14" s="204" t="s">
        <v>65</v>
      </c>
      <c r="D14" s="80" t="s">
        <v>2</v>
      </c>
      <c r="E14" s="81" t="s">
        <v>66</v>
      </c>
      <c r="F14" s="82" t="s">
        <v>67</v>
      </c>
      <c r="G14" s="244" t="s">
        <v>68</v>
      </c>
      <c r="H14" s="245"/>
      <c r="I14" s="246" t="s">
        <v>69</v>
      </c>
      <c r="J14" s="244" t="s">
        <v>70</v>
      </c>
      <c r="K14" s="248"/>
      <c r="L14" s="245"/>
      <c r="M14" s="24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11"/>
      <c r="C15" s="20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7"/>
      <c r="J15" s="88" t="s">
        <v>78</v>
      </c>
      <c r="K15" s="90" t="s">
        <v>79</v>
      </c>
      <c r="L15" s="91" t="s">
        <v>80</v>
      </c>
      <c r="M15" s="247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2" t="s">
        <v>84</v>
      </c>
      <c r="B25" s="223"/>
      <c r="C25" s="224"/>
      <c r="D25" s="218"/>
      <c r="E25" s="218"/>
      <c r="F25" s="24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5" t="s">
        <v>85</v>
      </c>
      <c r="C28" s="226"/>
      <c r="D28" s="226"/>
      <c r="E28" s="226"/>
      <c r="F28" s="226"/>
      <c r="G28" s="226"/>
      <c r="H28" s="226"/>
      <c r="I28" s="226"/>
      <c r="J28" s="226"/>
      <c r="K28" s="226"/>
      <c r="L28" s="227"/>
      <c r="N28" s="234" t="s">
        <v>86</v>
      </c>
      <c r="O28" s="235"/>
      <c r="P28" s="152">
        <f>I25</f>
        <v>0</v>
      </c>
    </row>
    <row r="29" spans="1:19 16384:16384" ht="15" customHeight="1" x14ac:dyDescent="0.35">
      <c r="B29" s="228"/>
      <c r="C29" s="229"/>
      <c r="D29" s="229"/>
      <c r="E29" s="229"/>
      <c r="F29" s="229"/>
      <c r="G29" s="229"/>
      <c r="H29" s="229"/>
      <c r="I29" s="229"/>
      <c r="J29" s="229"/>
      <c r="K29" s="229"/>
      <c r="L29" s="230"/>
      <c r="N29" s="236" t="s">
        <v>87</v>
      </c>
      <c r="O29" s="237"/>
      <c r="P29" s="153">
        <f>L25</f>
        <v>0</v>
      </c>
    </row>
    <row r="30" spans="1:19 16384:16384" ht="15" customHeight="1" x14ac:dyDescent="0.35">
      <c r="B30" s="228"/>
      <c r="C30" s="229"/>
      <c r="D30" s="229"/>
      <c r="E30" s="229"/>
      <c r="F30" s="229"/>
      <c r="G30" s="229"/>
      <c r="H30" s="229"/>
      <c r="I30" s="229"/>
      <c r="J30" s="229"/>
      <c r="K30" s="229"/>
      <c r="L30" s="230"/>
      <c r="N30" s="236" t="s">
        <v>4</v>
      </c>
      <c r="O30" s="237"/>
      <c r="P30" s="154">
        <f>K25</f>
        <v>0</v>
      </c>
    </row>
    <row r="31" spans="1:19 16384:16384" ht="15" customHeight="1" x14ac:dyDescent="0.35">
      <c r="B31" s="228"/>
      <c r="C31" s="229"/>
      <c r="D31" s="229"/>
      <c r="E31" s="229"/>
      <c r="F31" s="229"/>
      <c r="G31" s="229"/>
      <c r="H31" s="229"/>
      <c r="I31" s="229"/>
      <c r="J31" s="229"/>
      <c r="K31" s="229"/>
      <c r="L31" s="230"/>
      <c r="M31" s="2"/>
      <c r="N31" s="236" t="s">
        <v>88</v>
      </c>
      <c r="O31" s="237"/>
      <c r="P31" s="153">
        <f>P28-P29-P30</f>
        <v>0</v>
      </c>
    </row>
    <row r="32" spans="1:19 16384:16384" ht="15" customHeight="1" x14ac:dyDescent="0.35">
      <c r="B32" s="228"/>
      <c r="C32" s="229"/>
      <c r="D32" s="229"/>
      <c r="E32" s="229"/>
      <c r="F32" s="229"/>
      <c r="G32" s="229"/>
      <c r="H32" s="229"/>
      <c r="I32" s="229"/>
      <c r="J32" s="229"/>
      <c r="K32" s="229"/>
      <c r="L32" s="230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8"/>
      <c r="C33" s="229"/>
      <c r="D33" s="229"/>
      <c r="E33" s="229"/>
      <c r="F33" s="229"/>
      <c r="G33" s="229"/>
      <c r="H33" s="229"/>
      <c r="I33" s="229"/>
      <c r="J33" s="229"/>
      <c r="K33" s="229"/>
      <c r="L33" s="230"/>
      <c r="M33" s="2"/>
      <c r="N33" s="238" t="s">
        <v>90</v>
      </c>
      <c r="O33" s="239"/>
      <c r="P33" s="153">
        <f>P31+P32</f>
        <v>0</v>
      </c>
    </row>
    <row r="34" spans="2:16" ht="15" customHeight="1" thickBot="1" x14ac:dyDescent="0.4">
      <c r="B34" s="231"/>
      <c r="C34" s="232"/>
      <c r="D34" s="232"/>
      <c r="E34" s="232"/>
      <c r="F34" s="232"/>
      <c r="G34" s="232"/>
      <c r="H34" s="232"/>
      <c r="I34" s="232"/>
      <c r="J34" s="232"/>
      <c r="K34" s="232"/>
      <c r="L34" s="233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6" t="s">
        <v>92</v>
      </c>
      <c r="O35" s="217"/>
      <c r="P35" s="160">
        <f>P33+P34</f>
        <v>0</v>
      </c>
    </row>
    <row r="36" spans="2:16" ht="15" thickBot="1" x14ac:dyDescent="0.4">
      <c r="B36" s="161" t="s">
        <v>93</v>
      </c>
      <c r="C36" s="218"/>
      <c r="D36" s="218"/>
      <c r="E36" s="218"/>
      <c r="F36" s="218"/>
      <c r="G36" s="218"/>
      <c r="H36" s="218"/>
      <c r="I36" s="219"/>
      <c r="J36" s="220"/>
      <c r="K36" s="221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16.4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6" t="s">
        <v>45</v>
      </c>
      <c r="B2" s="196"/>
      <c r="C2" s="196"/>
    </row>
    <row r="3" spans="1:19 16383:16384" ht="15" customHeight="1" x14ac:dyDescent="0.35">
      <c r="A3" s="197" t="s">
        <v>46</v>
      </c>
      <c r="B3" s="197"/>
      <c r="C3" s="197"/>
      <c r="F3" s="70"/>
      <c r="G3" s="71"/>
      <c r="K3" s="198" t="s">
        <v>47</v>
      </c>
      <c r="L3" s="198"/>
      <c r="M3" s="198"/>
      <c r="N3" s="197">
        <v>4</v>
      </c>
      <c r="O3" s="197"/>
      <c r="P3" s="19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7" t="s">
        <v>94</v>
      </c>
      <c r="B4" s="197"/>
      <c r="C4" s="197"/>
      <c r="F4" s="70"/>
      <c r="G4" s="71"/>
      <c r="K4" s="198" t="s">
        <v>49</v>
      </c>
      <c r="L4" s="198"/>
      <c r="M4" s="198"/>
      <c r="N4" s="199">
        <f ca="1">TODAY()</f>
        <v>46196</v>
      </c>
      <c r="O4" s="199"/>
      <c r="P4" s="199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3" t="s">
        <v>104</v>
      </c>
      <c r="B5" s="243"/>
      <c r="C5" s="243"/>
      <c r="F5" s="70"/>
      <c r="G5" s="71"/>
      <c r="K5" s="198" t="s">
        <v>51</v>
      </c>
      <c r="L5" s="198"/>
      <c r="M5" s="198"/>
      <c r="N5" s="199">
        <f ca="1">N4-1</f>
        <v>46195</v>
      </c>
      <c r="O5" s="197"/>
      <c r="P5" s="197"/>
      <c r="R5" s="70"/>
      <c r="S5" s="71"/>
    </row>
    <row r="6" spans="1:19 16383:16384" ht="15" customHeight="1" x14ac:dyDescent="0.35">
      <c r="A6" s="198" t="s">
        <v>105</v>
      </c>
      <c r="B6" s="198"/>
      <c r="C6" s="198"/>
      <c r="F6" s="70"/>
      <c r="G6" s="74"/>
      <c r="K6" s="198" t="s">
        <v>52</v>
      </c>
      <c r="L6" s="198"/>
      <c r="M6" s="198"/>
      <c r="N6" s="200" t="s">
        <v>44</v>
      </c>
      <c r="O6" s="200"/>
      <c r="P6" s="200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198"/>
      <c r="B7" s="198"/>
      <c r="C7" s="198"/>
      <c r="F7" s="70"/>
      <c r="G7" s="74"/>
      <c r="K7" s="198"/>
      <c r="L7" s="198"/>
      <c r="M7" s="198"/>
      <c r="N7" s="200"/>
      <c r="O7" s="200"/>
      <c r="P7" s="200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2"/>
      <c r="B8" s="202"/>
      <c r="C8" s="202"/>
      <c r="F8" s="70"/>
      <c r="G8" s="74"/>
      <c r="K8" s="198"/>
      <c r="L8" s="198"/>
      <c r="M8" s="198"/>
      <c r="N8" s="200"/>
      <c r="O8" s="200"/>
      <c r="P8" s="200"/>
      <c r="R8" s="70"/>
      <c r="S8" s="74"/>
    </row>
    <row r="9" spans="1:19 16383:16384" x14ac:dyDescent="0.35">
      <c r="A9" s="202"/>
      <c r="B9" s="202"/>
      <c r="C9" s="202"/>
      <c r="F9" s="70"/>
      <c r="G9" s="74"/>
      <c r="K9" s="198"/>
      <c r="L9" s="198"/>
      <c r="M9" s="198"/>
      <c r="N9" s="200"/>
      <c r="O9" s="200"/>
      <c r="P9" s="200"/>
      <c r="R9" s="70"/>
      <c r="S9" s="74"/>
      <c r="XFD9" t="s">
        <v>55</v>
      </c>
    </row>
    <row r="10" spans="1:19 16383:16384" x14ac:dyDescent="0.35">
      <c r="A10" s="203" t="s">
        <v>95</v>
      </c>
      <c r="B10" s="169" t="s">
        <v>106</v>
      </c>
      <c r="C10" s="75"/>
      <c r="F10" s="70"/>
      <c r="G10" s="71"/>
      <c r="K10" s="198" t="s">
        <v>56</v>
      </c>
      <c r="L10" s="198"/>
      <c r="M10" s="198"/>
      <c r="N10" s="197" t="s">
        <v>57</v>
      </c>
      <c r="O10" s="197"/>
      <c r="P10" s="197"/>
      <c r="R10" s="70"/>
      <c r="S10" s="71"/>
      <c r="XFD10" t="s">
        <v>58</v>
      </c>
    </row>
    <row r="11" spans="1:19 16383:16384" x14ac:dyDescent="0.35">
      <c r="A11" s="203"/>
      <c r="B11" s="76" t="s">
        <v>50</v>
      </c>
      <c r="C11" s="77" t="str">
        <f>IF($O34&gt;2.49%,"No","Yes")</f>
        <v>No</v>
      </c>
      <c r="F11" s="70"/>
      <c r="G11" s="71"/>
      <c r="K11" s="198" t="s">
        <v>59</v>
      </c>
      <c r="L11" s="198"/>
      <c r="M11" s="198"/>
      <c r="N11" s="197" t="s">
        <v>55</v>
      </c>
      <c r="O11" s="197"/>
      <c r="P11" s="197"/>
      <c r="R11" s="70"/>
      <c r="S11" s="71"/>
    </row>
    <row r="12" spans="1:19 16383:16384" ht="14.65" customHeight="1" x14ac:dyDescent="0.35">
      <c r="A12" s="203" t="s">
        <v>60</v>
      </c>
      <c r="B12" s="76" t="s">
        <v>54</v>
      </c>
      <c r="C12" s="77" t="str">
        <f>IF($O32&gt;21.99%,"No","Yes")</f>
        <v>No</v>
      </c>
      <c r="F12" s="70"/>
      <c r="G12" s="71"/>
      <c r="K12" s="198" t="s">
        <v>61</v>
      </c>
      <c r="L12" s="198"/>
      <c r="M12" s="198"/>
      <c r="N12" s="197"/>
      <c r="O12" s="197"/>
      <c r="P12" s="197"/>
      <c r="R12" s="70"/>
      <c r="S12" s="71"/>
      <c r="XFD12" t="s">
        <v>62</v>
      </c>
    </row>
    <row r="13" spans="1:19 16383:16384" ht="15" thickBot="1" x14ac:dyDescent="0.4">
      <c r="A13" s="240"/>
      <c r="B13" s="56">
        <v>3520255124113</v>
      </c>
      <c r="D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10"/>
      <c r="C14" s="204" t="s">
        <v>65</v>
      </c>
      <c r="D14" s="80" t="s">
        <v>2</v>
      </c>
      <c r="E14" s="81" t="s">
        <v>66</v>
      </c>
      <c r="F14" s="82" t="s">
        <v>67</v>
      </c>
      <c r="G14" s="244" t="s">
        <v>68</v>
      </c>
      <c r="H14" s="245"/>
      <c r="I14" s="246" t="s">
        <v>69</v>
      </c>
      <c r="J14" s="244" t="s">
        <v>70</v>
      </c>
      <c r="K14" s="248"/>
      <c r="L14" s="245"/>
      <c r="M14" s="24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11"/>
      <c r="C15" s="20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7"/>
      <c r="J15" s="88" t="s">
        <v>78</v>
      </c>
      <c r="K15" s="90" t="s">
        <v>79</v>
      </c>
      <c r="L15" s="91" t="s">
        <v>80</v>
      </c>
      <c r="M15" s="247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2" t="s">
        <v>84</v>
      </c>
      <c r="B25" s="223"/>
      <c r="C25" s="224"/>
      <c r="D25" s="218"/>
      <c r="E25" s="218"/>
      <c r="F25" s="24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5" t="s">
        <v>85</v>
      </c>
      <c r="C28" s="226"/>
      <c r="D28" s="226"/>
      <c r="E28" s="226"/>
      <c r="F28" s="226"/>
      <c r="G28" s="226"/>
      <c r="H28" s="226"/>
      <c r="I28" s="226"/>
      <c r="J28" s="226"/>
      <c r="K28" s="226"/>
      <c r="L28" s="227"/>
      <c r="N28" s="234" t="s">
        <v>86</v>
      </c>
      <c r="O28" s="235"/>
      <c r="P28" s="152">
        <f>I25</f>
        <v>0</v>
      </c>
    </row>
    <row r="29" spans="1:19 16384:16384" ht="15" customHeight="1" x14ac:dyDescent="0.35">
      <c r="B29" s="228"/>
      <c r="C29" s="229"/>
      <c r="D29" s="229"/>
      <c r="E29" s="229"/>
      <c r="F29" s="229"/>
      <c r="G29" s="229"/>
      <c r="H29" s="229"/>
      <c r="I29" s="229"/>
      <c r="J29" s="229"/>
      <c r="K29" s="229"/>
      <c r="L29" s="230"/>
      <c r="N29" s="236" t="s">
        <v>87</v>
      </c>
      <c r="O29" s="237"/>
      <c r="P29" s="153">
        <f>L25</f>
        <v>0</v>
      </c>
    </row>
    <row r="30" spans="1:19 16384:16384" ht="15" customHeight="1" x14ac:dyDescent="0.35">
      <c r="B30" s="228"/>
      <c r="C30" s="229"/>
      <c r="D30" s="229"/>
      <c r="E30" s="229"/>
      <c r="F30" s="229"/>
      <c r="G30" s="229"/>
      <c r="H30" s="229"/>
      <c r="I30" s="229"/>
      <c r="J30" s="229"/>
      <c r="K30" s="229"/>
      <c r="L30" s="230"/>
      <c r="N30" s="236" t="s">
        <v>4</v>
      </c>
      <c r="O30" s="237"/>
      <c r="P30" s="154">
        <f>K25</f>
        <v>0</v>
      </c>
    </row>
    <row r="31" spans="1:19 16384:16384" ht="15" customHeight="1" x14ac:dyDescent="0.35">
      <c r="B31" s="228"/>
      <c r="C31" s="229"/>
      <c r="D31" s="229"/>
      <c r="E31" s="229"/>
      <c r="F31" s="229"/>
      <c r="G31" s="229"/>
      <c r="H31" s="229"/>
      <c r="I31" s="229"/>
      <c r="J31" s="229"/>
      <c r="K31" s="229"/>
      <c r="L31" s="230"/>
      <c r="M31" s="2"/>
      <c r="N31" s="236" t="s">
        <v>88</v>
      </c>
      <c r="O31" s="237"/>
      <c r="P31" s="153">
        <f>P28-P29-P30</f>
        <v>0</v>
      </c>
    </row>
    <row r="32" spans="1:19 16384:16384" ht="15" customHeight="1" x14ac:dyDescent="0.35">
      <c r="B32" s="228"/>
      <c r="C32" s="229"/>
      <c r="D32" s="229"/>
      <c r="E32" s="229"/>
      <c r="F32" s="229"/>
      <c r="G32" s="229"/>
      <c r="H32" s="229"/>
      <c r="I32" s="229"/>
      <c r="J32" s="229"/>
      <c r="K32" s="229"/>
      <c r="L32" s="230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8"/>
      <c r="C33" s="229"/>
      <c r="D33" s="229"/>
      <c r="E33" s="229"/>
      <c r="F33" s="229"/>
      <c r="G33" s="229"/>
      <c r="H33" s="229"/>
      <c r="I33" s="229"/>
      <c r="J33" s="229"/>
      <c r="K33" s="229"/>
      <c r="L33" s="230"/>
      <c r="M33" s="2"/>
      <c r="N33" s="238" t="s">
        <v>90</v>
      </c>
      <c r="O33" s="239"/>
      <c r="P33" s="153">
        <f>P31+P32</f>
        <v>0</v>
      </c>
    </row>
    <row r="34" spans="2:16" ht="15" customHeight="1" thickBot="1" x14ac:dyDescent="0.4">
      <c r="B34" s="231"/>
      <c r="C34" s="232"/>
      <c r="D34" s="232"/>
      <c r="E34" s="232"/>
      <c r="F34" s="232"/>
      <c r="G34" s="232"/>
      <c r="H34" s="232"/>
      <c r="I34" s="232"/>
      <c r="J34" s="232"/>
      <c r="K34" s="232"/>
      <c r="L34" s="233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6" t="s">
        <v>92</v>
      </c>
      <c r="O35" s="217"/>
      <c r="P35" s="160">
        <f>P33+P34</f>
        <v>0</v>
      </c>
    </row>
    <row r="36" spans="2:16" ht="15" thickBot="1" x14ac:dyDescent="0.4">
      <c r="B36" s="161" t="s">
        <v>93</v>
      </c>
      <c r="C36" s="218"/>
      <c r="D36" s="218"/>
      <c r="E36" s="218"/>
      <c r="F36" s="218"/>
      <c r="G36" s="218"/>
      <c r="H36" s="218"/>
      <c r="I36" s="219"/>
      <c r="J36" s="220"/>
      <c r="K36" s="221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4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16.4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6" t="s">
        <v>45</v>
      </c>
      <c r="B2" s="196"/>
      <c r="C2" s="196"/>
    </row>
    <row r="3" spans="1:19 16383:16384" ht="15" customHeight="1" x14ac:dyDescent="0.35">
      <c r="A3" s="197" t="s">
        <v>46</v>
      </c>
      <c r="B3" s="197"/>
      <c r="C3" s="197"/>
      <c r="F3" s="70"/>
      <c r="G3" s="71"/>
      <c r="K3" s="198" t="s">
        <v>47</v>
      </c>
      <c r="L3" s="198"/>
      <c r="M3" s="198"/>
      <c r="N3" s="197">
        <v>3</v>
      </c>
      <c r="O3" s="197"/>
      <c r="P3" s="19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7" t="s">
        <v>94</v>
      </c>
      <c r="B4" s="197"/>
      <c r="C4" s="197"/>
      <c r="F4" s="70"/>
      <c r="G4" s="71"/>
      <c r="K4" s="198" t="s">
        <v>49</v>
      </c>
      <c r="L4" s="198"/>
      <c r="M4" s="198"/>
      <c r="N4" s="199">
        <f ca="1">TODAY()</f>
        <v>46196</v>
      </c>
      <c r="O4" s="199"/>
      <c r="P4" s="199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3" t="s">
        <v>104</v>
      </c>
      <c r="B5" s="243"/>
      <c r="C5" s="243"/>
      <c r="F5" s="70"/>
      <c r="G5" s="71"/>
      <c r="K5" s="198" t="s">
        <v>51</v>
      </c>
      <c r="L5" s="198"/>
      <c r="M5" s="198"/>
      <c r="N5" s="199">
        <f ca="1">N4-1</f>
        <v>46195</v>
      </c>
      <c r="O5" s="197"/>
      <c r="P5" s="197"/>
      <c r="R5" s="70"/>
      <c r="S5" s="71"/>
    </row>
    <row r="6" spans="1:19 16383:16384" ht="15" customHeight="1" x14ac:dyDescent="0.35">
      <c r="A6" s="198" t="s">
        <v>105</v>
      </c>
      <c r="B6" s="198"/>
      <c r="C6" s="198"/>
      <c r="F6" s="70"/>
      <c r="G6" s="74"/>
      <c r="K6" s="198" t="s">
        <v>52</v>
      </c>
      <c r="L6" s="198"/>
      <c r="M6" s="198"/>
      <c r="N6" s="200" t="s">
        <v>44</v>
      </c>
      <c r="O6" s="200"/>
      <c r="P6" s="200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198"/>
      <c r="B7" s="198"/>
      <c r="C7" s="198"/>
      <c r="F7" s="70"/>
      <c r="G7" s="74"/>
      <c r="K7" s="198"/>
      <c r="L7" s="198"/>
      <c r="M7" s="198"/>
      <c r="N7" s="200"/>
      <c r="O7" s="200"/>
      <c r="P7" s="200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2"/>
      <c r="B8" s="202"/>
      <c r="C8" s="202"/>
      <c r="F8" s="70"/>
      <c r="G8" s="74"/>
      <c r="K8" s="198"/>
      <c r="L8" s="198"/>
      <c r="M8" s="198"/>
      <c r="N8" s="200"/>
      <c r="O8" s="200"/>
      <c r="P8" s="200"/>
      <c r="R8" s="70"/>
      <c r="S8" s="74"/>
    </row>
    <row r="9" spans="1:19 16383:16384" x14ac:dyDescent="0.35">
      <c r="A9" s="202"/>
      <c r="B9" s="202"/>
      <c r="C9" s="202"/>
      <c r="F9" s="70"/>
      <c r="G9" s="74"/>
      <c r="K9" s="198"/>
      <c r="L9" s="198"/>
      <c r="M9" s="198"/>
      <c r="N9" s="200"/>
      <c r="O9" s="200"/>
      <c r="P9" s="200"/>
      <c r="R9" s="70"/>
      <c r="S9" s="74"/>
      <c r="XFD9" t="s">
        <v>55</v>
      </c>
    </row>
    <row r="10" spans="1:19 16383:16384" x14ac:dyDescent="0.35">
      <c r="A10" s="203" t="s">
        <v>95</v>
      </c>
      <c r="B10" s="75" t="s">
        <v>106</v>
      </c>
      <c r="C10" s="75"/>
      <c r="F10" s="70"/>
      <c r="G10" s="71"/>
      <c r="K10" s="198" t="s">
        <v>56</v>
      </c>
      <c r="L10" s="198"/>
      <c r="M10" s="198"/>
      <c r="N10" s="197" t="s">
        <v>57</v>
      </c>
      <c r="O10" s="197"/>
      <c r="P10" s="197"/>
      <c r="R10" s="70"/>
      <c r="S10" s="71"/>
      <c r="XFD10" t="s">
        <v>58</v>
      </c>
    </row>
    <row r="11" spans="1:19 16383:16384" x14ac:dyDescent="0.35">
      <c r="A11" s="203"/>
      <c r="B11" s="76" t="s">
        <v>50</v>
      </c>
      <c r="C11" s="77" t="str">
        <f>IF($O34&gt;2.49%,"No","Yes")</f>
        <v>No</v>
      </c>
      <c r="F11" s="70"/>
      <c r="G11" s="71"/>
      <c r="K11" s="198" t="s">
        <v>59</v>
      </c>
      <c r="L11" s="198"/>
      <c r="M11" s="198"/>
      <c r="N11" s="197" t="s">
        <v>55</v>
      </c>
      <c r="O11" s="197"/>
      <c r="P11" s="197"/>
      <c r="R11" s="70"/>
      <c r="S11" s="71"/>
    </row>
    <row r="12" spans="1:19 16383:16384" ht="14.65" customHeight="1" x14ac:dyDescent="0.35">
      <c r="A12" s="203" t="s">
        <v>60</v>
      </c>
      <c r="B12" s="76" t="s">
        <v>53</v>
      </c>
      <c r="C12" s="77" t="str">
        <f>IF($O32&gt;21.99%,"No","Yes")</f>
        <v>Yes</v>
      </c>
      <c r="F12" s="70"/>
      <c r="G12" s="71"/>
      <c r="K12" s="198" t="s">
        <v>61</v>
      </c>
      <c r="L12" s="198"/>
      <c r="M12" s="198"/>
      <c r="N12" s="197"/>
      <c r="O12" s="197"/>
      <c r="P12" s="197"/>
      <c r="R12" s="70"/>
      <c r="S12" s="71"/>
      <c r="XFD12" t="s">
        <v>62</v>
      </c>
    </row>
    <row r="13" spans="1:19 16383:16384" ht="15" thickBot="1" x14ac:dyDescent="0.4">
      <c r="A13" s="240"/>
      <c r="B13" s="64">
        <v>3520255124113</v>
      </c>
      <c r="D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10"/>
      <c r="C14" s="204" t="s">
        <v>65</v>
      </c>
      <c r="D14" s="80" t="s">
        <v>2</v>
      </c>
      <c r="E14" s="81" t="s">
        <v>66</v>
      </c>
      <c r="F14" s="82" t="s">
        <v>67</v>
      </c>
      <c r="G14" s="244" t="s">
        <v>68</v>
      </c>
      <c r="H14" s="245"/>
      <c r="I14" s="246" t="s">
        <v>69</v>
      </c>
      <c r="J14" s="244" t="s">
        <v>70</v>
      </c>
      <c r="K14" s="248"/>
      <c r="L14" s="245"/>
      <c r="M14" s="24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11"/>
      <c r="C15" s="20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7"/>
      <c r="J15" s="88" t="s">
        <v>78</v>
      </c>
      <c r="K15" s="90" t="s">
        <v>79</v>
      </c>
      <c r="L15" s="91" t="s">
        <v>80</v>
      </c>
      <c r="M15" s="247"/>
      <c r="N15" s="92">
        <f>IF(B12="Registered",18%,22%)</f>
        <v>0.18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2" t="s">
        <v>84</v>
      </c>
      <c r="B25" s="223"/>
      <c r="C25" s="224"/>
      <c r="D25" s="218"/>
      <c r="E25" s="218"/>
      <c r="F25" s="24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5" t="s">
        <v>85</v>
      </c>
      <c r="C28" s="226"/>
      <c r="D28" s="226"/>
      <c r="E28" s="226"/>
      <c r="F28" s="226"/>
      <c r="G28" s="226"/>
      <c r="H28" s="226"/>
      <c r="I28" s="226"/>
      <c r="J28" s="226"/>
      <c r="K28" s="226"/>
      <c r="L28" s="227"/>
      <c r="N28" s="234" t="s">
        <v>86</v>
      </c>
      <c r="O28" s="235"/>
      <c r="P28" s="152">
        <f>I25</f>
        <v>0</v>
      </c>
    </row>
    <row r="29" spans="1:19 16384:16384" ht="15" customHeight="1" x14ac:dyDescent="0.35">
      <c r="B29" s="228"/>
      <c r="C29" s="229"/>
      <c r="D29" s="229"/>
      <c r="E29" s="229"/>
      <c r="F29" s="229"/>
      <c r="G29" s="229"/>
      <c r="H29" s="229"/>
      <c r="I29" s="229"/>
      <c r="J29" s="229"/>
      <c r="K29" s="229"/>
      <c r="L29" s="230"/>
      <c r="N29" s="236" t="s">
        <v>87</v>
      </c>
      <c r="O29" s="237"/>
      <c r="P29" s="153">
        <f>L25</f>
        <v>0</v>
      </c>
    </row>
    <row r="30" spans="1:19 16384:16384" ht="15" customHeight="1" x14ac:dyDescent="0.35">
      <c r="B30" s="228"/>
      <c r="C30" s="229"/>
      <c r="D30" s="229"/>
      <c r="E30" s="229"/>
      <c r="F30" s="229"/>
      <c r="G30" s="229"/>
      <c r="H30" s="229"/>
      <c r="I30" s="229"/>
      <c r="J30" s="229"/>
      <c r="K30" s="229"/>
      <c r="L30" s="230"/>
      <c r="N30" s="236" t="s">
        <v>4</v>
      </c>
      <c r="O30" s="237"/>
      <c r="P30" s="154">
        <f>K25</f>
        <v>0</v>
      </c>
    </row>
    <row r="31" spans="1:19 16384:16384" ht="15" customHeight="1" x14ac:dyDescent="0.35">
      <c r="B31" s="228"/>
      <c r="C31" s="229"/>
      <c r="D31" s="229"/>
      <c r="E31" s="229"/>
      <c r="F31" s="229"/>
      <c r="G31" s="229"/>
      <c r="H31" s="229"/>
      <c r="I31" s="229"/>
      <c r="J31" s="229"/>
      <c r="K31" s="229"/>
      <c r="L31" s="230"/>
      <c r="M31" s="2"/>
      <c r="N31" s="236" t="s">
        <v>88</v>
      </c>
      <c r="O31" s="237"/>
      <c r="P31" s="153">
        <f>P28-P29-P30</f>
        <v>0</v>
      </c>
    </row>
    <row r="32" spans="1:19 16384:16384" ht="15" customHeight="1" x14ac:dyDescent="0.35">
      <c r="B32" s="228"/>
      <c r="C32" s="229"/>
      <c r="D32" s="229"/>
      <c r="E32" s="229"/>
      <c r="F32" s="229"/>
      <c r="G32" s="229"/>
      <c r="H32" s="229"/>
      <c r="I32" s="229"/>
      <c r="J32" s="229"/>
      <c r="K32" s="229"/>
      <c r="L32" s="230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28"/>
      <c r="C33" s="229"/>
      <c r="D33" s="229"/>
      <c r="E33" s="229"/>
      <c r="F33" s="229"/>
      <c r="G33" s="229"/>
      <c r="H33" s="229"/>
      <c r="I33" s="229"/>
      <c r="J33" s="229"/>
      <c r="K33" s="229"/>
      <c r="L33" s="230"/>
      <c r="M33" s="2"/>
      <c r="N33" s="238" t="s">
        <v>90</v>
      </c>
      <c r="O33" s="239"/>
      <c r="P33" s="153">
        <f>P31+P32</f>
        <v>0</v>
      </c>
    </row>
    <row r="34" spans="2:16" ht="15" customHeight="1" thickBot="1" x14ac:dyDescent="0.4">
      <c r="B34" s="231"/>
      <c r="C34" s="232"/>
      <c r="D34" s="232"/>
      <c r="E34" s="232"/>
      <c r="F34" s="232"/>
      <c r="G34" s="232"/>
      <c r="H34" s="232"/>
      <c r="I34" s="232"/>
      <c r="J34" s="232"/>
      <c r="K34" s="232"/>
      <c r="L34" s="233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6" t="s">
        <v>92</v>
      </c>
      <c r="O35" s="217"/>
      <c r="P35" s="160">
        <f>P33+P34</f>
        <v>0</v>
      </c>
    </row>
    <row r="36" spans="2:16" ht="15" thickBot="1" x14ac:dyDescent="0.4">
      <c r="B36" s="161" t="s">
        <v>93</v>
      </c>
      <c r="C36" s="218"/>
      <c r="D36" s="218"/>
      <c r="E36" s="218"/>
      <c r="F36" s="218"/>
      <c r="G36" s="218"/>
      <c r="H36" s="218"/>
      <c r="I36" s="219"/>
      <c r="J36" s="220"/>
      <c r="K36" s="221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16.4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6" t="s">
        <v>45</v>
      </c>
      <c r="B2" s="196"/>
      <c r="C2" s="196"/>
    </row>
    <row r="3" spans="1:19 16383:16384" ht="15" customHeight="1" x14ac:dyDescent="0.35">
      <c r="A3" s="197" t="s">
        <v>46</v>
      </c>
      <c r="B3" s="197"/>
      <c r="C3" s="197"/>
      <c r="F3" s="70"/>
      <c r="G3" s="71"/>
      <c r="K3" s="198" t="s">
        <v>47</v>
      </c>
      <c r="L3" s="198"/>
      <c r="M3" s="198"/>
      <c r="N3" s="197">
        <v>5</v>
      </c>
      <c r="O3" s="197"/>
      <c r="P3" s="19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7" t="s">
        <v>94</v>
      </c>
      <c r="B4" s="197"/>
      <c r="C4" s="197"/>
      <c r="F4" s="70"/>
      <c r="G4" s="71"/>
      <c r="K4" s="198" t="s">
        <v>49</v>
      </c>
      <c r="L4" s="198"/>
      <c r="M4" s="198"/>
      <c r="N4" s="199">
        <f ca="1">TODAY()</f>
        <v>46196</v>
      </c>
      <c r="O4" s="199"/>
      <c r="P4" s="199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3" t="s">
        <v>104</v>
      </c>
      <c r="B5" s="243"/>
      <c r="C5" s="243"/>
      <c r="F5" s="70"/>
      <c r="G5" s="71"/>
      <c r="K5" s="198" t="s">
        <v>51</v>
      </c>
      <c r="L5" s="198"/>
      <c r="M5" s="198"/>
      <c r="N5" s="199">
        <f ca="1">N4-1</f>
        <v>46195</v>
      </c>
      <c r="O5" s="197"/>
      <c r="P5" s="197"/>
      <c r="R5" s="70"/>
      <c r="S5" s="71"/>
    </row>
    <row r="6" spans="1:19 16383:16384" ht="15" customHeight="1" x14ac:dyDescent="0.35">
      <c r="A6" s="198" t="s">
        <v>105</v>
      </c>
      <c r="B6" s="198"/>
      <c r="C6" s="198"/>
      <c r="F6" s="70"/>
      <c r="G6" s="74"/>
      <c r="K6" s="198" t="s">
        <v>52</v>
      </c>
      <c r="L6" s="198"/>
      <c r="M6" s="198"/>
      <c r="N6" s="200" t="s">
        <v>44</v>
      </c>
      <c r="O6" s="200"/>
      <c r="P6" s="200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198"/>
      <c r="B7" s="198"/>
      <c r="C7" s="198"/>
      <c r="F7" s="70"/>
      <c r="G7" s="74"/>
      <c r="K7" s="198"/>
      <c r="L7" s="198"/>
      <c r="M7" s="198"/>
      <c r="N7" s="200"/>
      <c r="O7" s="200"/>
      <c r="P7" s="200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2"/>
      <c r="B8" s="202"/>
      <c r="C8" s="202"/>
      <c r="F8" s="70"/>
      <c r="G8" s="74"/>
      <c r="K8" s="198"/>
      <c r="L8" s="198"/>
      <c r="M8" s="198"/>
      <c r="N8" s="200"/>
      <c r="O8" s="200"/>
      <c r="P8" s="200"/>
      <c r="R8" s="70"/>
      <c r="S8" s="74"/>
    </row>
    <row r="9" spans="1:19 16383:16384" x14ac:dyDescent="0.35">
      <c r="A9" s="202"/>
      <c r="B9" s="202"/>
      <c r="C9" s="202"/>
      <c r="F9" s="70"/>
      <c r="G9" s="74"/>
      <c r="K9" s="198"/>
      <c r="L9" s="198"/>
      <c r="M9" s="198"/>
      <c r="N9" s="200"/>
      <c r="O9" s="200"/>
      <c r="P9" s="200"/>
      <c r="R9" s="70"/>
      <c r="S9" s="74"/>
      <c r="XFD9" t="s">
        <v>55</v>
      </c>
    </row>
    <row r="10" spans="1:19 16383:16384" x14ac:dyDescent="0.35">
      <c r="A10" s="203" t="s">
        <v>95</v>
      </c>
      <c r="B10" s="169" t="s">
        <v>106</v>
      </c>
      <c r="C10" s="75"/>
      <c r="F10" s="70"/>
      <c r="G10" s="71"/>
      <c r="K10" s="198" t="s">
        <v>56</v>
      </c>
      <c r="L10" s="198"/>
      <c r="M10" s="198"/>
      <c r="N10" s="197" t="s">
        <v>57</v>
      </c>
      <c r="O10" s="197"/>
      <c r="P10" s="197"/>
      <c r="R10" s="70"/>
      <c r="S10" s="71"/>
      <c r="XFD10" t="s">
        <v>58</v>
      </c>
    </row>
    <row r="11" spans="1:19 16383:16384" x14ac:dyDescent="0.35">
      <c r="A11" s="203"/>
      <c r="B11" s="76" t="s">
        <v>50</v>
      </c>
      <c r="C11" s="77" t="str">
        <f>IF($O34&gt;2.49%,"No","Yes")</f>
        <v>No</v>
      </c>
      <c r="F11" s="70"/>
      <c r="G11" s="71"/>
      <c r="K11" s="198" t="s">
        <v>59</v>
      </c>
      <c r="L11" s="198"/>
      <c r="M11" s="198"/>
      <c r="N11" s="197" t="s">
        <v>55</v>
      </c>
      <c r="O11" s="197"/>
      <c r="P11" s="197"/>
      <c r="R11" s="70"/>
      <c r="S11" s="71"/>
    </row>
    <row r="12" spans="1:19 16383:16384" ht="14.65" customHeight="1" x14ac:dyDescent="0.35">
      <c r="A12" s="203" t="s">
        <v>60</v>
      </c>
      <c r="B12" s="76" t="s">
        <v>54</v>
      </c>
      <c r="C12" s="77" t="str">
        <f>IF($O32&gt;21.99%,"No","Yes")</f>
        <v>No</v>
      </c>
      <c r="F12" s="70"/>
      <c r="G12" s="71"/>
      <c r="K12" s="198" t="s">
        <v>61</v>
      </c>
      <c r="L12" s="198"/>
      <c r="M12" s="198"/>
      <c r="N12" s="197"/>
      <c r="O12" s="197"/>
      <c r="P12" s="197"/>
      <c r="R12" s="70"/>
      <c r="S12" s="71"/>
      <c r="XFD12" t="s">
        <v>62</v>
      </c>
    </row>
    <row r="13" spans="1:19 16383:16384" ht="15" thickBot="1" x14ac:dyDescent="0.4">
      <c r="A13" s="240"/>
      <c r="B13" s="64">
        <v>3520255124113</v>
      </c>
      <c r="D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10"/>
      <c r="C14" s="204" t="s">
        <v>65</v>
      </c>
      <c r="D14" s="80" t="s">
        <v>2</v>
      </c>
      <c r="E14" s="81" t="s">
        <v>66</v>
      </c>
      <c r="F14" s="82" t="s">
        <v>67</v>
      </c>
      <c r="G14" s="244" t="s">
        <v>68</v>
      </c>
      <c r="H14" s="245"/>
      <c r="I14" s="246" t="s">
        <v>69</v>
      </c>
      <c r="J14" s="244" t="s">
        <v>70</v>
      </c>
      <c r="K14" s="248"/>
      <c r="L14" s="245"/>
      <c r="M14" s="24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11"/>
      <c r="C15" s="20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7"/>
      <c r="J15" s="88" t="s">
        <v>78</v>
      </c>
      <c r="K15" s="90" t="s">
        <v>79</v>
      </c>
      <c r="L15" s="91" t="s">
        <v>80</v>
      </c>
      <c r="M15" s="247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2" t="s">
        <v>84</v>
      </c>
      <c r="B25" s="223"/>
      <c r="C25" s="224"/>
      <c r="D25" s="218"/>
      <c r="E25" s="218"/>
      <c r="F25" s="24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5" t="s">
        <v>85</v>
      </c>
      <c r="C28" s="226"/>
      <c r="D28" s="226"/>
      <c r="E28" s="226"/>
      <c r="F28" s="226"/>
      <c r="G28" s="226"/>
      <c r="H28" s="226"/>
      <c r="I28" s="226"/>
      <c r="J28" s="226"/>
      <c r="K28" s="226"/>
      <c r="L28" s="227"/>
      <c r="N28" s="234" t="s">
        <v>86</v>
      </c>
      <c r="O28" s="235"/>
      <c r="P28" s="152">
        <f>I25</f>
        <v>0</v>
      </c>
    </row>
    <row r="29" spans="1:19 16384:16384" ht="15" customHeight="1" x14ac:dyDescent="0.35">
      <c r="B29" s="228"/>
      <c r="C29" s="229"/>
      <c r="D29" s="229"/>
      <c r="E29" s="229"/>
      <c r="F29" s="229"/>
      <c r="G29" s="229"/>
      <c r="H29" s="229"/>
      <c r="I29" s="229"/>
      <c r="J29" s="229"/>
      <c r="K29" s="229"/>
      <c r="L29" s="230"/>
      <c r="N29" s="236" t="s">
        <v>87</v>
      </c>
      <c r="O29" s="237"/>
      <c r="P29" s="153">
        <f>L25</f>
        <v>0</v>
      </c>
    </row>
    <row r="30" spans="1:19 16384:16384" ht="15" customHeight="1" x14ac:dyDescent="0.35">
      <c r="B30" s="228"/>
      <c r="C30" s="229"/>
      <c r="D30" s="229"/>
      <c r="E30" s="229"/>
      <c r="F30" s="229"/>
      <c r="G30" s="229"/>
      <c r="H30" s="229"/>
      <c r="I30" s="229"/>
      <c r="J30" s="229"/>
      <c r="K30" s="229"/>
      <c r="L30" s="230"/>
      <c r="N30" s="236" t="s">
        <v>4</v>
      </c>
      <c r="O30" s="237"/>
      <c r="P30" s="154">
        <f>K25</f>
        <v>0</v>
      </c>
    </row>
    <row r="31" spans="1:19 16384:16384" ht="15" customHeight="1" x14ac:dyDescent="0.35">
      <c r="B31" s="228"/>
      <c r="C31" s="229"/>
      <c r="D31" s="229"/>
      <c r="E31" s="229"/>
      <c r="F31" s="229"/>
      <c r="G31" s="229"/>
      <c r="H31" s="229"/>
      <c r="I31" s="229"/>
      <c r="J31" s="229"/>
      <c r="K31" s="229"/>
      <c r="L31" s="230"/>
      <c r="M31" s="2"/>
      <c r="N31" s="236" t="s">
        <v>88</v>
      </c>
      <c r="O31" s="237"/>
      <c r="P31" s="153">
        <f>P28-P29-P30</f>
        <v>0</v>
      </c>
    </row>
    <row r="32" spans="1:19 16384:16384" ht="15" customHeight="1" x14ac:dyDescent="0.35">
      <c r="B32" s="228"/>
      <c r="C32" s="229"/>
      <c r="D32" s="229"/>
      <c r="E32" s="229"/>
      <c r="F32" s="229"/>
      <c r="G32" s="229"/>
      <c r="H32" s="229"/>
      <c r="I32" s="229"/>
      <c r="J32" s="229"/>
      <c r="K32" s="229"/>
      <c r="L32" s="230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8"/>
      <c r="C33" s="229"/>
      <c r="D33" s="229"/>
      <c r="E33" s="229"/>
      <c r="F33" s="229"/>
      <c r="G33" s="229"/>
      <c r="H33" s="229"/>
      <c r="I33" s="229"/>
      <c r="J33" s="229"/>
      <c r="K33" s="229"/>
      <c r="L33" s="230"/>
      <c r="M33" s="2"/>
      <c r="N33" s="238" t="s">
        <v>90</v>
      </c>
      <c r="O33" s="239"/>
      <c r="P33" s="153">
        <f>P31+P32</f>
        <v>0</v>
      </c>
    </row>
    <row r="34" spans="2:16" ht="15" customHeight="1" thickBot="1" x14ac:dyDescent="0.4">
      <c r="B34" s="231"/>
      <c r="C34" s="232"/>
      <c r="D34" s="232"/>
      <c r="E34" s="232"/>
      <c r="F34" s="232"/>
      <c r="G34" s="232"/>
      <c r="H34" s="232"/>
      <c r="I34" s="232"/>
      <c r="J34" s="232"/>
      <c r="K34" s="232"/>
      <c r="L34" s="233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6" t="s">
        <v>92</v>
      </c>
      <c r="O35" s="217"/>
      <c r="P35" s="160">
        <f>P33+P34</f>
        <v>0</v>
      </c>
    </row>
    <row r="36" spans="2:16" ht="15" thickBot="1" x14ac:dyDescent="0.4">
      <c r="B36" s="161" t="s">
        <v>93</v>
      </c>
      <c r="C36" s="218"/>
      <c r="D36" s="218"/>
      <c r="E36" s="218"/>
      <c r="F36" s="218"/>
      <c r="G36" s="218"/>
      <c r="H36" s="218"/>
      <c r="I36" s="219"/>
      <c r="J36" s="220"/>
      <c r="K36" s="221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6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16.4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6" t="s">
        <v>45</v>
      </c>
      <c r="B2" s="196"/>
      <c r="C2" s="196"/>
    </row>
    <row r="3" spans="1:19 16383:16384" ht="15" customHeight="1" x14ac:dyDescent="0.35">
      <c r="A3" s="197" t="s">
        <v>46</v>
      </c>
      <c r="B3" s="197"/>
      <c r="C3" s="197"/>
      <c r="F3" s="70"/>
      <c r="G3" s="71"/>
      <c r="K3" s="198" t="s">
        <v>47</v>
      </c>
      <c r="L3" s="198"/>
      <c r="M3" s="198"/>
      <c r="N3" s="197">
        <v>6</v>
      </c>
      <c r="O3" s="197"/>
      <c r="P3" s="19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7" t="s">
        <v>94</v>
      </c>
      <c r="B4" s="197"/>
      <c r="C4" s="197"/>
      <c r="F4" s="70"/>
      <c r="G4" s="71"/>
      <c r="K4" s="198" t="s">
        <v>49</v>
      </c>
      <c r="L4" s="198"/>
      <c r="M4" s="198"/>
      <c r="N4" s="199">
        <f ca="1">TODAY()</f>
        <v>46196</v>
      </c>
      <c r="O4" s="199"/>
      <c r="P4" s="199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3" t="s">
        <v>104</v>
      </c>
      <c r="B5" s="243"/>
      <c r="C5" s="243"/>
      <c r="F5" s="70"/>
      <c r="G5" s="71"/>
      <c r="K5" s="198" t="s">
        <v>51</v>
      </c>
      <c r="L5" s="198"/>
      <c r="M5" s="198"/>
      <c r="N5" s="199">
        <f ca="1">N4-1</f>
        <v>46195</v>
      </c>
      <c r="O5" s="197"/>
      <c r="P5" s="197"/>
      <c r="R5" s="70"/>
      <c r="S5" s="71"/>
    </row>
    <row r="6" spans="1:19 16383:16384" ht="15" customHeight="1" x14ac:dyDescent="0.35">
      <c r="A6" s="198" t="s">
        <v>105</v>
      </c>
      <c r="B6" s="198"/>
      <c r="C6" s="198"/>
      <c r="F6" s="70"/>
      <c r="G6" s="74"/>
      <c r="K6" s="198" t="s">
        <v>52</v>
      </c>
      <c r="L6" s="198"/>
      <c r="M6" s="198"/>
      <c r="N6" s="200" t="s">
        <v>44</v>
      </c>
      <c r="O6" s="200"/>
      <c r="P6" s="200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198"/>
      <c r="B7" s="198"/>
      <c r="C7" s="198"/>
      <c r="F7" s="70"/>
      <c r="G7" s="74"/>
      <c r="K7" s="198"/>
      <c r="L7" s="198"/>
      <c r="M7" s="198"/>
      <c r="N7" s="200"/>
      <c r="O7" s="200"/>
      <c r="P7" s="200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2"/>
      <c r="B8" s="202"/>
      <c r="C8" s="202"/>
      <c r="F8" s="70"/>
      <c r="G8" s="74"/>
      <c r="K8" s="198"/>
      <c r="L8" s="198"/>
      <c r="M8" s="198"/>
      <c r="N8" s="200"/>
      <c r="O8" s="200"/>
      <c r="P8" s="200"/>
      <c r="R8" s="70"/>
      <c r="S8" s="74"/>
    </row>
    <row r="9" spans="1:19 16383:16384" x14ac:dyDescent="0.35">
      <c r="A9" s="202"/>
      <c r="B9" s="202"/>
      <c r="C9" s="202"/>
      <c r="F9" s="70"/>
      <c r="G9" s="74"/>
      <c r="K9" s="198"/>
      <c r="L9" s="198"/>
      <c r="M9" s="198"/>
      <c r="N9" s="200"/>
      <c r="O9" s="200"/>
      <c r="P9" s="200"/>
      <c r="R9" s="70"/>
      <c r="S9" s="74"/>
      <c r="XFD9" t="s">
        <v>55</v>
      </c>
    </row>
    <row r="10" spans="1:19 16383:16384" x14ac:dyDescent="0.35">
      <c r="A10" s="203" t="s">
        <v>95</v>
      </c>
      <c r="B10" s="75" t="s">
        <v>106</v>
      </c>
      <c r="C10" s="75"/>
      <c r="F10" s="70"/>
      <c r="G10" s="71"/>
      <c r="K10" s="198" t="s">
        <v>56</v>
      </c>
      <c r="L10" s="198"/>
      <c r="M10" s="198"/>
      <c r="N10" s="197" t="s">
        <v>57</v>
      </c>
      <c r="O10" s="197"/>
      <c r="P10" s="197"/>
      <c r="R10" s="70"/>
      <c r="S10" s="71"/>
      <c r="XFD10" t="s">
        <v>58</v>
      </c>
    </row>
    <row r="11" spans="1:19 16383:16384" x14ac:dyDescent="0.35">
      <c r="A11" s="203"/>
      <c r="B11" s="76" t="s">
        <v>50</v>
      </c>
      <c r="C11" s="77" t="str">
        <f>IF($O34&gt;2.49%,"No","Yes")</f>
        <v>No</v>
      </c>
      <c r="F11" s="70"/>
      <c r="G11" s="71"/>
      <c r="K11" s="198" t="s">
        <v>59</v>
      </c>
      <c r="L11" s="198"/>
      <c r="M11" s="198"/>
      <c r="N11" s="197" t="s">
        <v>55</v>
      </c>
      <c r="O11" s="197"/>
      <c r="P11" s="197"/>
      <c r="R11" s="70"/>
      <c r="S11" s="71"/>
    </row>
    <row r="12" spans="1:19 16383:16384" ht="14.65" customHeight="1" x14ac:dyDescent="0.35">
      <c r="A12" s="203" t="s">
        <v>60</v>
      </c>
      <c r="B12" s="76" t="s">
        <v>54</v>
      </c>
      <c r="C12" s="77" t="str">
        <f>IF($O32&gt;21.99%,"No","Yes")</f>
        <v>No</v>
      </c>
      <c r="F12" s="70"/>
      <c r="G12" s="71"/>
      <c r="K12" s="198" t="s">
        <v>61</v>
      </c>
      <c r="L12" s="198"/>
      <c r="M12" s="198"/>
      <c r="N12" s="197"/>
      <c r="O12" s="197"/>
      <c r="P12" s="197"/>
      <c r="R12" s="70"/>
      <c r="S12" s="71"/>
      <c r="XFD12" t="s">
        <v>62</v>
      </c>
    </row>
    <row r="13" spans="1:19 16383:16384" ht="15" thickBot="1" x14ac:dyDescent="0.4">
      <c r="A13" s="240"/>
      <c r="B13" s="64">
        <v>3520255124113</v>
      </c>
      <c r="D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10"/>
      <c r="C14" s="204" t="s">
        <v>65</v>
      </c>
      <c r="D14" s="80" t="s">
        <v>2</v>
      </c>
      <c r="E14" s="81" t="s">
        <v>66</v>
      </c>
      <c r="F14" s="82" t="s">
        <v>67</v>
      </c>
      <c r="G14" s="244" t="s">
        <v>68</v>
      </c>
      <c r="H14" s="245"/>
      <c r="I14" s="246" t="s">
        <v>69</v>
      </c>
      <c r="J14" s="244" t="s">
        <v>70</v>
      </c>
      <c r="K14" s="248"/>
      <c r="L14" s="245"/>
      <c r="M14" s="24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11"/>
      <c r="C15" s="20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7"/>
      <c r="J15" s="88" t="s">
        <v>78</v>
      </c>
      <c r="K15" s="90" t="s">
        <v>79</v>
      </c>
      <c r="L15" s="91" t="s">
        <v>80</v>
      </c>
      <c r="M15" s="247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2" t="s">
        <v>84</v>
      </c>
      <c r="B25" s="223"/>
      <c r="C25" s="224"/>
      <c r="D25" s="218"/>
      <c r="E25" s="218"/>
      <c r="F25" s="24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5" t="s">
        <v>85</v>
      </c>
      <c r="C28" s="226"/>
      <c r="D28" s="226"/>
      <c r="E28" s="226"/>
      <c r="F28" s="226"/>
      <c r="G28" s="226"/>
      <c r="H28" s="226"/>
      <c r="I28" s="226"/>
      <c r="J28" s="226"/>
      <c r="K28" s="226"/>
      <c r="L28" s="227"/>
      <c r="N28" s="234" t="s">
        <v>86</v>
      </c>
      <c r="O28" s="235"/>
      <c r="P28" s="152">
        <f>I25</f>
        <v>0</v>
      </c>
    </row>
    <row r="29" spans="1:19 16384:16384" ht="15" customHeight="1" x14ac:dyDescent="0.35">
      <c r="B29" s="228"/>
      <c r="C29" s="229"/>
      <c r="D29" s="229"/>
      <c r="E29" s="229"/>
      <c r="F29" s="229"/>
      <c r="G29" s="229"/>
      <c r="H29" s="229"/>
      <c r="I29" s="229"/>
      <c r="J29" s="229"/>
      <c r="K29" s="229"/>
      <c r="L29" s="230"/>
      <c r="N29" s="236" t="s">
        <v>87</v>
      </c>
      <c r="O29" s="237"/>
      <c r="P29" s="153">
        <f>L25</f>
        <v>0</v>
      </c>
    </row>
    <row r="30" spans="1:19 16384:16384" ht="15" customHeight="1" x14ac:dyDescent="0.35">
      <c r="B30" s="228"/>
      <c r="C30" s="229"/>
      <c r="D30" s="229"/>
      <c r="E30" s="229"/>
      <c r="F30" s="229"/>
      <c r="G30" s="229"/>
      <c r="H30" s="229"/>
      <c r="I30" s="229"/>
      <c r="J30" s="229"/>
      <c r="K30" s="229"/>
      <c r="L30" s="230"/>
      <c r="N30" s="236" t="s">
        <v>4</v>
      </c>
      <c r="O30" s="237"/>
      <c r="P30" s="154">
        <f>K25</f>
        <v>0</v>
      </c>
    </row>
    <row r="31" spans="1:19 16384:16384" ht="15" customHeight="1" x14ac:dyDescent="0.35">
      <c r="B31" s="228"/>
      <c r="C31" s="229"/>
      <c r="D31" s="229"/>
      <c r="E31" s="229"/>
      <c r="F31" s="229"/>
      <c r="G31" s="229"/>
      <c r="H31" s="229"/>
      <c r="I31" s="229"/>
      <c r="J31" s="229"/>
      <c r="K31" s="229"/>
      <c r="L31" s="230"/>
      <c r="M31" s="2"/>
      <c r="N31" s="236" t="s">
        <v>88</v>
      </c>
      <c r="O31" s="237"/>
      <c r="P31" s="153">
        <f>P28-P29-P30</f>
        <v>0</v>
      </c>
    </row>
    <row r="32" spans="1:19 16384:16384" ht="15" customHeight="1" x14ac:dyDescent="0.35">
      <c r="B32" s="228"/>
      <c r="C32" s="229"/>
      <c r="D32" s="229"/>
      <c r="E32" s="229"/>
      <c r="F32" s="229"/>
      <c r="G32" s="229"/>
      <c r="H32" s="229"/>
      <c r="I32" s="229"/>
      <c r="J32" s="229"/>
      <c r="K32" s="229"/>
      <c r="L32" s="230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8"/>
      <c r="C33" s="229"/>
      <c r="D33" s="229"/>
      <c r="E33" s="229"/>
      <c r="F33" s="229"/>
      <c r="G33" s="229"/>
      <c r="H33" s="229"/>
      <c r="I33" s="229"/>
      <c r="J33" s="229"/>
      <c r="K33" s="229"/>
      <c r="L33" s="230"/>
      <c r="M33" s="2"/>
      <c r="N33" s="238" t="s">
        <v>90</v>
      </c>
      <c r="O33" s="239"/>
      <c r="P33" s="153">
        <f>P31+P32</f>
        <v>0</v>
      </c>
    </row>
    <row r="34" spans="2:16" ht="15" customHeight="1" thickBot="1" x14ac:dyDescent="0.4">
      <c r="B34" s="231"/>
      <c r="C34" s="232"/>
      <c r="D34" s="232"/>
      <c r="E34" s="232"/>
      <c r="F34" s="232"/>
      <c r="G34" s="232"/>
      <c r="H34" s="232"/>
      <c r="I34" s="232"/>
      <c r="J34" s="232"/>
      <c r="K34" s="232"/>
      <c r="L34" s="233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6" t="s">
        <v>92</v>
      </c>
      <c r="O35" s="217"/>
      <c r="P35" s="160">
        <f>P33+P34</f>
        <v>0</v>
      </c>
    </row>
    <row r="36" spans="2:16" ht="15" thickBot="1" x14ac:dyDescent="0.4">
      <c r="B36" s="161" t="s">
        <v>93</v>
      </c>
      <c r="C36" s="218"/>
      <c r="D36" s="218"/>
      <c r="E36" s="218"/>
      <c r="F36" s="218"/>
      <c r="G36" s="218"/>
      <c r="H36" s="218"/>
      <c r="I36" s="219"/>
      <c r="J36" s="220"/>
      <c r="K36" s="221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16.4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6" t="s">
        <v>45</v>
      </c>
      <c r="B2" s="196"/>
      <c r="C2" s="196"/>
    </row>
    <row r="3" spans="1:19 16383:16384" ht="15" customHeight="1" x14ac:dyDescent="0.35">
      <c r="A3" s="197" t="s">
        <v>46</v>
      </c>
      <c r="B3" s="197"/>
      <c r="C3" s="197"/>
      <c r="F3" s="70"/>
      <c r="G3" s="71"/>
      <c r="K3" s="198" t="s">
        <v>47</v>
      </c>
      <c r="L3" s="198"/>
      <c r="M3" s="198"/>
      <c r="N3" s="197">
        <v>7</v>
      </c>
      <c r="O3" s="197"/>
      <c r="P3" s="19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7" t="s">
        <v>94</v>
      </c>
      <c r="B4" s="197"/>
      <c r="C4" s="197"/>
      <c r="F4" s="70"/>
      <c r="G4" s="71"/>
      <c r="K4" s="198" t="s">
        <v>49</v>
      </c>
      <c r="L4" s="198"/>
      <c r="M4" s="198"/>
      <c r="N4" s="199">
        <f ca="1">TODAY()</f>
        <v>46196</v>
      </c>
      <c r="O4" s="199"/>
      <c r="P4" s="199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3" t="s">
        <v>104</v>
      </c>
      <c r="B5" s="243"/>
      <c r="C5" s="243"/>
      <c r="F5" s="70"/>
      <c r="G5" s="71"/>
      <c r="K5" s="198" t="s">
        <v>51</v>
      </c>
      <c r="L5" s="198"/>
      <c r="M5" s="198"/>
      <c r="N5" s="199">
        <f ca="1">N4-1</f>
        <v>46195</v>
      </c>
      <c r="O5" s="197"/>
      <c r="P5" s="197"/>
      <c r="R5" s="70"/>
      <c r="S5" s="71"/>
    </row>
    <row r="6" spans="1:19 16383:16384" ht="15" customHeight="1" x14ac:dyDescent="0.35">
      <c r="A6" s="198" t="s">
        <v>105</v>
      </c>
      <c r="B6" s="198"/>
      <c r="C6" s="198"/>
      <c r="F6" s="70"/>
      <c r="G6" s="74"/>
      <c r="K6" s="198" t="s">
        <v>52</v>
      </c>
      <c r="L6" s="198"/>
      <c r="M6" s="198"/>
      <c r="N6" s="200" t="s">
        <v>44</v>
      </c>
      <c r="O6" s="200"/>
      <c r="P6" s="200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198"/>
      <c r="B7" s="198"/>
      <c r="C7" s="198"/>
      <c r="F7" s="70"/>
      <c r="G7" s="74"/>
      <c r="K7" s="198"/>
      <c r="L7" s="198"/>
      <c r="M7" s="198"/>
      <c r="N7" s="200"/>
      <c r="O7" s="200"/>
      <c r="P7" s="200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2"/>
      <c r="B8" s="202"/>
      <c r="C8" s="202"/>
      <c r="F8" s="70"/>
      <c r="G8" s="74"/>
      <c r="K8" s="198"/>
      <c r="L8" s="198"/>
      <c r="M8" s="198"/>
      <c r="N8" s="200"/>
      <c r="O8" s="200"/>
      <c r="P8" s="200"/>
      <c r="R8" s="70"/>
      <c r="S8" s="74"/>
    </row>
    <row r="9" spans="1:19 16383:16384" x14ac:dyDescent="0.35">
      <c r="A9" s="202"/>
      <c r="B9" s="202"/>
      <c r="C9" s="202"/>
      <c r="F9" s="70"/>
      <c r="G9" s="74"/>
      <c r="K9" s="198"/>
      <c r="L9" s="198"/>
      <c r="M9" s="198"/>
      <c r="N9" s="200"/>
      <c r="O9" s="200"/>
      <c r="P9" s="200"/>
      <c r="R9" s="70"/>
      <c r="S9" s="74"/>
      <c r="XFD9" t="s">
        <v>55</v>
      </c>
    </row>
    <row r="10" spans="1:19 16383:16384" x14ac:dyDescent="0.35">
      <c r="A10" s="203" t="s">
        <v>95</v>
      </c>
      <c r="B10" s="169" t="s">
        <v>106</v>
      </c>
      <c r="C10" s="75"/>
      <c r="F10" s="70"/>
      <c r="G10" s="71"/>
      <c r="K10" s="198" t="s">
        <v>56</v>
      </c>
      <c r="L10" s="198"/>
      <c r="M10" s="198"/>
      <c r="N10" s="197" t="s">
        <v>57</v>
      </c>
      <c r="O10" s="197"/>
      <c r="P10" s="197"/>
      <c r="R10" s="70"/>
      <c r="S10" s="71"/>
      <c r="XFD10" t="s">
        <v>58</v>
      </c>
    </row>
    <row r="11" spans="1:19 16383:16384" x14ac:dyDescent="0.35">
      <c r="A11" s="203"/>
      <c r="B11" s="76" t="s">
        <v>48</v>
      </c>
      <c r="C11" s="77" t="str">
        <f>IF($O34&gt;2.49%,"No","Yes")</f>
        <v>Yes</v>
      </c>
      <c r="F11" s="70"/>
      <c r="G11" s="71"/>
      <c r="K11" s="198" t="s">
        <v>59</v>
      </c>
      <c r="L11" s="198"/>
      <c r="M11" s="198"/>
      <c r="N11" s="197" t="s">
        <v>55</v>
      </c>
      <c r="O11" s="197"/>
      <c r="P11" s="197"/>
      <c r="R11" s="70"/>
      <c r="S11" s="71"/>
    </row>
    <row r="12" spans="1:19 16383:16384" ht="14.65" customHeight="1" x14ac:dyDescent="0.35">
      <c r="A12" s="203" t="s">
        <v>60</v>
      </c>
      <c r="B12" s="76" t="s">
        <v>54</v>
      </c>
      <c r="C12" s="77" t="str">
        <f>IF($O32&gt;21.99%,"No","Yes")</f>
        <v>No</v>
      </c>
      <c r="F12" s="70"/>
      <c r="G12" s="71"/>
      <c r="K12" s="198" t="s">
        <v>61</v>
      </c>
      <c r="L12" s="198"/>
      <c r="M12" s="198"/>
      <c r="N12" s="197"/>
      <c r="O12" s="197"/>
      <c r="P12" s="197"/>
      <c r="R12" s="70"/>
      <c r="S12" s="71"/>
      <c r="XFD12" t="s">
        <v>62</v>
      </c>
    </row>
    <row r="13" spans="1:19 16383:16384" ht="15" thickBot="1" x14ac:dyDescent="0.4">
      <c r="A13" s="240"/>
      <c r="B13" s="64">
        <v>3520255124113</v>
      </c>
      <c r="D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10"/>
      <c r="C14" s="204" t="s">
        <v>65</v>
      </c>
      <c r="D14" s="80" t="s">
        <v>2</v>
      </c>
      <c r="E14" s="81" t="s">
        <v>66</v>
      </c>
      <c r="F14" s="82" t="s">
        <v>67</v>
      </c>
      <c r="G14" s="244" t="s">
        <v>68</v>
      </c>
      <c r="H14" s="245"/>
      <c r="I14" s="246" t="s">
        <v>69</v>
      </c>
      <c r="J14" s="244" t="s">
        <v>70</v>
      </c>
      <c r="K14" s="248"/>
      <c r="L14" s="245"/>
      <c r="M14" s="24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11"/>
      <c r="C15" s="20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7"/>
      <c r="J15" s="88" t="s">
        <v>78</v>
      </c>
      <c r="K15" s="90" t="s">
        <v>79</v>
      </c>
      <c r="L15" s="91" t="s">
        <v>80</v>
      </c>
      <c r="M15" s="247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2" t="s">
        <v>84</v>
      </c>
      <c r="B25" s="223"/>
      <c r="C25" s="224"/>
      <c r="D25" s="218"/>
      <c r="E25" s="218"/>
      <c r="F25" s="24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5" t="s">
        <v>85</v>
      </c>
      <c r="C28" s="226"/>
      <c r="D28" s="226"/>
      <c r="E28" s="226"/>
      <c r="F28" s="226"/>
      <c r="G28" s="226"/>
      <c r="H28" s="226"/>
      <c r="I28" s="226"/>
      <c r="J28" s="226"/>
      <c r="K28" s="226"/>
      <c r="L28" s="227"/>
      <c r="N28" s="234" t="s">
        <v>86</v>
      </c>
      <c r="O28" s="235"/>
      <c r="P28" s="152">
        <f>I25</f>
        <v>0</v>
      </c>
    </row>
    <row r="29" spans="1:19 16384:16384" ht="15" customHeight="1" x14ac:dyDescent="0.35">
      <c r="B29" s="228"/>
      <c r="C29" s="229"/>
      <c r="D29" s="229"/>
      <c r="E29" s="229"/>
      <c r="F29" s="229"/>
      <c r="G29" s="229"/>
      <c r="H29" s="229"/>
      <c r="I29" s="229"/>
      <c r="J29" s="229"/>
      <c r="K29" s="229"/>
      <c r="L29" s="230"/>
      <c r="N29" s="236" t="s">
        <v>87</v>
      </c>
      <c r="O29" s="237"/>
      <c r="P29" s="153">
        <f>L25</f>
        <v>0</v>
      </c>
    </row>
    <row r="30" spans="1:19 16384:16384" ht="15" customHeight="1" x14ac:dyDescent="0.35">
      <c r="B30" s="228"/>
      <c r="C30" s="229"/>
      <c r="D30" s="229"/>
      <c r="E30" s="229"/>
      <c r="F30" s="229"/>
      <c r="G30" s="229"/>
      <c r="H30" s="229"/>
      <c r="I30" s="229"/>
      <c r="J30" s="229"/>
      <c r="K30" s="229"/>
      <c r="L30" s="230"/>
      <c r="N30" s="236" t="s">
        <v>4</v>
      </c>
      <c r="O30" s="237"/>
      <c r="P30" s="154">
        <f>K25</f>
        <v>0</v>
      </c>
    </row>
    <row r="31" spans="1:19 16384:16384" ht="15" customHeight="1" x14ac:dyDescent="0.35">
      <c r="B31" s="228"/>
      <c r="C31" s="229"/>
      <c r="D31" s="229"/>
      <c r="E31" s="229"/>
      <c r="F31" s="229"/>
      <c r="G31" s="229"/>
      <c r="H31" s="229"/>
      <c r="I31" s="229"/>
      <c r="J31" s="229"/>
      <c r="K31" s="229"/>
      <c r="L31" s="230"/>
      <c r="M31" s="2"/>
      <c r="N31" s="236" t="s">
        <v>88</v>
      </c>
      <c r="O31" s="237"/>
      <c r="P31" s="153">
        <f>P28-P29-P30</f>
        <v>0</v>
      </c>
    </row>
    <row r="32" spans="1:19 16384:16384" ht="15" customHeight="1" x14ac:dyDescent="0.35">
      <c r="B32" s="228"/>
      <c r="C32" s="229"/>
      <c r="D32" s="229"/>
      <c r="E32" s="229"/>
      <c r="F32" s="229"/>
      <c r="G32" s="229"/>
      <c r="H32" s="229"/>
      <c r="I32" s="229"/>
      <c r="J32" s="229"/>
      <c r="K32" s="229"/>
      <c r="L32" s="230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8"/>
      <c r="C33" s="229"/>
      <c r="D33" s="229"/>
      <c r="E33" s="229"/>
      <c r="F33" s="229"/>
      <c r="G33" s="229"/>
      <c r="H33" s="229"/>
      <c r="I33" s="229"/>
      <c r="J33" s="229"/>
      <c r="K33" s="229"/>
      <c r="L33" s="230"/>
      <c r="M33" s="2"/>
      <c r="N33" s="238" t="s">
        <v>90</v>
      </c>
      <c r="O33" s="239"/>
      <c r="P33" s="153">
        <f>P31+P32</f>
        <v>0</v>
      </c>
    </row>
    <row r="34" spans="2:16" ht="15" customHeight="1" thickBot="1" x14ac:dyDescent="0.4">
      <c r="B34" s="231"/>
      <c r="C34" s="232"/>
      <c r="D34" s="232"/>
      <c r="E34" s="232"/>
      <c r="F34" s="232"/>
      <c r="G34" s="232"/>
      <c r="H34" s="232"/>
      <c r="I34" s="232"/>
      <c r="J34" s="232"/>
      <c r="K34" s="232"/>
      <c r="L34" s="233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6" t="s">
        <v>92</v>
      </c>
      <c r="O35" s="217"/>
      <c r="P35" s="160">
        <f>P33+P34</f>
        <v>0</v>
      </c>
    </row>
    <row r="36" spans="2:16" ht="15" thickBot="1" x14ac:dyDescent="0.4">
      <c r="B36" s="161" t="s">
        <v>93</v>
      </c>
      <c r="C36" s="218"/>
      <c r="D36" s="218"/>
      <c r="E36" s="218"/>
      <c r="F36" s="218"/>
      <c r="G36" s="218"/>
      <c r="H36" s="218"/>
      <c r="I36" s="219"/>
      <c r="J36" s="220"/>
      <c r="K36" s="221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16.4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6" t="s">
        <v>45</v>
      </c>
      <c r="B2" s="196"/>
      <c r="C2" s="196"/>
    </row>
    <row r="3" spans="1:19 16383:16384" ht="15" customHeight="1" x14ac:dyDescent="0.35">
      <c r="A3" s="197" t="s">
        <v>46</v>
      </c>
      <c r="B3" s="197"/>
      <c r="C3" s="197"/>
      <c r="F3" s="70"/>
      <c r="G3" s="71"/>
      <c r="K3" s="198" t="s">
        <v>47</v>
      </c>
      <c r="L3" s="198"/>
      <c r="M3" s="198"/>
      <c r="N3" s="197">
        <v>8</v>
      </c>
      <c r="O3" s="197"/>
      <c r="P3" s="19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7" t="s">
        <v>94</v>
      </c>
      <c r="B4" s="197"/>
      <c r="C4" s="197"/>
      <c r="F4" s="70"/>
      <c r="G4" s="71"/>
      <c r="K4" s="198" t="s">
        <v>49</v>
      </c>
      <c r="L4" s="198"/>
      <c r="M4" s="198"/>
      <c r="N4" s="199">
        <f ca="1">TODAY()</f>
        <v>46196</v>
      </c>
      <c r="O4" s="199"/>
      <c r="P4" s="199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3" t="s">
        <v>104</v>
      </c>
      <c r="B5" s="243"/>
      <c r="C5" s="243"/>
      <c r="F5" s="70"/>
      <c r="G5" s="71"/>
      <c r="K5" s="198" t="s">
        <v>51</v>
      </c>
      <c r="L5" s="198"/>
      <c r="M5" s="198"/>
      <c r="N5" s="199">
        <f ca="1">N4-1</f>
        <v>46195</v>
      </c>
      <c r="O5" s="197"/>
      <c r="P5" s="197"/>
      <c r="R5" s="70"/>
      <c r="S5" s="71"/>
    </row>
    <row r="6" spans="1:19 16383:16384" ht="15" customHeight="1" x14ac:dyDescent="0.35">
      <c r="A6" s="198" t="s">
        <v>105</v>
      </c>
      <c r="B6" s="198"/>
      <c r="C6" s="198"/>
      <c r="F6" s="70"/>
      <c r="G6" s="74"/>
      <c r="K6" s="198" t="s">
        <v>52</v>
      </c>
      <c r="L6" s="198"/>
      <c r="M6" s="198"/>
      <c r="N6" s="200" t="s">
        <v>44</v>
      </c>
      <c r="O6" s="200"/>
      <c r="P6" s="200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198"/>
      <c r="B7" s="198"/>
      <c r="C7" s="198"/>
      <c r="F7" s="70"/>
      <c r="G7" s="74"/>
      <c r="K7" s="198"/>
      <c r="L7" s="198"/>
      <c r="M7" s="198"/>
      <c r="N7" s="200"/>
      <c r="O7" s="200"/>
      <c r="P7" s="200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2"/>
      <c r="B8" s="202"/>
      <c r="C8" s="202"/>
      <c r="F8" s="70"/>
      <c r="G8" s="74"/>
      <c r="K8" s="198"/>
      <c r="L8" s="198"/>
      <c r="M8" s="198"/>
      <c r="N8" s="200"/>
      <c r="O8" s="200"/>
      <c r="P8" s="200"/>
      <c r="R8" s="70"/>
      <c r="S8" s="74"/>
    </row>
    <row r="9" spans="1:19 16383:16384" x14ac:dyDescent="0.35">
      <c r="A9" s="202"/>
      <c r="B9" s="202"/>
      <c r="C9" s="202"/>
      <c r="F9" s="70"/>
      <c r="G9" s="74"/>
      <c r="K9" s="198"/>
      <c r="L9" s="198"/>
      <c r="M9" s="198"/>
      <c r="N9" s="200"/>
      <c r="O9" s="200"/>
      <c r="P9" s="200"/>
      <c r="R9" s="70"/>
      <c r="S9" s="74"/>
      <c r="XFD9" t="s">
        <v>55</v>
      </c>
    </row>
    <row r="10" spans="1:19 16383:16384" x14ac:dyDescent="0.35">
      <c r="A10" s="203" t="s">
        <v>95</v>
      </c>
      <c r="B10" s="75" t="s">
        <v>106</v>
      </c>
      <c r="C10" s="75"/>
      <c r="F10" s="70"/>
      <c r="G10" s="71"/>
      <c r="K10" s="198" t="s">
        <v>56</v>
      </c>
      <c r="L10" s="198"/>
      <c r="M10" s="198"/>
      <c r="N10" s="197" t="s">
        <v>57</v>
      </c>
      <c r="O10" s="197"/>
      <c r="P10" s="197"/>
      <c r="R10" s="70"/>
      <c r="S10" s="71"/>
      <c r="XFD10" t="s">
        <v>58</v>
      </c>
    </row>
    <row r="11" spans="1:19 16383:16384" x14ac:dyDescent="0.35">
      <c r="A11" s="203"/>
      <c r="B11" s="76" t="s">
        <v>50</v>
      </c>
      <c r="C11" s="77" t="str">
        <f>IF($O34&gt;2.49%,"No","Yes")</f>
        <v>No</v>
      </c>
      <c r="F11" s="70"/>
      <c r="G11" s="71"/>
      <c r="K11" s="198" t="s">
        <v>59</v>
      </c>
      <c r="L11" s="198"/>
      <c r="M11" s="198"/>
      <c r="N11" s="197" t="s">
        <v>55</v>
      </c>
      <c r="O11" s="197"/>
      <c r="P11" s="197"/>
      <c r="R11" s="70"/>
      <c r="S11" s="71"/>
    </row>
    <row r="12" spans="1:19 16383:16384" ht="14.65" customHeight="1" x14ac:dyDescent="0.35">
      <c r="A12" s="203" t="s">
        <v>60</v>
      </c>
      <c r="B12" s="76" t="s">
        <v>54</v>
      </c>
      <c r="C12" s="77" t="str">
        <f>IF($O32&gt;21.99%,"No","Yes")</f>
        <v>No</v>
      </c>
      <c r="F12" s="70"/>
      <c r="G12" s="71"/>
      <c r="K12" s="198" t="s">
        <v>61</v>
      </c>
      <c r="L12" s="198"/>
      <c r="M12" s="198"/>
      <c r="N12" s="197"/>
      <c r="O12" s="197"/>
      <c r="P12" s="197"/>
      <c r="R12" s="70"/>
      <c r="S12" s="71"/>
      <c r="XFD12" t="s">
        <v>62</v>
      </c>
    </row>
    <row r="13" spans="1:19 16383:16384" ht="15" thickBot="1" x14ac:dyDescent="0.4">
      <c r="A13" s="240"/>
      <c r="B13" s="64">
        <v>3520255124113</v>
      </c>
      <c r="D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10"/>
      <c r="C14" s="204" t="s">
        <v>65</v>
      </c>
      <c r="D14" s="80" t="s">
        <v>2</v>
      </c>
      <c r="E14" s="81" t="s">
        <v>66</v>
      </c>
      <c r="F14" s="82" t="s">
        <v>67</v>
      </c>
      <c r="G14" s="244" t="s">
        <v>68</v>
      </c>
      <c r="H14" s="245"/>
      <c r="I14" s="246" t="s">
        <v>69</v>
      </c>
      <c r="J14" s="244" t="s">
        <v>70</v>
      </c>
      <c r="K14" s="248"/>
      <c r="L14" s="245"/>
      <c r="M14" s="24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11"/>
      <c r="C15" s="20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7"/>
      <c r="J15" s="88" t="s">
        <v>78</v>
      </c>
      <c r="K15" s="90" t="s">
        <v>79</v>
      </c>
      <c r="L15" s="91" t="s">
        <v>80</v>
      </c>
      <c r="M15" s="247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2" t="s">
        <v>84</v>
      </c>
      <c r="B25" s="223"/>
      <c r="C25" s="224"/>
      <c r="D25" s="218"/>
      <c r="E25" s="218"/>
      <c r="F25" s="24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5" t="s">
        <v>85</v>
      </c>
      <c r="C28" s="226"/>
      <c r="D28" s="226"/>
      <c r="E28" s="226"/>
      <c r="F28" s="226"/>
      <c r="G28" s="226"/>
      <c r="H28" s="226"/>
      <c r="I28" s="226"/>
      <c r="J28" s="226"/>
      <c r="K28" s="226"/>
      <c r="L28" s="227"/>
      <c r="N28" s="234" t="s">
        <v>86</v>
      </c>
      <c r="O28" s="235"/>
      <c r="P28" s="152">
        <f>I25</f>
        <v>0</v>
      </c>
    </row>
    <row r="29" spans="1:19 16384:16384" ht="15" customHeight="1" x14ac:dyDescent="0.35">
      <c r="B29" s="228"/>
      <c r="C29" s="229"/>
      <c r="D29" s="229"/>
      <c r="E29" s="229"/>
      <c r="F29" s="229"/>
      <c r="G29" s="229"/>
      <c r="H29" s="229"/>
      <c r="I29" s="229"/>
      <c r="J29" s="229"/>
      <c r="K29" s="229"/>
      <c r="L29" s="230"/>
      <c r="N29" s="236" t="s">
        <v>87</v>
      </c>
      <c r="O29" s="237"/>
      <c r="P29" s="153">
        <f>L25</f>
        <v>0</v>
      </c>
    </row>
    <row r="30" spans="1:19 16384:16384" ht="15" customHeight="1" x14ac:dyDescent="0.35">
      <c r="B30" s="228"/>
      <c r="C30" s="229"/>
      <c r="D30" s="229"/>
      <c r="E30" s="229"/>
      <c r="F30" s="229"/>
      <c r="G30" s="229"/>
      <c r="H30" s="229"/>
      <c r="I30" s="229"/>
      <c r="J30" s="229"/>
      <c r="K30" s="229"/>
      <c r="L30" s="230"/>
      <c r="N30" s="236" t="s">
        <v>4</v>
      </c>
      <c r="O30" s="237"/>
      <c r="P30" s="154">
        <f>K25</f>
        <v>0</v>
      </c>
    </row>
    <row r="31" spans="1:19 16384:16384" ht="15" customHeight="1" x14ac:dyDescent="0.35">
      <c r="B31" s="228"/>
      <c r="C31" s="229"/>
      <c r="D31" s="229"/>
      <c r="E31" s="229"/>
      <c r="F31" s="229"/>
      <c r="G31" s="229"/>
      <c r="H31" s="229"/>
      <c r="I31" s="229"/>
      <c r="J31" s="229"/>
      <c r="K31" s="229"/>
      <c r="L31" s="230"/>
      <c r="M31" s="2"/>
      <c r="N31" s="236" t="s">
        <v>88</v>
      </c>
      <c r="O31" s="237"/>
      <c r="P31" s="153">
        <f>P28-P29-P30</f>
        <v>0</v>
      </c>
    </row>
    <row r="32" spans="1:19 16384:16384" ht="15" customHeight="1" x14ac:dyDescent="0.35">
      <c r="B32" s="228"/>
      <c r="C32" s="229"/>
      <c r="D32" s="229"/>
      <c r="E32" s="229"/>
      <c r="F32" s="229"/>
      <c r="G32" s="229"/>
      <c r="H32" s="229"/>
      <c r="I32" s="229"/>
      <c r="J32" s="229"/>
      <c r="K32" s="229"/>
      <c r="L32" s="230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8"/>
      <c r="C33" s="229"/>
      <c r="D33" s="229"/>
      <c r="E33" s="229"/>
      <c r="F33" s="229"/>
      <c r="G33" s="229"/>
      <c r="H33" s="229"/>
      <c r="I33" s="229"/>
      <c r="J33" s="229"/>
      <c r="K33" s="229"/>
      <c r="L33" s="230"/>
      <c r="M33" s="2"/>
      <c r="N33" s="238" t="s">
        <v>90</v>
      </c>
      <c r="O33" s="239"/>
      <c r="P33" s="153">
        <f>P31+P32</f>
        <v>0</v>
      </c>
    </row>
    <row r="34" spans="2:16" ht="15" customHeight="1" thickBot="1" x14ac:dyDescent="0.4">
      <c r="B34" s="231"/>
      <c r="C34" s="232"/>
      <c r="D34" s="232"/>
      <c r="E34" s="232"/>
      <c r="F34" s="232"/>
      <c r="G34" s="232"/>
      <c r="H34" s="232"/>
      <c r="I34" s="232"/>
      <c r="J34" s="232"/>
      <c r="K34" s="232"/>
      <c r="L34" s="233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6" t="s">
        <v>92</v>
      </c>
      <c r="O35" s="217"/>
      <c r="P35" s="160">
        <f>P33+P34</f>
        <v>0</v>
      </c>
    </row>
    <row r="36" spans="2:16" ht="15" thickBot="1" x14ac:dyDescent="0.4">
      <c r="B36" s="161" t="s">
        <v>93</v>
      </c>
      <c r="C36" s="218"/>
      <c r="D36" s="218"/>
      <c r="E36" s="218"/>
      <c r="F36" s="218"/>
      <c r="G36" s="218"/>
      <c r="H36" s="218"/>
      <c r="I36" s="219"/>
      <c r="J36" s="220"/>
      <c r="K36" s="221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16.4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6" t="s">
        <v>45</v>
      </c>
      <c r="B2" s="196"/>
      <c r="C2" s="196"/>
    </row>
    <row r="3" spans="1:19 16383:16384" ht="15" customHeight="1" x14ac:dyDescent="0.35">
      <c r="A3" s="197" t="s">
        <v>46</v>
      </c>
      <c r="B3" s="197"/>
      <c r="C3" s="197"/>
      <c r="F3" s="70"/>
      <c r="G3" s="71"/>
      <c r="K3" s="198" t="s">
        <v>47</v>
      </c>
      <c r="L3" s="198"/>
      <c r="M3" s="198"/>
      <c r="N3" s="197">
        <v>9</v>
      </c>
      <c r="O3" s="197"/>
      <c r="P3" s="19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7" t="s">
        <v>94</v>
      </c>
      <c r="B4" s="197"/>
      <c r="C4" s="197"/>
      <c r="F4" s="70"/>
      <c r="G4" s="71"/>
      <c r="K4" s="198" t="s">
        <v>49</v>
      </c>
      <c r="L4" s="198"/>
      <c r="M4" s="198"/>
      <c r="N4" s="199">
        <f ca="1">TODAY()</f>
        <v>46196</v>
      </c>
      <c r="O4" s="199"/>
      <c r="P4" s="199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3" t="s">
        <v>104</v>
      </c>
      <c r="B5" s="243"/>
      <c r="C5" s="243"/>
      <c r="F5" s="70"/>
      <c r="G5" s="71"/>
      <c r="K5" s="198" t="s">
        <v>51</v>
      </c>
      <c r="L5" s="198"/>
      <c r="M5" s="198"/>
      <c r="N5" s="199">
        <f ca="1">N4-1</f>
        <v>46195</v>
      </c>
      <c r="O5" s="197"/>
      <c r="P5" s="197"/>
      <c r="R5" s="70"/>
      <c r="S5" s="71"/>
    </row>
    <row r="6" spans="1:19 16383:16384" ht="15" customHeight="1" x14ac:dyDescent="0.35">
      <c r="A6" s="198" t="s">
        <v>105</v>
      </c>
      <c r="B6" s="198"/>
      <c r="C6" s="198"/>
      <c r="F6" s="70"/>
      <c r="G6" s="74"/>
      <c r="K6" s="198" t="s">
        <v>52</v>
      </c>
      <c r="L6" s="198"/>
      <c r="M6" s="198"/>
      <c r="N6" s="200" t="s">
        <v>44</v>
      </c>
      <c r="O6" s="200"/>
      <c r="P6" s="200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198"/>
      <c r="B7" s="198"/>
      <c r="C7" s="198"/>
      <c r="F7" s="70"/>
      <c r="G7" s="74"/>
      <c r="K7" s="198"/>
      <c r="L7" s="198"/>
      <c r="M7" s="198"/>
      <c r="N7" s="200"/>
      <c r="O7" s="200"/>
      <c r="P7" s="200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2"/>
      <c r="B8" s="202"/>
      <c r="C8" s="202"/>
      <c r="F8" s="70"/>
      <c r="G8" s="74"/>
      <c r="K8" s="198"/>
      <c r="L8" s="198"/>
      <c r="M8" s="198"/>
      <c r="N8" s="200"/>
      <c r="O8" s="200"/>
      <c r="P8" s="200"/>
      <c r="R8" s="70"/>
      <c r="S8" s="74"/>
    </row>
    <row r="9" spans="1:19 16383:16384" x14ac:dyDescent="0.35">
      <c r="A9" s="202"/>
      <c r="B9" s="202"/>
      <c r="C9" s="202"/>
      <c r="F9" s="70"/>
      <c r="G9" s="74"/>
      <c r="K9" s="198"/>
      <c r="L9" s="198"/>
      <c r="M9" s="198"/>
      <c r="N9" s="200"/>
      <c r="O9" s="200"/>
      <c r="P9" s="200"/>
      <c r="R9" s="70"/>
      <c r="S9" s="74"/>
      <c r="XFD9" t="s">
        <v>55</v>
      </c>
    </row>
    <row r="10" spans="1:19 16383:16384" x14ac:dyDescent="0.35">
      <c r="A10" s="203" t="s">
        <v>95</v>
      </c>
      <c r="B10" s="167" t="s">
        <v>106</v>
      </c>
      <c r="C10" s="75"/>
      <c r="F10" s="70"/>
      <c r="G10" s="71"/>
      <c r="K10" s="198" t="s">
        <v>56</v>
      </c>
      <c r="L10" s="198"/>
      <c r="M10" s="198"/>
      <c r="N10" s="197" t="s">
        <v>57</v>
      </c>
      <c r="O10" s="197"/>
      <c r="P10" s="197"/>
      <c r="R10" s="70"/>
      <c r="S10" s="71"/>
      <c r="XFD10" t="s">
        <v>58</v>
      </c>
    </row>
    <row r="11" spans="1:19 16383:16384" x14ac:dyDescent="0.35">
      <c r="A11" s="203"/>
      <c r="B11" s="76" t="s">
        <v>50</v>
      </c>
      <c r="C11" s="77" t="str">
        <f>IF($O34&gt;2.49%,"No","Yes")</f>
        <v>No</v>
      </c>
      <c r="F11" s="70"/>
      <c r="G11" s="71"/>
      <c r="K11" s="198" t="s">
        <v>59</v>
      </c>
      <c r="L11" s="198"/>
      <c r="M11" s="198"/>
      <c r="N11" s="197" t="s">
        <v>55</v>
      </c>
      <c r="O11" s="197"/>
      <c r="P11" s="197"/>
      <c r="R11" s="70"/>
      <c r="S11" s="71"/>
    </row>
    <row r="12" spans="1:19 16383:16384" ht="14.65" customHeight="1" x14ac:dyDescent="0.35">
      <c r="A12" s="203" t="s">
        <v>60</v>
      </c>
      <c r="B12" s="76" t="s">
        <v>54</v>
      </c>
      <c r="C12" s="77" t="str">
        <f>IF($O32&gt;21.99%,"No","Yes")</f>
        <v>No</v>
      </c>
      <c r="F12" s="70"/>
      <c r="G12" s="71"/>
      <c r="K12" s="198" t="s">
        <v>61</v>
      </c>
      <c r="L12" s="198"/>
      <c r="M12" s="198"/>
      <c r="N12" s="197"/>
      <c r="O12" s="197"/>
      <c r="P12" s="197"/>
      <c r="R12" s="70"/>
      <c r="S12" s="71"/>
      <c r="XFD12" t="s">
        <v>62</v>
      </c>
    </row>
    <row r="13" spans="1:19 16383:16384" ht="15" thickBot="1" x14ac:dyDescent="0.4">
      <c r="A13" s="240"/>
      <c r="B13" s="64">
        <v>3520255124113</v>
      </c>
      <c r="D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10"/>
      <c r="C14" s="204" t="s">
        <v>65</v>
      </c>
      <c r="D14" s="80" t="s">
        <v>2</v>
      </c>
      <c r="E14" s="81" t="s">
        <v>66</v>
      </c>
      <c r="F14" s="82" t="s">
        <v>67</v>
      </c>
      <c r="G14" s="244" t="s">
        <v>68</v>
      </c>
      <c r="H14" s="245"/>
      <c r="I14" s="246" t="s">
        <v>69</v>
      </c>
      <c r="J14" s="244" t="s">
        <v>70</v>
      </c>
      <c r="K14" s="248"/>
      <c r="L14" s="245"/>
      <c r="M14" s="24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11"/>
      <c r="C15" s="20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7"/>
      <c r="J15" s="88" t="s">
        <v>78</v>
      </c>
      <c r="K15" s="90" t="s">
        <v>79</v>
      </c>
      <c r="L15" s="91" t="s">
        <v>80</v>
      </c>
      <c r="M15" s="247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2" t="s">
        <v>84</v>
      </c>
      <c r="B25" s="223"/>
      <c r="C25" s="224"/>
      <c r="D25" s="218"/>
      <c r="E25" s="218"/>
      <c r="F25" s="24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5" t="s">
        <v>85</v>
      </c>
      <c r="C28" s="226"/>
      <c r="D28" s="226"/>
      <c r="E28" s="226"/>
      <c r="F28" s="226"/>
      <c r="G28" s="226"/>
      <c r="H28" s="226"/>
      <c r="I28" s="226"/>
      <c r="J28" s="226"/>
      <c r="K28" s="226"/>
      <c r="L28" s="227"/>
      <c r="N28" s="234" t="s">
        <v>86</v>
      </c>
      <c r="O28" s="235"/>
      <c r="P28" s="152">
        <f>I25</f>
        <v>0</v>
      </c>
    </row>
    <row r="29" spans="1:19 16384:16384" ht="15" customHeight="1" x14ac:dyDescent="0.35">
      <c r="B29" s="228"/>
      <c r="C29" s="229"/>
      <c r="D29" s="229"/>
      <c r="E29" s="229"/>
      <c r="F29" s="229"/>
      <c r="G29" s="229"/>
      <c r="H29" s="229"/>
      <c r="I29" s="229"/>
      <c r="J29" s="229"/>
      <c r="K29" s="229"/>
      <c r="L29" s="230"/>
      <c r="N29" s="236" t="s">
        <v>87</v>
      </c>
      <c r="O29" s="237"/>
      <c r="P29" s="153">
        <f>L25</f>
        <v>0</v>
      </c>
    </row>
    <row r="30" spans="1:19 16384:16384" ht="15" customHeight="1" x14ac:dyDescent="0.35">
      <c r="B30" s="228"/>
      <c r="C30" s="229"/>
      <c r="D30" s="229"/>
      <c r="E30" s="229"/>
      <c r="F30" s="229"/>
      <c r="G30" s="229"/>
      <c r="H30" s="229"/>
      <c r="I30" s="229"/>
      <c r="J30" s="229"/>
      <c r="K30" s="229"/>
      <c r="L30" s="230"/>
      <c r="N30" s="236" t="s">
        <v>4</v>
      </c>
      <c r="O30" s="237"/>
      <c r="P30" s="154">
        <f>K25</f>
        <v>0</v>
      </c>
    </row>
    <row r="31" spans="1:19 16384:16384" ht="15" customHeight="1" x14ac:dyDescent="0.35">
      <c r="B31" s="228"/>
      <c r="C31" s="229"/>
      <c r="D31" s="229"/>
      <c r="E31" s="229"/>
      <c r="F31" s="229"/>
      <c r="G31" s="229"/>
      <c r="H31" s="229"/>
      <c r="I31" s="229"/>
      <c r="J31" s="229"/>
      <c r="K31" s="229"/>
      <c r="L31" s="230"/>
      <c r="M31" s="2"/>
      <c r="N31" s="236" t="s">
        <v>88</v>
      </c>
      <c r="O31" s="237"/>
      <c r="P31" s="153">
        <f>P28-P29-P30</f>
        <v>0</v>
      </c>
    </row>
    <row r="32" spans="1:19 16384:16384" ht="15" customHeight="1" x14ac:dyDescent="0.35">
      <c r="B32" s="228"/>
      <c r="C32" s="229"/>
      <c r="D32" s="229"/>
      <c r="E32" s="229"/>
      <c r="F32" s="229"/>
      <c r="G32" s="229"/>
      <c r="H32" s="229"/>
      <c r="I32" s="229"/>
      <c r="J32" s="229"/>
      <c r="K32" s="229"/>
      <c r="L32" s="230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8"/>
      <c r="C33" s="229"/>
      <c r="D33" s="229"/>
      <c r="E33" s="229"/>
      <c r="F33" s="229"/>
      <c r="G33" s="229"/>
      <c r="H33" s="229"/>
      <c r="I33" s="229"/>
      <c r="J33" s="229"/>
      <c r="K33" s="229"/>
      <c r="L33" s="230"/>
      <c r="M33" s="2"/>
      <c r="N33" s="238" t="s">
        <v>90</v>
      </c>
      <c r="O33" s="239"/>
      <c r="P33" s="153">
        <f>P31+P32</f>
        <v>0</v>
      </c>
    </row>
    <row r="34" spans="2:16" ht="15" customHeight="1" thickBot="1" x14ac:dyDescent="0.4">
      <c r="B34" s="231"/>
      <c r="C34" s="232"/>
      <c r="D34" s="232"/>
      <c r="E34" s="232"/>
      <c r="F34" s="232"/>
      <c r="G34" s="232"/>
      <c r="H34" s="232"/>
      <c r="I34" s="232"/>
      <c r="J34" s="232"/>
      <c r="K34" s="232"/>
      <c r="L34" s="233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6" t="s">
        <v>92</v>
      </c>
      <c r="O35" s="217"/>
      <c r="P35" s="160">
        <f>P33+P34</f>
        <v>0</v>
      </c>
    </row>
    <row r="36" spans="2:16" ht="15" thickBot="1" x14ac:dyDescent="0.4">
      <c r="B36" s="161" t="s">
        <v>93</v>
      </c>
      <c r="C36" s="218"/>
      <c r="D36" s="218"/>
      <c r="E36" s="218"/>
      <c r="F36" s="218"/>
      <c r="G36" s="218"/>
      <c r="H36" s="218"/>
      <c r="I36" s="219"/>
      <c r="J36" s="220"/>
      <c r="K36" s="221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16.4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6" t="s">
        <v>45</v>
      </c>
      <c r="B2" s="196"/>
      <c r="C2" s="196"/>
    </row>
    <row r="3" spans="1:19 16383:16384" ht="15" customHeight="1" x14ac:dyDescent="0.35">
      <c r="A3" s="197" t="s">
        <v>46</v>
      </c>
      <c r="B3" s="197"/>
      <c r="C3" s="197"/>
      <c r="F3" s="70"/>
      <c r="G3" s="71"/>
      <c r="K3" s="198" t="s">
        <v>47</v>
      </c>
      <c r="L3" s="198"/>
      <c r="M3" s="198"/>
      <c r="N3" s="197">
        <v>10</v>
      </c>
      <c r="O3" s="197"/>
      <c r="P3" s="19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7" t="s">
        <v>94</v>
      </c>
      <c r="B4" s="197"/>
      <c r="C4" s="197"/>
      <c r="F4" s="70"/>
      <c r="G4" s="71"/>
      <c r="K4" s="198" t="s">
        <v>49</v>
      </c>
      <c r="L4" s="198"/>
      <c r="M4" s="198"/>
      <c r="N4" s="199">
        <f ca="1">TODAY()</f>
        <v>46196</v>
      </c>
      <c r="O4" s="199"/>
      <c r="P4" s="199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3" t="s">
        <v>104</v>
      </c>
      <c r="B5" s="243"/>
      <c r="C5" s="243"/>
      <c r="F5" s="70"/>
      <c r="G5" s="71"/>
      <c r="K5" s="198" t="s">
        <v>51</v>
      </c>
      <c r="L5" s="198"/>
      <c r="M5" s="198"/>
      <c r="N5" s="199">
        <f ca="1">N4-1</f>
        <v>46195</v>
      </c>
      <c r="O5" s="197"/>
      <c r="P5" s="197"/>
      <c r="R5" s="70"/>
      <c r="S5" s="71"/>
    </row>
    <row r="6" spans="1:19 16383:16384" ht="15" customHeight="1" x14ac:dyDescent="0.35">
      <c r="A6" s="198" t="s">
        <v>105</v>
      </c>
      <c r="B6" s="198"/>
      <c r="C6" s="198"/>
      <c r="F6" s="70"/>
      <c r="G6" s="74"/>
      <c r="K6" s="198" t="s">
        <v>52</v>
      </c>
      <c r="L6" s="198"/>
      <c r="M6" s="198"/>
      <c r="N6" s="200" t="s">
        <v>44</v>
      </c>
      <c r="O6" s="200"/>
      <c r="P6" s="200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198"/>
      <c r="B7" s="198"/>
      <c r="C7" s="198"/>
      <c r="F7" s="70"/>
      <c r="G7" s="74"/>
      <c r="K7" s="198"/>
      <c r="L7" s="198"/>
      <c r="M7" s="198"/>
      <c r="N7" s="200"/>
      <c r="O7" s="200"/>
      <c r="P7" s="200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2"/>
      <c r="B8" s="202"/>
      <c r="C8" s="202"/>
      <c r="F8" s="70"/>
      <c r="G8" s="74"/>
      <c r="K8" s="198"/>
      <c r="L8" s="198"/>
      <c r="M8" s="198"/>
      <c r="N8" s="200"/>
      <c r="O8" s="200"/>
      <c r="P8" s="200"/>
      <c r="R8" s="70"/>
      <c r="S8" s="74"/>
    </row>
    <row r="9" spans="1:19 16383:16384" x14ac:dyDescent="0.35">
      <c r="A9" s="202"/>
      <c r="B9" s="202"/>
      <c r="C9" s="202"/>
      <c r="F9" s="70"/>
      <c r="G9" s="74"/>
      <c r="K9" s="198"/>
      <c r="L9" s="198"/>
      <c r="M9" s="198"/>
      <c r="N9" s="200"/>
      <c r="O9" s="200"/>
      <c r="P9" s="200"/>
      <c r="R9" s="70"/>
      <c r="S9" s="74"/>
      <c r="XFD9" t="s">
        <v>55</v>
      </c>
    </row>
    <row r="10" spans="1:19 16383:16384" x14ac:dyDescent="0.35">
      <c r="A10" s="203" t="s">
        <v>95</v>
      </c>
      <c r="B10" s="75" t="s">
        <v>106</v>
      </c>
      <c r="C10" s="75"/>
      <c r="F10" s="70"/>
      <c r="G10" s="71"/>
      <c r="K10" s="198" t="s">
        <v>56</v>
      </c>
      <c r="L10" s="198"/>
      <c r="M10" s="198"/>
      <c r="N10" s="197" t="s">
        <v>57</v>
      </c>
      <c r="O10" s="197"/>
      <c r="P10" s="197"/>
      <c r="R10" s="70"/>
      <c r="S10" s="71"/>
      <c r="XFD10" t="s">
        <v>58</v>
      </c>
    </row>
    <row r="11" spans="1:19 16383:16384" x14ac:dyDescent="0.35">
      <c r="A11" s="203"/>
      <c r="B11" s="76" t="s">
        <v>48</v>
      </c>
      <c r="C11" s="77" t="str">
        <f>IF($O34&gt;2.49%,"No","Yes")</f>
        <v>Yes</v>
      </c>
      <c r="F11" s="70"/>
      <c r="G11" s="71"/>
      <c r="K11" s="198" t="s">
        <v>59</v>
      </c>
      <c r="L11" s="198"/>
      <c r="M11" s="198"/>
      <c r="N11" s="197" t="s">
        <v>55</v>
      </c>
      <c r="O11" s="197"/>
      <c r="P11" s="197"/>
      <c r="R11" s="70"/>
      <c r="S11" s="71"/>
    </row>
    <row r="12" spans="1:19 16383:16384" ht="14.65" customHeight="1" x14ac:dyDescent="0.35">
      <c r="A12" s="203" t="s">
        <v>60</v>
      </c>
      <c r="B12" s="76" t="s">
        <v>53</v>
      </c>
      <c r="C12" s="77" t="str">
        <f>IF($O32&gt;21.99%,"No","Yes")</f>
        <v>Yes</v>
      </c>
      <c r="F12" s="70"/>
      <c r="G12" s="71"/>
      <c r="K12" s="198" t="s">
        <v>61</v>
      </c>
      <c r="L12" s="198"/>
      <c r="M12" s="198"/>
      <c r="N12" s="197"/>
      <c r="O12" s="197"/>
      <c r="P12" s="197"/>
      <c r="R12" s="70"/>
      <c r="S12" s="71"/>
      <c r="XFD12" t="s">
        <v>62</v>
      </c>
    </row>
    <row r="13" spans="1:19 16383:16384" ht="15" thickBot="1" x14ac:dyDescent="0.4">
      <c r="A13" s="240"/>
      <c r="B13" s="64">
        <v>3520255124113</v>
      </c>
      <c r="D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10"/>
      <c r="C14" s="204" t="s">
        <v>65</v>
      </c>
      <c r="D14" s="80" t="s">
        <v>2</v>
      </c>
      <c r="E14" s="81" t="s">
        <v>66</v>
      </c>
      <c r="F14" s="82" t="s">
        <v>67</v>
      </c>
      <c r="G14" s="244" t="s">
        <v>68</v>
      </c>
      <c r="H14" s="245"/>
      <c r="I14" s="246" t="s">
        <v>69</v>
      </c>
      <c r="J14" s="244" t="s">
        <v>70</v>
      </c>
      <c r="K14" s="248"/>
      <c r="L14" s="245"/>
      <c r="M14" s="24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11"/>
      <c r="C15" s="20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7"/>
      <c r="J15" s="88" t="s">
        <v>78</v>
      </c>
      <c r="K15" s="90" t="s">
        <v>79</v>
      </c>
      <c r="L15" s="91" t="s">
        <v>80</v>
      </c>
      <c r="M15" s="247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2" t="s">
        <v>84</v>
      </c>
      <c r="B25" s="223"/>
      <c r="C25" s="224"/>
      <c r="D25" s="218"/>
      <c r="E25" s="218"/>
      <c r="F25" s="24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5" t="s">
        <v>85</v>
      </c>
      <c r="C28" s="226"/>
      <c r="D28" s="226"/>
      <c r="E28" s="226"/>
      <c r="F28" s="226"/>
      <c r="G28" s="226"/>
      <c r="H28" s="226"/>
      <c r="I28" s="226"/>
      <c r="J28" s="226"/>
      <c r="K28" s="226"/>
      <c r="L28" s="227"/>
      <c r="N28" s="234" t="s">
        <v>86</v>
      </c>
      <c r="O28" s="235"/>
      <c r="P28" s="152">
        <f>I25</f>
        <v>0</v>
      </c>
    </row>
    <row r="29" spans="1:19 16384:16384" ht="15" customHeight="1" x14ac:dyDescent="0.35">
      <c r="B29" s="228"/>
      <c r="C29" s="229"/>
      <c r="D29" s="229"/>
      <c r="E29" s="229"/>
      <c r="F29" s="229"/>
      <c r="G29" s="229"/>
      <c r="H29" s="229"/>
      <c r="I29" s="229"/>
      <c r="J29" s="229"/>
      <c r="K29" s="229"/>
      <c r="L29" s="230"/>
      <c r="N29" s="236" t="s">
        <v>87</v>
      </c>
      <c r="O29" s="237"/>
      <c r="P29" s="153">
        <f>L25</f>
        <v>0</v>
      </c>
    </row>
    <row r="30" spans="1:19 16384:16384" ht="15" customHeight="1" x14ac:dyDescent="0.35">
      <c r="B30" s="228"/>
      <c r="C30" s="229"/>
      <c r="D30" s="229"/>
      <c r="E30" s="229"/>
      <c r="F30" s="229"/>
      <c r="G30" s="229"/>
      <c r="H30" s="229"/>
      <c r="I30" s="229"/>
      <c r="J30" s="229"/>
      <c r="K30" s="229"/>
      <c r="L30" s="230"/>
      <c r="N30" s="236" t="s">
        <v>4</v>
      </c>
      <c r="O30" s="237"/>
      <c r="P30" s="154">
        <f>K25</f>
        <v>0</v>
      </c>
    </row>
    <row r="31" spans="1:19 16384:16384" ht="15" customHeight="1" x14ac:dyDescent="0.35">
      <c r="B31" s="228"/>
      <c r="C31" s="229"/>
      <c r="D31" s="229"/>
      <c r="E31" s="229"/>
      <c r="F31" s="229"/>
      <c r="G31" s="229"/>
      <c r="H31" s="229"/>
      <c r="I31" s="229"/>
      <c r="J31" s="229"/>
      <c r="K31" s="229"/>
      <c r="L31" s="230"/>
      <c r="M31" s="2"/>
      <c r="N31" s="236" t="s">
        <v>88</v>
      </c>
      <c r="O31" s="237"/>
      <c r="P31" s="153">
        <f>P28-P29-P30</f>
        <v>0</v>
      </c>
    </row>
    <row r="32" spans="1:19 16384:16384" ht="15" customHeight="1" x14ac:dyDescent="0.35">
      <c r="B32" s="228"/>
      <c r="C32" s="229"/>
      <c r="D32" s="229"/>
      <c r="E32" s="229"/>
      <c r="F32" s="229"/>
      <c r="G32" s="229"/>
      <c r="H32" s="229"/>
      <c r="I32" s="229"/>
      <c r="J32" s="229"/>
      <c r="K32" s="229"/>
      <c r="L32" s="230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28"/>
      <c r="C33" s="229"/>
      <c r="D33" s="229"/>
      <c r="E33" s="229"/>
      <c r="F33" s="229"/>
      <c r="G33" s="229"/>
      <c r="H33" s="229"/>
      <c r="I33" s="229"/>
      <c r="J33" s="229"/>
      <c r="K33" s="229"/>
      <c r="L33" s="230"/>
      <c r="M33" s="2"/>
      <c r="N33" s="238" t="s">
        <v>90</v>
      </c>
      <c r="O33" s="239"/>
      <c r="P33" s="153">
        <f>P31+P32</f>
        <v>0</v>
      </c>
    </row>
    <row r="34" spans="2:16" ht="15" customHeight="1" thickBot="1" x14ac:dyDescent="0.4">
      <c r="B34" s="231"/>
      <c r="C34" s="232"/>
      <c r="D34" s="232"/>
      <c r="E34" s="232"/>
      <c r="F34" s="232"/>
      <c r="G34" s="232"/>
      <c r="H34" s="232"/>
      <c r="I34" s="232"/>
      <c r="J34" s="232"/>
      <c r="K34" s="232"/>
      <c r="L34" s="233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6" t="s">
        <v>92</v>
      </c>
      <c r="O35" s="217"/>
      <c r="P35" s="160">
        <f>P33+P34</f>
        <v>0</v>
      </c>
    </row>
    <row r="36" spans="2:16" ht="15" thickBot="1" x14ac:dyDescent="0.4">
      <c r="B36" s="161" t="s">
        <v>93</v>
      </c>
      <c r="C36" s="218"/>
      <c r="D36" s="218"/>
      <c r="E36" s="218"/>
      <c r="F36" s="218"/>
      <c r="G36" s="218"/>
      <c r="H36" s="218"/>
      <c r="I36" s="219"/>
      <c r="J36" s="220"/>
      <c r="K36" s="221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16.4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6" t="s">
        <v>45</v>
      </c>
      <c r="B2" s="196"/>
      <c r="C2" s="196"/>
    </row>
    <row r="3" spans="1:19 16383:16384" ht="15" customHeight="1" x14ac:dyDescent="0.35">
      <c r="A3" s="197" t="s">
        <v>46</v>
      </c>
      <c r="B3" s="197"/>
      <c r="C3" s="197"/>
      <c r="F3" s="70"/>
      <c r="G3" s="71"/>
      <c r="K3" s="198" t="s">
        <v>47</v>
      </c>
      <c r="L3" s="198"/>
      <c r="M3" s="198"/>
      <c r="N3" s="197">
        <v>10</v>
      </c>
      <c r="O3" s="197"/>
      <c r="P3" s="19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7" t="s">
        <v>94</v>
      </c>
      <c r="B4" s="197"/>
      <c r="C4" s="197"/>
      <c r="F4" s="70"/>
      <c r="G4" s="71"/>
      <c r="K4" s="198" t="s">
        <v>49</v>
      </c>
      <c r="L4" s="198"/>
      <c r="M4" s="198"/>
      <c r="N4" s="199">
        <f ca="1">TODAY()</f>
        <v>46196</v>
      </c>
      <c r="O4" s="199"/>
      <c r="P4" s="199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3" t="s">
        <v>104</v>
      </c>
      <c r="B5" s="243"/>
      <c r="C5" s="243"/>
      <c r="F5" s="70"/>
      <c r="G5" s="71"/>
      <c r="K5" s="198" t="s">
        <v>51</v>
      </c>
      <c r="L5" s="198"/>
      <c r="M5" s="198"/>
      <c r="N5" s="199">
        <f ca="1">N4-1</f>
        <v>46195</v>
      </c>
      <c r="O5" s="197"/>
      <c r="P5" s="197"/>
      <c r="R5" s="70"/>
      <c r="S5" s="71"/>
    </row>
    <row r="6" spans="1:19 16383:16384" ht="15" customHeight="1" x14ac:dyDescent="0.35">
      <c r="A6" s="198" t="s">
        <v>105</v>
      </c>
      <c r="B6" s="198"/>
      <c r="C6" s="198"/>
      <c r="F6" s="70"/>
      <c r="G6" s="74"/>
      <c r="K6" s="198" t="s">
        <v>52</v>
      </c>
      <c r="L6" s="198"/>
      <c r="M6" s="198"/>
      <c r="N6" s="200" t="s">
        <v>97</v>
      </c>
      <c r="O6" s="200"/>
      <c r="P6" s="200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198"/>
      <c r="B7" s="198"/>
      <c r="C7" s="198"/>
      <c r="F7" s="70"/>
      <c r="G7" s="74"/>
      <c r="K7" s="198"/>
      <c r="L7" s="198"/>
      <c r="M7" s="198"/>
      <c r="N7" s="200"/>
      <c r="O7" s="200"/>
      <c r="P7" s="200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2"/>
      <c r="B8" s="202"/>
      <c r="C8" s="202"/>
      <c r="F8" s="70"/>
      <c r="G8" s="74"/>
      <c r="K8" s="198"/>
      <c r="L8" s="198"/>
      <c r="M8" s="198"/>
      <c r="N8" s="200"/>
      <c r="O8" s="200"/>
      <c r="P8" s="200"/>
      <c r="R8" s="70"/>
      <c r="S8" s="74"/>
    </row>
    <row r="9" spans="1:19 16383:16384" x14ac:dyDescent="0.35">
      <c r="A9" s="202"/>
      <c r="B9" s="202"/>
      <c r="C9" s="202"/>
      <c r="F9" s="70"/>
      <c r="G9" s="74"/>
      <c r="K9" s="198"/>
      <c r="L9" s="198"/>
      <c r="M9" s="198"/>
      <c r="N9" s="200"/>
      <c r="O9" s="200"/>
      <c r="P9" s="200"/>
      <c r="R9" s="70"/>
      <c r="S9" s="74"/>
      <c r="XFD9" t="s">
        <v>55</v>
      </c>
    </row>
    <row r="10" spans="1:19 16383:16384" x14ac:dyDescent="0.35">
      <c r="A10" s="203" t="s">
        <v>95</v>
      </c>
      <c r="B10" s="75" t="s">
        <v>106</v>
      </c>
      <c r="C10" s="75"/>
      <c r="F10" s="70"/>
      <c r="G10" s="71"/>
      <c r="K10" s="198" t="s">
        <v>56</v>
      </c>
      <c r="L10" s="198"/>
      <c r="M10" s="198"/>
      <c r="N10" s="197" t="s">
        <v>57</v>
      </c>
      <c r="O10" s="197"/>
      <c r="P10" s="197"/>
      <c r="R10" s="70"/>
      <c r="S10" s="71"/>
      <c r="XFD10" t="s">
        <v>58</v>
      </c>
    </row>
    <row r="11" spans="1:19 16383:16384" x14ac:dyDescent="0.35">
      <c r="A11" s="203"/>
      <c r="B11" s="76" t="s">
        <v>50</v>
      </c>
      <c r="C11" s="77" t="str">
        <f>IF($O34&gt;2.49%,"No","Yes")</f>
        <v>No</v>
      </c>
      <c r="F11" s="70"/>
      <c r="G11" s="71"/>
      <c r="K11" s="198" t="s">
        <v>59</v>
      </c>
      <c r="L11" s="198"/>
      <c r="M11" s="198"/>
      <c r="N11" s="197" t="s">
        <v>55</v>
      </c>
      <c r="O11" s="197"/>
      <c r="P11" s="197"/>
      <c r="R11" s="70"/>
      <c r="S11" s="71"/>
    </row>
    <row r="12" spans="1:19 16383:16384" ht="14.65" customHeight="1" x14ac:dyDescent="0.35">
      <c r="A12" s="203" t="s">
        <v>60</v>
      </c>
      <c r="B12" s="76" t="s">
        <v>54</v>
      </c>
      <c r="C12" s="77" t="str">
        <f>IF($O32&gt;21.99%,"No","Yes")</f>
        <v>No</v>
      </c>
      <c r="F12" s="70"/>
      <c r="G12" s="71"/>
      <c r="K12" s="198" t="s">
        <v>61</v>
      </c>
      <c r="L12" s="198"/>
      <c r="M12" s="198"/>
      <c r="N12" s="197"/>
      <c r="O12" s="197"/>
      <c r="P12" s="197"/>
      <c r="R12" s="70"/>
      <c r="S12" s="71"/>
      <c r="XFD12" t="s">
        <v>62</v>
      </c>
    </row>
    <row r="13" spans="1:19 16383:16384" ht="15" thickBot="1" x14ac:dyDescent="0.4">
      <c r="A13" s="240"/>
      <c r="B13" s="64">
        <v>3520255124113</v>
      </c>
      <c r="D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10"/>
      <c r="C14" s="204" t="s">
        <v>65</v>
      </c>
      <c r="D14" s="80" t="s">
        <v>2</v>
      </c>
      <c r="E14" s="81" t="s">
        <v>66</v>
      </c>
      <c r="F14" s="82" t="s">
        <v>67</v>
      </c>
      <c r="G14" s="244" t="s">
        <v>68</v>
      </c>
      <c r="H14" s="245"/>
      <c r="I14" s="246" t="s">
        <v>69</v>
      </c>
      <c r="J14" s="244" t="s">
        <v>70</v>
      </c>
      <c r="K14" s="248"/>
      <c r="L14" s="245"/>
      <c r="M14" s="24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11"/>
      <c r="C15" s="20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7"/>
      <c r="J15" s="88" t="s">
        <v>78</v>
      </c>
      <c r="K15" s="90" t="s">
        <v>79</v>
      </c>
      <c r="L15" s="91" t="s">
        <v>80</v>
      </c>
      <c r="M15" s="247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2" t="s">
        <v>84</v>
      </c>
      <c r="B25" s="223"/>
      <c r="C25" s="224"/>
      <c r="D25" s="218"/>
      <c r="E25" s="218"/>
      <c r="F25" s="24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5" t="s">
        <v>85</v>
      </c>
      <c r="C28" s="226"/>
      <c r="D28" s="226"/>
      <c r="E28" s="226"/>
      <c r="F28" s="226"/>
      <c r="G28" s="226"/>
      <c r="H28" s="226"/>
      <c r="I28" s="226"/>
      <c r="J28" s="226"/>
      <c r="K28" s="226"/>
      <c r="L28" s="227"/>
      <c r="N28" s="234" t="s">
        <v>86</v>
      </c>
      <c r="O28" s="235"/>
      <c r="P28" s="152">
        <f>I25</f>
        <v>0</v>
      </c>
    </row>
    <row r="29" spans="1:19 16384:16384" ht="15" customHeight="1" x14ac:dyDescent="0.35">
      <c r="B29" s="228"/>
      <c r="C29" s="229"/>
      <c r="D29" s="229"/>
      <c r="E29" s="229"/>
      <c r="F29" s="229"/>
      <c r="G29" s="229"/>
      <c r="H29" s="229"/>
      <c r="I29" s="229"/>
      <c r="J29" s="229"/>
      <c r="K29" s="229"/>
      <c r="L29" s="230"/>
      <c r="N29" s="236" t="s">
        <v>87</v>
      </c>
      <c r="O29" s="237"/>
      <c r="P29" s="153">
        <f>L25</f>
        <v>0</v>
      </c>
    </row>
    <row r="30" spans="1:19 16384:16384" ht="15" customHeight="1" x14ac:dyDescent="0.35">
      <c r="B30" s="228"/>
      <c r="C30" s="229"/>
      <c r="D30" s="229"/>
      <c r="E30" s="229"/>
      <c r="F30" s="229"/>
      <c r="G30" s="229"/>
      <c r="H30" s="229"/>
      <c r="I30" s="229"/>
      <c r="J30" s="229"/>
      <c r="K30" s="229"/>
      <c r="L30" s="230"/>
      <c r="N30" s="236" t="s">
        <v>4</v>
      </c>
      <c r="O30" s="237"/>
      <c r="P30" s="154">
        <f>K25</f>
        <v>0</v>
      </c>
    </row>
    <row r="31" spans="1:19 16384:16384" ht="15" customHeight="1" x14ac:dyDescent="0.35">
      <c r="B31" s="228"/>
      <c r="C31" s="229"/>
      <c r="D31" s="229"/>
      <c r="E31" s="229"/>
      <c r="F31" s="229"/>
      <c r="G31" s="229"/>
      <c r="H31" s="229"/>
      <c r="I31" s="229"/>
      <c r="J31" s="229"/>
      <c r="K31" s="229"/>
      <c r="L31" s="230"/>
      <c r="M31" s="2"/>
      <c r="N31" s="236" t="s">
        <v>88</v>
      </c>
      <c r="O31" s="237"/>
      <c r="P31" s="153">
        <f>P28-P29-P30</f>
        <v>0</v>
      </c>
    </row>
    <row r="32" spans="1:19 16384:16384" ht="15" customHeight="1" x14ac:dyDescent="0.35">
      <c r="B32" s="228"/>
      <c r="C32" s="229"/>
      <c r="D32" s="229"/>
      <c r="E32" s="229"/>
      <c r="F32" s="229"/>
      <c r="G32" s="229"/>
      <c r="H32" s="229"/>
      <c r="I32" s="229"/>
      <c r="J32" s="229"/>
      <c r="K32" s="229"/>
      <c r="L32" s="230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8"/>
      <c r="C33" s="229"/>
      <c r="D33" s="229"/>
      <c r="E33" s="229"/>
      <c r="F33" s="229"/>
      <c r="G33" s="229"/>
      <c r="H33" s="229"/>
      <c r="I33" s="229"/>
      <c r="J33" s="229"/>
      <c r="K33" s="229"/>
      <c r="L33" s="230"/>
      <c r="M33" s="2"/>
      <c r="N33" s="238" t="s">
        <v>90</v>
      </c>
      <c r="O33" s="239"/>
      <c r="P33" s="153">
        <f>P31+P32</f>
        <v>0</v>
      </c>
    </row>
    <row r="34" spans="2:16" ht="15" customHeight="1" thickBot="1" x14ac:dyDescent="0.4">
      <c r="B34" s="231"/>
      <c r="C34" s="232"/>
      <c r="D34" s="232"/>
      <c r="E34" s="232"/>
      <c r="F34" s="232"/>
      <c r="G34" s="232"/>
      <c r="H34" s="232"/>
      <c r="I34" s="232"/>
      <c r="J34" s="232"/>
      <c r="K34" s="232"/>
      <c r="L34" s="233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6" t="s">
        <v>92</v>
      </c>
      <c r="O35" s="217"/>
      <c r="P35" s="160">
        <f>P33+P34</f>
        <v>0</v>
      </c>
    </row>
    <row r="36" spans="2:16" ht="15" thickBot="1" x14ac:dyDescent="0.4">
      <c r="B36" s="161" t="s">
        <v>93</v>
      </c>
      <c r="C36" s="218"/>
      <c r="D36" s="218"/>
      <c r="E36" s="218"/>
      <c r="F36" s="218"/>
      <c r="G36" s="218"/>
      <c r="H36" s="218"/>
      <c r="I36" s="219"/>
      <c r="J36" s="220"/>
      <c r="K36" s="221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16.4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6" t="s">
        <v>45</v>
      </c>
      <c r="B2" s="196"/>
      <c r="C2" s="196"/>
    </row>
    <row r="3" spans="1:19 16383:16384" ht="15" customHeight="1" x14ac:dyDescent="0.35">
      <c r="A3" s="197" t="s">
        <v>46</v>
      </c>
      <c r="B3" s="197"/>
      <c r="C3" s="197"/>
      <c r="F3" s="70"/>
      <c r="G3" s="71"/>
      <c r="K3" s="198" t="s">
        <v>47</v>
      </c>
      <c r="L3" s="198"/>
      <c r="M3" s="198"/>
      <c r="N3" s="197">
        <v>10</v>
      </c>
      <c r="O3" s="197"/>
      <c r="P3" s="19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7" t="s">
        <v>94</v>
      </c>
      <c r="B4" s="197"/>
      <c r="C4" s="197"/>
      <c r="F4" s="70"/>
      <c r="G4" s="71"/>
      <c r="K4" s="198" t="s">
        <v>49</v>
      </c>
      <c r="L4" s="198"/>
      <c r="M4" s="198"/>
      <c r="N4" s="199">
        <f ca="1">TODAY()</f>
        <v>46196</v>
      </c>
      <c r="O4" s="199"/>
      <c r="P4" s="199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3" t="s">
        <v>104</v>
      </c>
      <c r="B5" s="243"/>
      <c r="C5" s="243"/>
      <c r="F5" s="70"/>
      <c r="G5" s="71"/>
      <c r="K5" s="198" t="s">
        <v>51</v>
      </c>
      <c r="L5" s="198"/>
      <c r="M5" s="198"/>
      <c r="N5" s="199">
        <f ca="1">N4-1</f>
        <v>46195</v>
      </c>
      <c r="O5" s="197"/>
      <c r="P5" s="197"/>
      <c r="R5" s="70"/>
      <c r="S5" s="71"/>
    </row>
    <row r="6" spans="1:19 16383:16384" ht="15" customHeight="1" x14ac:dyDescent="0.35">
      <c r="A6" s="198" t="s">
        <v>105</v>
      </c>
      <c r="B6" s="198"/>
      <c r="C6" s="198"/>
      <c r="F6" s="70"/>
      <c r="G6" s="74"/>
      <c r="K6" s="198" t="s">
        <v>52</v>
      </c>
      <c r="L6" s="198"/>
      <c r="M6" s="198"/>
      <c r="N6" s="200" t="s">
        <v>97</v>
      </c>
      <c r="O6" s="200"/>
      <c r="P6" s="200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198"/>
      <c r="B7" s="198"/>
      <c r="C7" s="198"/>
      <c r="F7" s="70"/>
      <c r="G7" s="74"/>
      <c r="K7" s="198"/>
      <c r="L7" s="198"/>
      <c r="M7" s="198"/>
      <c r="N7" s="200"/>
      <c r="O7" s="200"/>
      <c r="P7" s="200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2"/>
      <c r="B8" s="202"/>
      <c r="C8" s="202"/>
      <c r="F8" s="70"/>
      <c r="G8" s="74"/>
      <c r="K8" s="198"/>
      <c r="L8" s="198"/>
      <c r="M8" s="198"/>
      <c r="N8" s="200"/>
      <c r="O8" s="200"/>
      <c r="P8" s="200"/>
      <c r="R8" s="70"/>
      <c r="S8" s="74"/>
    </row>
    <row r="9" spans="1:19 16383:16384" x14ac:dyDescent="0.35">
      <c r="A9" s="202"/>
      <c r="B9" s="202"/>
      <c r="C9" s="202"/>
      <c r="F9" s="70"/>
      <c r="G9" s="74"/>
      <c r="K9" s="198"/>
      <c r="L9" s="198"/>
      <c r="M9" s="198"/>
      <c r="N9" s="200"/>
      <c r="O9" s="200"/>
      <c r="P9" s="200"/>
      <c r="R9" s="70"/>
      <c r="S9" s="74"/>
      <c r="XFD9" t="s">
        <v>55</v>
      </c>
    </row>
    <row r="10" spans="1:19 16383:16384" x14ac:dyDescent="0.35">
      <c r="A10" s="203" t="s">
        <v>95</v>
      </c>
      <c r="B10" s="75" t="s">
        <v>106</v>
      </c>
      <c r="C10" s="75"/>
      <c r="F10" s="70"/>
      <c r="G10" s="71"/>
      <c r="K10" s="198" t="s">
        <v>56</v>
      </c>
      <c r="L10" s="198"/>
      <c r="M10" s="198"/>
      <c r="N10" s="197" t="s">
        <v>57</v>
      </c>
      <c r="O10" s="197"/>
      <c r="P10" s="197"/>
      <c r="R10" s="70"/>
      <c r="S10" s="71"/>
      <c r="XFD10" t="s">
        <v>58</v>
      </c>
    </row>
    <row r="11" spans="1:19 16383:16384" x14ac:dyDescent="0.35">
      <c r="A11" s="203"/>
      <c r="B11" s="76" t="s">
        <v>48</v>
      </c>
      <c r="C11" s="77" t="str">
        <f>IF($O34&gt;2.49%,"No","Yes")</f>
        <v>Yes</v>
      </c>
      <c r="F11" s="70"/>
      <c r="G11" s="71"/>
      <c r="K11" s="198" t="s">
        <v>59</v>
      </c>
      <c r="L11" s="198"/>
      <c r="M11" s="198"/>
      <c r="N11" s="197" t="s">
        <v>55</v>
      </c>
      <c r="O11" s="197"/>
      <c r="P11" s="197"/>
      <c r="R11" s="70"/>
      <c r="S11" s="71"/>
    </row>
    <row r="12" spans="1:19 16383:16384" ht="14.65" customHeight="1" x14ac:dyDescent="0.35">
      <c r="A12" s="203" t="s">
        <v>60</v>
      </c>
      <c r="B12" s="76" t="s">
        <v>54</v>
      </c>
      <c r="C12" s="77" t="str">
        <f>IF($O32&gt;21.99%,"No","Yes")</f>
        <v>No</v>
      </c>
      <c r="F12" s="70"/>
      <c r="G12" s="71"/>
      <c r="K12" s="198" t="s">
        <v>61</v>
      </c>
      <c r="L12" s="198"/>
      <c r="M12" s="198"/>
      <c r="N12" s="197"/>
      <c r="O12" s="197"/>
      <c r="P12" s="197"/>
      <c r="R12" s="70"/>
      <c r="S12" s="71"/>
      <c r="XFD12" t="s">
        <v>62</v>
      </c>
    </row>
    <row r="13" spans="1:19 16383:16384" ht="15" thickBot="1" x14ac:dyDescent="0.4">
      <c r="A13" s="240"/>
      <c r="B13" s="64">
        <v>3520255124113</v>
      </c>
      <c r="D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10"/>
      <c r="C14" s="204" t="s">
        <v>65</v>
      </c>
      <c r="D14" s="80" t="s">
        <v>2</v>
      </c>
      <c r="E14" s="81" t="s">
        <v>66</v>
      </c>
      <c r="F14" s="82" t="s">
        <v>67</v>
      </c>
      <c r="G14" s="244" t="s">
        <v>68</v>
      </c>
      <c r="H14" s="245"/>
      <c r="I14" s="246" t="s">
        <v>69</v>
      </c>
      <c r="J14" s="244" t="s">
        <v>70</v>
      </c>
      <c r="K14" s="248"/>
      <c r="L14" s="245"/>
      <c r="M14" s="24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11"/>
      <c r="C15" s="20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7"/>
      <c r="J15" s="88" t="s">
        <v>78</v>
      </c>
      <c r="K15" s="90" t="s">
        <v>79</v>
      </c>
      <c r="L15" s="91" t="s">
        <v>80</v>
      </c>
      <c r="M15" s="247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2" t="s">
        <v>84</v>
      </c>
      <c r="B25" s="223"/>
      <c r="C25" s="224"/>
      <c r="D25" s="218"/>
      <c r="E25" s="218"/>
      <c r="F25" s="24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5" t="s">
        <v>85</v>
      </c>
      <c r="C28" s="226"/>
      <c r="D28" s="226"/>
      <c r="E28" s="226"/>
      <c r="F28" s="226"/>
      <c r="G28" s="226"/>
      <c r="H28" s="226"/>
      <c r="I28" s="226"/>
      <c r="J28" s="226"/>
      <c r="K28" s="226"/>
      <c r="L28" s="227"/>
      <c r="N28" s="234" t="s">
        <v>86</v>
      </c>
      <c r="O28" s="235"/>
      <c r="P28" s="152">
        <f>I25</f>
        <v>0</v>
      </c>
    </row>
    <row r="29" spans="1:19 16384:16384" ht="15" customHeight="1" x14ac:dyDescent="0.35">
      <c r="B29" s="228"/>
      <c r="C29" s="229"/>
      <c r="D29" s="229"/>
      <c r="E29" s="229"/>
      <c r="F29" s="229"/>
      <c r="G29" s="229"/>
      <c r="H29" s="229"/>
      <c r="I29" s="229"/>
      <c r="J29" s="229"/>
      <c r="K29" s="229"/>
      <c r="L29" s="230"/>
      <c r="N29" s="236" t="s">
        <v>87</v>
      </c>
      <c r="O29" s="237"/>
      <c r="P29" s="153">
        <f>L25</f>
        <v>0</v>
      </c>
    </row>
    <row r="30" spans="1:19 16384:16384" ht="15" customHeight="1" x14ac:dyDescent="0.35">
      <c r="B30" s="228"/>
      <c r="C30" s="229"/>
      <c r="D30" s="229"/>
      <c r="E30" s="229"/>
      <c r="F30" s="229"/>
      <c r="G30" s="229"/>
      <c r="H30" s="229"/>
      <c r="I30" s="229"/>
      <c r="J30" s="229"/>
      <c r="K30" s="229"/>
      <c r="L30" s="230"/>
      <c r="N30" s="236" t="s">
        <v>4</v>
      </c>
      <c r="O30" s="237"/>
      <c r="P30" s="154">
        <f>K25</f>
        <v>0</v>
      </c>
    </row>
    <row r="31" spans="1:19 16384:16384" ht="15" customHeight="1" x14ac:dyDescent="0.35">
      <c r="B31" s="228"/>
      <c r="C31" s="229"/>
      <c r="D31" s="229"/>
      <c r="E31" s="229"/>
      <c r="F31" s="229"/>
      <c r="G31" s="229"/>
      <c r="H31" s="229"/>
      <c r="I31" s="229"/>
      <c r="J31" s="229"/>
      <c r="K31" s="229"/>
      <c r="L31" s="230"/>
      <c r="M31" s="2"/>
      <c r="N31" s="236" t="s">
        <v>88</v>
      </c>
      <c r="O31" s="237"/>
      <c r="P31" s="153">
        <f>P28-P29-P30</f>
        <v>0</v>
      </c>
    </row>
    <row r="32" spans="1:19 16384:16384" ht="15" customHeight="1" x14ac:dyDescent="0.35">
      <c r="B32" s="228"/>
      <c r="C32" s="229"/>
      <c r="D32" s="229"/>
      <c r="E32" s="229"/>
      <c r="F32" s="229"/>
      <c r="G32" s="229"/>
      <c r="H32" s="229"/>
      <c r="I32" s="229"/>
      <c r="J32" s="229"/>
      <c r="K32" s="229"/>
      <c r="L32" s="230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8"/>
      <c r="C33" s="229"/>
      <c r="D33" s="229"/>
      <c r="E33" s="229"/>
      <c r="F33" s="229"/>
      <c r="G33" s="229"/>
      <c r="H33" s="229"/>
      <c r="I33" s="229"/>
      <c r="J33" s="229"/>
      <c r="K33" s="229"/>
      <c r="L33" s="230"/>
      <c r="M33" s="2"/>
      <c r="N33" s="238" t="s">
        <v>90</v>
      </c>
      <c r="O33" s="239"/>
      <c r="P33" s="153">
        <f>P31+P32</f>
        <v>0</v>
      </c>
    </row>
    <row r="34" spans="2:16" ht="15" customHeight="1" thickBot="1" x14ac:dyDescent="0.4">
      <c r="B34" s="231"/>
      <c r="C34" s="232"/>
      <c r="D34" s="232"/>
      <c r="E34" s="232"/>
      <c r="F34" s="232"/>
      <c r="G34" s="232"/>
      <c r="H34" s="232"/>
      <c r="I34" s="232"/>
      <c r="J34" s="232"/>
      <c r="K34" s="232"/>
      <c r="L34" s="233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6" t="s">
        <v>92</v>
      </c>
      <c r="O35" s="217"/>
      <c r="P35" s="160">
        <f>P33+P34</f>
        <v>0</v>
      </c>
    </row>
    <row r="36" spans="2:16" ht="15" thickBot="1" x14ac:dyDescent="0.4">
      <c r="B36" s="161" t="s">
        <v>93</v>
      </c>
      <c r="C36" s="218"/>
      <c r="D36" s="218"/>
      <c r="E36" s="218"/>
      <c r="F36" s="218"/>
      <c r="G36" s="218"/>
      <c r="H36" s="218"/>
      <c r="I36" s="219"/>
      <c r="J36" s="220"/>
      <c r="K36" s="221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16.4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6" t="s">
        <v>45</v>
      </c>
      <c r="B2" s="196"/>
      <c r="C2" s="196"/>
    </row>
    <row r="3" spans="1:19 16383:16384" ht="15" customHeight="1" x14ac:dyDescent="0.35">
      <c r="A3" s="197" t="s">
        <v>46</v>
      </c>
      <c r="B3" s="197"/>
      <c r="C3" s="197"/>
      <c r="F3" s="70"/>
      <c r="G3" s="71"/>
      <c r="K3" s="198" t="s">
        <v>47</v>
      </c>
      <c r="L3" s="198"/>
      <c r="M3" s="198"/>
      <c r="N3" s="197">
        <v>10</v>
      </c>
      <c r="O3" s="197"/>
      <c r="P3" s="19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7" t="s">
        <v>94</v>
      </c>
      <c r="B4" s="197"/>
      <c r="C4" s="197"/>
      <c r="F4" s="70"/>
      <c r="G4" s="71"/>
      <c r="K4" s="198" t="s">
        <v>49</v>
      </c>
      <c r="L4" s="198"/>
      <c r="M4" s="198"/>
      <c r="N4" s="199">
        <f ca="1">TODAY()</f>
        <v>46196</v>
      </c>
      <c r="O4" s="199"/>
      <c r="P4" s="199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3" t="s">
        <v>104</v>
      </c>
      <c r="B5" s="243"/>
      <c r="C5" s="243"/>
      <c r="F5" s="70"/>
      <c r="G5" s="71"/>
      <c r="K5" s="198" t="s">
        <v>51</v>
      </c>
      <c r="L5" s="198"/>
      <c r="M5" s="198"/>
      <c r="N5" s="199">
        <f ca="1">N4-1</f>
        <v>46195</v>
      </c>
      <c r="O5" s="197"/>
      <c r="P5" s="197"/>
      <c r="R5" s="70"/>
      <c r="S5" s="71"/>
    </row>
    <row r="6" spans="1:19 16383:16384" ht="15" customHeight="1" x14ac:dyDescent="0.35">
      <c r="A6" s="198" t="s">
        <v>105</v>
      </c>
      <c r="B6" s="198"/>
      <c r="C6" s="198"/>
      <c r="F6" s="70"/>
      <c r="G6" s="74"/>
      <c r="K6" s="198" t="s">
        <v>52</v>
      </c>
      <c r="L6" s="198"/>
      <c r="M6" s="198"/>
      <c r="N6" s="200" t="s">
        <v>97</v>
      </c>
      <c r="O6" s="200"/>
      <c r="P6" s="200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198"/>
      <c r="B7" s="198"/>
      <c r="C7" s="198"/>
      <c r="F7" s="70"/>
      <c r="G7" s="74"/>
      <c r="K7" s="198"/>
      <c r="L7" s="198"/>
      <c r="M7" s="198"/>
      <c r="N7" s="200"/>
      <c r="O7" s="200"/>
      <c r="P7" s="200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2"/>
      <c r="B8" s="202"/>
      <c r="C8" s="202"/>
      <c r="F8" s="70"/>
      <c r="G8" s="74"/>
      <c r="K8" s="198"/>
      <c r="L8" s="198"/>
      <c r="M8" s="198"/>
      <c r="N8" s="200"/>
      <c r="O8" s="200"/>
      <c r="P8" s="200"/>
      <c r="R8" s="70"/>
      <c r="S8" s="74"/>
    </row>
    <row r="9" spans="1:19 16383:16384" x14ac:dyDescent="0.35">
      <c r="A9" s="202"/>
      <c r="B9" s="202"/>
      <c r="C9" s="202"/>
      <c r="F9" s="70"/>
      <c r="G9" s="74"/>
      <c r="K9" s="198"/>
      <c r="L9" s="198"/>
      <c r="M9" s="198"/>
      <c r="N9" s="200"/>
      <c r="O9" s="200"/>
      <c r="P9" s="200"/>
      <c r="R9" s="70"/>
      <c r="S9" s="74"/>
      <c r="XFD9" t="s">
        <v>55</v>
      </c>
    </row>
    <row r="10" spans="1:19 16383:16384" x14ac:dyDescent="0.35">
      <c r="A10" s="203" t="s">
        <v>95</v>
      </c>
      <c r="B10" s="75" t="s">
        <v>106</v>
      </c>
      <c r="C10" s="75"/>
      <c r="F10" s="70"/>
      <c r="G10" s="71"/>
      <c r="K10" s="198" t="s">
        <v>56</v>
      </c>
      <c r="L10" s="198"/>
      <c r="M10" s="198"/>
      <c r="N10" s="197" t="s">
        <v>57</v>
      </c>
      <c r="O10" s="197"/>
      <c r="P10" s="197"/>
      <c r="R10" s="70"/>
      <c r="S10" s="71"/>
      <c r="XFD10" t="s">
        <v>58</v>
      </c>
    </row>
    <row r="11" spans="1:19 16383:16384" x14ac:dyDescent="0.35">
      <c r="A11" s="203"/>
      <c r="B11" s="76" t="s">
        <v>48</v>
      </c>
      <c r="C11" s="77" t="str">
        <f>IF($O34&gt;2.49%,"No","Yes")</f>
        <v>Yes</v>
      </c>
      <c r="F11" s="70"/>
      <c r="G11" s="71"/>
      <c r="K11" s="198" t="s">
        <v>59</v>
      </c>
      <c r="L11" s="198"/>
      <c r="M11" s="198"/>
      <c r="N11" s="197" t="s">
        <v>55</v>
      </c>
      <c r="O11" s="197"/>
      <c r="P11" s="197"/>
      <c r="R11" s="70"/>
      <c r="S11" s="71"/>
    </row>
    <row r="12" spans="1:19 16383:16384" ht="14.65" customHeight="1" x14ac:dyDescent="0.35">
      <c r="A12" s="203" t="s">
        <v>60</v>
      </c>
      <c r="B12" s="76" t="s">
        <v>54</v>
      </c>
      <c r="C12" s="77" t="str">
        <f>IF($O32&gt;21.99%,"No","Yes")</f>
        <v>No</v>
      </c>
      <c r="F12" s="70"/>
      <c r="G12" s="71"/>
      <c r="K12" s="198" t="s">
        <v>61</v>
      </c>
      <c r="L12" s="198"/>
      <c r="M12" s="198"/>
      <c r="N12" s="197"/>
      <c r="O12" s="197"/>
      <c r="P12" s="197"/>
      <c r="R12" s="70"/>
      <c r="S12" s="71"/>
      <c r="XFD12" t="s">
        <v>62</v>
      </c>
    </row>
    <row r="13" spans="1:19 16383:16384" ht="15" thickBot="1" x14ac:dyDescent="0.4">
      <c r="A13" s="240"/>
      <c r="B13" s="64">
        <v>3520255124113</v>
      </c>
      <c r="D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10"/>
      <c r="C14" s="204" t="s">
        <v>65</v>
      </c>
      <c r="D14" s="80" t="s">
        <v>2</v>
      </c>
      <c r="E14" s="81" t="s">
        <v>66</v>
      </c>
      <c r="F14" s="82" t="s">
        <v>67</v>
      </c>
      <c r="G14" s="244" t="s">
        <v>68</v>
      </c>
      <c r="H14" s="245"/>
      <c r="I14" s="246" t="s">
        <v>69</v>
      </c>
      <c r="J14" s="244" t="s">
        <v>70</v>
      </c>
      <c r="K14" s="248"/>
      <c r="L14" s="245"/>
      <c r="M14" s="24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11"/>
      <c r="C15" s="20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7"/>
      <c r="J15" s="88" t="s">
        <v>78</v>
      </c>
      <c r="K15" s="90" t="s">
        <v>79</v>
      </c>
      <c r="L15" s="91" t="s">
        <v>80</v>
      </c>
      <c r="M15" s="247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2" t="s">
        <v>84</v>
      </c>
      <c r="B25" s="223"/>
      <c r="C25" s="224"/>
      <c r="D25" s="218"/>
      <c r="E25" s="218"/>
      <c r="F25" s="24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5" t="s">
        <v>85</v>
      </c>
      <c r="C28" s="226"/>
      <c r="D28" s="226"/>
      <c r="E28" s="226"/>
      <c r="F28" s="226"/>
      <c r="G28" s="226"/>
      <c r="H28" s="226"/>
      <c r="I28" s="226"/>
      <c r="J28" s="226"/>
      <c r="K28" s="226"/>
      <c r="L28" s="227"/>
      <c r="N28" s="234" t="s">
        <v>86</v>
      </c>
      <c r="O28" s="235"/>
      <c r="P28" s="152">
        <f>I25</f>
        <v>0</v>
      </c>
    </row>
    <row r="29" spans="1:19 16384:16384" ht="15" customHeight="1" x14ac:dyDescent="0.35">
      <c r="B29" s="228"/>
      <c r="C29" s="229"/>
      <c r="D29" s="229"/>
      <c r="E29" s="229"/>
      <c r="F29" s="229"/>
      <c r="G29" s="229"/>
      <c r="H29" s="229"/>
      <c r="I29" s="229"/>
      <c r="J29" s="229"/>
      <c r="K29" s="229"/>
      <c r="L29" s="230"/>
      <c r="N29" s="236" t="s">
        <v>87</v>
      </c>
      <c r="O29" s="237"/>
      <c r="P29" s="153">
        <f>L25</f>
        <v>0</v>
      </c>
    </row>
    <row r="30" spans="1:19 16384:16384" ht="15" customHeight="1" x14ac:dyDescent="0.35">
      <c r="B30" s="228"/>
      <c r="C30" s="229"/>
      <c r="D30" s="229"/>
      <c r="E30" s="229"/>
      <c r="F30" s="229"/>
      <c r="G30" s="229"/>
      <c r="H30" s="229"/>
      <c r="I30" s="229"/>
      <c r="J30" s="229"/>
      <c r="K30" s="229"/>
      <c r="L30" s="230"/>
      <c r="N30" s="236" t="s">
        <v>4</v>
      </c>
      <c r="O30" s="237"/>
      <c r="P30" s="154">
        <f>K25</f>
        <v>0</v>
      </c>
    </row>
    <row r="31" spans="1:19 16384:16384" ht="15" customHeight="1" x14ac:dyDescent="0.35">
      <c r="B31" s="228"/>
      <c r="C31" s="229"/>
      <c r="D31" s="229"/>
      <c r="E31" s="229"/>
      <c r="F31" s="229"/>
      <c r="G31" s="229"/>
      <c r="H31" s="229"/>
      <c r="I31" s="229"/>
      <c r="J31" s="229"/>
      <c r="K31" s="229"/>
      <c r="L31" s="230"/>
      <c r="M31" s="2"/>
      <c r="N31" s="236" t="s">
        <v>88</v>
      </c>
      <c r="O31" s="237"/>
      <c r="P31" s="153">
        <f>P28-P29-P30</f>
        <v>0</v>
      </c>
    </row>
    <row r="32" spans="1:19 16384:16384" ht="15" customHeight="1" x14ac:dyDescent="0.35">
      <c r="B32" s="228"/>
      <c r="C32" s="229"/>
      <c r="D32" s="229"/>
      <c r="E32" s="229"/>
      <c r="F32" s="229"/>
      <c r="G32" s="229"/>
      <c r="H32" s="229"/>
      <c r="I32" s="229"/>
      <c r="J32" s="229"/>
      <c r="K32" s="229"/>
      <c r="L32" s="230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8"/>
      <c r="C33" s="229"/>
      <c r="D33" s="229"/>
      <c r="E33" s="229"/>
      <c r="F33" s="229"/>
      <c r="G33" s="229"/>
      <c r="H33" s="229"/>
      <c r="I33" s="229"/>
      <c r="J33" s="229"/>
      <c r="K33" s="229"/>
      <c r="L33" s="230"/>
      <c r="M33" s="2"/>
      <c r="N33" s="238" t="s">
        <v>90</v>
      </c>
      <c r="O33" s="239"/>
      <c r="P33" s="153">
        <f>P31+P32</f>
        <v>0</v>
      </c>
    </row>
    <row r="34" spans="2:16" ht="15" customHeight="1" thickBot="1" x14ac:dyDescent="0.4">
      <c r="B34" s="231"/>
      <c r="C34" s="232"/>
      <c r="D34" s="232"/>
      <c r="E34" s="232"/>
      <c r="F34" s="232"/>
      <c r="G34" s="232"/>
      <c r="H34" s="232"/>
      <c r="I34" s="232"/>
      <c r="J34" s="232"/>
      <c r="K34" s="232"/>
      <c r="L34" s="233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6" t="s">
        <v>92</v>
      </c>
      <c r="O35" s="217"/>
      <c r="P35" s="160">
        <f>P33+P34</f>
        <v>0</v>
      </c>
    </row>
    <row r="36" spans="2:16" ht="15" thickBot="1" x14ac:dyDescent="0.4">
      <c r="B36" s="161" t="s">
        <v>93</v>
      </c>
      <c r="C36" s="218"/>
      <c r="D36" s="218"/>
      <c r="E36" s="218"/>
      <c r="F36" s="218"/>
      <c r="G36" s="218"/>
      <c r="H36" s="218"/>
      <c r="I36" s="219"/>
      <c r="J36" s="220"/>
      <c r="K36" s="221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16.4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6" t="s">
        <v>45</v>
      </c>
      <c r="B2" s="196"/>
      <c r="C2" s="196"/>
    </row>
    <row r="3" spans="1:19 16383:16384" ht="15" customHeight="1" x14ac:dyDescent="0.35">
      <c r="A3" s="197" t="s">
        <v>46</v>
      </c>
      <c r="B3" s="197"/>
      <c r="C3" s="197"/>
      <c r="F3" s="70"/>
      <c r="G3" s="71"/>
      <c r="K3" s="198" t="s">
        <v>47</v>
      </c>
      <c r="L3" s="198"/>
      <c r="M3" s="198"/>
      <c r="N3" s="197">
        <v>10</v>
      </c>
      <c r="O3" s="197"/>
      <c r="P3" s="19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7" t="s">
        <v>94</v>
      </c>
      <c r="B4" s="197"/>
      <c r="C4" s="197"/>
      <c r="F4" s="70"/>
      <c r="G4" s="71"/>
      <c r="K4" s="198" t="s">
        <v>49</v>
      </c>
      <c r="L4" s="198"/>
      <c r="M4" s="198"/>
      <c r="N4" s="199">
        <f ca="1">TODAY()</f>
        <v>46196</v>
      </c>
      <c r="O4" s="199"/>
      <c r="P4" s="199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3" t="s">
        <v>104</v>
      </c>
      <c r="B5" s="243"/>
      <c r="C5" s="243"/>
      <c r="F5" s="70"/>
      <c r="G5" s="71"/>
      <c r="K5" s="198" t="s">
        <v>51</v>
      </c>
      <c r="L5" s="198"/>
      <c r="M5" s="198"/>
      <c r="N5" s="199">
        <f ca="1">N4-1</f>
        <v>46195</v>
      </c>
      <c r="O5" s="197"/>
      <c r="P5" s="197"/>
      <c r="R5" s="70"/>
      <c r="S5" s="71"/>
    </row>
    <row r="6" spans="1:19 16383:16384" ht="15" customHeight="1" x14ac:dyDescent="0.35">
      <c r="A6" s="198" t="s">
        <v>105</v>
      </c>
      <c r="B6" s="198"/>
      <c r="C6" s="198"/>
      <c r="F6" s="70"/>
      <c r="G6" s="74"/>
      <c r="K6" s="198" t="s">
        <v>52</v>
      </c>
      <c r="L6" s="198"/>
      <c r="M6" s="198"/>
      <c r="N6" s="200" t="s">
        <v>97</v>
      </c>
      <c r="O6" s="200"/>
      <c r="P6" s="200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198"/>
      <c r="B7" s="198"/>
      <c r="C7" s="198"/>
      <c r="F7" s="70"/>
      <c r="G7" s="74"/>
      <c r="K7" s="198"/>
      <c r="L7" s="198"/>
      <c r="M7" s="198"/>
      <c r="N7" s="200"/>
      <c r="O7" s="200"/>
      <c r="P7" s="200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2"/>
      <c r="B8" s="202"/>
      <c r="C8" s="202"/>
      <c r="F8" s="70"/>
      <c r="G8" s="74"/>
      <c r="K8" s="198"/>
      <c r="L8" s="198"/>
      <c r="M8" s="198"/>
      <c r="N8" s="200"/>
      <c r="O8" s="200"/>
      <c r="P8" s="200"/>
      <c r="R8" s="70"/>
      <c r="S8" s="74"/>
    </row>
    <row r="9" spans="1:19 16383:16384" x14ac:dyDescent="0.35">
      <c r="A9" s="202"/>
      <c r="B9" s="202"/>
      <c r="C9" s="202"/>
      <c r="F9" s="70"/>
      <c r="G9" s="74"/>
      <c r="K9" s="198"/>
      <c r="L9" s="198"/>
      <c r="M9" s="198"/>
      <c r="N9" s="200"/>
      <c r="O9" s="200"/>
      <c r="P9" s="200"/>
      <c r="R9" s="70"/>
      <c r="S9" s="74"/>
      <c r="XFD9" t="s">
        <v>55</v>
      </c>
    </row>
    <row r="10" spans="1:19 16383:16384" x14ac:dyDescent="0.35">
      <c r="A10" s="203" t="s">
        <v>95</v>
      </c>
      <c r="B10" s="75" t="s">
        <v>106</v>
      </c>
      <c r="C10" s="75"/>
      <c r="F10" s="70"/>
      <c r="G10" s="71"/>
      <c r="K10" s="198" t="s">
        <v>56</v>
      </c>
      <c r="L10" s="198"/>
      <c r="M10" s="198"/>
      <c r="N10" s="197" t="s">
        <v>57</v>
      </c>
      <c r="O10" s="197"/>
      <c r="P10" s="197"/>
      <c r="R10" s="70"/>
      <c r="S10" s="71"/>
      <c r="XFD10" t="s">
        <v>58</v>
      </c>
    </row>
    <row r="11" spans="1:19 16383:16384" x14ac:dyDescent="0.35">
      <c r="A11" s="203"/>
      <c r="B11" s="76" t="s">
        <v>48</v>
      </c>
      <c r="C11" s="77" t="str">
        <f>IF($O34&gt;2.49%,"No","Yes")</f>
        <v>Yes</v>
      </c>
      <c r="F11" s="70"/>
      <c r="G11" s="71"/>
      <c r="K11" s="198" t="s">
        <v>59</v>
      </c>
      <c r="L11" s="198"/>
      <c r="M11" s="198"/>
      <c r="N11" s="197" t="s">
        <v>55</v>
      </c>
      <c r="O11" s="197"/>
      <c r="P11" s="197"/>
      <c r="R11" s="70"/>
      <c r="S11" s="71"/>
    </row>
    <row r="12" spans="1:19 16383:16384" ht="14.65" customHeight="1" x14ac:dyDescent="0.35">
      <c r="A12" s="203" t="s">
        <v>60</v>
      </c>
      <c r="B12" s="76" t="s">
        <v>54</v>
      </c>
      <c r="C12" s="77" t="str">
        <f>IF($O32&gt;21.99%,"No","Yes")</f>
        <v>No</v>
      </c>
      <c r="F12" s="70"/>
      <c r="G12" s="71"/>
      <c r="K12" s="198" t="s">
        <v>61</v>
      </c>
      <c r="L12" s="198"/>
      <c r="M12" s="198"/>
      <c r="N12" s="197"/>
      <c r="O12" s="197"/>
      <c r="P12" s="197"/>
      <c r="R12" s="70"/>
      <c r="S12" s="71"/>
      <c r="XFD12" t="s">
        <v>62</v>
      </c>
    </row>
    <row r="13" spans="1:19 16383:16384" ht="15" thickBot="1" x14ac:dyDescent="0.4">
      <c r="A13" s="240"/>
      <c r="B13" s="64">
        <v>3520255124113</v>
      </c>
      <c r="D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10"/>
      <c r="C14" s="204" t="s">
        <v>65</v>
      </c>
      <c r="D14" s="80" t="s">
        <v>2</v>
      </c>
      <c r="E14" s="81" t="s">
        <v>66</v>
      </c>
      <c r="F14" s="82" t="s">
        <v>67</v>
      </c>
      <c r="G14" s="244" t="s">
        <v>68</v>
      </c>
      <c r="H14" s="245"/>
      <c r="I14" s="246" t="s">
        <v>69</v>
      </c>
      <c r="J14" s="244" t="s">
        <v>70</v>
      </c>
      <c r="K14" s="248"/>
      <c r="L14" s="245"/>
      <c r="M14" s="24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11"/>
      <c r="C15" s="20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7"/>
      <c r="J15" s="88" t="s">
        <v>78</v>
      </c>
      <c r="K15" s="90" t="s">
        <v>79</v>
      </c>
      <c r="L15" s="91" t="s">
        <v>80</v>
      </c>
      <c r="M15" s="247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2" t="s">
        <v>84</v>
      </c>
      <c r="B25" s="223"/>
      <c r="C25" s="224"/>
      <c r="D25" s="218"/>
      <c r="E25" s="218"/>
      <c r="F25" s="24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5" t="s">
        <v>85</v>
      </c>
      <c r="C28" s="226"/>
      <c r="D28" s="226"/>
      <c r="E28" s="226"/>
      <c r="F28" s="226"/>
      <c r="G28" s="226"/>
      <c r="H28" s="226"/>
      <c r="I28" s="226"/>
      <c r="J28" s="226"/>
      <c r="K28" s="226"/>
      <c r="L28" s="227"/>
      <c r="N28" s="234" t="s">
        <v>86</v>
      </c>
      <c r="O28" s="235"/>
      <c r="P28" s="152">
        <f>I25</f>
        <v>0</v>
      </c>
    </row>
    <row r="29" spans="1:19 16384:16384" ht="15" customHeight="1" x14ac:dyDescent="0.35">
      <c r="B29" s="228"/>
      <c r="C29" s="229"/>
      <c r="D29" s="229"/>
      <c r="E29" s="229"/>
      <c r="F29" s="229"/>
      <c r="G29" s="229"/>
      <c r="H29" s="229"/>
      <c r="I29" s="229"/>
      <c r="J29" s="229"/>
      <c r="K29" s="229"/>
      <c r="L29" s="230"/>
      <c r="N29" s="236" t="s">
        <v>87</v>
      </c>
      <c r="O29" s="237"/>
      <c r="P29" s="153">
        <f>L25</f>
        <v>0</v>
      </c>
    </row>
    <row r="30" spans="1:19 16384:16384" ht="15" customHeight="1" x14ac:dyDescent="0.35">
      <c r="B30" s="228"/>
      <c r="C30" s="229"/>
      <c r="D30" s="229"/>
      <c r="E30" s="229"/>
      <c r="F30" s="229"/>
      <c r="G30" s="229"/>
      <c r="H30" s="229"/>
      <c r="I30" s="229"/>
      <c r="J30" s="229"/>
      <c r="K30" s="229"/>
      <c r="L30" s="230"/>
      <c r="N30" s="236" t="s">
        <v>4</v>
      </c>
      <c r="O30" s="237"/>
      <c r="P30" s="154">
        <f>K25</f>
        <v>0</v>
      </c>
    </row>
    <row r="31" spans="1:19 16384:16384" ht="15" customHeight="1" x14ac:dyDescent="0.35">
      <c r="B31" s="228"/>
      <c r="C31" s="229"/>
      <c r="D31" s="229"/>
      <c r="E31" s="229"/>
      <c r="F31" s="229"/>
      <c r="G31" s="229"/>
      <c r="H31" s="229"/>
      <c r="I31" s="229"/>
      <c r="J31" s="229"/>
      <c r="K31" s="229"/>
      <c r="L31" s="230"/>
      <c r="M31" s="2"/>
      <c r="N31" s="236" t="s">
        <v>88</v>
      </c>
      <c r="O31" s="237"/>
      <c r="P31" s="153">
        <f>P28-P29-P30</f>
        <v>0</v>
      </c>
    </row>
    <row r="32" spans="1:19 16384:16384" ht="15" customHeight="1" x14ac:dyDescent="0.35">
      <c r="B32" s="228"/>
      <c r="C32" s="229"/>
      <c r="D32" s="229"/>
      <c r="E32" s="229"/>
      <c r="F32" s="229"/>
      <c r="G32" s="229"/>
      <c r="H32" s="229"/>
      <c r="I32" s="229"/>
      <c r="J32" s="229"/>
      <c r="K32" s="229"/>
      <c r="L32" s="230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8"/>
      <c r="C33" s="229"/>
      <c r="D33" s="229"/>
      <c r="E33" s="229"/>
      <c r="F33" s="229"/>
      <c r="G33" s="229"/>
      <c r="H33" s="229"/>
      <c r="I33" s="229"/>
      <c r="J33" s="229"/>
      <c r="K33" s="229"/>
      <c r="L33" s="230"/>
      <c r="M33" s="2"/>
      <c r="N33" s="238" t="s">
        <v>90</v>
      </c>
      <c r="O33" s="239"/>
      <c r="P33" s="153">
        <f>P31+P32</f>
        <v>0</v>
      </c>
    </row>
    <row r="34" spans="2:16" ht="15" customHeight="1" thickBot="1" x14ac:dyDescent="0.4">
      <c r="B34" s="231"/>
      <c r="C34" s="232"/>
      <c r="D34" s="232"/>
      <c r="E34" s="232"/>
      <c r="F34" s="232"/>
      <c r="G34" s="232"/>
      <c r="H34" s="232"/>
      <c r="I34" s="232"/>
      <c r="J34" s="232"/>
      <c r="K34" s="232"/>
      <c r="L34" s="233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6" t="s">
        <v>92</v>
      </c>
      <c r="O35" s="217"/>
      <c r="P35" s="160">
        <f>P33+P34</f>
        <v>0</v>
      </c>
    </row>
    <row r="36" spans="2:16" ht="15" thickBot="1" x14ac:dyDescent="0.4">
      <c r="B36" s="161" t="s">
        <v>93</v>
      </c>
      <c r="C36" s="218"/>
      <c r="D36" s="218"/>
      <c r="E36" s="218"/>
      <c r="F36" s="218"/>
      <c r="G36" s="218"/>
      <c r="H36" s="218"/>
      <c r="I36" s="219"/>
      <c r="J36" s="220"/>
      <c r="K36" s="221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16.4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6" t="s">
        <v>45</v>
      </c>
      <c r="B2" s="196"/>
      <c r="C2" s="196"/>
    </row>
    <row r="3" spans="1:19 16383:16384" ht="15" customHeight="1" x14ac:dyDescent="0.35">
      <c r="A3" s="197" t="s">
        <v>46</v>
      </c>
      <c r="B3" s="197"/>
      <c r="C3" s="197"/>
      <c r="F3" s="70"/>
      <c r="G3" s="71"/>
      <c r="K3" s="198" t="s">
        <v>47</v>
      </c>
      <c r="L3" s="198"/>
      <c r="M3" s="198"/>
      <c r="N3" s="197">
        <v>10</v>
      </c>
      <c r="O3" s="197"/>
      <c r="P3" s="19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7" t="s">
        <v>94</v>
      </c>
      <c r="B4" s="197"/>
      <c r="C4" s="197"/>
      <c r="F4" s="70"/>
      <c r="G4" s="71"/>
      <c r="K4" s="198" t="s">
        <v>49</v>
      </c>
      <c r="L4" s="198"/>
      <c r="M4" s="198"/>
      <c r="N4" s="199">
        <f ca="1">TODAY()</f>
        <v>46196</v>
      </c>
      <c r="O4" s="199"/>
      <c r="P4" s="199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3" t="s">
        <v>104</v>
      </c>
      <c r="B5" s="243"/>
      <c r="C5" s="243"/>
      <c r="F5" s="70"/>
      <c r="G5" s="71"/>
      <c r="K5" s="198" t="s">
        <v>51</v>
      </c>
      <c r="L5" s="198"/>
      <c r="M5" s="198"/>
      <c r="N5" s="199">
        <f ca="1">N4-1</f>
        <v>46195</v>
      </c>
      <c r="O5" s="197"/>
      <c r="P5" s="197"/>
      <c r="R5" s="70"/>
      <c r="S5" s="71"/>
    </row>
    <row r="6" spans="1:19 16383:16384" ht="15" customHeight="1" x14ac:dyDescent="0.35">
      <c r="A6" s="198" t="s">
        <v>105</v>
      </c>
      <c r="B6" s="198"/>
      <c r="C6" s="198"/>
      <c r="F6" s="70"/>
      <c r="G6" s="74"/>
      <c r="K6" s="198" t="s">
        <v>52</v>
      </c>
      <c r="L6" s="198"/>
      <c r="M6" s="198"/>
      <c r="N6" s="200" t="s">
        <v>97</v>
      </c>
      <c r="O6" s="200"/>
      <c r="P6" s="200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198"/>
      <c r="B7" s="198"/>
      <c r="C7" s="198"/>
      <c r="F7" s="70"/>
      <c r="G7" s="74"/>
      <c r="K7" s="198"/>
      <c r="L7" s="198"/>
      <c r="M7" s="198"/>
      <c r="N7" s="200"/>
      <c r="O7" s="200"/>
      <c r="P7" s="200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2"/>
      <c r="B8" s="202"/>
      <c r="C8" s="202"/>
      <c r="F8" s="70"/>
      <c r="G8" s="74"/>
      <c r="K8" s="198"/>
      <c r="L8" s="198"/>
      <c r="M8" s="198"/>
      <c r="N8" s="200"/>
      <c r="O8" s="200"/>
      <c r="P8" s="200"/>
      <c r="R8" s="70"/>
      <c r="S8" s="74"/>
    </row>
    <row r="9" spans="1:19 16383:16384" x14ac:dyDescent="0.35">
      <c r="A9" s="202"/>
      <c r="B9" s="202"/>
      <c r="C9" s="202"/>
      <c r="F9" s="70"/>
      <c r="G9" s="74"/>
      <c r="K9" s="198"/>
      <c r="L9" s="198"/>
      <c r="M9" s="198"/>
      <c r="N9" s="200"/>
      <c r="O9" s="200"/>
      <c r="P9" s="200"/>
      <c r="R9" s="70"/>
      <c r="S9" s="74"/>
      <c r="XFD9" t="s">
        <v>55</v>
      </c>
    </row>
    <row r="10" spans="1:19 16383:16384" x14ac:dyDescent="0.35">
      <c r="A10" s="203" t="s">
        <v>95</v>
      </c>
      <c r="B10" s="75" t="s">
        <v>106</v>
      </c>
      <c r="C10" s="75"/>
      <c r="F10" s="70"/>
      <c r="G10" s="71"/>
      <c r="K10" s="198" t="s">
        <v>56</v>
      </c>
      <c r="L10" s="198"/>
      <c r="M10" s="198"/>
      <c r="N10" s="197" t="s">
        <v>57</v>
      </c>
      <c r="O10" s="197"/>
      <c r="P10" s="197"/>
      <c r="R10" s="70"/>
      <c r="S10" s="71"/>
      <c r="XFD10" t="s">
        <v>58</v>
      </c>
    </row>
    <row r="11" spans="1:19 16383:16384" x14ac:dyDescent="0.35">
      <c r="A11" s="203"/>
      <c r="B11" s="76" t="s">
        <v>48</v>
      </c>
      <c r="C11" s="77" t="str">
        <f>IF($O34&gt;2.49%,"No","Yes")</f>
        <v>Yes</v>
      </c>
      <c r="F11" s="70"/>
      <c r="G11" s="71"/>
      <c r="K11" s="198" t="s">
        <v>59</v>
      </c>
      <c r="L11" s="198"/>
      <c r="M11" s="198"/>
      <c r="N11" s="197" t="s">
        <v>55</v>
      </c>
      <c r="O11" s="197"/>
      <c r="P11" s="197"/>
      <c r="R11" s="70"/>
      <c r="S11" s="71"/>
    </row>
    <row r="12" spans="1:19 16383:16384" ht="14.65" customHeight="1" x14ac:dyDescent="0.35">
      <c r="A12" s="203" t="s">
        <v>60</v>
      </c>
      <c r="B12" s="76" t="s">
        <v>54</v>
      </c>
      <c r="C12" s="77" t="str">
        <f>IF($O32&gt;21.99%,"No","Yes")</f>
        <v>No</v>
      </c>
      <c r="F12" s="70"/>
      <c r="G12" s="71"/>
      <c r="K12" s="198" t="s">
        <v>61</v>
      </c>
      <c r="L12" s="198"/>
      <c r="M12" s="198"/>
      <c r="N12" s="197"/>
      <c r="O12" s="197"/>
      <c r="P12" s="197"/>
      <c r="R12" s="70"/>
      <c r="S12" s="71"/>
      <c r="XFD12" t="s">
        <v>62</v>
      </c>
    </row>
    <row r="13" spans="1:19 16383:16384" ht="15" thickBot="1" x14ac:dyDescent="0.4">
      <c r="A13" s="240"/>
      <c r="B13" s="64">
        <v>3520255124113</v>
      </c>
      <c r="D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10"/>
      <c r="C14" s="204" t="s">
        <v>65</v>
      </c>
      <c r="D14" s="80" t="s">
        <v>2</v>
      </c>
      <c r="E14" s="81" t="s">
        <v>66</v>
      </c>
      <c r="F14" s="82" t="s">
        <v>67</v>
      </c>
      <c r="G14" s="244" t="s">
        <v>68</v>
      </c>
      <c r="H14" s="245"/>
      <c r="I14" s="246" t="s">
        <v>69</v>
      </c>
      <c r="J14" s="244" t="s">
        <v>70</v>
      </c>
      <c r="K14" s="248"/>
      <c r="L14" s="245"/>
      <c r="M14" s="24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11"/>
      <c r="C15" s="20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7"/>
      <c r="J15" s="88" t="s">
        <v>78</v>
      </c>
      <c r="K15" s="90" t="s">
        <v>79</v>
      </c>
      <c r="L15" s="91" t="s">
        <v>80</v>
      </c>
      <c r="M15" s="247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2" t="s">
        <v>84</v>
      </c>
      <c r="B25" s="223"/>
      <c r="C25" s="224"/>
      <c r="D25" s="218"/>
      <c r="E25" s="218"/>
      <c r="F25" s="24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5" t="s">
        <v>85</v>
      </c>
      <c r="C28" s="226"/>
      <c r="D28" s="226"/>
      <c r="E28" s="226"/>
      <c r="F28" s="226"/>
      <c r="G28" s="226"/>
      <c r="H28" s="226"/>
      <c r="I28" s="226"/>
      <c r="J28" s="226"/>
      <c r="K28" s="226"/>
      <c r="L28" s="227"/>
      <c r="N28" s="234" t="s">
        <v>86</v>
      </c>
      <c r="O28" s="235"/>
      <c r="P28" s="152">
        <f>I25</f>
        <v>0</v>
      </c>
    </row>
    <row r="29" spans="1:19 16384:16384" ht="15" customHeight="1" x14ac:dyDescent="0.35">
      <c r="B29" s="228"/>
      <c r="C29" s="229"/>
      <c r="D29" s="229"/>
      <c r="E29" s="229"/>
      <c r="F29" s="229"/>
      <c r="G29" s="229"/>
      <c r="H29" s="229"/>
      <c r="I29" s="229"/>
      <c r="J29" s="229"/>
      <c r="K29" s="229"/>
      <c r="L29" s="230"/>
      <c r="N29" s="236" t="s">
        <v>87</v>
      </c>
      <c r="O29" s="237"/>
      <c r="P29" s="153">
        <f>L25</f>
        <v>0</v>
      </c>
    </row>
    <row r="30" spans="1:19 16384:16384" ht="15" customHeight="1" x14ac:dyDescent="0.35">
      <c r="B30" s="228"/>
      <c r="C30" s="229"/>
      <c r="D30" s="229"/>
      <c r="E30" s="229"/>
      <c r="F30" s="229"/>
      <c r="G30" s="229"/>
      <c r="H30" s="229"/>
      <c r="I30" s="229"/>
      <c r="J30" s="229"/>
      <c r="K30" s="229"/>
      <c r="L30" s="230"/>
      <c r="N30" s="236" t="s">
        <v>4</v>
      </c>
      <c r="O30" s="237"/>
      <c r="P30" s="154">
        <f>K25</f>
        <v>0</v>
      </c>
    </row>
    <row r="31" spans="1:19 16384:16384" ht="15" customHeight="1" x14ac:dyDescent="0.35">
      <c r="B31" s="228"/>
      <c r="C31" s="229"/>
      <c r="D31" s="229"/>
      <c r="E31" s="229"/>
      <c r="F31" s="229"/>
      <c r="G31" s="229"/>
      <c r="H31" s="229"/>
      <c r="I31" s="229"/>
      <c r="J31" s="229"/>
      <c r="K31" s="229"/>
      <c r="L31" s="230"/>
      <c r="M31" s="2"/>
      <c r="N31" s="236" t="s">
        <v>88</v>
      </c>
      <c r="O31" s="237"/>
      <c r="P31" s="153">
        <f>P28-P29-P30</f>
        <v>0</v>
      </c>
    </row>
    <row r="32" spans="1:19 16384:16384" ht="15" customHeight="1" x14ac:dyDescent="0.35">
      <c r="B32" s="228"/>
      <c r="C32" s="229"/>
      <c r="D32" s="229"/>
      <c r="E32" s="229"/>
      <c r="F32" s="229"/>
      <c r="G32" s="229"/>
      <c r="H32" s="229"/>
      <c r="I32" s="229"/>
      <c r="J32" s="229"/>
      <c r="K32" s="229"/>
      <c r="L32" s="230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8"/>
      <c r="C33" s="229"/>
      <c r="D33" s="229"/>
      <c r="E33" s="229"/>
      <c r="F33" s="229"/>
      <c r="G33" s="229"/>
      <c r="H33" s="229"/>
      <c r="I33" s="229"/>
      <c r="J33" s="229"/>
      <c r="K33" s="229"/>
      <c r="L33" s="230"/>
      <c r="M33" s="2"/>
      <c r="N33" s="238" t="s">
        <v>90</v>
      </c>
      <c r="O33" s="239"/>
      <c r="P33" s="153">
        <f>P31+P32</f>
        <v>0</v>
      </c>
    </row>
    <row r="34" spans="2:16" ht="15" customHeight="1" thickBot="1" x14ac:dyDescent="0.4">
      <c r="B34" s="231"/>
      <c r="C34" s="232"/>
      <c r="D34" s="232"/>
      <c r="E34" s="232"/>
      <c r="F34" s="232"/>
      <c r="G34" s="232"/>
      <c r="H34" s="232"/>
      <c r="I34" s="232"/>
      <c r="J34" s="232"/>
      <c r="K34" s="232"/>
      <c r="L34" s="233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6" t="s">
        <v>92</v>
      </c>
      <c r="O35" s="217"/>
      <c r="P35" s="160">
        <f>P33+P34</f>
        <v>0</v>
      </c>
    </row>
    <row r="36" spans="2:16" ht="15" thickBot="1" x14ac:dyDescent="0.4">
      <c r="B36" s="161" t="s">
        <v>93</v>
      </c>
      <c r="C36" s="218"/>
      <c r="D36" s="218"/>
      <c r="E36" s="218"/>
      <c r="F36" s="218"/>
      <c r="G36" s="218"/>
      <c r="H36" s="218"/>
      <c r="I36" s="219"/>
      <c r="J36" s="220"/>
      <c r="K36" s="221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16.4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6" t="s">
        <v>45</v>
      </c>
      <c r="B2" s="196"/>
      <c r="C2" s="196"/>
    </row>
    <row r="3" spans="1:19 16383:16384" ht="15" customHeight="1" x14ac:dyDescent="0.35">
      <c r="A3" s="197" t="s">
        <v>46</v>
      </c>
      <c r="B3" s="197"/>
      <c r="C3" s="197"/>
      <c r="F3" s="70"/>
      <c r="G3" s="71"/>
      <c r="K3" s="198" t="s">
        <v>47</v>
      </c>
      <c r="L3" s="198"/>
      <c r="M3" s="198"/>
      <c r="N3" s="197">
        <v>10</v>
      </c>
      <c r="O3" s="197"/>
      <c r="P3" s="19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7" t="s">
        <v>94</v>
      </c>
      <c r="B4" s="197"/>
      <c r="C4" s="197"/>
      <c r="F4" s="70"/>
      <c r="G4" s="71"/>
      <c r="K4" s="198" t="s">
        <v>49</v>
      </c>
      <c r="L4" s="198"/>
      <c r="M4" s="198"/>
      <c r="N4" s="199">
        <f ca="1">TODAY()</f>
        <v>46196</v>
      </c>
      <c r="O4" s="199"/>
      <c r="P4" s="199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3" t="s">
        <v>104</v>
      </c>
      <c r="B5" s="243"/>
      <c r="C5" s="243"/>
      <c r="F5" s="70"/>
      <c r="G5" s="71"/>
      <c r="K5" s="198" t="s">
        <v>51</v>
      </c>
      <c r="L5" s="198"/>
      <c r="M5" s="198"/>
      <c r="N5" s="199">
        <f ca="1">N4-1</f>
        <v>46195</v>
      </c>
      <c r="O5" s="197"/>
      <c r="P5" s="197"/>
      <c r="R5" s="70"/>
      <c r="S5" s="71"/>
    </row>
    <row r="6" spans="1:19 16383:16384" ht="15" customHeight="1" x14ac:dyDescent="0.35">
      <c r="A6" s="198" t="s">
        <v>105</v>
      </c>
      <c r="B6" s="198"/>
      <c r="C6" s="198"/>
      <c r="F6" s="70"/>
      <c r="G6" s="74"/>
      <c r="K6" s="198" t="s">
        <v>52</v>
      </c>
      <c r="L6" s="198"/>
      <c r="M6" s="198"/>
      <c r="N6" s="200" t="s">
        <v>97</v>
      </c>
      <c r="O6" s="200"/>
      <c r="P6" s="200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198"/>
      <c r="B7" s="198"/>
      <c r="C7" s="198"/>
      <c r="F7" s="70"/>
      <c r="G7" s="74"/>
      <c r="K7" s="198"/>
      <c r="L7" s="198"/>
      <c r="M7" s="198"/>
      <c r="N7" s="200"/>
      <c r="O7" s="200"/>
      <c r="P7" s="200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2"/>
      <c r="B8" s="202"/>
      <c r="C8" s="202"/>
      <c r="F8" s="70"/>
      <c r="G8" s="74"/>
      <c r="K8" s="198"/>
      <c r="L8" s="198"/>
      <c r="M8" s="198"/>
      <c r="N8" s="200"/>
      <c r="O8" s="200"/>
      <c r="P8" s="200"/>
      <c r="R8" s="70"/>
      <c r="S8" s="74"/>
    </row>
    <row r="9" spans="1:19 16383:16384" x14ac:dyDescent="0.35">
      <c r="A9" s="202"/>
      <c r="B9" s="202"/>
      <c r="C9" s="202"/>
      <c r="F9" s="70"/>
      <c r="G9" s="74"/>
      <c r="K9" s="198"/>
      <c r="L9" s="198"/>
      <c r="M9" s="198"/>
      <c r="N9" s="200"/>
      <c r="O9" s="200"/>
      <c r="P9" s="200"/>
      <c r="R9" s="70"/>
      <c r="S9" s="74"/>
      <c r="XFD9" t="s">
        <v>55</v>
      </c>
    </row>
    <row r="10" spans="1:19 16383:16384" x14ac:dyDescent="0.35">
      <c r="A10" s="203" t="s">
        <v>95</v>
      </c>
      <c r="B10" s="75" t="s">
        <v>106</v>
      </c>
      <c r="C10" s="75"/>
      <c r="F10" s="70"/>
      <c r="G10" s="71"/>
      <c r="K10" s="198" t="s">
        <v>56</v>
      </c>
      <c r="L10" s="198"/>
      <c r="M10" s="198"/>
      <c r="N10" s="197" t="s">
        <v>57</v>
      </c>
      <c r="O10" s="197"/>
      <c r="P10" s="197"/>
      <c r="R10" s="70"/>
      <c r="S10" s="71"/>
      <c r="XFD10" t="s">
        <v>58</v>
      </c>
    </row>
    <row r="11" spans="1:19 16383:16384" x14ac:dyDescent="0.35">
      <c r="A11" s="203"/>
      <c r="B11" s="76" t="s">
        <v>48</v>
      </c>
      <c r="C11" s="77" t="str">
        <f>IF($O34&gt;2.49%,"No","Yes")</f>
        <v>Yes</v>
      </c>
      <c r="F11" s="70"/>
      <c r="G11" s="71"/>
      <c r="K11" s="198" t="s">
        <v>59</v>
      </c>
      <c r="L11" s="198"/>
      <c r="M11" s="198"/>
      <c r="N11" s="197" t="s">
        <v>55</v>
      </c>
      <c r="O11" s="197"/>
      <c r="P11" s="197"/>
      <c r="R11" s="70"/>
      <c r="S11" s="71"/>
    </row>
    <row r="12" spans="1:19 16383:16384" ht="14.65" customHeight="1" x14ac:dyDescent="0.35">
      <c r="A12" s="203" t="s">
        <v>60</v>
      </c>
      <c r="B12" s="76" t="s">
        <v>54</v>
      </c>
      <c r="C12" s="77" t="str">
        <f>IF($O32&gt;21.99%,"No","Yes")</f>
        <v>No</v>
      </c>
      <c r="F12" s="70"/>
      <c r="G12" s="71"/>
      <c r="K12" s="198" t="s">
        <v>61</v>
      </c>
      <c r="L12" s="198"/>
      <c r="M12" s="198"/>
      <c r="N12" s="197"/>
      <c r="O12" s="197"/>
      <c r="P12" s="197"/>
      <c r="R12" s="70"/>
      <c r="S12" s="71"/>
      <c r="XFD12" t="s">
        <v>62</v>
      </c>
    </row>
    <row r="13" spans="1:19 16383:16384" ht="15" thickBot="1" x14ac:dyDescent="0.4">
      <c r="A13" s="240"/>
      <c r="B13" s="64">
        <v>3520255124113</v>
      </c>
      <c r="D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10"/>
      <c r="C14" s="204" t="s">
        <v>65</v>
      </c>
      <c r="D14" s="80" t="s">
        <v>2</v>
      </c>
      <c r="E14" s="81" t="s">
        <v>66</v>
      </c>
      <c r="F14" s="82" t="s">
        <v>67</v>
      </c>
      <c r="G14" s="244" t="s">
        <v>68</v>
      </c>
      <c r="H14" s="245"/>
      <c r="I14" s="246" t="s">
        <v>69</v>
      </c>
      <c r="J14" s="244" t="s">
        <v>70</v>
      </c>
      <c r="K14" s="248"/>
      <c r="L14" s="245"/>
      <c r="M14" s="24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11"/>
      <c r="C15" s="20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7"/>
      <c r="J15" s="88" t="s">
        <v>78</v>
      </c>
      <c r="K15" s="90" t="s">
        <v>79</v>
      </c>
      <c r="L15" s="91" t="s">
        <v>80</v>
      </c>
      <c r="M15" s="247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2" t="s">
        <v>84</v>
      </c>
      <c r="B25" s="223"/>
      <c r="C25" s="224"/>
      <c r="D25" s="218"/>
      <c r="E25" s="218"/>
      <c r="F25" s="24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5" t="s">
        <v>85</v>
      </c>
      <c r="C28" s="226"/>
      <c r="D28" s="226"/>
      <c r="E28" s="226"/>
      <c r="F28" s="226"/>
      <c r="G28" s="226"/>
      <c r="H28" s="226"/>
      <c r="I28" s="226"/>
      <c r="J28" s="226"/>
      <c r="K28" s="226"/>
      <c r="L28" s="227"/>
      <c r="N28" s="234" t="s">
        <v>86</v>
      </c>
      <c r="O28" s="235"/>
      <c r="P28" s="152">
        <f>I25</f>
        <v>0</v>
      </c>
    </row>
    <row r="29" spans="1:19 16384:16384" ht="15" customHeight="1" x14ac:dyDescent="0.35">
      <c r="B29" s="228"/>
      <c r="C29" s="229"/>
      <c r="D29" s="229"/>
      <c r="E29" s="229"/>
      <c r="F29" s="229"/>
      <c r="G29" s="229"/>
      <c r="H29" s="229"/>
      <c r="I29" s="229"/>
      <c r="J29" s="229"/>
      <c r="K29" s="229"/>
      <c r="L29" s="230"/>
      <c r="N29" s="236" t="s">
        <v>87</v>
      </c>
      <c r="O29" s="237"/>
      <c r="P29" s="153">
        <f>L25</f>
        <v>0</v>
      </c>
    </row>
    <row r="30" spans="1:19 16384:16384" ht="15" customHeight="1" x14ac:dyDescent="0.35">
      <c r="B30" s="228"/>
      <c r="C30" s="229"/>
      <c r="D30" s="229"/>
      <c r="E30" s="229"/>
      <c r="F30" s="229"/>
      <c r="G30" s="229"/>
      <c r="H30" s="229"/>
      <c r="I30" s="229"/>
      <c r="J30" s="229"/>
      <c r="K30" s="229"/>
      <c r="L30" s="230"/>
      <c r="N30" s="236" t="s">
        <v>4</v>
      </c>
      <c r="O30" s="237"/>
      <c r="P30" s="154">
        <f>K25</f>
        <v>0</v>
      </c>
    </row>
    <row r="31" spans="1:19 16384:16384" ht="15" customHeight="1" x14ac:dyDescent="0.35">
      <c r="B31" s="228"/>
      <c r="C31" s="229"/>
      <c r="D31" s="229"/>
      <c r="E31" s="229"/>
      <c r="F31" s="229"/>
      <c r="G31" s="229"/>
      <c r="H31" s="229"/>
      <c r="I31" s="229"/>
      <c r="J31" s="229"/>
      <c r="K31" s="229"/>
      <c r="L31" s="230"/>
      <c r="M31" s="2"/>
      <c r="N31" s="236" t="s">
        <v>88</v>
      </c>
      <c r="O31" s="237"/>
      <c r="P31" s="153">
        <f>P28-P29-P30</f>
        <v>0</v>
      </c>
    </row>
    <row r="32" spans="1:19 16384:16384" ht="15" customHeight="1" x14ac:dyDescent="0.35">
      <c r="B32" s="228"/>
      <c r="C32" s="229"/>
      <c r="D32" s="229"/>
      <c r="E32" s="229"/>
      <c r="F32" s="229"/>
      <c r="G32" s="229"/>
      <c r="H32" s="229"/>
      <c r="I32" s="229"/>
      <c r="J32" s="229"/>
      <c r="K32" s="229"/>
      <c r="L32" s="230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8"/>
      <c r="C33" s="229"/>
      <c r="D33" s="229"/>
      <c r="E33" s="229"/>
      <c r="F33" s="229"/>
      <c r="G33" s="229"/>
      <c r="H33" s="229"/>
      <c r="I33" s="229"/>
      <c r="J33" s="229"/>
      <c r="K33" s="229"/>
      <c r="L33" s="230"/>
      <c r="M33" s="2"/>
      <c r="N33" s="238" t="s">
        <v>90</v>
      </c>
      <c r="O33" s="239"/>
      <c r="P33" s="153">
        <f>P31+P32</f>
        <v>0</v>
      </c>
    </row>
    <row r="34" spans="2:16" ht="15" customHeight="1" thickBot="1" x14ac:dyDescent="0.4">
      <c r="B34" s="231"/>
      <c r="C34" s="232"/>
      <c r="D34" s="232"/>
      <c r="E34" s="232"/>
      <c r="F34" s="232"/>
      <c r="G34" s="232"/>
      <c r="H34" s="232"/>
      <c r="I34" s="232"/>
      <c r="J34" s="232"/>
      <c r="K34" s="232"/>
      <c r="L34" s="233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6" t="s">
        <v>92</v>
      </c>
      <c r="O35" s="217"/>
      <c r="P35" s="160">
        <f>P33+P34</f>
        <v>0</v>
      </c>
    </row>
    <row r="36" spans="2:16" ht="15" thickBot="1" x14ac:dyDescent="0.4">
      <c r="B36" s="161" t="s">
        <v>93</v>
      </c>
      <c r="C36" s="218"/>
      <c r="D36" s="218"/>
      <c r="E36" s="218"/>
      <c r="F36" s="218"/>
      <c r="G36" s="218"/>
      <c r="H36" s="218"/>
      <c r="I36" s="219"/>
      <c r="J36" s="220"/>
      <c r="K36" s="221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16.4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6" t="s">
        <v>45</v>
      </c>
      <c r="B2" s="196"/>
      <c r="C2" s="196"/>
    </row>
    <row r="3" spans="1:19 16383:16384" ht="15" customHeight="1" x14ac:dyDescent="0.35">
      <c r="A3" s="197" t="s">
        <v>46</v>
      </c>
      <c r="B3" s="197"/>
      <c r="C3" s="197"/>
      <c r="F3" s="70"/>
      <c r="G3" s="71"/>
      <c r="K3" s="198" t="s">
        <v>47</v>
      </c>
      <c r="L3" s="198"/>
      <c r="M3" s="198"/>
      <c r="N3" s="197">
        <v>10</v>
      </c>
      <c r="O3" s="197"/>
      <c r="P3" s="19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7" t="s">
        <v>94</v>
      </c>
      <c r="B4" s="197"/>
      <c r="C4" s="197"/>
      <c r="F4" s="70"/>
      <c r="G4" s="71"/>
      <c r="K4" s="198" t="s">
        <v>49</v>
      </c>
      <c r="L4" s="198"/>
      <c r="M4" s="198"/>
      <c r="N4" s="199">
        <f ca="1">TODAY()</f>
        <v>46196</v>
      </c>
      <c r="O4" s="199"/>
      <c r="P4" s="199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3" t="s">
        <v>104</v>
      </c>
      <c r="B5" s="243"/>
      <c r="C5" s="243"/>
      <c r="F5" s="70"/>
      <c r="G5" s="71"/>
      <c r="K5" s="198" t="s">
        <v>51</v>
      </c>
      <c r="L5" s="198"/>
      <c r="M5" s="198"/>
      <c r="N5" s="199">
        <f ca="1">N4-1</f>
        <v>46195</v>
      </c>
      <c r="O5" s="197"/>
      <c r="P5" s="197"/>
      <c r="R5" s="70"/>
      <c r="S5" s="71"/>
    </row>
    <row r="6" spans="1:19 16383:16384" ht="15" customHeight="1" x14ac:dyDescent="0.35">
      <c r="A6" s="198" t="s">
        <v>105</v>
      </c>
      <c r="B6" s="198"/>
      <c r="C6" s="198"/>
      <c r="F6" s="70"/>
      <c r="G6" s="74"/>
      <c r="K6" s="198" t="s">
        <v>52</v>
      </c>
      <c r="L6" s="198"/>
      <c r="M6" s="198"/>
      <c r="N6" s="200" t="s">
        <v>97</v>
      </c>
      <c r="O6" s="200"/>
      <c r="P6" s="200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198"/>
      <c r="B7" s="198"/>
      <c r="C7" s="198"/>
      <c r="F7" s="70"/>
      <c r="G7" s="74"/>
      <c r="K7" s="198"/>
      <c r="L7" s="198"/>
      <c r="M7" s="198"/>
      <c r="N7" s="200"/>
      <c r="O7" s="200"/>
      <c r="P7" s="200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2"/>
      <c r="B8" s="202"/>
      <c r="C8" s="202"/>
      <c r="F8" s="70"/>
      <c r="G8" s="74"/>
      <c r="K8" s="198"/>
      <c r="L8" s="198"/>
      <c r="M8" s="198"/>
      <c r="N8" s="200"/>
      <c r="O8" s="200"/>
      <c r="P8" s="200"/>
      <c r="R8" s="70"/>
      <c r="S8" s="74"/>
    </row>
    <row r="9" spans="1:19 16383:16384" x14ac:dyDescent="0.35">
      <c r="A9" s="202"/>
      <c r="B9" s="202"/>
      <c r="C9" s="202"/>
      <c r="F9" s="70"/>
      <c r="G9" s="74"/>
      <c r="K9" s="198"/>
      <c r="L9" s="198"/>
      <c r="M9" s="198"/>
      <c r="N9" s="200"/>
      <c r="O9" s="200"/>
      <c r="P9" s="200"/>
      <c r="R9" s="70"/>
      <c r="S9" s="74"/>
      <c r="XFD9" t="s">
        <v>55</v>
      </c>
    </row>
    <row r="10" spans="1:19 16383:16384" x14ac:dyDescent="0.35">
      <c r="A10" s="203" t="s">
        <v>95</v>
      </c>
      <c r="B10" s="75" t="s">
        <v>106</v>
      </c>
      <c r="C10" s="75"/>
      <c r="F10" s="70"/>
      <c r="G10" s="71"/>
      <c r="K10" s="198" t="s">
        <v>56</v>
      </c>
      <c r="L10" s="198"/>
      <c r="M10" s="198"/>
      <c r="N10" s="197" t="s">
        <v>57</v>
      </c>
      <c r="O10" s="197"/>
      <c r="P10" s="197"/>
      <c r="R10" s="70"/>
      <c r="S10" s="71"/>
      <c r="XFD10" t="s">
        <v>58</v>
      </c>
    </row>
    <row r="11" spans="1:19 16383:16384" x14ac:dyDescent="0.35">
      <c r="A11" s="203"/>
      <c r="B11" s="76" t="s">
        <v>48</v>
      </c>
      <c r="C11" s="77" t="str">
        <f>IF($O34&gt;2.49%,"No","Yes")</f>
        <v>Yes</v>
      </c>
      <c r="F11" s="70"/>
      <c r="G11" s="71"/>
      <c r="K11" s="198" t="s">
        <v>59</v>
      </c>
      <c r="L11" s="198"/>
      <c r="M11" s="198"/>
      <c r="N11" s="197" t="s">
        <v>55</v>
      </c>
      <c r="O11" s="197"/>
      <c r="P11" s="197"/>
      <c r="R11" s="70"/>
      <c r="S11" s="71"/>
    </row>
    <row r="12" spans="1:19 16383:16384" ht="14.65" customHeight="1" x14ac:dyDescent="0.35">
      <c r="A12" s="203" t="s">
        <v>60</v>
      </c>
      <c r="B12" s="76" t="s">
        <v>54</v>
      </c>
      <c r="C12" s="77" t="str">
        <f>IF($O32&gt;21.99%,"No","Yes")</f>
        <v>No</v>
      </c>
      <c r="F12" s="70"/>
      <c r="G12" s="71"/>
      <c r="K12" s="198" t="s">
        <v>61</v>
      </c>
      <c r="L12" s="198"/>
      <c r="M12" s="198"/>
      <c r="N12" s="197"/>
      <c r="O12" s="197"/>
      <c r="P12" s="197"/>
      <c r="R12" s="70"/>
      <c r="S12" s="71"/>
      <c r="XFD12" t="s">
        <v>62</v>
      </c>
    </row>
    <row r="13" spans="1:19 16383:16384" ht="15" thickBot="1" x14ac:dyDescent="0.4">
      <c r="A13" s="240"/>
      <c r="B13" s="64">
        <v>3520255124113</v>
      </c>
      <c r="D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10"/>
      <c r="C14" s="204" t="s">
        <v>65</v>
      </c>
      <c r="D14" s="80" t="s">
        <v>2</v>
      </c>
      <c r="E14" s="81" t="s">
        <v>66</v>
      </c>
      <c r="F14" s="82" t="s">
        <v>67</v>
      </c>
      <c r="G14" s="244" t="s">
        <v>68</v>
      </c>
      <c r="H14" s="245"/>
      <c r="I14" s="246" t="s">
        <v>69</v>
      </c>
      <c r="J14" s="244" t="s">
        <v>70</v>
      </c>
      <c r="K14" s="248"/>
      <c r="L14" s="245"/>
      <c r="M14" s="24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11"/>
      <c r="C15" s="20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7"/>
      <c r="J15" s="88" t="s">
        <v>78</v>
      </c>
      <c r="K15" s="90" t="s">
        <v>79</v>
      </c>
      <c r="L15" s="91" t="s">
        <v>80</v>
      </c>
      <c r="M15" s="247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2" t="s">
        <v>84</v>
      </c>
      <c r="B25" s="223"/>
      <c r="C25" s="224"/>
      <c r="D25" s="218"/>
      <c r="E25" s="218"/>
      <c r="F25" s="24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5" t="s">
        <v>85</v>
      </c>
      <c r="C28" s="226"/>
      <c r="D28" s="226"/>
      <c r="E28" s="226"/>
      <c r="F28" s="226"/>
      <c r="G28" s="226"/>
      <c r="H28" s="226"/>
      <c r="I28" s="226"/>
      <c r="J28" s="226"/>
      <c r="K28" s="226"/>
      <c r="L28" s="227"/>
      <c r="N28" s="234" t="s">
        <v>86</v>
      </c>
      <c r="O28" s="235"/>
      <c r="P28" s="152">
        <f>I25</f>
        <v>0</v>
      </c>
    </row>
    <row r="29" spans="1:19 16384:16384" ht="15" customHeight="1" x14ac:dyDescent="0.35">
      <c r="B29" s="228"/>
      <c r="C29" s="229"/>
      <c r="D29" s="229"/>
      <c r="E29" s="229"/>
      <c r="F29" s="229"/>
      <c r="G29" s="229"/>
      <c r="H29" s="229"/>
      <c r="I29" s="229"/>
      <c r="J29" s="229"/>
      <c r="K29" s="229"/>
      <c r="L29" s="230"/>
      <c r="N29" s="236" t="s">
        <v>87</v>
      </c>
      <c r="O29" s="237"/>
      <c r="P29" s="153">
        <f>L25</f>
        <v>0</v>
      </c>
    </row>
    <row r="30" spans="1:19 16384:16384" ht="15" customHeight="1" x14ac:dyDescent="0.35">
      <c r="B30" s="228"/>
      <c r="C30" s="229"/>
      <c r="D30" s="229"/>
      <c r="E30" s="229"/>
      <c r="F30" s="229"/>
      <c r="G30" s="229"/>
      <c r="H30" s="229"/>
      <c r="I30" s="229"/>
      <c r="J30" s="229"/>
      <c r="K30" s="229"/>
      <c r="L30" s="230"/>
      <c r="N30" s="236" t="s">
        <v>4</v>
      </c>
      <c r="O30" s="237"/>
      <c r="P30" s="154">
        <f>K25</f>
        <v>0</v>
      </c>
    </row>
    <row r="31" spans="1:19 16384:16384" ht="15" customHeight="1" x14ac:dyDescent="0.35">
      <c r="B31" s="228"/>
      <c r="C31" s="229"/>
      <c r="D31" s="229"/>
      <c r="E31" s="229"/>
      <c r="F31" s="229"/>
      <c r="G31" s="229"/>
      <c r="H31" s="229"/>
      <c r="I31" s="229"/>
      <c r="J31" s="229"/>
      <c r="K31" s="229"/>
      <c r="L31" s="230"/>
      <c r="M31" s="2"/>
      <c r="N31" s="236" t="s">
        <v>88</v>
      </c>
      <c r="O31" s="237"/>
      <c r="P31" s="153">
        <f>P28-P29-P30</f>
        <v>0</v>
      </c>
    </row>
    <row r="32" spans="1:19 16384:16384" ht="15" customHeight="1" x14ac:dyDescent="0.35">
      <c r="B32" s="228"/>
      <c r="C32" s="229"/>
      <c r="D32" s="229"/>
      <c r="E32" s="229"/>
      <c r="F32" s="229"/>
      <c r="G32" s="229"/>
      <c r="H32" s="229"/>
      <c r="I32" s="229"/>
      <c r="J32" s="229"/>
      <c r="K32" s="229"/>
      <c r="L32" s="230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8"/>
      <c r="C33" s="229"/>
      <c r="D33" s="229"/>
      <c r="E33" s="229"/>
      <c r="F33" s="229"/>
      <c r="G33" s="229"/>
      <c r="H33" s="229"/>
      <c r="I33" s="229"/>
      <c r="J33" s="229"/>
      <c r="K33" s="229"/>
      <c r="L33" s="230"/>
      <c r="M33" s="2"/>
      <c r="N33" s="238" t="s">
        <v>90</v>
      </c>
      <c r="O33" s="239"/>
      <c r="P33" s="153">
        <f>P31+P32</f>
        <v>0</v>
      </c>
    </row>
    <row r="34" spans="2:16" ht="15" customHeight="1" thickBot="1" x14ac:dyDescent="0.4">
      <c r="B34" s="231"/>
      <c r="C34" s="232"/>
      <c r="D34" s="232"/>
      <c r="E34" s="232"/>
      <c r="F34" s="232"/>
      <c r="G34" s="232"/>
      <c r="H34" s="232"/>
      <c r="I34" s="232"/>
      <c r="J34" s="232"/>
      <c r="K34" s="232"/>
      <c r="L34" s="233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6" t="s">
        <v>92</v>
      </c>
      <c r="O35" s="217"/>
      <c r="P35" s="160">
        <f>P33+P34</f>
        <v>0</v>
      </c>
    </row>
    <row r="36" spans="2:16" ht="15" thickBot="1" x14ac:dyDescent="0.4">
      <c r="B36" s="161" t="s">
        <v>93</v>
      </c>
      <c r="C36" s="218"/>
      <c r="D36" s="218"/>
      <c r="E36" s="218"/>
      <c r="F36" s="218"/>
      <c r="G36" s="218"/>
      <c r="H36" s="218"/>
      <c r="I36" s="219"/>
      <c r="J36" s="220"/>
      <c r="K36" s="221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16.4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6" t="s">
        <v>45</v>
      </c>
      <c r="B2" s="196"/>
      <c r="C2" s="196"/>
    </row>
    <row r="3" spans="1:19 16383:16384" ht="15" customHeight="1" x14ac:dyDescent="0.35">
      <c r="A3" s="197" t="s">
        <v>46</v>
      </c>
      <c r="B3" s="197"/>
      <c r="C3" s="197"/>
      <c r="F3" s="70"/>
      <c r="G3" s="71"/>
      <c r="K3" s="198" t="s">
        <v>47</v>
      </c>
      <c r="L3" s="198"/>
      <c r="M3" s="198"/>
      <c r="N3" s="197">
        <v>10</v>
      </c>
      <c r="O3" s="197"/>
      <c r="P3" s="19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7" t="s">
        <v>94</v>
      </c>
      <c r="B4" s="197"/>
      <c r="C4" s="197"/>
      <c r="F4" s="70"/>
      <c r="G4" s="71"/>
      <c r="K4" s="198" t="s">
        <v>49</v>
      </c>
      <c r="L4" s="198"/>
      <c r="M4" s="198"/>
      <c r="N4" s="199">
        <f ca="1">TODAY()</f>
        <v>46196</v>
      </c>
      <c r="O4" s="199"/>
      <c r="P4" s="199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3" t="s">
        <v>104</v>
      </c>
      <c r="B5" s="243"/>
      <c r="C5" s="243"/>
      <c r="F5" s="70"/>
      <c r="G5" s="71"/>
      <c r="K5" s="198" t="s">
        <v>51</v>
      </c>
      <c r="L5" s="198"/>
      <c r="M5" s="198"/>
      <c r="N5" s="199">
        <f ca="1">N4-1</f>
        <v>46195</v>
      </c>
      <c r="O5" s="197"/>
      <c r="P5" s="197"/>
      <c r="R5" s="70"/>
      <c r="S5" s="71"/>
    </row>
    <row r="6" spans="1:19 16383:16384" ht="15" customHeight="1" x14ac:dyDescent="0.35">
      <c r="A6" s="198" t="s">
        <v>105</v>
      </c>
      <c r="B6" s="198"/>
      <c r="C6" s="198"/>
      <c r="F6" s="70"/>
      <c r="G6" s="74"/>
      <c r="K6" s="198" t="s">
        <v>52</v>
      </c>
      <c r="L6" s="198"/>
      <c r="M6" s="198"/>
      <c r="N6" s="200" t="s">
        <v>97</v>
      </c>
      <c r="O6" s="200"/>
      <c r="P6" s="200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198"/>
      <c r="B7" s="198"/>
      <c r="C7" s="198"/>
      <c r="F7" s="70"/>
      <c r="G7" s="74"/>
      <c r="K7" s="198"/>
      <c r="L7" s="198"/>
      <c r="M7" s="198"/>
      <c r="N7" s="200"/>
      <c r="O7" s="200"/>
      <c r="P7" s="200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2"/>
      <c r="B8" s="202"/>
      <c r="C8" s="202"/>
      <c r="F8" s="70"/>
      <c r="G8" s="74"/>
      <c r="K8" s="198"/>
      <c r="L8" s="198"/>
      <c r="M8" s="198"/>
      <c r="N8" s="200"/>
      <c r="O8" s="200"/>
      <c r="P8" s="200"/>
      <c r="R8" s="70"/>
      <c r="S8" s="74"/>
    </row>
    <row r="9" spans="1:19 16383:16384" x14ac:dyDescent="0.35">
      <c r="A9" s="202"/>
      <c r="B9" s="202"/>
      <c r="C9" s="202"/>
      <c r="F9" s="70"/>
      <c r="G9" s="74"/>
      <c r="K9" s="198"/>
      <c r="L9" s="198"/>
      <c r="M9" s="198"/>
      <c r="N9" s="200"/>
      <c r="O9" s="200"/>
      <c r="P9" s="200"/>
      <c r="R9" s="70"/>
      <c r="S9" s="74"/>
      <c r="XFD9" t="s">
        <v>55</v>
      </c>
    </row>
    <row r="10" spans="1:19 16383:16384" x14ac:dyDescent="0.35">
      <c r="A10" s="203" t="s">
        <v>95</v>
      </c>
      <c r="B10" s="75" t="s">
        <v>106</v>
      </c>
      <c r="C10" s="75"/>
      <c r="F10" s="70"/>
      <c r="G10" s="71"/>
      <c r="K10" s="198" t="s">
        <v>56</v>
      </c>
      <c r="L10" s="198"/>
      <c r="M10" s="198"/>
      <c r="N10" s="197" t="s">
        <v>57</v>
      </c>
      <c r="O10" s="197"/>
      <c r="P10" s="197"/>
      <c r="R10" s="70"/>
      <c r="S10" s="71"/>
      <c r="XFD10" t="s">
        <v>58</v>
      </c>
    </row>
    <row r="11" spans="1:19 16383:16384" x14ac:dyDescent="0.35">
      <c r="A11" s="203"/>
      <c r="B11" s="76" t="s">
        <v>48</v>
      </c>
      <c r="C11" s="77" t="str">
        <f>IF($O34&gt;2.49%,"No","Yes")</f>
        <v>Yes</v>
      </c>
      <c r="F11" s="70"/>
      <c r="G11" s="71"/>
      <c r="K11" s="198" t="s">
        <v>59</v>
      </c>
      <c r="L11" s="198"/>
      <c r="M11" s="198"/>
      <c r="N11" s="197" t="s">
        <v>55</v>
      </c>
      <c r="O11" s="197"/>
      <c r="P11" s="197"/>
      <c r="R11" s="70"/>
      <c r="S11" s="71"/>
    </row>
    <row r="12" spans="1:19 16383:16384" ht="14.65" customHeight="1" x14ac:dyDescent="0.35">
      <c r="A12" s="203" t="s">
        <v>60</v>
      </c>
      <c r="B12" s="76" t="s">
        <v>54</v>
      </c>
      <c r="C12" s="77" t="str">
        <f>IF($O32&gt;21.99%,"No","Yes")</f>
        <v>No</v>
      </c>
      <c r="F12" s="70"/>
      <c r="G12" s="71"/>
      <c r="K12" s="198" t="s">
        <v>61</v>
      </c>
      <c r="L12" s="198"/>
      <c r="M12" s="198"/>
      <c r="N12" s="197"/>
      <c r="O12" s="197"/>
      <c r="P12" s="197"/>
      <c r="R12" s="70"/>
      <c r="S12" s="71"/>
      <c r="XFD12" t="s">
        <v>62</v>
      </c>
    </row>
    <row r="13" spans="1:19 16383:16384" ht="15" thickBot="1" x14ac:dyDescent="0.4">
      <c r="A13" s="240"/>
      <c r="B13" s="64">
        <v>3520255124113</v>
      </c>
      <c r="D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10"/>
      <c r="C14" s="204" t="s">
        <v>65</v>
      </c>
      <c r="D14" s="80" t="s">
        <v>2</v>
      </c>
      <c r="E14" s="81" t="s">
        <v>66</v>
      </c>
      <c r="F14" s="82" t="s">
        <v>67</v>
      </c>
      <c r="G14" s="244" t="s">
        <v>68</v>
      </c>
      <c r="H14" s="245"/>
      <c r="I14" s="246" t="s">
        <v>69</v>
      </c>
      <c r="J14" s="244" t="s">
        <v>70</v>
      </c>
      <c r="K14" s="248"/>
      <c r="L14" s="245"/>
      <c r="M14" s="24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11"/>
      <c r="C15" s="20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7"/>
      <c r="J15" s="88" t="s">
        <v>78</v>
      </c>
      <c r="K15" s="90" t="s">
        <v>79</v>
      </c>
      <c r="L15" s="91" t="s">
        <v>80</v>
      </c>
      <c r="M15" s="247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2" t="s">
        <v>84</v>
      </c>
      <c r="B25" s="223"/>
      <c r="C25" s="224"/>
      <c r="D25" s="218"/>
      <c r="E25" s="218"/>
      <c r="F25" s="24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5" t="s">
        <v>85</v>
      </c>
      <c r="C28" s="226"/>
      <c r="D28" s="226"/>
      <c r="E28" s="226"/>
      <c r="F28" s="226"/>
      <c r="G28" s="226"/>
      <c r="H28" s="226"/>
      <c r="I28" s="226"/>
      <c r="J28" s="226"/>
      <c r="K28" s="226"/>
      <c r="L28" s="227"/>
      <c r="N28" s="234" t="s">
        <v>86</v>
      </c>
      <c r="O28" s="235"/>
      <c r="P28" s="152">
        <f>I25</f>
        <v>0</v>
      </c>
    </row>
    <row r="29" spans="1:19 16384:16384" ht="15" customHeight="1" x14ac:dyDescent="0.35">
      <c r="B29" s="228"/>
      <c r="C29" s="229"/>
      <c r="D29" s="229"/>
      <c r="E29" s="229"/>
      <c r="F29" s="229"/>
      <c r="G29" s="229"/>
      <c r="H29" s="229"/>
      <c r="I29" s="229"/>
      <c r="J29" s="229"/>
      <c r="K29" s="229"/>
      <c r="L29" s="230"/>
      <c r="N29" s="236" t="s">
        <v>87</v>
      </c>
      <c r="O29" s="237"/>
      <c r="P29" s="153">
        <f>L25</f>
        <v>0</v>
      </c>
    </row>
    <row r="30" spans="1:19 16384:16384" ht="15" customHeight="1" x14ac:dyDescent="0.35">
      <c r="B30" s="228"/>
      <c r="C30" s="229"/>
      <c r="D30" s="229"/>
      <c r="E30" s="229"/>
      <c r="F30" s="229"/>
      <c r="G30" s="229"/>
      <c r="H30" s="229"/>
      <c r="I30" s="229"/>
      <c r="J30" s="229"/>
      <c r="K30" s="229"/>
      <c r="L30" s="230"/>
      <c r="N30" s="236" t="s">
        <v>4</v>
      </c>
      <c r="O30" s="237"/>
      <c r="P30" s="154">
        <f>K25</f>
        <v>0</v>
      </c>
    </row>
    <row r="31" spans="1:19 16384:16384" ht="15" customHeight="1" x14ac:dyDescent="0.35">
      <c r="B31" s="228"/>
      <c r="C31" s="229"/>
      <c r="D31" s="229"/>
      <c r="E31" s="229"/>
      <c r="F31" s="229"/>
      <c r="G31" s="229"/>
      <c r="H31" s="229"/>
      <c r="I31" s="229"/>
      <c r="J31" s="229"/>
      <c r="K31" s="229"/>
      <c r="L31" s="230"/>
      <c r="M31" s="2"/>
      <c r="N31" s="236" t="s">
        <v>88</v>
      </c>
      <c r="O31" s="237"/>
      <c r="P31" s="153">
        <f>P28-P29-P30</f>
        <v>0</v>
      </c>
    </row>
    <row r="32" spans="1:19 16384:16384" ht="15" customHeight="1" x14ac:dyDescent="0.35">
      <c r="B32" s="228"/>
      <c r="C32" s="229"/>
      <c r="D32" s="229"/>
      <c r="E32" s="229"/>
      <c r="F32" s="229"/>
      <c r="G32" s="229"/>
      <c r="H32" s="229"/>
      <c r="I32" s="229"/>
      <c r="J32" s="229"/>
      <c r="K32" s="229"/>
      <c r="L32" s="230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8"/>
      <c r="C33" s="229"/>
      <c r="D33" s="229"/>
      <c r="E33" s="229"/>
      <c r="F33" s="229"/>
      <c r="G33" s="229"/>
      <c r="H33" s="229"/>
      <c r="I33" s="229"/>
      <c r="J33" s="229"/>
      <c r="K33" s="229"/>
      <c r="L33" s="230"/>
      <c r="M33" s="2"/>
      <c r="N33" s="238" t="s">
        <v>90</v>
      </c>
      <c r="O33" s="239"/>
      <c r="P33" s="153">
        <f>P31+P32</f>
        <v>0</v>
      </c>
    </row>
    <row r="34" spans="2:16" ht="15" customHeight="1" thickBot="1" x14ac:dyDescent="0.4">
      <c r="B34" s="231"/>
      <c r="C34" s="232"/>
      <c r="D34" s="232"/>
      <c r="E34" s="232"/>
      <c r="F34" s="232"/>
      <c r="G34" s="232"/>
      <c r="H34" s="232"/>
      <c r="I34" s="232"/>
      <c r="J34" s="232"/>
      <c r="K34" s="232"/>
      <c r="L34" s="233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6" t="s">
        <v>92</v>
      </c>
      <c r="O35" s="217"/>
      <c r="P35" s="160">
        <f>P33+P34</f>
        <v>0</v>
      </c>
    </row>
    <row r="36" spans="2:16" ht="15" thickBot="1" x14ac:dyDescent="0.4">
      <c r="B36" s="161" t="s">
        <v>93</v>
      </c>
      <c r="C36" s="218"/>
      <c r="D36" s="218"/>
      <c r="E36" s="218"/>
      <c r="F36" s="218"/>
      <c r="G36" s="218"/>
      <c r="H36" s="218"/>
      <c r="I36" s="219"/>
      <c r="J36" s="220"/>
      <c r="K36" s="221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16.4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6" t="s">
        <v>45</v>
      </c>
      <c r="B2" s="196"/>
      <c r="C2" s="196"/>
    </row>
    <row r="3" spans="1:19 16383:16384" ht="15" customHeight="1" x14ac:dyDescent="0.35">
      <c r="A3" s="197" t="s">
        <v>46</v>
      </c>
      <c r="B3" s="197"/>
      <c r="C3" s="197"/>
      <c r="F3" s="70"/>
      <c r="G3" s="71"/>
      <c r="K3" s="198" t="s">
        <v>47</v>
      </c>
      <c r="L3" s="198"/>
      <c r="M3" s="198"/>
      <c r="N3" s="197">
        <v>10</v>
      </c>
      <c r="O3" s="197"/>
      <c r="P3" s="19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7" t="s">
        <v>94</v>
      </c>
      <c r="B4" s="197"/>
      <c r="C4" s="197"/>
      <c r="F4" s="70"/>
      <c r="G4" s="71"/>
      <c r="K4" s="198" t="s">
        <v>49</v>
      </c>
      <c r="L4" s="198"/>
      <c r="M4" s="198"/>
      <c r="N4" s="199">
        <f ca="1">TODAY()</f>
        <v>46196</v>
      </c>
      <c r="O4" s="199"/>
      <c r="P4" s="199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3" t="s">
        <v>104</v>
      </c>
      <c r="B5" s="243"/>
      <c r="C5" s="243"/>
      <c r="F5" s="70"/>
      <c r="G5" s="71"/>
      <c r="K5" s="198" t="s">
        <v>51</v>
      </c>
      <c r="L5" s="198"/>
      <c r="M5" s="198"/>
      <c r="N5" s="199">
        <f ca="1">N4-1</f>
        <v>46195</v>
      </c>
      <c r="O5" s="197"/>
      <c r="P5" s="197"/>
      <c r="R5" s="70"/>
      <c r="S5" s="71"/>
    </row>
    <row r="6" spans="1:19 16383:16384" ht="15" customHeight="1" x14ac:dyDescent="0.35">
      <c r="A6" s="198" t="s">
        <v>105</v>
      </c>
      <c r="B6" s="198"/>
      <c r="C6" s="198"/>
      <c r="F6" s="70"/>
      <c r="G6" s="74"/>
      <c r="K6" s="198" t="s">
        <v>52</v>
      </c>
      <c r="L6" s="198"/>
      <c r="M6" s="198"/>
      <c r="N6" s="200" t="s">
        <v>97</v>
      </c>
      <c r="O6" s="200"/>
      <c r="P6" s="200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198"/>
      <c r="B7" s="198"/>
      <c r="C7" s="198"/>
      <c r="F7" s="70"/>
      <c r="G7" s="74"/>
      <c r="K7" s="198"/>
      <c r="L7" s="198"/>
      <c r="M7" s="198"/>
      <c r="N7" s="200"/>
      <c r="O7" s="200"/>
      <c r="P7" s="200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2"/>
      <c r="B8" s="202"/>
      <c r="C8" s="202"/>
      <c r="F8" s="70"/>
      <c r="G8" s="74"/>
      <c r="K8" s="198"/>
      <c r="L8" s="198"/>
      <c r="M8" s="198"/>
      <c r="N8" s="200"/>
      <c r="O8" s="200"/>
      <c r="P8" s="200"/>
      <c r="R8" s="70"/>
      <c r="S8" s="74"/>
    </row>
    <row r="9" spans="1:19 16383:16384" x14ac:dyDescent="0.35">
      <c r="A9" s="202"/>
      <c r="B9" s="202"/>
      <c r="C9" s="202"/>
      <c r="F9" s="70"/>
      <c r="G9" s="74"/>
      <c r="K9" s="198"/>
      <c r="L9" s="198"/>
      <c r="M9" s="198"/>
      <c r="N9" s="200"/>
      <c r="O9" s="200"/>
      <c r="P9" s="200"/>
      <c r="R9" s="70"/>
      <c r="S9" s="74"/>
      <c r="XFD9" t="s">
        <v>55</v>
      </c>
    </row>
    <row r="10" spans="1:19 16383:16384" x14ac:dyDescent="0.35">
      <c r="A10" s="203" t="s">
        <v>95</v>
      </c>
      <c r="B10" s="75" t="s">
        <v>106</v>
      </c>
      <c r="C10" s="75"/>
      <c r="F10" s="70"/>
      <c r="G10" s="71"/>
      <c r="K10" s="198" t="s">
        <v>56</v>
      </c>
      <c r="L10" s="198"/>
      <c r="M10" s="198"/>
      <c r="N10" s="197" t="s">
        <v>57</v>
      </c>
      <c r="O10" s="197"/>
      <c r="P10" s="197"/>
      <c r="R10" s="70"/>
      <c r="S10" s="71"/>
      <c r="XFD10" t="s">
        <v>58</v>
      </c>
    </row>
    <row r="11" spans="1:19 16383:16384" x14ac:dyDescent="0.35">
      <c r="A11" s="203"/>
      <c r="B11" s="76" t="s">
        <v>48</v>
      </c>
      <c r="C11" s="77" t="str">
        <f>IF($O34&gt;2.49%,"No","Yes")</f>
        <v>Yes</v>
      </c>
      <c r="F11" s="70"/>
      <c r="G11" s="71"/>
      <c r="K11" s="198" t="s">
        <v>59</v>
      </c>
      <c r="L11" s="198"/>
      <c r="M11" s="198"/>
      <c r="N11" s="197" t="s">
        <v>55</v>
      </c>
      <c r="O11" s="197"/>
      <c r="P11" s="197"/>
      <c r="R11" s="70"/>
      <c r="S11" s="71"/>
    </row>
    <row r="12" spans="1:19 16383:16384" ht="14.65" customHeight="1" x14ac:dyDescent="0.35">
      <c r="A12" s="203" t="s">
        <v>60</v>
      </c>
      <c r="B12" s="76" t="s">
        <v>54</v>
      </c>
      <c r="C12" s="77" t="str">
        <f>IF($O32&gt;21.99%,"No","Yes")</f>
        <v>No</v>
      </c>
      <c r="F12" s="70"/>
      <c r="G12" s="71"/>
      <c r="K12" s="198" t="s">
        <v>61</v>
      </c>
      <c r="L12" s="198"/>
      <c r="M12" s="198"/>
      <c r="N12" s="197"/>
      <c r="O12" s="197"/>
      <c r="P12" s="197"/>
      <c r="R12" s="70"/>
      <c r="S12" s="71"/>
      <c r="XFD12" t="s">
        <v>62</v>
      </c>
    </row>
    <row r="13" spans="1:19 16383:16384" ht="15" thickBot="1" x14ac:dyDescent="0.4">
      <c r="A13" s="240"/>
      <c r="B13" s="64">
        <v>3520255124113</v>
      </c>
      <c r="D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10"/>
      <c r="C14" s="204" t="s">
        <v>65</v>
      </c>
      <c r="D14" s="80" t="s">
        <v>2</v>
      </c>
      <c r="E14" s="81" t="s">
        <v>66</v>
      </c>
      <c r="F14" s="82" t="s">
        <v>67</v>
      </c>
      <c r="G14" s="244" t="s">
        <v>68</v>
      </c>
      <c r="H14" s="245"/>
      <c r="I14" s="246" t="s">
        <v>69</v>
      </c>
      <c r="J14" s="244" t="s">
        <v>70</v>
      </c>
      <c r="K14" s="248"/>
      <c r="L14" s="245"/>
      <c r="M14" s="24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11"/>
      <c r="C15" s="20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7"/>
      <c r="J15" s="88" t="s">
        <v>78</v>
      </c>
      <c r="K15" s="90" t="s">
        <v>79</v>
      </c>
      <c r="L15" s="91" t="s">
        <v>80</v>
      </c>
      <c r="M15" s="247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2" t="s">
        <v>84</v>
      </c>
      <c r="B25" s="223"/>
      <c r="C25" s="224"/>
      <c r="D25" s="218"/>
      <c r="E25" s="218"/>
      <c r="F25" s="24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5" t="s">
        <v>85</v>
      </c>
      <c r="C28" s="226"/>
      <c r="D28" s="226"/>
      <c r="E28" s="226"/>
      <c r="F28" s="226"/>
      <c r="G28" s="226"/>
      <c r="H28" s="226"/>
      <c r="I28" s="226"/>
      <c r="J28" s="226"/>
      <c r="K28" s="226"/>
      <c r="L28" s="227"/>
      <c r="N28" s="234" t="s">
        <v>86</v>
      </c>
      <c r="O28" s="235"/>
      <c r="P28" s="152">
        <f>I25</f>
        <v>0</v>
      </c>
    </row>
    <row r="29" spans="1:19 16384:16384" ht="15" customHeight="1" x14ac:dyDescent="0.35">
      <c r="B29" s="228"/>
      <c r="C29" s="229"/>
      <c r="D29" s="229"/>
      <c r="E29" s="229"/>
      <c r="F29" s="229"/>
      <c r="G29" s="229"/>
      <c r="H29" s="229"/>
      <c r="I29" s="229"/>
      <c r="J29" s="229"/>
      <c r="K29" s="229"/>
      <c r="L29" s="230"/>
      <c r="N29" s="236" t="s">
        <v>87</v>
      </c>
      <c r="O29" s="237"/>
      <c r="P29" s="153">
        <f>L25</f>
        <v>0</v>
      </c>
    </row>
    <row r="30" spans="1:19 16384:16384" ht="15" customHeight="1" x14ac:dyDescent="0.35">
      <c r="B30" s="228"/>
      <c r="C30" s="229"/>
      <c r="D30" s="229"/>
      <c r="E30" s="229"/>
      <c r="F30" s="229"/>
      <c r="G30" s="229"/>
      <c r="H30" s="229"/>
      <c r="I30" s="229"/>
      <c r="J30" s="229"/>
      <c r="K30" s="229"/>
      <c r="L30" s="230"/>
      <c r="N30" s="236" t="s">
        <v>4</v>
      </c>
      <c r="O30" s="237"/>
      <c r="P30" s="154">
        <f>K25</f>
        <v>0</v>
      </c>
    </row>
    <row r="31" spans="1:19 16384:16384" ht="15" customHeight="1" x14ac:dyDescent="0.35">
      <c r="B31" s="228"/>
      <c r="C31" s="229"/>
      <c r="D31" s="229"/>
      <c r="E31" s="229"/>
      <c r="F31" s="229"/>
      <c r="G31" s="229"/>
      <c r="H31" s="229"/>
      <c r="I31" s="229"/>
      <c r="J31" s="229"/>
      <c r="K31" s="229"/>
      <c r="L31" s="230"/>
      <c r="M31" s="2"/>
      <c r="N31" s="236" t="s">
        <v>88</v>
      </c>
      <c r="O31" s="237"/>
      <c r="P31" s="153">
        <f>P28-P29-P30</f>
        <v>0</v>
      </c>
    </row>
    <row r="32" spans="1:19 16384:16384" ht="15" customHeight="1" x14ac:dyDescent="0.35">
      <c r="B32" s="228"/>
      <c r="C32" s="229"/>
      <c r="D32" s="229"/>
      <c r="E32" s="229"/>
      <c r="F32" s="229"/>
      <c r="G32" s="229"/>
      <c r="H32" s="229"/>
      <c r="I32" s="229"/>
      <c r="J32" s="229"/>
      <c r="K32" s="229"/>
      <c r="L32" s="230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8"/>
      <c r="C33" s="229"/>
      <c r="D33" s="229"/>
      <c r="E33" s="229"/>
      <c r="F33" s="229"/>
      <c r="G33" s="229"/>
      <c r="H33" s="229"/>
      <c r="I33" s="229"/>
      <c r="J33" s="229"/>
      <c r="K33" s="229"/>
      <c r="L33" s="230"/>
      <c r="M33" s="2"/>
      <c r="N33" s="238" t="s">
        <v>90</v>
      </c>
      <c r="O33" s="239"/>
      <c r="P33" s="153">
        <f>P31+P32</f>
        <v>0</v>
      </c>
    </row>
    <row r="34" spans="2:16" ht="15" customHeight="1" thickBot="1" x14ac:dyDescent="0.4">
      <c r="B34" s="231"/>
      <c r="C34" s="232"/>
      <c r="D34" s="232"/>
      <c r="E34" s="232"/>
      <c r="F34" s="232"/>
      <c r="G34" s="232"/>
      <c r="H34" s="232"/>
      <c r="I34" s="232"/>
      <c r="J34" s="232"/>
      <c r="K34" s="232"/>
      <c r="L34" s="233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6" t="s">
        <v>92</v>
      </c>
      <c r="O35" s="217"/>
      <c r="P35" s="160">
        <f>P33+P34</f>
        <v>0</v>
      </c>
    </row>
    <row r="36" spans="2:16" ht="15" thickBot="1" x14ac:dyDescent="0.4">
      <c r="B36" s="161" t="s">
        <v>93</v>
      </c>
      <c r="C36" s="218"/>
      <c r="D36" s="218"/>
      <c r="E36" s="218"/>
      <c r="F36" s="218"/>
      <c r="G36" s="218"/>
      <c r="H36" s="218"/>
      <c r="I36" s="219"/>
      <c r="J36" s="220"/>
      <c r="K36" s="221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16.4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6" t="s">
        <v>45</v>
      </c>
      <c r="B2" s="196"/>
      <c r="C2" s="196"/>
    </row>
    <row r="3" spans="1:19 16383:16384" ht="15" customHeight="1" x14ac:dyDescent="0.35">
      <c r="A3" s="197" t="s">
        <v>46</v>
      </c>
      <c r="B3" s="197"/>
      <c r="C3" s="197"/>
      <c r="F3" s="70"/>
      <c r="G3" s="71"/>
      <c r="K3" s="198" t="s">
        <v>47</v>
      </c>
      <c r="L3" s="198"/>
      <c r="M3" s="198"/>
      <c r="N3" s="197">
        <v>10</v>
      </c>
      <c r="O3" s="197"/>
      <c r="P3" s="19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7" t="s">
        <v>94</v>
      </c>
      <c r="B4" s="197"/>
      <c r="C4" s="197"/>
      <c r="F4" s="70"/>
      <c r="G4" s="71"/>
      <c r="K4" s="198" t="s">
        <v>49</v>
      </c>
      <c r="L4" s="198"/>
      <c r="M4" s="198"/>
      <c r="N4" s="199">
        <f ca="1">TODAY()</f>
        <v>46196</v>
      </c>
      <c r="O4" s="199"/>
      <c r="P4" s="199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3" t="s">
        <v>104</v>
      </c>
      <c r="B5" s="243"/>
      <c r="C5" s="243"/>
      <c r="F5" s="70"/>
      <c r="G5" s="71"/>
      <c r="K5" s="198" t="s">
        <v>51</v>
      </c>
      <c r="L5" s="198"/>
      <c r="M5" s="198"/>
      <c r="N5" s="199">
        <f ca="1">N4-1</f>
        <v>46195</v>
      </c>
      <c r="O5" s="197"/>
      <c r="P5" s="197"/>
      <c r="R5" s="70"/>
      <c r="S5" s="71"/>
    </row>
    <row r="6" spans="1:19 16383:16384" ht="15" customHeight="1" x14ac:dyDescent="0.35">
      <c r="A6" s="198" t="s">
        <v>105</v>
      </c>
      <c r="B6" s="198"/>
      <c r="C6" s="198"/>
      <c r="F6" s="70"/>
      <c r="G6" s="74"/>
      <c r="K6" s="198" t="s">
        <v>52</v>
      </c>
      <c r="L6" s="198"/>
      <c r="M6" s="198"/>
      <c r="N6" s="200" t="s">
        <v>97</v>
      </c>
      <c r="O6" s="200"/>
      <c r="P6" s="200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198"/>
      <c r="B7" s="198"/>
      <c r="C7" s="198"/>
      <c r="F7" s="70"/>
      <c r="G7" s="74"/>
      <c r="K7" s="198"/>
      <c r="L7" s="198"/>
      <c r="M7" s="198"/>
      <c r="N7" s="200"/>
      <c r="O7" s="200"/>
      <c r="P7" s="200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2"/>
      <c r="B8" s="202"/>
      <c r="C8" s="202"/>
      <c r="F8" s="70"/>
      <c r="G8" s="74"/>
      <c r="K8" s="198"/>
      <c r="L8" s="198"/>
      <c r="M8" s="198"/>
      <c r="N8" s="200"/>
      <c r="O8" s="200"/>
      <c r="P8" s="200"/>
      <c r="R8" s="70"/>
      <c r="S8" s="74"/>
    </row>
    <row r="9" spans="1:19 16383:16384" x14ac:dyDescent="0.35">
      <c r="A9" s="202"/>
      <c r="B9" s="202"/>
      <c r="C9" s="202"/>
      <c r="F9" s="70"/>
      <c r="G9" s="74"/>
      <c r="K9" s="198"/>
      <c r="L9" s="198"/>
      <c r="M9" s="198"/>
      <c r="N9" s="200"/>
      <c r="O9" s="200"/>
      <c r="P9" s="200"/>
      <c r="R9" s="70"/>
      <c r="S9" s="74"/>
      <c r="XFD9" t="s">
        <v>55</v>
      </c>
    </row>
    <row r="10" spans="1:19 16383:16384" x14ac:dyDescent="0.35">
      <c r="A10" s="203" t="s">
        <v>95</v>
      </c>
      <c r="B10" s="75" t="s">
        <v>106</v>
      </c>
      <c r="C10" s="75"/>
      <c r="F10" s="70"/>
      <c r="G10" s="71"/>
      <c r="K10" s="198" t="s">
        <v>56</v>
      </c>
      <c r="L10" s="198"/>
      <c r="M10" s="198"/>
      <c r="N10" s="197" t="s">
        <v>57</v>
      </c>
      <c r="O10" s="197"/>
      <c r="P10" s="197"/>
      <c r="R10" s="70"/>
      <c r="S10" s="71"/>
      <c r="XFD10" t="s">
        <v>58</v>
      </c>
    </row>
    <row r="11" spans="1:19 16383:16384" x14ac:dyDescent="0.35">
      <c r="A11" s="203"/>
      <c r="B11" s="76" t="s">
        <v>48</v>
      </c>
      <c r="C11" s="77" t="str">
        <f>IF($O34&gt;2.49%,"No","Yes")</f>
        <v>Yes</v>
      </c>
      <c r="F11" s="70"/>
      <c r="G11" s="71"/>
      <c r="K11" s="198" t="s">
        <v>59</v>
      </c>
      <c r="L11" s="198"/>
      <c r="M11" s="198"/>
      <c r="N11" s="197" t="s">
        <v>55</v>
      </c>
      <c r="O11" s="197"/>
      <c r="P11" s="197"/>
      <c r="R11" s="70"/>
      <c r="S11" s="71"/>
    </row>
    <row r="12" spans="1:19 16383:16384" ht="14.65" customHeight="1" x14ac:dyDescent="0.35">
      <c r="A12" s="203" t="s">
        <v>60</v>
      </c>
      <c r="B12" s="76" t="s">
        <v>54</v>
      </c>
      <c r="C12" s="77" t="str">
        <f>IF($O32&gt;21.99%,"No","Yes")</f>
        <v>No</v>
      </c>
      <c r="F12" s="70"/>
      <c r="G12" s="71"/>
      <c r="K12" s="198" t="s">
        <v>61</v>
      </c>
      <c r="L12" s="198"/>
      <c r="M12" s="198"/>
      <c r="N12" s="197"/>
      <c r="O12" s="197"/>
      <c r="P12" s="197"/>
      <c r="R12" s="70"/>
      <c r="S12" s="71"/>
      <c r="XFD12" t="s">
        <v>62</v>
      </c>
    </row>
    <row r="13" spans="1:19 16383:16384" ht="15" thickBot="1" x14ac:dyDescent="0.4">
      <c r="A13" s="240"/>
      <c r="B13" s="64">
        <v>3520255124113</v>
      </c>
      <c r="D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10"/>
      <c r="C14" s="204" t="s">
        <v>65</v>
      </c>
      <c r="D14" s="80" t="s">
        <v>2</v>
      </c>
      <c r="E14" s="81" t="s">
        <v>66</v>
      </c>
      <c r="F14" s="82" t="s">
        <v>67</v>
      </c>
      <c r="G14" s="244" t="s">
        <v>68</v>
      </c>
      <c r="H14" s="245"/>
      <c r="I14" s="246" t="s">
        <v>69</v>
      </c>
      <c r="J14" s="244" t="s">
        <v>70</v>
      </c>
      <c r="K14" s="248"/>
      <c r="L14" s="245"/>
      <c r="M14" s="24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11"/>
      <c r="C15" s="20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7"/>
      <c r="J15" s="88" t="s">
        <v>78</v>
      </c>
      <c r="K15" s="90" t="s">
        <v>79</v>
      </c>
      <c r="L15" s="91" t="s">
        <v>80</v>
      </c>
      <c r="M15" s="247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2" t="s">
        <v>84</v>
      </c>
      <c r="B25" s="223"/>
      <c r="C25" s="224"/>
      <c r="D25" s="218"/>
      <c r="E25" s="218"/>
      <c r="F25" s="24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5" t="s">
        <v>85</v>
      </c>
      <c r="C28" s="226"/>
      <c r="D28" s="226"/>
      <c r="E28" s="226"/>
      <c r="F28" s="226"/>
      <c r="G28" s="226"/>
      <c r="H28" s="226"/>
      <c r="I28" s="226"/>
      <c r="J28" s="226"/>
      <c r="K28" s="226"/>
      <c r="L28" s="227"/>
      <c r="N28" s="234" t="s">
        <v>86</v>
      </c>
      <c r="O28" s="235"/>
      <c r="P28" s="152">
        <f>I25</f>
        <v>0</v>
      </c>
    </row>
    <row r="29" spans="1:19 16384:16384" ht="15" customHeight="1" x14ac:dyDescent="0.35">
      <c r="B29" s="228"/>
      <c r="C29" s="229"/>
      <c r="D29" s="229"/>
      <c r="E29" s="229"/>
      <c r="F29" s="229"/>
      <c r="G29" s="229"/>
      <c r="H29" s="229"/>
      <c r="I29" s="229"/>
      <c r="J29" s="229"/>
      <c r="K29" s="229"/>
      <c r="L29" s="230"/>
      <c r="N29" s="236" t="s">
        <v>87</v>
      </c>
      <c r="O29" s="237"/>
      <c r="P29" s="153">
        <f>L25</f>
        <v>0</v>
      </c>
    </row>
    <row r="30" spans="1:19 16384:16384" ht="15" customHeight="1" x14ac:dyDescent="0.35">
      <c r="B30" s="228"/>
      <c r="C30" s="229"/>
      <c r="D30" s="229"/>
      <c r="E30" s="229"/>
      <c r="F30" s="229"/>
      <c r="G30" s="229"/>
      <c r="H30" s="229"/>
      <c r="I30" s="229"/>
      <c r="J30" s="229"/>
      <c r="K30" s="229"/>
      <c r="L30" s="230"/>
      <c r="N30" s="236" t="s">
        <v>4</v>
      </c>
      <c r="O30" s="237"/>
      <c r="P30" s="154">
        <f>K25</f>
        <v>0</v>
      </c>
    </row>
    <row r="31" spans="1:19 16384:16384" ht="15" customHeight="1" x14ac:dyDescent="0.35">
      <c r="B31" s="228"/>
      <c r="C31" s="229"/>
      <c r="D31" s="229"/>
      <c r="E31" s="229"/>
      <c r="F31" s="229"/>
      <c r="G31" s="229"/>
      <c r="H31" s="229"/>
      <c r="I31" s="229"/>
      <c r="J31" s="229"/>
      <c r="K31" s="229"/>
      <c r="L31" s="230"/>
      <c r="M31" s="2"/>
      <c r="N31" s="236" t="s">
        <v>88</v>
      </c>
      <c r="O31" s="237"/>
      <c r="P31" s="153">
        <f>P28-P29-P30</f>
        <v>0</v>
      </c>
    </row>
    <row r="32" spans="1:19 16384:16384" ht="15" customHeight="1" x14ac:dyDescent="0.35">
      <c r="B32" s="228"/>
      <c r="C32" s="229"/>
      <c r="D32" s="229"/>
      <c r="E32" s="229"/>
      <c r="F32" s="229"/>
      <c r="G32" s="229"/>
      <c r="H32" s="229"/>
      <c r="I32" s="229"/>
      <c r="J32" s="229"/>
      <c r="K32" s="229"/>
      <c r="L32" s="230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8"/>
      <c r="C33" s="229"/>
      <c r="D33" s="229"/>
      <c r="E33" s="229"/>
      <c r="F33" s="229"/>
      <c r="G33" s="229"/>
      <c r="H33" s="229"/>
      <c r="I33" s="229"/>
      <c r="J33" s="229"/>
      <c r="K33" s="229"/>
      <c r="L33" s="230"/>
      <c r="M33" s="2"/>
      <c r="N33" s="238" t="s">
        <v>90</v>
      </c>
      <c r="O33" s="239"/>
      <c r="P33" s="153">
        <f>P31+P32</f>
        <v>0</v>
      </c>
    </row>
    <row r="34" spans="2:16" ht="15" customHeight="1" thickBot="1" x14ac:dyDescent="0.4">
      <c r="B34" s="231"/>
      <c r="C34" s="232"/>
      <c r="D34" s="232"/>
      <c r="E34" s="232"/>
      <c r="F34" s="232"/>
      <c r="G34" s="232"/>
      <c r="H34" s="232"/>
      <c r="I34" s="232"/>
      <c r="J34" s="232"/>
      <c r="K34" s="232"/>
      <c r="L34" s="233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6" t="s">
        <v>92</v>
      </c>
      <c r="O35" s="217"/>
      <c r="P35" s="160">
        <f>P33+P34</f>
        <v>0</v>
      </c>
    </row>
    <row r="36" spans="2:16" ht="15" thickBot="1" x14ac:dyDescent="0.4">
      <c r="B36" s="161" t="s">
        <v>93</v>
      </c>
      <c r="C36" s="218"/>
      <c r="D36" s="218"/>
      <c r="E36" s="218"/>
      <c r="F36" s="218"/>
      <c r="G36" s="218"/>
      <c r="H36" s="218"/>
      <c r="I36" s="219"/>
      <c r="J36" s="220"/>
      <c r="K36" s="221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2026-06-23T10:02:32Z</dcterms:modified>
</cp:coreProperties>
</file>