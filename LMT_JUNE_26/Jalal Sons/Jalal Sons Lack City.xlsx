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5EEA25A-23CC-4760-84C5-83B0F923BCC5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L16" i="15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16" i="16" l="1"/>
  <c r="N16" i="16" s="1"/>
  <c r="O16" i="16" s="1"/>
  <c r="M22" i="15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<sst xmlns="http://schemas.openxmlformats.org/spreadsheetml/2006/main" count="1599" uniqueCount="107">
  <si>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</si>
  <si>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</si>
  <si>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</si>
  <si>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</si>
  <si>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</si>
  <si>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</si>
  <si>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</si>
  <si>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</si>
  <si>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</si>
  <si>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</si>
  <si>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</si>
  <si>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</si>
  <si>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</si>
  <si>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</si>
  <si>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</si>
  <si>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</si>
  <si>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</si>
  <si>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</si>
  <si>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</si>
  <si>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</si>
  <si>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</si>
  <si>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</si>
  <si>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</si>
  <si>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</si>
  <si>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</si>
  <si>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</si>
  <si>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</si>
  <si>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</si>
  <si>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</si>
  <si>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</si>
  <si>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</si>
  <si>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</si>
  <si>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</si>
  <si>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</si>
  <si>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</si>
  <si>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</si>
  <si>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</si>
  <si>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</si>
  <si>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</si>
  <si>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</si>
  <si>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</si>
  <si>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</si>
  <si>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</si>
  <si>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</si>
  <si>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</si>
  <si>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</si>
  <si>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</si>
  <si>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</si>
  <si>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</si>
  <si>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</si>
  <si>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</si>
  <si>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</si>
  <si>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</si>
  <si>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</si>
  <si>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</si>
  <si>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</si>
  <si>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</si>
  <si>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</si>
  <si>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</si>
  <si>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</si>
  <si>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</si>
  <si>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</si>
  <si>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</si>
  <si>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</si>
  <si>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</si>
  <si>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</si>
  <si>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</si>
  <si>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</si>
  <si>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</si>
  <si>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</si>
  <si>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</si>
  <si>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</si>
  <si>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</si>
  <si>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</si>
  <si>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</si>
  <si>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</si>
  <si>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</si>
  <si>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</si>
  <si>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</si>
  <si>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</si>
  <si>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</si>
  <si>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</si>
  <si>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</si>
  <si>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</si>
  <si>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</si>
  <si>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</si>
  <si>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</si>
  <si>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</si>
  <si>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</si>
  <si>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</si>
  <si>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</si>
  <si>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</si>
  <si>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</si>
  <si>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</si>
  <si>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</si>
  <si>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</si>
  <si>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</si>
  <si>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</si>
  <si>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</si>
  <si>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</si>
  <si>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</si>
  <si>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</si>
  <si>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</si>
  <si>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>7278831-0</t>
  </si>
  <si>
    <t>Customer Name : Jalal Sons (Lake City)</t>
  </si>
  <si>
    <t xml:space="preserve">Address: Lake City </t>
  </si>
  <si>
    <t>Jalal Sons (Lake 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</si>
</sst>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: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:H22"/>
      <selection pane="topRight" activeCell="H18" sqref="H18:H22"/>
      <selection pane="bottomLeft" activeCell="H18" sqref="H18:H22"/>
      <selection pane="bottomRight" activeCell="H18" sqref="H18: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3" zoomScale="70" zoomScaleNormal="70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4" t="s">
        <v>45</v>
      </c>
      <c r="B2" s="244"/>
      <c r="C2" s="244"/>
    </row>
    <row r="3" spans="1:21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43" t="s">
        <v>106</v>
      </c>
      <c r="B5" s="243"/>
      <c r="C5" s="243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21 16383:16384" x14ac:dyDescent="0.35">
      <c r="A6" s="243"/>
      <c r="B6" s="243"/>
      <c r="C6" s="243"/>
      <c r="F6" s="70"/>
      <c r="G6" s="74"/>
      <c r="K6" s="228" t="s">
        <v>52</v>
      </c>
      <c r="L6" s="228"/>
      <c r="M6" s="228"/>
      <c r="N6" s="241" t="s">
        <v>42</v>
      </c>
      <c r="O6" s="241"/>
      <c r="P6" s="24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21 16383:16384" ht="16.5" customHeight="1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21 16383:16384" x14ac:dyDescent="0.35">
      <c r="A10" s="226"/>
      <c r="B10" s="75"/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21 16383:16384" ht="15" thickBot="1" x14ac:dyDescent="0.4">
      <c r="A11" s="226"/>
      <c r="B11" s="76"/>
      <c r="C11" s="77"/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21 16383:16384" ht="14.65" customHeight="1" x14ac:dyDescent="0.35">
      <c r="A12" s="226"/>
      <c r="B12" s="76"/>
      <c r="C12" s="77"/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T12" s="198" t="s">
        <v>102</v>
      </c>
      <c r="U12" s="199"/>
      <c r="XFD12" t="s">
        <v>62</v>
      </c>
    </row>
    <row r="13" spans="1:21 16383:16384" ht="15" thickBot="1" x14ac:dyDescent="0.4">
      <c r="A13" s="227"/>
      <c r="J13" s="78"/>
      <c r="K13" s="78"/>
      <c r="L13" s="79">
        <v>0.05</v>
      </c>
      <c r="T13" s="200"/>
      <c r="U13" s="201"/>
      <c r="XFD13" t="s">
        <v>63</v>
      </c>
    </row>
    <row r="14" spans="1:21 16383:16384" ht="29.25" customHeight="1" x14ac:dyDescent="0.6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36" t="s">
        <v>68</v>
      </c>
      <c r="H14" s="237"/>
      <c r="I14" s="237" t="s">
        <v>69</v>
      </c>
      <c r="J14" s="237" t="s">
        <v>70</v>
      </c>
      <c r="K14" s="237"/>
      <c r="L14" s="239"/>
      <c r="M14" s="23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(Lake City)</v>
      </c>
      <c r="U14" s="163">
        <f>+'1'!P35</f>
        <v>20990.400352500001</v>
      </c>
      <c r="XFD14" t="s">
        <v>75</v>
      </c>
    </row>
    <row r="15" spans="1:21 16383:16384" ht="29.25" customHeight="1" thickBot="1" x14ac:dyDescent="0.65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38"/>
      <c r="J15" s="169" t="s">
        <v>78</v>
      </c>
      <c r="K15" s="169" t="s">
        <v>79</v>
      </c>
      <c r="L15" s="172" t="s">
        <v>80</v>
      </c>
      <c r="M15" s="23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(Lake City)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629.54999999999995</v>
      </c>
      <c r="M16" s="105">
        <f>I16-K16-L16</f>
        <v>3567.45</v>
      </c>
      <c r="N16" s="100">
        <f>+'1'!N16+'2'!N16+'4'!N16+'3'!N16+'5'!N16+'6'!N16+'7'!N16+'8'!N16+'9'!N16+'10'!N16</f>
        <v>642.14099999999996</v>
      </c>
      <c r="O16" s="100">
        <f>+'1'!O16+'2'!O16+'4'!O16+'3'!O16+'5'!O16+'6'!O16+'7'!O16+'8'!O16+'9'!O16+'10'!O16</f>
        <v>21.047954999999998</v>
      </c>
      <c r="P16" s="104">
        <f t="shared" ref="P16:P24" si="0">M16+N16+O16</f>
        <v>4230.6389549999994</v>
      </c>
      <c r="Q16" s="107"/>
      <c r="T16" s="162" t="str">
        <f>+'4'!A5</f>
        <v>Customer Name : Jalal Sons (Lake City)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314.77499999999998</v>
      </c>
      <c r="M17" s="117">
        <f t="shared" ref="M17:M23" si="2">I17-K17-L17</f>
        <v>1783.7249999999999</v>
      </c>
      <c r="N17" s="100">
        <f>+'1'!N17+'2'!N17+'4'!N17+'3'!N17+'5'!N17+'6'!N17+'7'!N17+'8'!N17+'9'!N17+'10'!N17</f>
        <v>321.07049999999998</v>
      </c>
      <c r="O17" s="100">
        <f>+'1'!O17+'2'!O17+'4'!O17+'3'!O17+'5'!O17+'6'!O17+'7'!O17+'8'!O17+'9'!O17+'10'!O17</f>
        <v>10.523977499999999</v>
      </c>
      <c r="P17" s="119">
        <f t="shared" si="0"/>
        <v>2115.3194774999997</v>
      </c>
      <c r="S17" s="64"/>
      <c r="T17" s="162" t="str">
        <f>+'3'!A5</f>
        <v>Customer Name : Jalal Sons (Lake City)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Jalal Sons (Lake City)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871.68</v>
      </c>
      <c r="M19" s="117">
        <f t="shared" si="2"/>
        <v>4939.5199999999995</v>
      </c>
      <c r="N19" s="100">
        <f>+'1'!N19+'2'!N19+'4'!N19+'3'!N19+'5'!N19+'6'!N19+'7'!N19+'8'!N19+'9'!N19+'10'!N19</f>
        <v>889.11359999999991</v>
      </c>
      <c r="O19" s="100">
        <f>+'1'!O19+'2'!O19+'4'!O19+'3'!O19+'5'!O19+'6'!O19+'7'!O19+'8'!O19+'9'!O19+'10'!O19</f>
        <v>29.143167999999996</v>
      </c>
      <c r="P19" s="119">
        <f t="shared" si="0"/>
        <v>5857.7767679999988</v>
      </c>
      <c r="T19" s="162" t="str">
        <f>+'6'!A5</f>
        <v>Customer Name : Jalal Sons (Lake City)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435.84</v>
      </c>
      <c r="M20" s="117">
        <f t="shared" si="2"/>
        <v>2469.7599999999998</v>
      </c>
      <c r="N20" s="100">
        <f>+'1'!N20+'2'!N20+'4'!N20+'3'!N20+'5'!N20+'6'!N20+'7'!N20+'8'!N20+'9'!N20+'10'!N20</f>
        <v>444.55679999999995</v>
      </c>
      <c r="O20" s="100">
        <f>+'1'!O20+'2'!O20+'4'!O20+'3'!O20+'5'!O20+'6'!O20+'7'!O20+'8'!O20+'9'!O20+'10'!O20</f>
        <v>14.571583999999998</v>
      </c>
      <c r="P20" s="119">
        <f t="shared" si="0"/>
        <v>2928.8883839999994</v>
      </c>
      <c r="T20" s="162" t="str">
        <f>+'7'!A5</f>
        <v>Customer Name : Jalal Sons (Lake City)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871.68</v>
      </c>
      <c r="M21" s="117">
        <f t="shared" si="2"/>
        <v>4939.5199999999995</v>
      </c>
      <c r="N21" s="100">
        <f>+'1'!N21+'2'!N21+'4'!N21+'3'!N21+'5'!N21+'6'!N21+'7'!N21+'8'!N21+'9'!N21+'10'!N21</f>
        <v>889.11359999999991</v>
      </c>
      <c r="O21" s="100">
        <f>+'1'!O21+'2'!O21+'4'!O21+'3'!O21+'5'!O21+'6'!O21+'7'!O21+'8'!O21+'9'!O21+'10'!O21</f>
        <v>29.143167999999996</v>
      </c>
      <c r="P21" s="119">
        <f t="shared" si="0"/>
        <v>5857.7767679999988</v>
      </c>
      <c r="T21" s="162" t="str">
        <f>+'8'!A5</f>
        <v>Customer Name : Jalal Sons (Lake City)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Jalal Sons (Lake City)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Jalal Sons (Lake City)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Jalal Sons (Lake City)</v>
      </c>
      <c r="U24" s="163">
        <f>+'11'!P35</f>
        <v>0</v>
      </c>
    </row>
    <row r="25" spans="1:21 16384:16384" ht="26.5" thickBot="1" x14ac:dyDescent="0.65">
      <c r="A25" s="208" t="s">
        <v>84</v>
      </c>
      <c r="B25" s="209"/>
      <c r="C25" s="210">
        <f>H25/40</f>
        <v>8</v>
      </c>
      <c r="D25" s="204"/>
      <c r="E25" s="204"/>
      <c r="F25" s="204"/>
      <c r="G25" s="174">
        <f t="shared" ref="G25:M25" si="3">SUM(G16:G24)</f>
        <v>0</v>
      </c>
      <c r="H25" s="175">
        <f t="shared" si="3"/>
        <v>320</v>
      </c>
      <c r="I25" s="176">
        <f t="shared" si="3"/>
        <v>20823.5</v>
      </c>
      <c r="J25" s="175">
        <f t="shared" si="3"/>
        <v>0</v>
      </c>
      <c r="K25" s="176">
        <f t="shared" si="3"/>
        <v>0</v>
      </c>
      <c r="L25" s="177">
        <f t="shared" si="3"/>
        <v>3123.5249999999996</v>
      </c>
      <c r="M25" s="140">
        <f t="shared" si="3"/>
        <v>17699.974999999999</v>
      </c>
      <c r="N25" s="141">
        <f>SUM(N16:N24)</f>
        <v>3185.9955</v>
      </c>
      <c r="O25" s="142">
        <f>SUM(O16:O24)</f>
        <v>104.42985249999998</v>
      </c>
      <c r="P25" s="143">
        <f>SUM(P16:P24)</f>
        <v>20990.400352499997</v>
      </c>
      <c r="T25" s="162" t="str">
        <f>+'12'!A5</f>
        <v>Customer Name : Jalal Sons (Lake City)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Jalal Sons (Lake City)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Jalal Sons (Lake City)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Jalal Sons (Lake City)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20990.400352500001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1" t="s">
        <v>85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3"/>
      <c r="N32" s="220" t="s">
        <v>86</v>
      </c>
      <c r="O32" s="221"/>
      <c r="P32" s="151">
        <f>I25</f>
        <v>20823.5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N33" s="222" t="s">
        <v>87</v>
      </c>
      <c r="O33" s="223"/>
      <c r="P33" s="152">
        <f>L25</f>
        <v>3123.5249999999996</v>
      </c>
    </row>
    <row r="34" spans="2:16" ht="15" customHeight="1" x14ac:dyDescent="0.35">
      <c r="B34" s="214"/>
      <c r="C34" s="215"/>
      <c r="D34" s="215"/>
      <c r="E34" s="215"/>
      <c r="F34" s="215"/>
      <c r="G34" s="215"/>
      <c r="H34" s="215"/>
      <c r="I34" s="215"/>
      <c r="J34" s="215"/>
      <c r="K34" s="215"/>
      <c r="L34" s="216"/>
      <c r="N34" s="222" t="s">
        <v>4</v>
      </c>
      <c r="O34" s="223"/>
      <c r="P34" s="153">
        <f>K25</f>
        <v>0</v>
      </c>
    </row>
    <row r="35" spans="2:16" ht="15" customHeight="1" x14ac:dyDescent="0.35"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M35" s="2"/>
      <c r="N35" s="222" t="s">
        <v>88</v>
      </c>
      <c r="O35" s="223"/>
      <c r="P35" s="152">
        <f>P32-P33-P34</f>
        <v>17699.974999999999</v>
      </c>
    </row>
    <row r="36" spans="2:16" ht="15" customHeight="1" x14ac:dyDescent="0.35">
      <c r="B36" s="214"/>
      <c r="C36" s="215"/>
      <c r="D36" s="215"/>
      <c r="E36" s="215"/>
      <c r="F36" s="215"/>
      <c r="G36" s="215"/>
      <c r="H36" s="215"/>
      <c r="I36" s="215"/>
      <c r="J36" s="215"/>
      <c r="K36" s="215"/>
      <c r="L36" s="216"/>
      <c r="M36" s="2"/>
      <c r="N36" s="154" t="s">
        <v>89</v>
      </c>
      <c r="O36" s="155">
        <f>IF(B12="Registered",18%,22%)</f>
        <v>0.22</v>
      </c>
      <c r="P36" s="152">
        <f>N25</f>
        <v>3185.9955</v>
      </c>
    </row>
    <row r="37" spans="2:16" ht="15" customHeight="1" x14ac:dyDescent="0.35">
      <c r="B37" s="214"/>
      <c r="C37" s="215"/>
      <c r="D37" s="215"/>
      <c r="E37" s="215"/>
      <c r="F37" s="215"/>
      <c r="G37" s="215"/>
      <c r="H37" s="215"/>
      <c r="I37" s="215"/>
      <c r="J37" s="215"/>
      <c r="K37" s="215"/>
      <c r="L37" s="216"/>
      <c r="M37" s="2"/>
      <c r="N37" s="224" t="s">
        <v>90</v>
      </c>
      <c r="O37" s="225"/>
      <c r="P37" s="152">
        <f>P35+P36</f>
        <v>20885.970499999999</v>
      </c>
    </row>
    <row r="38" spans="2:16" ht="15" customHeight="1" thickBot="1" x14ac:dyDescent="0.4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156"/>
      <c r="N38" s="157" t="s">
        <v>91</v>
      </c>
      <c r="O38" s="158">
        <f>IF(B11="Filer",0.5%,2.5%)</f>
        <v>2.5000000000000001E-2</v>
      </c>
      <c r="P38" s="152">
        <f>O38*P37</f>
        <v>522.14926249999996</v>
      </c>
    </row>
    <row r="39" spans="2:16" ht="15.75" customHeight="1" thickBot="1" x14ac:dyDescent="0.4">
      <c r="N39" s="202" t="s">
        <v>92</v>
      </c>
      <c r="O39" s="203"/>
      <c r="P39" s="159">
        <f>P37+P38</f>
        <v>21408.119762499999</v>
      </c>
    </row>
    <row r="40" spans="2:16" ht="15" thickBot="1" x14ac:dyDescent="0.4">
      <c r="B40" s="160" t="s">
        <v>93</v>
      </c>
      <c r="C40" s="204"/>
      <c r="D40" s="204"/>
      <c r="E40" s="204"/>
      <c r="F40" s="204"/>
      <c r="G40" s="204"/>
      <c r="H40" s="204"/>
      <c r="I40" s="205"/>
      <c r="J40" s="206"/>
      <c r="K40" s="207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I16*15%</f>
        <v>629.54999999999995</v>
      </c>
      <c r="M16" s="105">
        <f>I16-K16-L16</f>
        <v>3567.45</v>
      </c>
      <c r="N16" s="105">
        <f t="shared" ref="N16:N24" si="0">(M16*$N$15)+(J16*F16)*$N$15</f>
        <v>642.14099999999996</v>
      </c>
      <c r="O16" s="106">
        <f t="shared" ref="O16:O24" si="1">(N16+M16)*$O$15</f>
        <v>21.047954999999998</v>
      </c>
      <c r="P16" s="104">
        <f t="shared" ref="P16:P24" si="2">M16+N16+O16</f>
        <v>4230.6389549999994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I17*15%</f>
        <v>314.77499999999998</v>
      </c>
      <c r="M17" s="117">
        <f t="shared" ref="M17:M23" si="6">I17-K17-L17</f>
        <v>1783.7249999999999</v>
      </c>
      <c r="N17" s="117">
        <f t="shared" si="0"/>
        <v>321.07049999999998</v>
      </c>
      <c r="O17" s="118">
        <f t="shared" si="1"/>
        <v>10.523977499999999</v>
      </c>
      <c r="P17" s="119">
        <f t="shared" si="2"/>
        <v>2115.3194774999997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871.68</v>
      </c>
      <c r="M19" s="117">
        <f t="shared" si="6"/>
        <v>4939.5199999999995</v>
      </c>
      <c r="N19" s="117">
        <f t="shared" si="0"/>
        <v>889.11359999999991</v>
      </c>
      <c r="O19" s="118">
        <f t="shared" si="1"/>
        <v>29.143167999999996</v>
      </c>
      <c r="P19" s="119">
        <f t="shared" si="2"/>
        <v>5857.7767679999988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871.68</v>
      </c>
      <c r="M21" s="117">
        <f t="shared" si="6"/>
        <v>4939.5199999999995</v>
      </c>
      <c r="N21" s="117">
        <f t="shared" si="0"/>
        <v>889.11359999999991</v>
      </c>
      <c r="O21" s="118">
        <f t="shared" si="1"/>
        <v>29.143167999999996</v>
      </c>
      <c r="P21" s="119">
        <f t="shared" si="2"/>
        <v>5857.7767679999988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320</v>
      </c>
      <c r="I25" s="136">
        <f t="shared" si="9"/>
        <v>20823.5</v>
      </c>
      <c r="J25" s="137"/>
      <c r="K25" s="138">
        <f t="shared" si="9"/>
        <v>0</v>
      </c>
      <c r="L25" s="139">
        <f t="shared" si="9"/>
        <v>3123.5249999999996</v>
      </c>
      <c r="M25" s="140">
        <f t="shared" si="9"/>
        <v>17699.974999999999</v>
      </c>
      <c r="N25" s="141">
        <f>SUM(N16:N24)</f>
        <v>3185.9955</v>
      </c>
      <c r="O25" s="142">
        <f>SUM(O16:O24)</f>
        <v>104.42985249999998</v>
      </c>
      <c r="P25" s="143">
        <f>SUM(P16:P24)</f>
        <v>20990.400352499997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20823.5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3123.5249999999996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17699.974999999999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3185.9955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20885.970499999999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104.4298525</v>
      </c>
    </row>
    <row r="35" spans="2:16" ht="15.75" customHeight="1" thickBot="1" x14ac:dyDescent="0.4">
      <c r="N35" s="202" t="s">
        <v>92</v>
      </c>
      <c r="O35" s="203"/>
      <c r="P35" s="159">
        <f>P33+P34</f>
        <v>20990.400352500001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6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6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78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78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46203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104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46202</v>
      </c>
      <c r="O5" s="229"/>
      <c r="P5" s="229"/>
      <c r="R5" s="70"/>
      <c r="S5" s="71"/>
    </row>
    <row r="6" spans="1:19 16383:16384" ht="15" customHeight="1" x14ac:dyDescent="0.35">
      <c r="A6" s="228" t="s">
        <v>105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103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2026-06-30T06:31:40Z</dcterms:modified>
</cp:coreProperties>
</file>