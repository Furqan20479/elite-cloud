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3D15648-B8FC-4A31-82D9-1C699A3DB14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'1'!$A$1:$Q$37</definedName>
  </definedNames>
  <calcPr calcId="191029"/>
</workbook>
</file>

<file path=xl/calcChain.xml><?xml version="1.0" encoding="utf-8"?>
<calcChain xmlns="http://schemas.openxmlformats.org/spreadsheetml/2006/main">
  <c r="H19" i="15" l="1"/>
  <c r="J20" i="16"/>
  <c r="J21" i="16"/>
  <c r="J19" i="16"/>
  <c r="J18" i="15"/>
  <c r="J22" i="15"/>
  <c r="H17" i="15"/>
  <c r="H18" i="15"/>
  <c r="H20" i="15"/>
  <c r="H21" i="15"/>
  <c r="H22" i="15"/>
  <c r="H23" i="15"/>
  <c r="H24" i="15"/>
  <c r="H16" i="15"/>
  <c r="T31" i="15"/>
  <c r="T30" i="15"/>
  <c r="T29" i="15"/>
  <c r="J25" i="16"/>
  <c r="J17" i="15"/>
  <c r="J19" i="15"/>
  <c r="J20" i="15"/>
  <c r="J21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7" i="33"/>
  <c r="I21" i="33"/>
  <c r="L21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L22" i="35" s="1"/>
  <c r="I23" i="35"/>
  <c r="I24" i="35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I25" i="32" s="1"/>
  <c r="P28" i="32" s="1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K22" i="34" s="1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K24" i="32" s="1"/>
  <c r="M24" i="32" s="1"/>
  <c r="I19" i="33"/>
  <c r="L19" i="33" s="1"/>
  <c r="I23" i="33"/>
  <c r="L23" i="33" s="1"/>
  <c r="K16" i="35"/>
  <c r="K17" i="35"/>
  <c r="M17" i="35"/>
  <c r="K19" i="35"/>
  <c r="K20" i="35"/>
  <c r="K21" i="35"/>
  <c r="K22" i="35"/>
  <c r="K23" i="35"/>
  <c r="L23" i="35"/>
  <c r="M23" i="35" s="1"/>
  <c r="K24" i="35"/>
  <c r="L24" i="35"/>
  <c r="K17" i="34"/>
  <c r="K18" i="34"/>
  <c r="K21" i="34"/>
  <c r="K23" i="34"/>
  <c r="M23" i="34" s="1"/>
  <c r="L23" i="34"/>
  <c r="K24" i="34"/>
  <c r="K21" i="33"/>
  <c r="K22" i="33"/>
  <c r="L22" i="33"/>
  <c r="K19" i="33"/>
  <c r="K23" i="33"/>
  <c r="K20" i="33"/>
  <c r="K24" i="33"/>
  <c r="L24" i="33"/>
  <c r="M18" i="33"/>
  <c r="K16" i="33"/>
  <c r="L24" i="32"/>
  <c r="K16" i="32"/>
  <c r="K17" i="32"/>
  <c r="K18" i="32"/>
  <c r="K19" i="32"/>
  <c r="K20" i="32"/>
  <c r="K21" i="32"/>
  <c r="K23" i="32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L24" i="30"/>
  <c r="K16" i="29"/>
  <c r="K24" i="29"/>
  <c r="M24" i="29"/>
  <c r="L24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30" l="1"/>
  <c r="M23" i="30"/>
  <c r="L22" i="34"/>
  <c r="K18" i="35"/>
  <c r="M18" i="35" s="1"/>
  <c r="N18" i="35" s="1"/>
  <c r="O18" i="35" s="1"/>
  <c r="I25" i="35"/>
  <c r="P28" i="35" s="1"/>
  <c r="K17" i="33"/>
  <c r="L17" i="33"/>
  <c r="I16" i="27"/>
  <c r="L16" i="27" s="1"/>
  <c r="I17" i="27"/>
  <c r="L17" i="27" s="1"/>
  <c r="I18" i="27"/>
  <c r="L18" i="27" s="1"/>
  <c r="I19" i="27"/>
  <c r="L19" i="27" s="1"/>
  <c r="I20" i="27"/>
  <c r="L20" i="27" s="1"/>
  <c r="I22" i="27"/>
  <c r="I23" i="27"/>
  <c r="I24" i="27"/>
  <c r="K17" i="29"/>
  <c r="M17" i="29" s="1"/>
  <c r="N17" i="29" s="1"/>
  <c r="O17" i="29" s="1"/>
  <c r="P17" i="29" s="1"/>
  <c r="K21" i="29"/>
  <c r="M24" i="33"/>
  <c r="M22" i="35"/>
  <c r="K19" i="29"/>
  <c r="M19" i="29" s="1"/>
  <c r="N19" i="29" s="1"/>
  <c r="O19" i="29" s="1"/>
  <c r="L19" i="29"/>
  <c r="M24" i="34"/>
  <c r="K20" i="34"/>
  <c r="L20" i="34"/>
  <c r="M20" i="34" s="1"/>
  <c r="N20" i="34" s="1"/>
  <c r="O20" i="34" s="1"/>
  <c r="K19" i="31"/>
  <c r="L19" i="31"/>
  <c r="K21" i="31"/>
  <c r="L23" i="32"/>
  <c r="M23" i="32" s="1"/>
  <c r="N23" i="32" s="1"/>
  <c r="O23" i="32" s="1"/>
  <c r="M24" i="35"/>
  <c r="K18" i="31"/>
  <c r="L18" i="31"/>
  <c r="M22" i="33"/>
  <c r="N22" i="33" s="1"/>
  <c r="O22" i="33" s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L23" i="26" s="1"/>
  <c r="I24" i="26"/>
  <c r="I21" i="27"/>
  <c r="L21" i="27" s="1"/>
  <c r="M18" i="28"/>
  <c r="N18" i="28" s="1"/>
  <c r="O18" i="28" s="1"/>
  <c r="P18" i="28" s="1"/>
  <c r="M20" i="29"/>
  <c r="N20" i="29" s="1"/>
  <c r="O20" i="29" s="1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22" i="35"/>
  <c r="O22" i="35" s="1"/>
  <c r="N21" i="35"/>
  <c r="O21" i="35" s="1"/>
  <c r="N17" i="35"/>
  <c r="O17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4" i="33"/>
  <c r="O24" i="33" s="1"/>
  <c r="N18" i="33"/>
  <c r="O18" i="33" s="1"/>
  <c r="M16" i="33"/>
  <c r="N24" i="32"/>
  <c r="O24" i="32" s="1"/>
  <c r="P24" i="32" s="1"/>
  <c r="K25" i="32"/>
  <c r="P30" i="32" s="1"/>
  <c r="N21" i="31"/>
  <c r="O21" i="31" s="1"/>
  <c r="N24" i="31"/>
  <c r="O24" i="31" s="1"/>
  <c r="P24" i="31" s="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16" i="29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7" i="27"/>
  <c r="K20" i="27"/>
  <c r="K21" i="27"/>
  <c r="K22" i="27"/>
  <c r="L22" i="27"/>
  <c r="K23" i="27"/>
  <c r="L23" i="27"/>
  <c r="K24" i="27"/>
  <c r="L24" i="27"/>
  <c r="K19" i="27"/>
  <c r="K18" i="27"/>
  <c r="K17" i="26"/>
  <c r="K23" i="26"/>
  <c r="K20" i="26"/>
  <c r="K21" i="26"/>
  <c r="K24" i="26"/>
  <c r="L24" i="26"/>
  <c r="T23" i="15"/>
  <c r="T22" i="15"/>
  <c r="T21" i="15"/>
  <c r="T20" i="15"/>
  <c r="T19" i="15"/>
  <c r="T18" i="15"/>
  <c r="T17" i="15"/>
  <c r="T16" i="15"/>
  <c r="T15" i="15"/>
  <c r="T14" i="15"/>
  <c r="K19" i="26" l="1"/>
  <c r="L25" i="32"/>
  <c r="P29" i="32" s="1"/>
  <c r="K18" i="26"/>
  <c r="L18" i="26"/>
  <c r="L25" i="26" s="1"/>
  <c r="P29" i="26" s="1"/>
  <c r="K16" i="27"/>
  <c r="M17" i="33"/>
  <c r="N17" i="33" s="1"/>
  <c r="O17" i="33" s="1"/>
  <c r="M24" i="26"/>
  <c r="I25" i="27"/>
  <c r="P28" i="27" s="1"/>
  <c r="K25" i="35"/>
  <c r="P30" i="35" s="1"/>
  <c r="K16" i="26"/>
  <c r="L16" i="26"/>
  <c r="K25" i="34"/>
  <c r="P30" i="34" s="1"/>
  <c r="P31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7" l="1"/>
  <c r="L18" i="17"/>
  <c r="K21" i="21"/>
  <c r="L21" i="21"/>
  <c r="K21" i="23"/>
  <c r="L21" i="23"/>
  <c r="K19" i="18"/>
  <c r="L19" i="18"/>
  <c r="K17" i="17"/>
  <c r="L17" i="17"/>
  <c r="K20" i="21"/>
  <c r="L20" i="21"/>
  <c r="K19" i="23"/>
  <c r="L19" i="23"/>
  <c r="K19" i="21"/>
  <c r="L19" i="21"/>
  <c r="K18" i="24"/>
  <c r="L18" i="24"/>
  <c r="K19" i="20"/>
  <c r="L19" i="20"/>
  <c r="K18" i="25"/>
  <c r="L18" i="25"/>
  <c r="K20" i="17"/>
  <c r="L20" i="17"/>
  <c r="K16" i="17"/>
  <c r="L16" i="17"/>
  <c r="K18" i="21"/>
  <c r="L18" i="21"/>
  <c r="K17" i="20"/>
  <c r="L17" i="20"/>
  <c r="K19" i="17"/>
  <c r="L19" i="17"/>
  <c r="K18" i="20"/>
  <c r="L18" i="20"/>
  <c r="K20" i="24"/>
  <c r="L20" i="24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L20" i="16" s="1"/>
  <c r="I21" i="16"/>
  <c r="L21" i="16" s="1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18" i="16" l="1"/>
  <c r="K18" i="15" s="1"/>
  <c r="L18" i="16"/>
  <c r="K16" i="16"/>
  <c r="L16" i="16"/>
  <c r="K22" i="16"/>
  <c r="K20" i="16"/>
  <c r="K20" i="15" s="1"/>
  <c r="L20" i="15"/>
  <c r="L21" i="15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M16" i="15" s="1"/>
  <c r="L22" i="15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1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<sst xmlns="http://schemas.openxmlformats.org/spreadsheetml/2006/main" count="1580" uniqueCount="108">
  <si>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</si>
  <si>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</si>
  <si>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</si>
  <si>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</si>
  <si>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</si>
  <si>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</si>
  <si>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</si>
  <si>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</si>
  <si>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</si>
  <si>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</si>
  <si>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</si>
  <si>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</si>
  <si>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</si>
  <si>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</si>
  <si>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</si>
  <si>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</si>
  <si>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</si>
  <si>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</si>
  <si>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</si>
  <si>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</si>
  <si>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</si>
  <si>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</si>
  <si>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</si>
  <si>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</si>
  <si>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</si>
  <si>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</si>
  <si>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</si>
  <si>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</si>
  <si>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</si>
  <si>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</si>
  <si>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</si>
  <si>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</si>
  <si>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</si>
  <si>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</si>
  <si>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</si>
  <si>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</si>
  <si>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</si>
  <si>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</si>
  <si>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</si>
  <si>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</si>
  <si>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</si>
  <si>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</si>
  <si>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</si>
  <si>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</si>
  <si>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</si>
  <si>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</si>
  <si>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</si>
  <si>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</si>
  <si>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</si>
  <si>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</si>
  <si>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</si>
  <si>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</si>
  <si>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</si>
  <si>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</si>
  <si>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</si>
  <si>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</si>
  <si>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</si>
  <si>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</si>
  <si>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</si>
  <si>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</si>
  <si>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</si>
  <si>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</si>
  <si>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</si>
  <si>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</si>
  <si>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</si>
  <si>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</si>
  <si>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</si>
  <si>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</si>
  <si>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</si>
  <si>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</si>
  <si>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</si>
  <si>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</si>
  <si>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</si>
  <si>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</si>
  <si>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</si>
  <si>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</si>
  <si>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</si>
  <si>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</si>
  <si>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</si>
  <si>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</si>
  <si>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</si>
  <si>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</si>
  <si>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</si>
  <si>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</si>
  <si>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</si>
  <si>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</si>
  <si>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</si>
  <si>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</si>
  <si>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</si>
  <si>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</si>
  <si>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</si>
  <si>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</si>
  <si>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</si>
  <si>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</si>
  <si>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</si>
  <si>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</si>
  <si>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</si>
  <si>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</si>
  <si>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</si>
  <si>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</si>
  <si>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</si>
  <si>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</si>
  <si>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(Sohail Traders)</t>
  </si>
  <si>
    <t>Sohail Traders</t>
  </si>
  <si>
    <t>Customer Name : Sohail Traders (SD)</t>
  </si>
  <si>
    <t xml:space="preserve">Address: Kasur City </t>
  </si>
  <si>
    <t>35102-0713118-7</t>
  </si>
  <si>
    <t>1013549-9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</si>
</sst>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4" sqref="B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103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103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102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Sohail Traders (SD)</v>
      </c>
      <c r="U14" s="163">
        <f>+'1'!P35</f>
        <v>248050.38069600001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Sohail Traders (SD)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Sohail Traders (SD)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Sohail Traders (SD)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Sohail Traders (SD)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26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6043.6480000000001</v>
      </c>
      <c r="M19" s="117">
        <f t="shared" si="2"/>
        <v>-6043.6480000000001</v>
      </c>
      <c r="N19" s="100">
        <f>+'1'!N19+'2'!N19+'4'!N19+'3'!N19+'5'!N19+'6'!N19+'7'!N19+'8'!N19+'9'!N19+'10'!N19</f>
        <v>7395.9142400000001</v>
      </c>
      <c r="O19" s="100">
        <f>+'1'!O19+'2'!O19+'4'!O19+'3'!O19+'5'!O19+'6'!O19+'7'!O19+'8'!O19+'9'!O19+'10'!O19</f>
        <v>195.62533120000001</v>
      </c>
      <c r="P19" s="119">
        <f t="shared" si="0"/>
        <v>1547.8915711999998</v>
      </c>
      <c r="T19" s="162" t="str">
        <f>+'6'!A5</f>
        <v>Customer Name : Sohail Traders (SD)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46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10692.608</v>
      </c>
      <c r="M20" s="117">
        <f t="shared" si="2"/>
        <v>-10692.608</v>
      </c>
      <c r="N20" s="100">
        <f>+'1'!N20+'2'!N20+'4'!N20+'3'!N20+'5'!N20+'6'!N20+'7'!N20+'8'!N20+'9'!N20+'10'!N20</f>
        <v>13085.079040000001</v>
      </c>
      <c r="O20" s="100">
        <f>+'1'!O20+'2'!O20+'4'!O20+'3'!O20+'5'!O20+'6'!O20+'7'!O20+'8'!O20+'9'!O20+'10'!O20</f>
        <v>346.10635520000005</v>
      </c>
      <c r="P20" s="119">
        <f t="shared" si="0"/>
        <v>2738.5773952000004</v>
      </c>
      <c r="T20" s="162" t="str">
        <f>+'7'!A5</f>
        <v>Customer Name : Sohail Traders (SD)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</f>
        <v>48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11157.503999999999</v>
      </c>
      <c r="M21" s="117">
        <f t="shared" si="2"/>
        <v>-11157.503999999999</v>
      </c>
      <c r="N21" s="100">
        <f>+'1'!N21+'2'!N21+'4'!N21+'3'!N21+'5'!N21+'6'!N21+'7'!N21+'8'!N21+'9'!N21+'10'!N21</f>
        <v>13653.995519999999</v>
      </c>
      <c r="O21" s="100">
        <f>+'1'!O21+'2'!O21+'4'!O21+'3'!O21+'5'!O21+'6'!O21+'7'!O21+'8'!O21+'9'!O21+'10'!O21</f>
        <v>361.15445759999994</v>
      </c>
      <c r="P21" s="119">
        <f t="shared" si="0"/>
        <v>2857.6459775999997</v>
      </c>
      <c r="T21" s="162" t="str">
        <f>+'8'!A5</f>
        <v>Customer Name : Sohail Traders (SD)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2196.8800000000006</v>
      </c>
      <c r="L22" s="174">
        <f>+'1'!L22+'2'!L22+'4'!L22+'3'!L22+'5'!L22+'6'!L22+'7'!L22+'8'!L22+'9'!L22+'10'!L22</f>
        <v>6276.8000000000011</v>
      </c>
      <c r="M22" s="117">
        <f t="shared" si="2"/>
        <v>-8473.6800000000021</v>
      </c>
      <c r="N22" s="100">
        <f>+'1'!N22+'2'!N22+'4'!N22+'3'!N22+'5'!N22+'6'!N22+'7'!N22+'8'!N22+'9'!N22+'10'!N22</f>
        <v>11944.750400000001</v>
      </c>
      <c r="O22" s="100">
        <f>+'1'!O22+'2'!O22+'4'!O22+'3'!O22+'5'!O22+'6'!O22+'7'!O22+'8'!O22+'9'!O22+'10'!O22</f>
        <v>331.19535200000007</v>
      </c>
      <c r="P22" s="119">
        <f t="shared" si="0"/>
        <v>3802.2657519999989</v>
      </c>
      <c r="T22" s="162" t="str">
        <f>+'9'!A5</f>
        <v>Customer Name : Sohail Traders (SD)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Sohail Traders (SD)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Sohail Traders (SD)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0</v>
      </c>
      <c r="D25" s="222"/>
      <c r="E25" s="222"/>
      <c r="F25" s="222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120</v>
      </c>
      <c r="K25" s="177">
        <f t="shared" si="3"/>
        <v>2196.8800000000006</v>
      </c>
      <c r="L25" s="178">
        <f t="shared" si="3"/>
        <v>34170.560000000005</v>
      </c>
      <c r="M25" s="140">
        <f t="shared" si="3"/>
        <v>-36367.440000000002</v>
      </c>
      <c r="N25" s="141">
        <f>SUM(N16:N24)</f>
        <v>46079.739199999996</v>
      </c>
      <c r="O25" s="142">
        <f>SUM(O16:O24)</f>
        <v>1234.0814960000002</v>
      </c>
      <c r="P25" s="143">
        <f>SUM(P16:P24)</f>
        <v>10946.380695999998</v>
      </c>
      <c r="T25" s="162" t="str">
        <f>+'12'!A5</f>
        <v>Customer Name : Sohail Traders (SD)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Sohail Traders (SD)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Sohail Traders (SD)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Sohail Traders (SD)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Sohail Traders (SD)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Sohail Traders (SD)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Sohail Traders (SD)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248050.38069600001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0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34170.560000000005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2196.8800000000006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-36367.440000000002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46079.739199999996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9712.299199999994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242.80747999999986</v>
      </c>
    </row>
    <row r="42" spans="1:21" ht="15.75" customHeight="1" thickBot="1" x14ac:dyDescent="0.4">
      <c r="N42" s="220" t="s">
        <v>92</v>
      </c>
      <c r="O42" s="221"/>
      <c r="P42" s="159">
        <f>P40+P41</f>
        <v>9955.1066799999935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9" zoomScale="55" zoomScaleNormal="55" workbookViewId="0">
      <selection activeCell="S25" sqref="S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100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107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0.16</v>
      </c>
      <c r="M15" s="251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I16*16%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02"/>
      <c r="K17" s="1">
        <f t="shared" ref="K17:K21" si="4">I17*$K$13</f>
        <v>0</v>
      </c>
      <c r="L17" s="104">
        <f t="shared" ref="L17:L21" si="5">I17*16%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>
        <v>13</v>
      </c>
      <c r="H19" s="114"/>
      <c r="I19" s="115">
        <f t="shared" si="3"/>
        <v>37772.800000000003</v>
      </c>
      <c r="J19" s="102">
        <f>G19*2</f>
        <v>26</v>
      </c>
      <c r="K19" s="1">
        <f t="shared" si="4"/>
        <v>0</v>
      </c>
      <c r="L19" s="104">
        <f t="shared" si="5"/>
        <v>6043.6480000000001</v>
      </c>
      <c r="M19" s="117">
        <f t="shared" si="6"/>
        <v>31729.152000000002</v>
      </c>
      <c r="N19" s="117">
        <f t="shared" si="0"/>
        <v>7395.9142400000001</v>
      </c>
      <c r="O19" s="118">
        <f t="shared" si="1"/>
        <v>195.62533120000001</v>
      </c>
      <c r="P19" s="119">
        <f t="shared" si="2"/>
        <v>39320.691571199997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>
        <v>23</v>
      </c>
      <c r="H20" s="114"/>
      <c r="I20" s="115">
        <f t="shared" si="3"/>
        <v>66828.800000000003</v>
      </c>
      <c r="J20" s="102">
        <f t="shared" ref="J20:J21" si="7">G20*2</f>
        <v>46</v>
      </c>
      <c r="K20" s="1">
        <f t="shared" si="4"/>
        <v>0</v>
      </c>
      <c r="L20" s="104">
        <f t="shared" si="5"/>
        <v>10692.608</v>
      </c>
      <c r="M20" s="117">
        <f t="shared" si="6"/>
        <v>56136.192000000003</v>
      </c>
      <c r="N20" s="117">
        <f t="shared" si="0"/>
        <v>13085.079040000001</v>
      </c>
      <c r="O20" s="118">
        <f t="shared" si="1"/>
        <v>346.10635520000005</v>
      </c>
      <c r="P20" s="119">
        <f t="shared" si="2"/>
        <v>69567.377395200005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>
        <v>24</v>
      </c>
      <c r="H21" s="114"/>
      <c r="I21" s="115">
        <f t="shared" si="3"/>
        <v>69734.399999999994</v>
      </c>
      <c r="J21" s="102">
        <f t="shared" si="7"/>
        <v>48</v>
      </c>
      <c r="K21" s="1">
        <f t="shared" si="4"/>
        <v>0</v>
      </c>
      <c r="L21" s="104">
        <f t="shared" si="5"/>
        <v>11157.503999999999</v>
      </c>
      <c r="M21" s="117">
        <f t="shared" si="6"/>
        <v>58576.895999999993</v>
      </c>
      <c r="N21" s="117">
        <f t="shared" si="0"/>
        <v>13653.995519999999</v>
      </c>
      <c r="O21" s="118">
        <f t="shared" si="1"/>
        <v>361.15445759999994</v>
      </c>
      <c r="P21" s="119">
        <f t="shared" si="2"/>
        <v>72592.045977599992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>
        <v>40</v>
      </c>
      <c r="H22" s="114"/>
      <c r="I22" s="115">
        <f t="shared" si="3"/>
        <v>62768.000000000007</v>
      </c>
      <c r="J22" s="102"/>
      <c r="K22" s="1">
        <f>I22*3.5%</f>
        <v>2196.8800000000006</v>
      </c>
      <c r="L22" s="119">
        <f>I22*10%</f>
        <v>6276.8000000000011</v>
      </c>
      <c r="M22" s="117">
        <f t="shared" si="6"/>
        <v>54294.320000000007</v>
      </c>
      <c r="N22" s="117">
        <f t="shared" si="0"/>
        <v>11944.750400000001</v>
      </c>
      <c r="O22" s="118">
        <f t="shared" si="1"/>
        <v>331.19535200000007</v>
      </c>
      <c r="P22" s="119">
        <f t="shared" si="2"/>
        <v>66570.265752000007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100</v>
      </c>
      <c r="H25" s="135">
        <f t="shared" si="10"/>
        <v>0</v>
      </c>
      <c r="I25" s="136">
        <f t="shared" si="10"/>
        <v>237104</v>
      </c>
      <c r="J25" s="182">
        <f>SUM(J16:J21)</f>
        <v>120</v>
      </c>
      <c r="K25" s="138">
        <f t="shared" si="10"/>
        <v>2196.8800000000006</v>
      </c>
      <c r="L25" s="139">
        <f t="shared" si="10"/>
        <v>34170.560000000005</v>
      </c>
      <c r="M25" s="140">
        <f t="shared" si="10"/>
        <v>200736.56</v>
      </c>
      <c r="N25" s="141">
        <f>SUM(N16:N24)</f>
        <v>46079.739199999996</v>
      </c>
      <c r="O25" s="142">
        <f>SUM(O16:O24)</f>
        <v>1234.0814960000002</v>
      </c>
      <c r="P25" s="143">
        <f>SUM(P16:P24)</f>
        <v>248050.38069599998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237104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34170.560000000005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2196.8800000000006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200736.56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46079.739199999996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246816.29920000001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1234.081496</v>
      </c>
    </row>
    <row r="35" spans="2:16" ht="15.75" customHeight="1" thickBot="1" x14ac:dyDescent="0.4">
      <c r="N35" s="220" t="s">
        <v>92</v>
      </c>
      <c r="O35" s="221"/>
      <c r="P35" s="159">
        <f>P33+P34</f>
        <v>248050.38069600001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46195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46194</v>
      </c>
      <c r="O5" s="201"/>
      <c r="P5" s="201"/>
      <c r="R5" s="70"/>
      <c r="S5" s="71"/>
    </row>
    <row r="6" spans="1:19 16383:16384" ht="15" customHeight="1" x14ac:dyDescent="0.35">
      <c r="A6" s="202" t="s">
        <v>105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106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2026-06-22T10:41:27Z</dcterms:modified>
</cp:coreProperties>
</file>