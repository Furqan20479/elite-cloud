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066867E-ECBA-4394-89EE-269F54047B1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P33" i="26" l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7" i="17"/>
  <c r="P21" i="23"/>
  <c r="P20" i="24"/>
  <c r="M25" i="24"/>
  <c r="N25" i="24"/>
  <c r="P32" i="24" s="1"/>
  <c r="P33" i="24" s="1"/>
  <c r="P34" i="24" s="1"/>
  <c r="P35" i="24" s="1"/>
  <c r="U22" i="15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N22" i="15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<sst xmlns="http://schemas.openxmlformats.org/spreadsheetml/2006/main" count="2007" uniqueCount="129">
  <si>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</si>
  <si>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</si>
  <si>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</si>
  <si>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</si>
  <si>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</si>
  <si>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</si>
  <si>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</si>
  <si>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</si>
  <si>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</si>
  <si>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</si>
  <si>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</si>
  <si>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</si>
  <si>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</si>
  <si>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</si>
  <si>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</si>
  <si>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</si>
  <si>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</si>
  <si>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</si>
  <si>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</si>
  <si>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</si>
  <si>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</si>
  <si>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</si>
  <si>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</si>
  <si>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</si>
  <si>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</si>
  <si>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</si>
  <si>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</si>
  <si>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</si>
  <si>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</si>
  <si>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</si>
  <si>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</si>
  <si>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</si>
  <si>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</si>
  <si>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</si>
  <si>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</si>
  <si>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</si>
  <si>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</si>
  <si>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</si>
  <si>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</si>
  <si>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</si>
  <si>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</si>
  <si>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</si>
  <si>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</si>
  <si>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</si>
  <si>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</si>
  <si>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</si>
  <si>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</si>
  <si>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</si>
  <si>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</si>
  <si>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</si>
  <si>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</si>
  <si>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</si>
  <si>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</si>
  <si>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</si>
  <si>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</si>
  <si>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</si>
  <si>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</si>
  <si>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</si>
  <si>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</si>
  <si>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</si>
  <si>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</si>
  <si>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</si>
  <si>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</si>
  <si>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</si>
  <si>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</si>
  <si>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</si>
  <si>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</si>
  <si>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</si>
  <si>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</si>
  <si>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</si>
  <si>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</si>
  <si>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</si>
  <si>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</si>
  <si>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</si>
  <si>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</si>
  <si>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</si>
  <si>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</si>
  <si>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</si>
  <si>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</si>
  <si>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</si>
  <si>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</si>
  <si>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</si>
  <si>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</si>
  <si>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</si>
  <si>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</si>
  <si>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</si>
  <si>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</si>
  <si>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</si>
  <si>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</si>
  <si>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</si>
  <si>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</si>
  <si>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</si>
  <si>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</si>
  <si>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</si>
  <si>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</si>
  <si>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</si>
  <si>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</si>
  <si>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</si>
  <si>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</si>
  <si>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</si>
  <si>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</si>
  <si>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</si>
  <si>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</si>
  <si>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</si>
  <si>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</si>
  <si>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</si>
  <si>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</si>
  <si>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 xml:space="preserve">Customer Name : Gourmet Food Iqbal Town </t>
  </si>
  <si>
    <t>Address: 18 g iqbal town LHR</t>
  </si>
  <si>
    <t xml:space="preserve">Customer Name : Gourmet Food Central Park </t>
  </si>
  <si>
    <t xml:space="preserve">Address: Central Park </t>
  </si>
  <si>
    <t xml:space="preserve">Customer Name : Gourmet Food Ferozpur Road </t>
  </si>
  <si>
    <t xml:space="preserve">Address: Ferozpura Road Awan Market </t>
  </si>
  <si>
    <t>Customer Name : Gourmet Food Ghazi Road</t>
  </si>
  <si>
    <t>Address: Ghazi Road LHR</t>
  </si>
  <si>
    <t>Customer Name : Gourmet Food Ismail Nager Lahore</t>
  </si>
  <si>
    <t>Address: Ismail Nager LHR</t>
  </si>
  <si>
    <t xml:space="preserve">Customer Name : Gourmet Food Kahna </t>
  </si>
  <si>
    <t>Address: Kahna Now LHR</t>
  </si>
  <si>
    <t xml:space="preserve">Customer Name : Gourmet Food Muslim Town </t>
  </si>
  <si>
    <t xml:space="preserve">Address: Muslim Town </t>
  </si>
  <si>
    <t xml:space="preserve">Customer Name : Gourmet Food Muslim Town Ayubia </t>
  </si>
  <si>
    <t>Address: Muslim Town Ayoubia Market LHR</t>
  </si>
  <si>
    <t xml:space="preserve">Customer Name : Gourmet Food Pak Arab Society </t>
  </si>
  <si>
    <t xml:space="preserve">Address: Pak Arab Society </t>
  </si>
  <si>
    <t xml:space="preserve">Customer Name : Gourmet Food Walton Road </t>
  </si>
  <si>
    <t>Address: Walton Road LHR</t>
  </si>
  <si>
    <t>Customer Name : Gourmet Food Youhaba Abad</t>
  </si>
  <si>
    <t>Address: Younaha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</si>
</sst>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9" sqref="H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9" sqref="H9"/>
      <selection pane="topRight" activeCell="H9" sqref="H9"/>
      <selection pane="bottomLeft" activeCell="H9" sqref="H9"/>
      <selection pane="bottomRight" activeCell="H9" sqref="H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16" zoomScale="70" zoomScaleNormal="70" workbookViewId="0">
      <selection activeCell="S24" sqref="S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Iqbal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Gourmet Food Central Park 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520</v>
      </c>
      <c r="I16" s="1">
        <f>(G16*D16)*F16+H16*F16</f>
        <v>27280.5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22747.74</v>
      </c>
      <c r="N16" s="100">
        <f>+'1'!N16+'2'!N16+'4'!N16+'3'!N16+'5'!N16+'6'!N16+'7'!N16+'8'!N16+'9'!N16+'10'!N16</f>
        <v>3716.8631999999998</v>
      </c>
      <c r="O16" s="100">
        <f>+'1'!O16+'2'!O16+'4'!O16+'3'!O16+'5'!O16+'6'!O16+'7'!O16+'8'!O16+'9'!O16+'10'!O16</f>
        <v>121.83051599999999</v>
      </c>
      <c r="P16" s="104">
        <f t="shared" ref="P16:P24" si="0">M16+N16+O16</f>
        <v>26586.433716</v>
      </c>
      <c r="Q16" s="107"/>
      <c r="T16" s="162" t="str">
        <f>+'4'!A5</f>
        <v>Customer Name : Gourmet Food Ghazi Road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520</v>
      </c>
      <c r="I17" s="1">
        <f t="shared" ref="I17:I23" si="1">(G17*D17)*F17+H17*F17</f>
        <v>27280.5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22747.74</v>
      </c>
      <c r="N17" s="100">
        <f>+'1'!N17+'2'!N17+'4'!N17+'3'!N17+'5'!N17+'6'!N17+'7'!N17+'8'!N17+'9'!N17+'10'!N17</f>
        <v>3716.8631999999998</v>
      </c>
      <c r="O17" s="100">
        <f>+'1'!O17+'2'!O17+'4'!O17+'3'!O17+'5'!O17+'6'!O17+'7'!O17+'8'!O17+'9'!O17+'10'!O17</f>
        <v>121.83051599999999</v>
      </c>
      <c r="P17" s="119">
        <f t="shared" si="0"/>
        <v>26586.433716</v>
      </c>
      <c r="S17" s="64"/>
      <c r="T17" s="162" t="str">
        <f>+'3'!A5</f>
        <v xml:space="preserve">Customer Name : Gourmet Food Ferozpur Road 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Ismail Nager Lahore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31496.704000000005</v>
      </c>
      <c r="N19" s="100">
        <f>+'1'!N19+'2'!N19+'4'!N19+'3'!N19+'5'!N19+'6'!N19+'7'!N19+'8'!N19+'9'!N19+'10'!N19</f>
        <v>5146.3987200000001</v>
      </c>
      <c r="O19" s="100">
        <f>+'1'!O19+'2'!O19+'4'!O19+'3'!O19+'5'!O19+'6'!O19+'7'!O19+'8'!O19+'9'!O19+'10'!O19</f>
        <v>168.68751360000002</v>
      </c>
      <c r="P19" s="119">
        <f t="shared" si="0"/>
        <v>36811.790233600004</v>
      </c>
      <c r="T19" s="162" t="str">
        <f>+'6'!A5</f>
        <v xml:space="preserve">Customer Name : Gourmet Food Kahna 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520</v>
      </c>
      <c r="I20" s="1">
        <f t="shared" si="1"/>
        <v>37772.800000000003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31496.704000000005</v>
      </c>
      <c r="N20" s="100">
        <f>+'1'!N20+'2'!N20+'4'!N20+'3'!N20+'5'!N20+'6'!N20+'7'!N20+'8'!N20+'9'!N20+'10'!N20</f>
        <v>5146.3987200000001</v>
      </c>
      <c r="O20" s="100">
        <f>+'1'!O20+'2'!O20+'4'!O20+'3'!O20+'5'!O20+'6'!O20+'7'!O20+'8'!O20+'9'!O20+'10'!O20</f>
        <v>168.68751360000002</v>
      </c>
      <c r="P20" s="119">
        <f t="shared" si="0"/>
        <v>36811.790233600004</v>
      </c>
      <c r="T20" s="162" t="str">
        <f>+'7'!A5</f>
        <v xml:space="preserve">Customer Name : Gourmet Food Muslim Town 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31496.704000000005</v>
      </c>
      <c r="N21" s="100">
        <f>+'1'!N21+'2'!N21+'4'!N21+'3'!N21+'5'!N21+'6'!N21+'7'!N21+'8'!N21+'9'!N21+'10'!N21</f>
        <v>5146.3987200000001</v>
      </c>
      <c r="O21" s="100">
        <f>+'1'!O21+'2'!O21+'4'!O21+'3'!O21+'5'!O21+'6'!O21+'7'!O21+'8'!O21+'9'!O21+'10'!O21</f>
        <v>168.68751360000002</v>
      </c>
      <c r="P21" s="119">
        <f t="shared" si="0"/>
        <v>36811.790233600004</v>
      </c>
      <c r="T21" s="162" t="str">
        <f>+'8'!A5</f>
        <v xml:space="preserve">Customer Name : Gourmet Food Muslim Town Ayubia 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Gourmet Food Pak Arab Society </v>
      </c>
      <c r="U22" s="163">
        <f>+'9'!P35</f>
        <v>25115.739688800008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Gourmet Food Walton Road 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Youhaba Abad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2600</v>
      </c>
      <c r="I25" s="177">
        <f t="shared" si="3"/>
        <v>167879.40000000002</v>
      </c>
      <c r="J25" s="176">
        <f t="shared" si="3"/>
        <v>0</v>
      </c>
      <c r="K25" s="177">
        <f t="shared" si="3"/>
        <v>0</v>
      </c>
      <c r="L25" s="178">
        <f t="shared" si="3"/>
        <v>27893.807999999994</v>
      </c>
      <c r="M25" s="140">
        <f t="shared" si="3"/>
        <v>139985.592</v>
      </c>
      <c r="N25" s="141">
        <f>SUM(N16:N24)</f>
        <v>22872.922560000003</v>
      </c>
      <c r="O25" s="142">
        <f>SUM(O16:O24)</f>
        <v>749.72357279999994</v>
      </c>
      <c r="P25" s="143">
        <f>SUM(P16:P24)</f>
        <v>163608.23813280003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163252.30797720005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167879.40000000002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27893.807999999994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139985.59200000003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22872.922560000003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162858.51456000004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4071.462864000001</v>
      </c>
    </row>
    <row r="51" spans="2:16" ht="15.75" customHeight="1" thickBot="1" x14ac:dyDescent="0.4">
      <c r="N51" s="298" t="s">
        <v>92</v>
      </c>
      <c r="O51" s="299"/>
      <c r="P51" s="159">
        <f>P49+P50</f>
        <v>166929.97742400004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00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128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46203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46202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106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46203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46202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21.5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2026-06-30T06:32:11Z</dcterms:modified>
</cp:coreProperties>
</file>