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filterPrivacy="1" codeName="ThisWorkbook" defaultThemeVersion="124226"/>
  <xr:revisionPtr revIDLastSave="0" documentId="13_ncr:1_{E14A6067-AB50-4CEB-A7BE-53C605CCC3BC}" xr6:coauthVersionLast="45" xr6:coauthVersionMax="45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abdullah traders" sheetId="16" r:id="rId4"/>
    <sheet name="top" sheetId="19" r:id="rId5"/>
    <sheet name="khan" sheetId="18" r:id="rId6"/>
    <sheet name="mrwa" sheetId="20" r:id="rId7"/>
    <sheet name="saad" sheetId="21" r:id="rId8"/>
    <sheet name="cant" sheetId="22" r:id="rId9"/>
    <sheet name="HRMN" sheetId="23" r:id="rId10"/>
    <sheet name="Ghani" sheetId="24" r:id="rId11"/>
    <sheet name="Mehaj" sheetId="25" r:id="rId12"/>
    <sheet name="Bravo" sheetId="26" r:id="rId13"/>
    <sheet name="786" sheetId="27" r:id="rId14"/>
  </sheets>
  <externalReferences>
    <externalReference r:id="rId15"/>
  </externalReferences>
  <definedNames>
    <definedName name="_xlnm._FilterDatabase" localSheetId="3" hidden="1">'abdullah traders'!$K$3:$P$6</definedName>
    <definedName name="_xlnm._FilterDatabase" localSheetId="1" hidden="1">'Cust. Price List'!$A$7:$Q$7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24" i="16" l="1"/>
  <c r="H15" i="16"/>
  <c r="H16" i="16"/>
  <c r="H17" i="16"/>
  <c r="H18" i="16"/>
  <c r="H19" i="16"/>
  <c r="H20" i="16"/>
  <c r="H14" i="16"/>
  <c r="T25" i="15" l="1"/>
  <c r="T24" i="15"/>
  <c r="J24" i="15"/>
  <c r="J23" i="15"/>
  <c r="J22" i="15"/>
  <c r="J21" i="15"/>
  <c r="J20" i="15"/>
  <c r="J19" i="15"/>
  <c r="J18" i="15"/>
  <c r="J17" i="15"/>
  <c r="J16" i="15"/>
  <c r="H24" i="15"/>
  <c r="H23" i="15"/>
  <c r="H22" i="15"/>
  <c r="H21" i="15"/>
  <c r="H20" i="15"/>
  <c r="H19" i="15"/>
  <c r="H18" i="15"/>
  <c r="H17" i="15"/>
  <c r="H16" i="15"/>
  <c r="O34" i="27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I21" i="27" s="1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C11" i="27"/>
  <c r="N4" i="27"/>
  <c r="N5" i="27" s="1"/>
  <c r="O34" i="26"/>
  <c r="C11" i="26" s="1"/>
  <c r="O32" i="26"/>
  <c r="H25" i="26"/>
  <c r="G25" i="26"/>
  <c r="F24" i="26"/>
  <c r="E24" i="26"/>
  <c r="D24" i="26"/>
  <c r="I24" i="26" s="1"/>
  <c r="B24" i="26"/>
  <c r="C24" i="26" s="1"/>
  <c r="F23" i="26"/>
  <c r="E23" i="26"/>
  <c r="D23" i="26"/>
  <c r="I23" i="26" s="1"/>
  <c r="B23" i="26"/>
  <c r="C23" i="26" s="1"/>
  <c r="F22" i="26"/>
  <c r="E22" i="26"/>
  <c r="D22" i="26"/>
  <c r="I22" i="26" s="1"/>
  <c r="B22" i="26"/>
  <c r="C22" i="26" s="1"/>
  <c r="F21" i="26"/>
  <c r="E21" i="26"/>
  <c r="D21" i="26"/>
  <c r="I21" i="26" s="1"/>
  <c r="B21" i="26"/>
  <c r="C21" i="26" s="1"/>
  <c r="F20" i="26"/>
  <c r="E20" i="26"/>
  <c r="D20" i="26"/>
  <c r="I20" i="26" s="1"/>
  <c r="B20" i="26"/>
  <c r="C20" i="26" s="1"/>
  <c r="F19" i="26"/>
  <c r="E19" i="26"/>
  <c r="D19" i="26"/>
  <c r="I19" i="26" s="1"/>
  <c r="B19" i="26"/>
  <c r="C19" i="26" s="1"/>
  <c r="F18" i="26"/>
  <c r="E18" i="26"/>
  <c r="D18" i="26"/>
  <c r="I18" i="26" s="1"/>
  <c r="B18" i="26"/>
  <c r="C18" i="26" s="1"/>
  <c r="F17" i="26"/>
  <c r="E17" i="26"/>
  <c r="D17" i="26"/>
  <c r="I17" i="26" s="1"/>
  <c r="B17" i="26"/>
  <c r="C17" i="26" s="1"/>
  <c r="F16" i="26"/>
  <c r="E16" i="26"/>
  <c r="D16" i="26"/>
  <c r="I16" i="26" s="1"/>
  <c r="C16" i="26"/>
  <c r="B16" i="26"/>
  <c r="O15" i="26"/>
  <c r="N15" i="26"/>
  <c r="C12" i="26"/>
  <c r="N4" i="26"/>
  <c r="N5" i="26" s="1"/>
  <c r="J25" i="15" l="1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M23" i="27" s="1"/>
  <c r="L23" i="27"/>
  <c r="K24" i="27"/>
  <c r="L24" i="27"/>
  <c r="K19" i="27"/>
  <c r="L19" i="27"/>
  <c r="K18" i="27"/>
  <c r="L18" i="27"/>
  <c r="K17" i="26"/>
  <c r="M17" i="26" s="1"/>
  <c r="L17" i="26"/>
  <c r="K19" i="26"/>
  <c r="L19" i="26"/>
  <c r="K22" i="26"/>
  <c r="L22" i="26"/>
  <c r="K23" i="26"/>
  <c r="L23" i="26"/>
  <c r="K18" i="26"/>
  <c r="L18" i="26"/>
  <c r="K20" i="26"/>
  <c r="L20" i="26"/>
  <c r="K21" i="26"/>
  <c r="L21" i="26"/>
  <c r="K24" i="26"/>
  <c r="L24" i="26"/>
  <c r="M24" i="26" s="1"/>
  <c r="I25" i="26"/>
  <c r="P28" i="26" s="1"/>
  <c r="K16" i="26"/>
  <c r="L16" i="26"/>
  <c r="T23" i="15"/>
  <c r="T22" i="15"/>
  <c r="T21" i="15"/>
  <c r="T20" i="15"/>
  <c r="T19" i="15"/>
  <c r="T18" i="15"/>
  <c r="T17" i="15"/>
  <c r="T16" i="15"/>
  <c r="T15" i="15"/>
  <c r="T14" i="15"/>
  <c r="M17" i="27" l="1"/>
  <c r="M19" i="27"/>
  <c r="N19" i="27" s="1"/>
  <c r="O19" i="27" s="1"/>
  <c r="M20" i="26"/>
  <c r="M20" i="27"/>
  <c r="N20" i="27" s="1"/>
  <c r="O20" i="27" s="1"/>
  <c r="M23" i="26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M19" i="26"/>
  <c r="N19" i="26" s="1"/>
  <c r="O19" i="26" s="1"/>
  <c r="N23" i="27"/>
  <c r="O23" i="27" s="1"/>
  <c r="N17" i="27"/>
  <c r="O17" i="27" s="1"/>
  <c r="N24" i="27"/>
  <c r="O24" i="27" s="1"/>
  <c r="L25" i="27"/>
  <c r="P29" i="27" s="1"/>
  <c r="K25" i="27"/>
  <c r="P30" i="27" s="1"/>
  <c r="L25" i="26"/>
  <c r="P29" i="26" s="1"/>
  <c r="N20" i="26"/>
  <c r="O20" i="26" s="1"/>
  <c r="N22" i="26"/>
  <c r="O22" i="26" s="1"/>
  <c r="P22" i="26" s="1"/>
  <c r="N17" i="26"/>
  <c r="O17" i="26" s="1"/>
  <c r="P17" i="26" s="1"/>
  <c r="M16" i="26"/>
  <c r="N24" i="26"/>
  <c r="O24" i="26" s="1"/>
  <c r="N23" i="26"/>
  <c r="O23" i="26" s="1"/>
  <c r="P23" i="26" s="1"/>
  <c r="K25" i="26"/>
  <c r="P30" i="26" s="1"/>
  <c r="O34" i="25"/>
  <c r="O32" i="25"/>
  <c r="H25" i="25"/>
  <c r="G25" i="25"/>
  <c r="F24" i="25"/>
  <c r="E24" i="25"/>
  <c r="D24" i="25"/>
  <c r="I24" i="25" s="1"/>
  <c r="B24" i="25"/>
  <c r="C24" i="25" s="1"/>
  <c r="F23" i="25"/>
  <c r="E23" i="25"/>
  <c r="D23" i="25"/>
  <c r="I23" i="25" s="1"/>
  <c r="B23" i="25"/>
  <c r="C23" i="25" s="1"/>
  <c r="F22" i="25"/>
  <c r="E22" i="25"/>
  <c r="D22" i="25"/>
  <c r="I22" i="25" s="1"/>
  <c r="K22" i="25" s="1"/>
  <c r="B22" i="25"/>
  <c r="C22" i="25" s="1"/>
  <c r="F21" i="25"/>
  <c r="E21" i="25"/>
  <c r="D21" i="25"/>
  <c r="B21" i="25"/>
  <c r="C21" i="25" s="1"/>
  <c r="F20" i="25"/>
  <c r="E20" i="25"/>
  <c r="D20" i="25"/>
  <c r="I20" i="25" s="1"/>
  <c r="B20" i="25"/>
  <c r="C20" i="25" s="1"/>
  <c r="F19" i="25"/>
  <c r="E19" i="25"/>
  <c r="D19" i="25"/>
  <c r="I19" i="25" s="1"/>
  <c r="B19" i="25"/>
  <c r="C19" i="25" s="1"/>
  <c r="F18" i="25"/>
  <c r="E18" i="25"/>
  <c r="D18" i="25"/>
  <c r="I18" i="25" s="1"/>
  <c r="B18" i="25"/>
  <c r="C18" i="25" s="1"/>
  <c r="F17" i="25"/>
  <c r="E17" i="25"/>
  <c r="D17" i="25"/>
  <c r="I17" i="25" s="1"/>
  <c r="B17" i="25"/>
  <c r="C17" i="25" s="1"/>
  <c r="F16" i="25"/>
  <c r="E16" i="25"/>
  <c r="D16" i="25"/>
  <c r="I16" i="25" s="1"/>
  <c r="C16" i="25"/>
  <c r="B16" i="25"/>
  <c r="O15" i="25"/>
  <c r="N15" i="25"/>
  <c r="C12" i="25"/>
  <c r="C11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I24" i="19" s="1"/>
  <c r="B24" i="19"/>
  <c r="C24" i="19" s="1"/>
  <c r="F23" i="19"/>
  <c r="E23" i="19"/>
  <c r="D23" i="19"/>
  <c r="I23" i="19" s="1"/>
  <c r="B23" i="19"/>
  <c r="C23" i="19" s="1"/>
  <c r="F22" i="19"/>
  <c r="E22" i="19"/>
  <c r="D22" i="19"/>
  <c r="I22" i="19" s="1"/>
  <c r="B22" i="19"/>
  <c r="C22" i="19" s="1"/>
  <c r="F21" i="19"/>
  <c r="E21" i="19"/>
  <c r="D21" i="19"/>
  <c r="I21" i="19" s="1"/>
  <c r="B21" i="19"/>
  <c r="C21" i="19" s="1"/>
  <c r="F20" i="19"/>
  <c r="E20" i="19"/>
  <c r="D20" i="19"/>
  <c r="I20" i="19" s="1"/>
  <c r="B20" i="19"/>
  <c r="C20" i="19" s="1"/>
  <c r="F19" i="19"/>
  <c r="E19" i="19"/>
  <c r="D19" i="19"/>
  <c r="I19" i="19" s="1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I24" i="18" s="1"/>
  <c r="L24" i="18" s="1"/>
  <c r="B24" i="18"/>
  <c r="C24" i="18" s="1"/>
  <c r="F23" i="18"/>
  <c r="E23" i="18"/>
  <c r="D23" i="18"/>
  <c r="B23" i="18"/>
  <c r="C23" i="18" s="1"/>
  <c r="F22" i="18"/>
  <c r="E22" i="18"/>
  <c r="D22" i="18"/>
  <c r="I22" i="18" s="1"/>
  <c r="L22" i="18" s="1"/>
  <c r="B22" i="18"/>
  <c r="C22" i="18" s="1"/>
  <c r="F21" i="18"/>
  <c r="E21" i="18"/>
  <c r="D21" i="18"/>
  <c r="I21" i="18" s="1"/>
  <c r="C21" i="18"/>
  <c r="B21" i="18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I20" i="18" l="1"/>
  <c r="L20" i="18" s="1"/>
  <c r="I18" i="18"/>
  <c r="L18" i="18" s="1"/>
  <c r="I17" i="20"/>
  <c r="I19" i="20"/>
  <c r="K19" i="20" s="1"/>
  <c r="I21" i="20"/>
  <c r="I23" i="20"/>
  <c r="L23" i="20" s="1"/>
  <c r="M25" i="27"/>
  <c r="P24" i="27"/>
  <c r="P31" i="26"/>
  <c r="I16" i="24"/>
  <c r="I17" i="24"/>
  <c r="I18" i="24"/>
  <c r="K18" i="24" s="1"/>
  <c r="I19" i="24"/>
  <c r="I20" i="24"/>
  <c r="I21" i="24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I16" i="21"/>
  <c r="L16" i="21" s="1"/>
  <c r="I18" i="21"/>
  <c r="K18" i="21" s="1"/>
  <c r="I20" i="21"/>
  <c r="K20" i="21" s="1"/>
  <c r="I22" i="21"/>
  <c r="K22" i="21" s="1"/>
  <c r="I24" i="21"/>
  <c r="K24" i="21" s="1"/>
  <c r="I19" i="18"/>
  <c r="K19" i="18" s="1"/>
  <c r="I23" i="18"/>
  <c r="L23" i="18" s="1"/>
  <c r="K18" i="25"/>
  <c r="L18" i="25"/>
  <c r="K20" i="25"/>
  <c r="L20" i="25"/>
  <c r="I25" i="25"/>
  <c r="P28" i="25" s="1"/>
  <c r="K16" i="25"/>
  <c r="L16" i="25"/>
  <c r="K24" i="25"/>
  <c r="L24" i="25"/>
  <c r="L22" i="25"/>
  <c r="L17" i="25"/>
  <c r="K17" i="25"/>
  <c r="L19" i="25"/>
  <c r="K19" i="25"/>
  <c r="K21" i="25"/>
  <c r="L23" i="25"/>
  <c r="K23" i="25"/>
  <c r="L16" i="24"/>
  <c r="K16" i="24"/>
  <c r="K20" i="24"/>
  <c r="L20" i="24"/>
  <c r="L17" i="24"/>
  <c r="K17" i="24"/>
  <c r="L19" i="24"/>
  <c r="K19" i="24"/>
  <c r="L21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3" i="22"/>
  <c r="L24" i="21"/>
  <c r="L21" i="21"/>
  <c r="K24" i="20"/>
  <c r="L24" i="20"/>
  <c r="K17" i="20"/>
  <c r="L17" i="20"/>
  <c r="L21" i="20"/>
  <c r="K21" i="20"/>
  <c r="K23" i="20"/>
  <c r="K20" i="19"/>
  <c r="L20" i="19"/>
  <c r="K18" i="19"/>
  <c r="L18" i="19"/>
  <c r="K24" i="19"/>
  <c r="L24" i="19"/>
  <c r="K22" i="19"/>
  <c r="L22" i="19"/>
  <c r="K17" i="19"/>
  <c r="L19" i="19"/>
  <c r="K19" i="19"/>
  <c r="L21" i="19"/>
  <c r="K21" i="19"/>
  <c r="L23" i="19"/>
  <c r="K23" i="19"/>
  <c r="L21" i="18"/>
  <c r="K21" i="18"/>
  <c r="K22" i="18"/>
  <c r="M22" i="18" s="1"/>
  <c r="K24" i="18"/>
  <c r="M24" i="18" s="1"/>
  <c r="K18" i="18"/>
  <c r="M18" i="18" s="1"/>
  <c r="O32" i="16"/>
  <c r="C9" i="16" s="1"/>
  <c r="O30" i="16"/>
  <c r="C10" i="16" s="1"/>
  <c r="H23" i="16"/>
  <c r="G23" i="16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B16" i="16"/>
  <c r="C16" i="16" s="1"/>
  <c r="F15" i="16"/>
  <c r="E15" i="16"/>
  <c r="D15" i="16"/>
  <c r="B15" i="16"/>
  <c r="C15" i="16" s="1"/>
  <c r="F14" i="16"/>
  <c r="E14" i="16"/>
  <c r="D14" i="16"/>
  <c r="C14" i="16"/>
  <c r="B14" i="16"/>
  <c r="O13" i="16"/>
  <c r="N13" i="16"/>
  <c r="N4" i="16"/>
  <c r="N5" i="16" s="1"/>
  <c r="O34" i="15"/>
  <c r="O32" i="15"/>
  <c r="H25" i="15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0" i="18" l="1"/>
  <c r="M20" i="18" s="1"/>
  <c r="L19" i="20"/>
  <c r="K16" i="23"/>
  <c r="L24" i="24"/>
  <c r="L25" i="24" s="1"/>
  <c r="P29" i="24" s="1"/>
  <c r="L18" i="24"/>
  <c r="L22" i="21"/>
  <c r="L18" i="21"/>
  <c r="K16" i="20"/>
  <c r="M16" i="20" s="1"/>
  <c r="N16" i="20" s="1"/>
  <c r="K16" i="19"/>
  <c r="L19" i="21"/>
  <c r="K17" i="21"/>
  <c r="M17" i="21" s="1"/>
  <c r="N17" i="21" s="1"/>
  <c r="O17" i="21" s="1"/>
  <c r="P17" i="21" s="1"/>
  <c r="K18" i="23"/>
  <c r="L22" i="24"/>
  <c r="M22" i="24" s="1"/>
  <c r="N22" i="24" s="1"/>
  <c r="O22" i="24" s="1"/>
  <c r="L21" i="23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L22" i="23"/>
  <c r="L25" i="23" s="1"/>
  <c r="P29" i="23" s="1"/>
  <c r="M16" i="23"/>
  <c r="L23" i="21"/>
  <c r="I25" i="19"/>
  <c r="P28" i="19" s="1"/>
  <c r="L19" i="18"/>
  <c r="L25" i="18" s="1"/>
  <c r="P29" i="18" s="1"/>
  <c r="K23" i="18"/>
  <c r="O25" i="27"/>
  <c r="M23" i="25"/>
  <c r="M16" i="24"/>
  <c r="M20" i="24"/>
  <c r="M21" i="24"/>
  <c r="K24" i="23"/>
  <c r="M24" i="23" s="1"/>
  <c r="N24" i="23" s="1"/>
  <c r="O24" i="23" s="1"/>
  <c r="K24" i="22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P25" i="27"/>
  <c r="N25" i="26"/>
  <c r="P32" i="26" s="1"/>
  <c r="P33" i="26" s="1"/>
  <c r="O16" i="26"/>
  <c r="O25" i="26" s="1"/>
  <c r="M17" i="25"/>
  <c r="M24" i="25"/>
  <c r="M19" i="24"/>
  <c r="N19" i="24" s="1"/>
  <c r="O19" i="24" s="1"/>
  <c r="P19" i="24" s="1"/>
  <c r="M18" i="24"/>
  <c r="L19" i="23"/>
  <c r="M19" i="23" s="1"/>
  <c r="N19" i="23" s="1"/>
  <c r="O19" i="23" s="1"/>
  <c r="M21" i="22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M21" i="20"/>
  <c r="N21" i="20" s="1"/>
  <c r="O21" i="20" s="1"/>
  <c r="M17" i="20"/>
  <c r="M17" i="18"/>
  <c r="I25" i="18"/>
  <c r="P28" i="18" s="1"/>
  <c r="M18" i="25"/>
  <c r="N18" i="25" s="1"/>
  <c r="O18" i="25" s="1"/>
  <c r="M19" i="25"/>
  <c r="M22" i="25"/>
  <c r="N22" i="25" s="1"/>
  <c r="O22" i="25" s="1"/>
  <c r="M20" i="25"/>
  <c r="M24" i="24"/>
  <c r="M17" i="24"/>
  <c r="M23" i="24"/>
  <c r="M18" i="23"/>
  <c r="N18" i="23" s="1"/>
  <c r="O18" i="23" s="1"/>
  <c r="I25" i="23"/>
  <c r="P28" i="23" s="1"/>
  <c r="M24" i="22"/>
  <c r="M19" i="22"/>
  <c r="N19" i="22" s="1"/>
  <c r="O19" i="22" s="1"/>
  <c r="M18" i="22"/>
  <c r="I25" i="21"/>
  <c r="P28" i="21" s="1"/>
  <c r="M22" i="21"/>
  <c r="N22" i="21" s="1"/>
  <c r="O22" i="21" s="1"/>
  <c r="M23" i="21"/>
  <c r="N23" i="21" s="1"/>
  <c r="O23" i="21" s="1"/>
  <c r="P23" i="21" s="1"/>
  <c r="K16" i="21"/>
  <c r="M16" i="21" s="1"/>
  <c r="L22" i="20"/>
  <c r="L25" i="20" s="1"/>
  <c r="P29" i="20" s="1"/>
  <c r="I25" i="20"/>
  <c r="P28" i="20" s="1"/>
  <c r="M20" i="19"/>
  <c r="M23" i="19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4" i="16"/>
  <c r="I15" i="16"/>
  <c r="I16" i="16"/>
  <c r="I17" i="16"/>
  <c r="L17" i="16" s="1"/>
  <c r="I18" i="16"/>
  <c r="I19" i="16"/>
  <c r="I20" i="16"/>
  <c r="I21" i="16"/>
  <c r="L21" i="16" s="1"/>
  <c r="L23" i="15" s="1"/>
  <c r="I22" i="16"/>
  <c r="L22" i="16" s="1"/>
  <c r="M21" i="18"/>
  <c r="N21" i="18" s="1"/>
  <c r="O21" i="18" s="1"/>
  <c r="M18" i="19"/>
  <c r="M24" i="20"/>
  <c r="N24" i="20" s="1"/>
  <c r="O24" i="20" s="1"/>
  <c r="M19" i="21"/>
  <c r="N19" i="21" s="1"/>
  <c r="O19" i="21" s="1"/>
  <c r="M23" i="22"/>
  <c r="N23" i="22" s="1"/>
  <c r="O23" i="22" s="1"/>
  <c r="M21" i="23"/>
  <c r="N21" i="23" s="1"/>
  <c r="O21" i="23" s="1"/>
  <c r="M17" i="23"/>
  <c r="N17" i="23" s="1"/>
  <c r="O17" i="23" s="1"/>
  <c r="M24" i="19"/>
  <c r="M20" i="22"/>
  <c r="N20" i="22" s="1"/>
  <c r="O20" i="22" s="1"/>
  <c r="M23" i="23"/>
  <c r="N23" i="23" s="1"/>
  <c r="O23" i="23" s="1"/>
  <c r="M23" i="18"/>
  <c r="N23" i="18" s="1"/>
  <c r="O23" i="18" s="1"/>
  <c r="M18" i="21"/>
  <c r="K25" i="22"/>
  <c r="P30" i="22" s="1"/>
  <c r="M20" i="23"/>
  <c r="N20" i="23" s="1"/>
  <c r="O20" i="23" s="1"/>
  <c r="L25" i="25"/>
  <c r="P29" i="25" s="1"/>
  <c r="M21" i="25"/>
  <c r="N21" i="25" s="1"/>
  <c r="O21" i="25" s="1"/>
  <c r="P21" i="25" s="1"/>
  <c r="N24" i="25"/>
  <c r="O24" i="25" s="1"/>
  <c r="N17" i="25"/>
  <c r="O17" i="25" s="1"/>
  <c r="N20" i="25"/>
  <c r="O20" i="25" s="1"/>
  <c r="K25" i="25"/>
  <c r="P30" i="25" s="1"/>
  <c r="M16" i="25"/>
  <c r="N23" i="25"/>
  <c r="O23" i="25" s="1"/>
  <c r="P23" i="25" s="1"/>
  <c r="N19" i="25"/>
  <c r="O19" i="25" s="1"/>
  <c r="N20" i="24"/>
  <c r="O20" i="24" s="1"/>
  <c r="N23" i="24"/>
  <c r="O23" i="24" s="1"/>
  <c r="N24" i="24"/>
  <c r="O24" i="24" s="1"/>
  <c r="N17" i="24"/>
  <c r="O17" i="24" s="1"/>
  <c r="N18" i="24"/>
  <c r="O18" i="24" s="1"/>
  <c r="N16" i="24"/>
  <c r="K25" i="24"/>
  <c r="P30" i="24" s="1"/>
  <c r="N21" i="24"/>
  <c r="O21" i="24" s="1"/>
  <c r="N16" i="23"/>
  <c r="N21" i="22"/>
  <c r="O21" i="22" s="1"/>
  <c r="P21" i="22" s="1"/>
  <c r="N24" i="22"/>
  <c r="O24" i="22" s="1"/>
  <c r="P24" i="22" s="1"/>
  <c r="N18" i="22"/>
  <c r="O18" i="22" s="1"/>
  <c r="L25" i="22"/>
  <c r="P29" i="22" s="1"/>
  <c r="M16" i="22"/>
  <c r="M21" i="21"/>
  <c r="N21" i="21" s="1"/>
  <c r="N18" i="21"/>
  <c r="O18" i="21" s="1"/>
  <c r="N16" i="21"/>
  <c r="M19" i="20"/>
  <c r="N19" i="20" s="1"/>
  <c r="O19" i="20" s="1"/>
  <c r="N23" i="20"/>
  <c r="O23" i="20" s="1"/>
  <c r="N17" i="20"/>
  <c r="O17" i="20" s="1"/>
  <c r="M16" i="19"/>
  <c r="M17" i="19"/>
  <c r="N17" i="19" s="1"/>
  <c r="O17" i="19" s="1"/>
  <c r="M21" i="19"/>
  <c r="N23" i="19"/>
  <c r="O23" i="19" s="1"/>
  <c r="N16" i="19"/>
  <c r="N18" i="19"/>
  <c r="O18" i="19" s="1"/>
  <c r="N24" i="19"/>
  <c r="O24" i="19" s="1"/>
  <c r="N20" i="19"/>
  <c r="O20" i="19" s="1"/>
  <c r="L25" i="19"/>
  <c r="P29" i="19" s="1"/>
  <c r="K25" i="19"/>
  <c r="P30" i="19" s="1"/>
  <c r="M19" i="18"/>
  <c r="N19" i="18" s="1"/>
  <c r="O19" i="18" s="1"/>
  <c r="N24" i="18"/>
  <c r="O24" i="18" s="1"/>
  <c r="N18" i="18"/>
  <c r="O18" i="18" s="1"/>
  <c r="N17" i="18"/>
  <c r="O17" i="18" s="1"/>
  <c r="N22" i="18"/>
  <c r="O22" i="18" s="1"/>
  <c r="N20" i="18"/>
  <c r="O20" i="18" s="1"/>
  <c r="I23" i="15"/>
  <c r="K18" i="16" l="1"/>
  <c r="L18" i="16"/>
  <c r="K16" i="16"/>
  <c r="K18" i="15" s="1"/>
  <c r="L16" i="16"/>
  <c r="L18" i="15" s="1"/>
  <c r="M18" i="15" s="1"/>
  <c r="K20" i="16"/>
  <c r="K22" i="15" s="1"/>
  <c r="L20" i="16"/>
  <c r="L19" i="16"/>
  <c r="L21" i="15" s="1"/>
  <c r="L17" i="15"/>
  <c r="L15" i="16"/>
  <c r="K14" i="16"/>
  <c r="K16" i="15" s="1"/>
  <c r="L14" i="16"/>
  <c r="L16" i="15" s="1"/>
  <c r="K25" i="20"/>
  <c r="P30" i="20" s="1"/>
  <c r="P31" i="20" s="1"/>
  <c r="K25" i="21"/>
  <c r="P30" i="21" s="1"/>
  <c r="L24" i="15"/>
  <c r="K25" i="18"/>
  <c r="P30" i="18" s="1"/>
  <c r="P31" i="18" s="1"/>
  <c r="M16" i="18"/>
  <c r="K22" i="16"/>
  <c r="K24" i="15" s="1"/>
  <c r="L20" i="15"/>
  <c r="L25" i="21"/>
  <c r="P29" i="21" s="1"/>
  <c r="P31" i="21" s="1"/>
  <c r="L22" i="15"/>
  <c r="M22" i="15" s="1"/>
  <c r="M22" i="23"/>
  <c r="N22" i="23" s="1"/>
  <c r="O22" i="23" s="1"/>
  <c r="M22" i="20"/>
  <c r="N22" i="20" s="1"/>
  <c r="O22" i="20" s="1"/>
  <c r="M25" i="24"/>
  <c r="K20" i="15"/>
  <c r="K19" i="16"/>
  <c r="K21" i="15" s="1"/>
  <c r="P16" i="26"/>
  <c r="P25" i="26" s="1"/>
  <c r="K25" i="23"/>
  <c r="P30" i="23" s="1"/>
  <c r="P31" i="23" s="1"/>
  <c r="L19" i="15"/>
  <c r="P34" i="26"/>
  <c r="P35" i="26" s="1"/>
  <c r="U24" i="15" s="1"/>
  <c r="P31" i="22"/>
  <c r="I23" i="16"/>
  <c r="P26" i="16" s="1"/>
  <c r="K15" i="16"/>
  <c r="K17" i="15" s="1"/>
  <c r="M17" i="15" s="1"/>
  <c r="P23" i="22"/>
  <c r="I25" i="15"/>
  <c r="P28" i="15" s="1"/>
  <c r="M22" i="16"/>
  <c r="N22" i="16" s="1"/>
  <c r="K21" i="16"/>
  <c r="K17" i="16"/>
  <c r="K19" i="15" s="1"/>
  <c r="O21" i="21"/>
  <c r="P21" i="21" s="1"/>
  <c r="P24" i="23"/>
  <c r="P31" i="24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M25" i="18"/>
  <c r="N16" i="18"/>
  <c r="P22" i="18"/>
  <c r="P18" i="18"/>
  <c r="M21" i="15" l="1"/>
  <c r="M16" i="15"/>
  <c r="M14" i="16"/>
  <c r="N14" i="16" s="1"/>
  <c r="O14" i="16" s="1"/>
  <c r="L23" i="16"/>
  <c r="P27" i="16" s="1"/>
  <c r="M18" i="16"/>
  <c r="N18" i="16" s="1"/>
  <c r="O18" i="16" s="1"/>
  <c r="O20" i="15" s="1"/>
  <c r="M16" i="16"/>
  <c r="N16" i="16" s="1"/>
  <c r="O16" i="16" s="1"/>
  <c r="O18" i="15" s="1"/>
  <c r="M24" i="15"/>
  <c r="M20" i="16"/>
  <c r="N20" i="16" s="1"/>
  <c r="N22" i="15" s="1"/>
  <c r="N25" i="20"/>
  <c r="P32" i="20" s="1"/>
  <c r="P33" i="20" s="1"/>
  <c r="P34" i="20" s="1"/>
  <c r="P35" i="20" s="1"/>
  <c r="U18" i="15" s="1"/>
  <c r="M15" i="16"/>
  <c r="N15" i="16" s="1"/>
  <c r="O15" i="16" s="1"/>
  <c r="O17" i="15" s="1"/>
  <c r="M20" i="15"/>
  <c r="M19" i="16"/>
  <c r="N19" i="16" s="1"/>
  <c r="O19" i="16" s="1"/>
  <c r="O21" i="15" s="1"/>
  <c r="L25" i="15"/>
  <c r="P29" i="15" s="1"/>
  <c r="N25" i="23"/>
  <c r="P32" i="23" s="1"/>
  <c r="P33" i="23" s="1"/>
  <c r="P34" i="23" s="1"/>
  <c r="P35" i="23" s="1"/>
  <c r="U21" i="15" s="1"/>
  <c r="P22" i="23"/>
  <c r="O25" i="23"/>
  <c r="M25" i="23"/>
  <c r="M19" i="15"/>
  <c r="N16" i="15"/>
  <c r="O22" i="16"/>
  <c r="O24" i="15" s="1"/>
  <c r="N24" i="15"/>
  <c r="N18" i="15"/>
  <c r="P33" i="21"/>
  <c r="P34" i="21" s="1"/>
  <c r="P35" i="21" s="1"/>
  <c r="U19" i="15" s="1"/>
  <c r="P33" i="24"/>
  <c r="P34" i="24" s="1"/>
  <c r="P35" i="24" s="1"/>
  <c r="U22" i="15" s="1"/>
  <c r="P16" i="23"/>
  <c r="P25" i="23" s="1"/>
  <c r="O25" i="21"/>
  <c r="O25" i="19"/>
  <c r="N25" i="19"/>
  <c r="P32" i="19" s="1"/>
  <c r="P33" i="19" s="1"/>
  <c r="P34" i="19" s="1"/>
  <c r="P35" i="19" s="1"/>
  <c r="U17" i="15" s="1"/>
  <c r="M17" i="16"/>
  <c r="N17" i="16" s="1"/>
  <c r="K23" i="16"/>
  <c r="P28" i="16" s="1"/>
  <c r="M21" i="16"/>
  <c r="N21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20" i="16" l="1"/>
  <c r="O22" i="15" s="1"/>
  <c r="P29" i="16"/>
  <c r="N20" i="15"/>
  <c r="P20" i="15" s="1"/>
  <c r="P22" i="16"/>
  <c r="N17" i="15"/>
  <c r="P17" i="15" s="1"/>
  <c r="P18" i="16"/>
  <c r="P15" i="16"/>
  <c r="N21" i="15"/>
  <c r="P21" i="15" s="1"/>
  <c r="P16" i="16"/>
  <c r="P19" i="16"/>
  <c r="P20" i="16"/>
  <c r="P24" i="15"/>
  <c r="P18" i="15"/>
  <c r="O16" i="15"/>
  <c r="P16" i="15" s="1"/>
  <c r="O17" i="16"/>
  <c r="N19" i="15"/>
  <c r="O21" i="16"/>
  <c r="O23" i="15" s="1"/>
  <c r="N23" i="15"/>
  <c r="N23" i="16"/>
  <c r="P30" i="16" s="1"/>
  <c r="M23" i="16"/>
  <c r="P25" i="19"/>
  <c r="M25" i="15"/>
  <c r="K25" i="15"/>
  <c r="P30" i="15" s="1"/>
  <c r="P31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U15" i="15"/>
  <c r="P14" i="16"/>
  <c r="P22" i="15"/>
  <c r="P31" i="16" l="1"/>
  <c r="P32" i="16" s="1"/>
  <c r="P33" i="16" s="1"/>
  <c r="U14" i="15" s="1"/>
  <c r="U26" i="15" s="1"/>
  <c r="N25" i="15"/>
  <c r="P32" i="15" s="1"/>
  <c r="P33" i="15" s="1"/>
  <c r="P34" i="15" s="1"/>
  <c r="P35" i="15" s="1"/>
  <c r="P23" i="15"/>
  <c r="O23" i="16"/>
  <c r="P21" i="16"/>
  <c r="P17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3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<sst xmlns="http://schemas.openxmlformats.org/spreadsheetml/2006/main" count="937" uniqueCount="125">
  <si>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</si>
  <si>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</si>
  <si>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</si>
  <si>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</si>
  <si>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</si>
  <si>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</si>
  <si>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</si>
  <si>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</si>
  <si>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</si>
  <si>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</si>
  <si>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</si>
  <si>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</si>
  <si>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</si>
  <si>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</si>
  <si>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</si>
  <si>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</si>
  <si>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</si>
  <si>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</si>
  <si>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</si>
  <si>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</si>
  <si>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</si>
  <si>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</si>
  <si>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</si>
  <si>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</si>
  <si>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</si>
  <si>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</si>
  <si>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</si>
  <si>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</si>
  <si>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</si>
  <si>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</si>
  <si>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</si>
  <si>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</si>
  <si>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</si>
  <si>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</si>
  <si>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</si>
  <si>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</si>
  <si>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</si>
  <si>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</si>
  <si>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</si>
  <si>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</si>
  <si>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</si>
  <si>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</si>
  <si>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</si>
  <si>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</si>
  <si>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</si>
  <si>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</si>
  <si>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</si>
  <si>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</si>
  <si>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</si>
  <si>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</si>
  <si>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</si>
  <si>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</si>
  <si>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</si>
  <si>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</si>
  <si>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</si>
  <si>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</si>
  <si>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</si>
  <si>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</si>
  <si>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</si>
  <si>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</si>
  <si>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</si>
  <si>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</si>
  <si>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</si>
  <si>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</si>
  <si>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</si>
  <si>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</si>
  <si>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</si>
  <si>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</si>
  <si>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</si>
  <si>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</si>
  <si>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</si>
  <si>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</si>
  <si>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</si>
  <si>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</si>
  <si>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</si>
  <si>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</si>
  <si>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</si>
  <si>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</si>
  <si>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</si>
  <si>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</si>
  <si>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</si>
  <si>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</si>
  <si>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</si>
  <si>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</si>
  <si>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</si>
  <si>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</si>
  <si>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</si>
  <si>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</si>
  <si>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</si>
  <si>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</si>
  <si>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</si>
  <si>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</si>
  <si>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</si>
  <si>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</si>
  <si>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</si>
  <si>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 xml:space="preserve">Customer Name : </t>
  </si>
  <si>
    <t>NTN/CNIC Number:</t>
  </si>
  <si>
    <t xml:space="preserve">Address: </t>
  </si>
  <si>
    <t>Furqan</t>
  </si>
  <si>
    <t>Address: Y Block DHA</t>
  </si>
  <si>
    <t>Address: Nishat Colony</t>
  </si>
  <si>
    <t>8058676-4</t>
  </si>
  <si>
    <t>Address: CAVALRY GROUNG</t>
  </si>
  <si>
    <t>Furqan Ali</t>
  </si>
  <si>
    <t>Salman Butt</t>
  </si>
  <si>
    <t>Address: Near Askari-9</t>
  </si>
  <si>
    <t>Shop Bill Summary (Mobeen Ahmad)</t>
  </si>
  <si>
    <t>Mobeen Ahmad</t>
  </si>
  <si>
    <t>Address:  Tajbagh</t>
  </si>
  <si>
    <t>Customer Name : Khan Store</t>
  </si>
  <si>
    <t>Address: Tajbagh</t>
  </si>
  <si>
    <t>368496-8</t>
  </si>
  <si>
    <t>Customer Name : Top Bakers</t>
  </si>
  <si>
    <t>Customer Name : Marwa Mart</t>
  </si>
  <si>
    <t xml:space="preserve">Address: Tajbagh </t>
  </si>
  <si>
    <t>7919618-5</t>
  </si>
  <si>
    <t>Customer Name : Saad Mart</t>
  </si>
  <si>
    <t>200379-3</t>
  </si>
  <si>
    <t>Rana Bilal Tso</t>
  </si>
  <si>
    <t>Shakoor</t>
  </si>
  <si>
    <t>RANA BILAL TSO</t>
  </si>
  <si>
    <t>Address: Server Hayat Colony Lahore Road Raiwand</t>
  </si>
  <si>
    <t>H959818-4</t>
  </si>
  <si>
    <t>Customer Name : ABDULLAH TRADERS  (Sub-D)</t>
  </si>
  <si>
    <t>Note: Received 60% amount in this invoce and remaining amount of last ledger.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</si>
</sst>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C8" sqref="C8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104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107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98</v>
      </c>
    </row>
    <row r="12" spans="1:2" x14ac:dyDescent="0.35">
      <c r="A12">
        <v>7</v>
      </c>
      <c r="B12" t="s">
        <v>118</v>
      </c>
    </row>
    <row r="13" spans="1:2" x14ac:dyDescent="0.35">
      <c r="A13">
        <v>8</v>
      </c>
      <c r="B13" t="s">
        <v>119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pane="topRight" activeCell="L1" sqref="L1"/>
      <selection pane="bottomLeft" activeCell="A7" sqref="A7"/>
      <selection pane="bottomRight" activeCell="E12" sqref="E12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0"/>
      <c r="B3" s="180"/>
      <c r="C3" s="180"/>
      <c r="D3" s="180"/>
      <c r="E3" s="180"/>
      <c r="F3" s="181"/>
      <c r="G3" s="181"/>
      <c r="H3" s="181"/>
      <c r="I3" s="181"/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1"/>
      <c r="Y3" s="181"/>
    </row>
    <row r="4" spans="1:29" x14ac:dyDescent="0.35">
      <c r="A4" s="182" t="s">
        <v>6</v>
      </c>
      <c r="B4" s="5" t="s">
        <v>7</v>
      </c>
      <c r="C4" s="5"/>
      <c r="D4" s="184" t="s">
        <v>8</v>
      </c>
      <c r="E4" s="186" t="s">
        <v>9</v>
      </c>
      <c r="F4" s="188" t="s">
        <v>3</v>
      </c>
      <c r="G4" s="188"/>
      <c r="H4" s="189" t="s">
        <v>10</v>
      </c>
      <c r="I4" s="189"/>
      <c r="J4" s="190" t="s">
        <v>11</v>
      </c>
      <c r="K4" s="191"/>
      <c r="L4" s="190" t="s">
        <v>12</v>
      </c>
      <c r="M4" s="191"/>
      <c r="N4" s="192" t="s">
        <v>13</v>
      </c>
      <c r="O4" s="192"/>
      <c r="P4" s="190" t="s">
        <v>4</v>
      </c>
      <c r="Q4" s="191"/>
      <c r="R4" s="190" t="s">
        <v>14</v>
      </c>
      <c r="S4" s="191"/>
      <c r="T4" s="193" t="s">
        <v>15</v>
      </c>
      <c r="U4" s="193"/>
      <c r="V4" s="194" t="s">
        <v>16</v>
      </c>
      <c r="W4" s="195"/>
      <c r="X4" s="194" t="s">
        <v>17</v>
      </c>
      <c r="Y4" s="195"/>
    </row>
    <row r="5" spans="1:29" ht="26.25" customHeight="1" thickBot="1" x14ac:dyDescent="0.4">
      <c r="A5" s="183"/>
      <c r="B5" s="7" t="s">
        <v>18</v>
      </c>
      <c r="C5" s="7" t="s">
        <v>8</v>
      </c>
      <c r="D5" s="185"/>
      <c r="E5" s="187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37"/>
  <sheetViews>
    <sheetView zoomScale="70" zoomScaleNormal="70" workbookViewId="0">
      <selection activeCell="S20" sqref="S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.453125" customWidth="1"/>
    <col min="9" max="9" width="11.54296875" hidden="1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9.1796875" customWidth="1"/>
  </cols>
  <sheetData>
    <row r="2" spans="1:21 16383:16384" ht="21" x14ac:dyDescent="0.5">
      <c r="A2" s="196" t="s">
        <v>45</v>
      </c>
      <c r="B2" s="196"/>
      <c r="C2" s="196"/>
    </row>
    <row r="3" spans="1:21 16383:16384" ht="15" customHeight="1" x14ac:dyDescent="0.35">
      <c r="A3" s="197" t="s">
        <v>46</v>
      </c>
      <c r="B3" s="197"/>
      <c r="C3" s="197"/>
      <c r="F3" s="70"/>
      <c r="G3" s="71"/>
      <c r="K3" s="198" t="s">
        <v>47</v>
      </c>
      <c r="L3" s="198"/>
      <c r="M3" s="198"/>
      <c r="N3" s="197">
        <v>1</v>
      </c>
      <c r="O3" s="197"/>
      <c r="P3" s="197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197" t="s">
        <v>94</v>
      </c>
      <c r="B4" s="197"/>
      <c r="C4" s="197"/>
      <c r="F4" s="70"/>
      <c r="G4" s="71"/>
      <c r="K4" s="198" t="s">
        <v>49</v>
      </c>
      <c r="L4" s="198"/>
      <c r="M4" s="198"/>
      <c r="N4" s="199">
        <f ca="1">TODAY()</f>
        <v>46184</v>
      </c>
      <c r="O4" s="199"/>
      <c r="P4" s="199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1" t="s">
        <v>120</v>
      </c>
      <c r="B5" s="201"/>
      <c r="C5" s="201"/>
      <c r="F5" s="70"/>
      <c r="G5" s="71"/>
      <c r="K5" s="198" t="s">
        <v>51</v>
      </c>
      <c r="L5" s="198"/>
      <c r="M5" s="198"/>
      <c r="N5" s="199">
        <f ca="1">N4-1</f>
        <v>46183</v>
      </c>
      <c r="O5" s="197"/>
      <c r="P5" s="197"/>
      <c r="R5" s="70"/>
      <c r="S5" s="71"/>
    </row>
    <row r="6" spans="1:21 16383:16384" ht="15" customHeight="1" x14ac:dyDescent="0.35">
      <c r="A6" s="201"/>
      <c r="B6" s="201"/>
      <c r="C6" s="201"/>
      <c r="F6" s="70"/>
      <c r="G6" s="74"/>
      <c r="K6" s="198" t="s">
        <v>52</v>
      </c>
      <c r="L6" s="198"/>
      <c r="M6" s="198"/>
      <c r="N6" s="200" t="s">
        <v>42</v>
      </c>
      <c r="O6" s="200"/>
      <c r="P6" s="200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198"/>
      <c r="B7" s="198"/>
      <c r="C7" s="198"/>
      <c r="F7" s="70"/>
      <c r="G7" s="74"/>
      <c r="K7" s="198"/>
      <c r="L7" s="198"/>
      <c r="M7" s="198"/>
      <c r="N7" s="200"/>
      <c r="O7" s="200"/>
      <c r="P7" s="200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2"/>
      <c r="B8" s="202"/>
      <c r="C8" s="202"/>
      <c r="F8" s="70"/>
      <c r="G8" s="74"/>
      <c r="K8" s="198"/>
      <c r="L8" s="198"/>
      <c r="M8" s="198"/>
      <c r="N8" s="200"/>
      <c r="O8" s="200"/>
      <c r="P8" s="200"/>
      <c r="R8" s="70"/>
      <c r="S8" s="74"/>
    </row>
    <row r="9" spans="1:21 16383:16384" hidden="1" x14ac:dyDescent="0.35">
      <c r="A9" s="202"/>
      <c r="B9" s="202"/>
      <c r="C9" s="202"/>
      <c r="F9" s="70"/>
      <c r="G9" s="74"/>
      <c r="K9" s="198"/>
      <c r="L9" s="198"/>
      <c r="M9" s="198"/>
      <c r="N9" s="200"/>
      <c r="O9" s="200"/>
      <c r="P9" s="200"/>
      <c r="R9" s="70"/>
      <c r="S9" s="74"/>
      <c r="XFD9" t="s">
        <v>55</v>
      </c>
    </row>
    <row r="10" spans="1:21 16383:16384" x14ac:dyDescent="0.35">
      <c r="A10" s="203"/>
      <c r="B10" s="75"/>
      <c r="C10" s="75"/>
      <c r="F10" s="70"/>
      <c r="G10" s="71"/>
      <c r="K10" s="198" t="s">
        <v>56</v>
      </c>
      <c r="L10" s="198"/>
      <c r="M10" s="198"/>
      <c r="N10" s="197" t="s">
        <v>57</v>
      </c>
      <c r="O10" s="197"/>
      <c r="P10" s="197"/>
      <c r="R10" s="70"/>
      <c r="S10" s="71"/>
      <c r="XFD10" t="s">
        <v>58</v>
      </c>
    </row>
    <row r="11" spans="1:21 16383:16384" ht="15" thickBot="1" x14ac:dyDescent="0.4">
      <c r="A11" s="203"/>
      <c r="B11" s="76"/>
      <c r="C11" s="77"/>
      <c r="F11" s="70"/>
      <c r="G11" s="71"/>
      <c r="K11" s="198" t="s">
        <v>59</v>
      </c>
      <c r="L11" s="198"/>
      <c r="M11" s="198"/>
      <c r="N11" s="197" t="s">
        <v>55</v>
      </c>
      <c r="O11" s="197"/>
      <c r="P11" s="197"/>
      <c r="R11" s="70"/>
      <c r="S11" s="71"/>
    </row>
    <row r="12" spans="1:21 16383:16384" ht="14.65" customHeight="1" x14ac:dyDescent="0.35">
      <c r="A12" s="203"/>
      <c r="B12" s="76"/>
      <c r="C12" s="77"/>
      <c r="F12" s="70"/>
      <c r="G12" s="71"/>
      <c r="K12" s="198" t="s">
        <v>61</v>
      </c>
      <c r="L12" s="198"/>
      <c r="M12" s="198"/>
      <c r="N12" s="197"/>
      <c r="O12" s="197"/>
      <c r="P12" s="197"/>
      <c r="R12" s="70"/>
      <c r="S12" s="71"/>
      <c r="T12" s="212" t="s">
        <v>106</v>
      </c>
      <c r="U12" s="213"/>
      <c r="XFD12" t="s">
        <v>62</v>
      </c>
    </row>
    <row r="13" spans="1:21 16383:16384" ht="15" thickBot="1" x14ac:dyDescent="0.4">
      <c r="A13" s="240"/>
      <c r="J13" s="78"/>
      <c r="K13" s="78"/>
      <c r="L13" s="79">
        <v>0.05</v>
      </c>
      <c r="T13" s="214"/>
      <c r="U13" s="215"/>
      <c r="XFD13" t="s">
        <v>63</v>
      </c>
    </row>
    <row r="14" spans="1:21 16383:16384" ht="29.25" customHeight="1" x14ac:dyDescent="0.6">
      <c r="A14" s="241" t="s">
        <v>64</v>
      </c>
      <c r="B14" s="210"/>
      <c r="C14" s="204" t="s">
        <v>65</v>
      </c>
      <c r="D14" s="80" t="s">
        <v>2</v>
      </c>
      <c r="E14" s="81" t="s">
        <v>66</v>
      </c>
      <c r="F14" s="82" t="s">
        <v>67</v>
      </c>
      <c r="G14" s="206" t="s">
        <v>68</v>
      </c>
      <c r="H14" s="207"/>
      <c r="I14" s="207" t="s">
        <v>69</v>
      </c>
      <c r="J14" s="207" t="s">
        <v>70</v>
      </c>
      <c r="K14" s="207"/>
      <c r="L14" s="209"/>
      <c r="M14" s="210" t="s">
        <v>71</v>
      </c>
      <c r="N14" s="83" t="s">
        <v>72</v>
      </c>
      <c r="O14" s="84" t="s">
        <v>73</v>
      </c>
      <c r="P14" s="85" t="s">
        <v>74</v>
      </c>
      <c r="T14" s="163" t="str">
        <f>+'abdullah traders'!A5</f>
        <v>Customer Name : ABDULLAH TRADERS  (Sub-D)</v>
      </c>
      <c r="U14" s="164">
        <f>+'abdullah traders'!P33</f>
        <v>419992.07511149999</v>
      </c>
      <c r="XFD14" t="s">
        <v>75</v>
      </c>
    </row>
    <row r="15" spans="1:21 16383:16384" ht="29.25" customHeight="1" thickBot="1" x14ac:dyDescent="0.65">
      <c r="A15" s="242"/>
      <c r="B15" s="211"/>
      <c r="C15" s="205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08"/>
      <c r="J15" s="171" t="s">
        <v>78</v>
      </c>
      <c r="K15" s="171" t="s">
        <v>79</v>
      </c>
      <c r="L15" s="174" t="s">
        <v>80</v>
      </c>
      <c r="M15" s="21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e">
        <f>+#REF!</f>
        <v>#REF!</v>
      </c>
      <c r="U15" s="164" t="e">
        <f>+#REF!</f>
        <v>#REF!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 t="e">
        <f>+'abdullah traders'!H14+#REF!+khan!H16+top!H16+mrwa!H16+saad!H16+cant!H16+HRMN!H16+Ghani!H16+Mehaj!H16+Bravo!H16+'786'!H16</f>
        <v>#REF!</v>
      </c>
      <c r="I16" s="1" t="e">
        <f>(G16*D16)*F16+H16*F16</f>
        <v>#REF!</v>
      </c>
      <c r="J16" s="172" t="e">
        <f>+'abdullah traders'!J14+#REF!+khan!J16+top!J16+mrwa!J16+saad!J16+cant!J16+HRMN!J16+Ghani!J16+Mehaj!J16+Bravo!J16+'786'!J16</f>
        <v>#REF!</v>
      </c>
      <c r="K16" s="172" t="e">
        <f>+'abdullah traders'!K14+#REF!+khan!K16+top!K16+mrwa!K16+saad!K16+cant!K16+HRMN!K16+Ghani!K16+Mehaj!K16</f>
        <v>#REF!</v>
      </c>
      <c r="L16" s="175" t="e">
        <f>+'abdullah traders'!L14+#REF!+khan!L16+top!L16+mrwa!L16+saad!L16+cant!L16+HRMN!L16+Ghani!L16+Mehaj!L16</f>
        <v>#REF!</v>
      </c>
      <c r="M16" s="106" t="e">
        <f>I16-K16-L16</f>
        <v>#REF!</v>
      </c>
      <c r="N16" s="101" t="e">
        <f>+'abdullah traders'!N14+#REF!+khan!N16+top!N16+mrwa!N16+saad!N16+cant!N16+HRMN!N16+Ghani!N16+Mehaj!N16</f>
        <v>#REF!</v>
      </c>
      <c r="O16" s="101" t="e">
        <f>+'abdullah traders'!O14+#REF!+khan!O16+top!O16+mrwa!O16+saad!O16+cant!O16+HRMN!O16+Ghani!O16+Mehaj!O16</f>
        <v>#REF!</v>
      </c>
      <c r="P16" s="105" t="e">
        <f t="shared" ref="P16:P24" si="0">M16+N16+O16</f>
        <v>#REF!</v>
      </c>
      <c r="Q16" s="108"/>
      <c r="T16" s="163" t="str">
        <f>+khan!A5</f>
        <v>Customer Name : Khan Store</v>
      </c>
      <c r="U16" s="164">
        <f>+khan!P35</f>
        <v>0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 t="e">
        <f>+'abdullah traders'!H15+#REF!+khan!H17+top!H17+mrwa!H17+saad!H17+cant!H17+HRMN!H17+Ghani!H17+Mehaj!H17+Bravo!H17+'786'!H17</f>
        <v>#REF!</v>
      </c>
      <c r="I17" s="1" t="e">
        <f t="shared" ref="I17:I23" si="1">(G17*D17)*F17+H17*F17</f>
        <v>#REF!</v>
      </c>
      <c r="J17" s="172" t="e">
        <f>+'abdullah traders'!J15+#REF!+khan!J17+top!J17+mrwa!J17+saad!J17+cant!J17+HRMN!J17+Ghani!J17+Mehaj!J17+Bravo!J17+'786'!J17</f>
        <v>#REF!</v>
      </c>
      <c r="K17" s="172" t="e">
        <f>+'abdullah traders'!K15+#REF!+khan!K17+top!K17+mrwa!K17+saad!K17+cant!K17+HRMN!K17+Ghani!K17+Mehaj!K17</f>
        <v>#REF!</v>
      </c>
      <c r="L17" s="175" t="e">
        <f>+'abdullah traders'!L15+#REF!+khan!L17+top!L17+mrwa!L17+saad!L17+cant!L17+HRMN!L17+Ghani!L17+Mehaj!L17</f>
        <v>#REF!</v>
      </c>
      <c r="M17" s="118" t="e">
        <f t="shared" ref="M17:M23" si="2">I17-K17-L17</f>
        <v>#REF!</v>
      </c>
      <c r="N17" s="101" t="e">
        <f>+'abdullah traders'!N15+#REF!+khan!N17+top!N17+mrwa!N17+saad!N17+cant!N17+HRMN!N17+Ghani!N17+Mehaj!N17</f>
        <v>#REF!</v>
      </c>
      <c r="O17" s="101" t="e">
        <f>+'abdullah traders'!O15+#REF!+khan!O17+top!O17+mrwa!O17+saad!O17+cant!O17+HRMN!O17+Ghani!O17+Mehaj!O17</f>
        <v>#REF!</v>
      </c>
      <c r="P17" s="120" t="e">
        <f t="shared" si="0"/>
        <v>#REF!</v>
      </c>
      <c r="S17" s="64"/>
      <c r="T17" s="163" t="str">
        <f>+top!A5</f>
        <v>Customer Name : Top Bakers</v>
      </c>
      <c r="U17" s="164">
        <f>+top!P35</f>
        <v>0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 t="e">
        <f>+'abdullah traders'!H16+#REF!+khan!H18+top!H18+mrwa!H18+saad!H18+cant!H18+HRMN!H18+Ghani!H18+Mehaj!H18+Bravo!H18+'786'!H18</f>
        <v>#REF!</v>
      </c>
      <c r="I18" s="1" t="e">
        <f t="shared" si="1"/>
        <v>#REF!</v>
      </c>
      <c r="J18" s="172" t="e">
        <f>+'abdullah traders'!J16+#REF!+khan!J18+top!J18+mrwa!J18+saad!J18+cant!J18+HRMN!J18+Ghani!J18+Mehaj!J18+Bravo!J18+'786'!J18</f>
        <v>#REF!</v>
      </c>
      <c r="K18" s="172" t="e">
        <f>+'abdullah traders'!K16+#REF!+khan!K18+top!K18+mrwa!K18+saad!K18+cant!K18+HRMN!K18+Ghani!K18+Mehaj!K18</f>
        <v>#REF!</v>
      </c>
      <c r="L18" s="175" t="e">
        <f>+'abdullah traders'!L16+#REF!+khan!L18+top!L18+mrwa!L18+saad!L18+cant!L18+HRMN!L18+Ghani!L18+Mehaj!L18</f>
        <v>#REF!</v>
      </c>
      <c r="M18" s="118" t="e">
        <f t="shared" si="2"/>
        <v>#REF!</v>
      </c>
      <c r="N18" s="101" t="e">
        <f>+'abdullah traders'!N16+#REF!+khan!N18+top!N18+mrwa!N18+saad!N18+cant!N18+HRMN!N18+Ghani!N18+Mehaj!N18</f>
        <v>#REF!</v>
      </c>
      <c r="O18" s="101" t="e">
        <f>+'abdullah traders'!O16+#REF!+khan!O18+top!O18+mrwa!O18+saad!O18+cant!O18+HRMN!O18+Ghani!O18+Mehaj!O18</f>
        <v>#REF!</v>
      </c>
      <c r="P18" s="120" t="e">
        <f t="shared" si="0"/>
        <v>#REF!</v>
      </c>
      <c r="T18" s="163" t="str">
        <f>+mrwa!A5</f>
        <v>Customer Name : Marwa Mart</v>
      </c>
      <c r="U18" s="164">
        <f>+mrwa!P35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 t="e">
        <f>+'abdullah traders'!H17+#REF!+khan!H19+top!H19+mrwa!H19+saad!H19+cant!H19+HRMN!H19+Ghani!H19+Mehaj!H19+Bravo!H19+'786'!H19</f>
        <v>#REF!</v>
      </c>
      <c r="I19" s="1" t="e">
        <f t="shared" si="1"/>
        <v>#REF!</v>
      </c>
      <c r="J19" s="172" t="e">
        <f>+'abdullah traders'!J17+#REF!+khan!J19+top!J19+mrwa!J19+saad!J19+cant!J19+HRMN!J19+Ghani!J19+Mehaj!J19+Bravo!J19+'786'!J19</f>
        <v>#REF!</v>
      </c>
      <c r="K19" s="172" t="e">
        <f>+'abdullah traders'!K17+#REF!+khan!K19+top!K19+mrwa!K19+saad!K19+cant!K19+HRMN!K19+Ghani!K19+Mehaj!K19</f>
        <v>#REF!</v>
      </c>
      <c r="L19" s="175" t="e">
        <f>+'abdullah traders'!L17+#REF!+khan!L19+top!L19+mrwa!L19+saad!L19+cant!L19+HRMN!L19+Ghani!L19+Mehaj!L19</f>
        <v>#REF!</v>
      </c>
      <c r="M19" s="118" t="e">
        <f t="shared" si="2"/>
        <v>#REF!</v>
      </c>
      <c r="N19" s="101" t="e">
        <f>+'abdullah traders'!N17+#REF!+khan!N19+top!N19+mrwa!N19+saad!N19+cant!N19+HRMN!N19+Ghani!N19+Mehaj!N19</f>
        <v>#REF!</v>
      </c>
      <c r="O19" s="101" t="e">
        <f>+'abdullah traders'!O17+#REF!+khan!O19+top!O19+mrwa!O19+saad!O19+cant!O19+HRMN!O19+Ghani!O19+Mehaj!O19</f>
        <v>#REF!</v>
      </c>
      <c r="P19" s="120" t="e">
        <f t="shared" si="0"/>
        <v>#REF!</v>
      </c>
      <c r="T19" s="163" t="str">
        <f>+saad!A5</f>
        <v>Customer Name : Saad Mart</v>
      </c>
      <c r="U19" s="164">
        <f>+saad!P35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 t="e">
        <f>+'abdullah traders'!H18+#REF!+khan!H20+top!H20+mrwa!H20+saad!H20+cant!H20+HRMN!H20+Ghani!H20+Mehaj!H20+Bravo!H20+'786'!H20</f>
        <v>#REF!</v>
      </c>
      <c r="I20" s="1" t="e">
        <f t="shared" si="1"/>
        <v>#REF!</v>
      </c>
      <c r="J20" s="172" t="e">
        <f>+'abdullah traders'!J18+#REF!+khan!J20+top!J20+mrwa!J20+saad!J20+cant!J20+HRMN!J20+Ghani!J20+Mehaj!J20+Bravo!J20+'786'!J20</f>
        <v>#REF!</v>
      </c>
      <c r="K20" s="172" t="e">
        <f>+'abdullah traders'!K18+#REF!+khan!K20+top!K20+mrwa!K20+saad!K20+cant!K20+HRMN!K20+Ghani!K20+Mehaj!K20</f>
        <v>#REF!</v>
      </c>
      <c r="L20" s="175" t="e">
        <f>+'abdullah traders'!L18+#REF!+khan!L20+top!L20+mrwa!L20+saad!L20+cant!L20+HRMN!L20+Ghani!L20+Mehaj!L20</f>
        <v>#REF!</v>
      </c>
      <c r="M20" s="118" t="e">
        <f t="shared" si="2"/>
        <v>#REF!</v>
      </c>
      <c r="N20" s="101" t="e">
        <f>+'abdullah traders'!N18+#REF!+khan!N20+top!N20+mrwa!N20+saad!N20+cant!N20+HRMN!N20+Ghani!N20+Mehaj!N20</f>
        <v>#REF!</v>
      </c>
      <c r="O20" s="101" t="e">
        <f>+'abdullah traders'!O18+#REF!+khan!O20+top!O20+mrwa!O20+saad!O20+cant!O20+HRMN!O20+Ghani!O20+Mehaj!O20</f>
        <v>#REF!</v>
      </c>
      <c r="P20" s="120" t="e">
        <f t="shared" si="0"/>
        <v>#REF!</v>
      </c>
      <c r="T20" s="163" t="str">
        <f>+cant!A5</f>
        <v xml:space="preserve">Customer Name : </v>
      </c>
      <c r="U20" s="164">
        <f>+cant!P35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 t="e">
        <f>+'abdullah traders'!H19+#REF!+khan!H21+top!H21+mrwa!H21+saad!H21+cant!H21+HRMN!H21+Ghani!H21+Mehaj!H21+Bravo!H21+'786'!H21</f>
        <v>#REF!</v>
      </c>
      <c r="I21" s="1" t="e">
        <f t="shared" si="1"/>
        <v>#REF!</v>
      </c>
      <c r="J21" s="172" t="e">
        <f>+'abdullah traders'!J19+#REF!+khan!J21+top!J21+mrwa!J21+saad!J21+cant!J21+HRMN!J21+Ghani!J21+Mehaj!J21+Bravo!J21+'786'!J21</f>
        <v>#REF!</v>
      </c>
      <c r="K21" s="172" t="e">
        <f>+'abdullah traders'!K19+#REF!+khan!K21+top!K21+mrwa!K21+saad!K21+cant!K21+HRMN!K21+Ghani!K21+Mehaj!K21</f>
        <v>#REF!</v>
      </c>
      <c r="L21" s="175" t="e">
        <f>+'abdullah traders'!L19+#REF!+khan!L21+top!L21+mrwa!L21+saad!L21+cant!L21+HRMN!L21+Ghani!L21+Mehaj!L21</f>
        <v>#REF!</v>
      </c>
      <c r="M21" s="118" t="e">
        <f t="shared" si="2"/>
        <v>#REF!</v>
      </c>
      <c r="N21" s="101" t="e">
        <f>+'abdullah traders'!N19+#REF!+khan!N21+top!N21+mrwa!N21+saad!N21+cant!N21+HRMN!N21+Ghani!N21+Mehaj!N21</f>
        <v>#REF!</v>
      </c>
      <c r="O21" s="101" t="e">
        <f>+'abdullah traders'!O19+#REF!+khan!O21+top!O21+mrwa!O21+saad!O21+cant!O21+HRMN!O21+Ghani!O21+Mehaj!O21</f>
        <v>#REF!</v>
      </c>
      <c r="P21" s="120" t="e">
        <f t="shared" si="0"/>
        <v>#REF!</v>
      </c>
      <c r="T21" s="163" t="str">
        <f>+HRMN!A5</f>
        <v xml:space="preserve">Customer Name : </v>
      </c>
      <c r="U21" s="164">
        <f>+HRMN!P35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 t="e">
        <f>+'abdullah traders'!H20+#REF!+khan!H22+top!H22+mrwa!H22+saad!H22+cant!H22+HRMN!H22+Ghani!H22+Mehaj!H22+Bravo!H22+'786'!H22</f>
        <v>#REF!</v>
      </c>
      <c r="I22" s="1" t="e">
        <f t="shared" si="1"/>
        <v>#REF!</v>
      </c>
      <c r="J22" s="172" t="e">
        <f>+'abdullah traders'!J20+#REF!+khan!J22+top!J22+mrwa!J22+saad!J22+cant!J22+HRMN!J22+Ghani!J22+Mehaj!J22+Bravo!J22+'786'!J22</f>
        <v>#REF!</v>
      </c>
      <c r="K22" s="172" t="e">
        <f>+'abdullah traders'!K20+#REF!+khan!K22+top!K22+mrwa!K22+saad!K22+cant!K22+HRMN!K22+Ghani!K22+Mehaj!K22</f>
        <v>#REF!</v>
      </c>
      <c r="L22" s="175" t="e">
        <f>+'abdullah traders'!L20+#REF!+khan!L22+top!L22+mrwa!L22+saad!L22+cant!L22+HRMN!L22+Ghani!L22+Mehaj!L22</f>
        <v>#REF!</v>
      </c>
      <c r="M22" s="118" t="e">
        <f t="shared" si="2"/>
        <v>#REF!</v>
      </c>
      <c r="N22" s="101" t="e">
        <f>+'abdullah traders'!N20+#REF!+khan!N22+top!N22+mrwa!N22+saad!N22+cant!N22+HRMN!N22+Ghani!N22+Mehaj!N22</f>
        <v>#REF!</v>
      </c>
      <c r="O22" s="101" t="e">
        <f>+'abdullah traders'!O20+#REF!+khan!O22+top!O22+mrwa!O22+saad!O22+cant!O22+HRMN!O22+Ghani!O22+Mehaj!O22</f>
        <v>#REF!</v>
      </c>
      <c r="P22" s="120" t="e">
        <f t="shared" si="0"/>
        <v>#REF!</v>
      </c>
      <c r="T22" s="163" t="str">
        <f>+Ghani!A5</f>
        <v xml:space="preserve">Customer Name : </v>
      </c>
      <c r="U22" s="164">
        <f>+Ghani!P35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 t="e">
        <f>+'abdullah traders'!H21+#REF!+khan!H23+top!H23+mrwa!H23+saad!H23+cant!H23+HRMN!H23+Ghani!H23+Mehaj!H23+Bravo!H23+'786'!H23</f>
        <v>#REF!</v>
      </c>
      <c r="I23" s="1" t="e">
        <f t="shared" si="1"/>
        <v>#REF!</v>
      </c>
      <c r="J23" s="172" t="e">
        <f>+'abdullah traders'!J21+#REF!+khan!J23+top!J23+mrwa!J23+saad!J23+cant!J23+HRMN!J23+Ghani!J23+Mehaj!J23+Bravo!J23+'786'!J23</f>
        <v>#REF!</v>
      </c>
      <c r="K23" s="172" t="e">
        <f>+'abdullah traders'!K21+#REF!+khan!K23+top!K23+mrwa!K23+saad!K23+cant!K23+HRMN!K23+Ghani!K23+Mehaj!K23</f>
        <v>#REF!</v>
      </c>
      <c r="L23" s="175" t="e">
        <f>+'abdullah traders'!L21+#REF!+khan!L23+top!L23+mrwa!L23+saad!L23+cant!L23+HRMN!L23+Ghani!L23+Mehaj!L23</f>
        <v>#REF!</v>
      </c>
      <c r="M23" s="118" t="e">
        <f t="shared" si="2"/>
        <v>#REF!</v>
      </c>
      <c r="N23" s="101" t="e">
        <f>+'abdullah traders'!N21+#REF!+khan!N23+top!N23+mrwa!N23+saad!N23+cant!N23+HRMN!N23+Ghani!N23+Mehaj!N23</f>
        <v>#REF!</v>
      </c>
      <c r="O23" s="101" t="e">
        <f>+'abdullah traders'!O21+#REF!+khan!O23+top!O23+mrwa!O23+saad!O23+cant!O23+HRMN!O23+Ghani!O23+Mehaj!O23</f>
        <v>#REF!</v>
      </c>
      <c r="P23" s="120" t="e">
        <f t="shared" si="0"/>
        <v>#REF!</v>
      </c>
      <c r="T23" s="163" t="str">
        <f>+Mehaj!A5</f>
        <v xml:space="preserve">Customer Name : </v>
      </c>
      <c r="U23" s="164">
        <f>+Mehaj!P35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 t="e">
        <f>+'abdullah traders'!H22+#REF!+khan!H24+top!H24+mrwa!H24+saad!H24+cant!H24+HRMN!H24+Ghani!H24+Mehaj!H24+Bravo!H24+'786'!H24</f>
        <v>#REF!</v>
      </c>
      <c r="I24" s="1" t="e">
        <f>(G24*D24)*F24+H24*F24</f>
        <v>#REF!</v>
      </c>
      <c r="J24" s="172" t="e">
        <f>+'abdullah traders'!J22+#REF!+khan!J24+top!J24+mrwa!J24+saad!J24+cant!J24+HRMN!J24+Ghani!J24+Mehaj!J24+Bravo!J24+'786'!J24</f>
        <v>#REF!</v>
      </c>
      <c r="K24" s="172" t="e">
        <f>+'abdullah traders'!K22+#REF!+khan!K24+top!K24+mrwa!K24+saad!K24+cant!K24+HRMN!K24+Ghani!K24+Mehaj!K24</f>
        <v>#REF!</v>
      </c>
      <c r="L24" s="175" t="e">
        <f>+'abdullah traders'!L22+#REF!+khan!L24+top!L24+mrwa!L24+saad!L24+cant!L24+HRMN!L24+Ghani!L24+Mehaj!L24</f>
        <v>#REF!</v>
      </c>
      <c r="M24" s="133" t="e">
        <f>I24-K24-L24</f>
        <v>#REF!</v>
      </c>
      <c r="N24" s="101" t="e">
        <f>+'abdullah traders'!N22+#REF!+khan!N24+top!N24+mrwa!N24+saad!N24+cant!N24+HRMN!N24+Ghani!N24+Mehaj!N24</f>
        <v>#REF!</v>
      </c>
      <c r="O24" s="101" t="e">
        <f>+'abdullah traders'!O22+#REF!+khan!O24+top!O24+mrwa!O24+saad!O24+cant!O24+HRMN!O24+Ghani!O24+Mehaj!O24</f>
        <v>#REF!</v>
      </c>
      <c r="P24" s="132" t="e">
        <f t="shared" si="0"/>
        <v>#REF!</v>
      </c>
      <c r="T24" s="163" t="str">
        <f>+Bravo!A5</f>
        <v xml:space="preserve">Customer Name : </v>
      </c>
      <c r="U24" s="164">
        <f>+Bravo!P35</f>
        <v>0</v>
      </c>
    </row>
    <row r="25" spans="1:21 16384:16384" ht="26.5" thickBot="1" x14ac:dyDescent="0.65">
      <c r="A25" s="222" t="s">
        <v>84</v>
      </c>
      <c r="B25" s="223"/>
      <c r="C25" s="224"/>
      <c r="D25" s="218"/>
      <c r="E25" s="218"/>
      <c r="F25" s="218"/>
      <c r="G25" s="176">
        <f t="shared" ref="G25:M25" si="3">SUM(G16:G24)</f>
        <v>0</v>
      </c>
      <c r="H25" s="177" t="e">
        <f t="shared" si="3"/>
        <v>#REF!</v>
      </c>
      <c r="I25" s="178" t="e">
        <f t="shared" si="3"/>
        <v>#REF!</v>
      </c>
      <c r="J25" s="177" t="e">
        <f t="shared" si="3"/>
        <v>#REF!</v>
      </c>
      <c r="K25" s="178" t="e">
        <f t="shared" si="3"/>
        <v>#REF!</v>
      </c>
      <c r="L25" s="179" t="e">
        <f t="shared" si="3"/>
        <v>#REF!</v>
      </c>
      <c r="M25" s="141" t="e">
        <f t="shared" si="3"/>
        <v>#REF!</v>
      </c>
      <c r="N25" s="142" t="e">
        <f>SUM(N16:N24)</f>
        <v>#REF!</v>
      </c>
      <c r="O25" s="143" t="e">
        <f>SUM(O16:O24)</f>
        <v>#REF!</v>
      </c>
      <c r="P25" s="144" t="e">
        <f>SUM(P16:P24)</f>
        <v>#REF!</v>
      </c>
      <c r="T25" s="163" t="str">
        <f>+'786'!A5</f>
        <v xml:space="preserve">Customer Name : </v>
      </c>
      <c r="U25" s="164">
        <f>+'786'!P35</f>
        <v>0</v>
      </c>
    </row>
    <row r="26" spans="1:21 16384:16384" ht="26.5" thickBot="1" x14ac:dyDescent="0.6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  <c r="T26" s="166" t="s">
        <v>84</v>
      </c>
      <c r="U26" s="165" t="e">
        <f>SUM(U14:U25)</f>
        <v>#REF!</v>
      </c>
    </row>
    <row r="27" spans="1:21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1 16384:16384" x14ac:dyDescent="0.35">
      <c r="B28" s="225" t="s">
        <v>85</v>
      </c>
      <c r="C28" s="226"/>
      <c r="D28" s="226"/>
      <c r="E28" s="226"/>
      <c r="F28" s="226"/>
      <c r="G28" s="226"/>
      <c r="H28" s="226"/>
      <c r="I28" s="226"/>
      <c r="J28" s="226"/>
      <c r="K28" s="226"/>
      <c r="L28" s="227"/>
      <c r="N28" s="234" t="s">
        <v>86</v>
      </c>
      <c r="O28" s="235"/>
      <c r="P28" s="152" t="e">
        <f>I25</f>
        <v>#REF!</v>
      </c>
    </row>
    <row r="29" spans="1:21 16384:16384" ht="15" customHeight="1" x14ac:dyDescent="0.35">
      <c r="B29" s="228"/>
      <c r="C29" s="229"/>
      <c r="D29" s="229"/>
      <c r="E29" s="229"/>
      <c r="F29" s="229"/>
      <c r="G29" s="229"/>
      <c r="H29" s="229"/>
      <c r="I29" s="229"/>
      <c r="J29" s="229"/>
      <c r="K29" s="229"/>
      <c r="L29" s="230"/>
      <c r="N29" s="236" t="s">
        <v>87</v>
      </c>
      <c r="O29" s="237"/>
      <c r="P29" s="153" t="e">
        <f>L25</f>
        <v>#REF!</v>
      </c>
    </row>
    <row r="30" spans="1:21 16384:16384" ht="15" customHeight="1" x14ac:dyDescent="0.35">
      <c r="B30" s="228"/>
      <c r="C30" s="229"/>
      <c r="D30" s="229"/>
      <c r="E30" s="229"/>
      <c r="F30" s="229"/>
      <c r="G30" s="229"/>
      <c r="H30" s="229"/>
      <c r="I30" s="229"/>
      <c r="J30" s="229"/>
      <c r="K30" s="229"/>
      <c r="L30" s="230"/>
      <c r="N30" s="236" t="s">
        <v>4</v>
      </c>
      <c r="O30" s="237"/>
      <c r="P30" s="154" t="e">
        <f>K25</f>
        <v>#REF!</v>
      </c>
    </row>
    <row r="31" spans="1:21 16384:16384" ht="15" customHeight="1" x14ac:dyDescent="0.35">
      <c r="B31" s="228"/>
      <c r="C31" s="229"/>
      <c r="D31" s="229"/>
      <c r="E31" s="229"/>
      <c r="F31" s="229"/>
      <c r="G31" s="229"/>
      <c r="H31" s="229"/>
      <c r="I31" s="229"/>
      <c r="J31" s="229"/>
      <c r="K31" s="229"/>
      <c r="L31" s="230"/>
      <c r="M31" s="2"/>
      <c r="N31" s="236" t="s">
        <v>88</v>
      </c>
      <c r="O31" s="237"/>
      <c r="P31" s="153" t="e">
        <f>P28-P29-P30</f>
        <v>#REF!</v>
      </c>
    </row>
    <row r="32" spans="1:21 16384:16384" ht="15" customHeight="1" x14ac:dyDescent="0.35">
      <c r="B32" s="228"/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M32" s="2"/>
      <c r="N32" s="155" t="s">
        <v>89</v>
      </c>
      <c r="O32" s="156">
        <f>IF(B12="Registered",18%,22%)</f>
        <v>0.22</v>
      </c>
      <c r="P32" s="153" t="e">
        <f>N25</f>
        <v>#REF!</v>
      </c>
    </row>
    <row r="33" spans="2:16" ht="15" customHeight="1" x14ac:dyDescent="0.35">
      <c r="B33" s="228"/>
      <c r="C33" s="229"/>
      <c r="D33" s="229"/>
      <c r="E33" s="229"/>
      <c r="F33" s="229"/>
      <c r="G33" s="229"/>
      <c r="H33" s="229"/>
      <c r="I33" s="229"/>
      <c r="J33" s="229"/>
      <c r="K33" s="229"/>
      <c r="L33" s="230"/>
      <c r="M33" s="2"/>
      <c r="N33" s="238" t="s">
        <v>90</v>
      </c>
      <c r="O33" s="239"/>
      <c r="P33" s="153" t="e">
        <f>P31+P32</f>
        <v>#REF!</v>
      </c>
    </row>
    <row r="34" spans="2:16" ht="15" customHeight="1" thickBot="1" x14ac:dyDescent="0.4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M34" s="157"/>
      <c r="N34" s="158" t="s">
        <v>91</v>
      </c>
      <c r="O34" s="159">
        <f>IF(B11="Filer",0.5%,2.5%)</f>
        <v>2.5000000000000001E-2</v>
      </c>
      <c r="P34" s="153" t="e">
        <f>O34*P33</f>
        <v>#REF!</v>
      </c>
    </row>
    <row r="35" spans="2:16" ht="15.75" customHeight="1" thickBot="1" x14ac:dyDescent="0.4">
      <c r="N35" s="216" t="s">
        <v>92</v>
      </c>
      <c r="O35" s="217"/>
      <c r="P35" s="160" t="e">
        <f>P33+P34</f>
        <v>#REF!</v>
      </c>
    </row>
    <row r="36" spans="2:16" ht="15" thickBot="1" x14ac:dyDescent="0.4">
      <c r="B36" s="161" t="s">
        <v>93</v>
      </c>
      <c r="C36" s="218"/>
      <c r="D36" s="218"/>
      <c r="E36" s="218"/>
      <c r="F36" s="218"/>
      <c r="G36" s="218"/>
      <c r="H36" s="218"/>
      <c r="I36" s="219"/>
      <c r="J36" s="220"/>
      <c r="K36" s="221"/>
    </row>
    <row r="37" spans="2:16" ht="15.75" customHeight="1" x14ac:dyDescent="0.35"/>
  </sheetData>
  <mergeCells count="47">
    <mergeCell ref="T12:U13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6"/>
  <sheetViews>
    <sheetView tabSelected="1" topLeftCell="A4" zoomScaleNormal="100" workbookViewId="0">
      <selection activeCell="I9" sqref="I9"/>
    </sheetView>
  </sheetViews>
  <sheetFormatPr defaultColWidth="29.7265625" defaultRowHeight="14.5" x14ac:dyDescent="0.35"/>
  <cols>
    <col min="1" max="1" width="5.6328125" customWidth="1"/>
    <col min="2" max="2" width="28.6328125" customWidth="1"/>
    <col min="3" max="3" width="4.54296875" customWidth="1"/>
    <col min="4" max="4" width="4.1796875" bestFit="1" customWidth="1"/>
    <col min="5" max="5" width="3.90625" bestFit="1" customWidth="1"/>
    <col min="6" max="6" width="6.26953125" bestFit="1" customWidth="1"/>
    <col min="7" max="7" width="3.90625" bestFit="1" customWidth="1"/>
    <col min="8" max="8" width="4.81640625" bestFit="1" customWidth="1"/>
    <col min="9" max="9" width="11.6328125" bestFit="1" customWidth="1"/>
    <col min="10" max="10" width="6.7265625" bestFit="1" customWidth="1"/>
    <col min="11" max="11" width="10.453125" bestFit="1" customWidth="1"/>
    <col min="12" max="12" width="9" bestFit="1" customWidth="1"/>
    <col min="13" max="13" width="11.90625" bestFit="1" customWidth="1"/>
    <col min="14" max="14" width="8.7265625" style="69" bestFit="1" customWidth="1"/>
    <col min="15" max="15" width="9.7265625" customWidth="1"/>
    <col min="16" max="16" width="9.08984375" bestFit="1" customWidth="1"/>
    <col min="17" max="17" width="4.54296875" bestFit="1" customWidth="1"/>
    <col min="18" max="18" width="7.26953125" bestFit="1" customWidth="1"/>
    <col min="16383" max="16383" width="12.1796875" bestFit="1" customWidth="1"/>
    <col min="16384" max="16384" width="19.453125" bestFit="1" customWidth="1"/>
  </cols>
  <sheetData>
    <row r="2" spans="1:19 16383:16384" ht="21" x14ac:dyDescent="0.5">
      <c r="A2" s="196" t="s">
        <v>45</v>
      </c>
      <c r="B2" s="196"/>
      <c r="C2" s="196"/>
    </row>
    <row r="3" spans="1:19 16383:16384" ht="15" customHeight="1" x14ac:dyDescent="0.35">
      <c r="A3" s="197" t="s">
        <v>46</v>
      </c>
      <c r="B3" s="197"/>
      <c r="C3" s="197"/>
      <c r="F3" s="70"/>
      <c r="G3" s="71"/>
      <c r="K3" s="198" t="s">
        <v>47</v>
      </c>
      <c r="L3" s="198"/>
      <c r="M3" s="198"/>
      <c r="N3" s="197">
        <v>1</v>
      </c>
      <c r="O3" s="197"/>
      <c r="P3" s="19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7" t="s">
        <v>94</v>
      </c>
      <c r="B4" s="197"/>
      <c r="C4" s="197"/>
      <c r="F4" s="70"/>
      <c r="G4" s="71"/>
      <c r="K4" s="198" t="s">
        <v>49</v>
      </c>
      <c r="L4" s="198"/>
      <c r="M4" s="198"/>
      <c r="N4" s="199">
        <f ca="1">TODAY()</f>
        <v>46184</v>
      </c>
      <c r="O4" s="199"/>
      <c r="P4" s="19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123</v>
      </c>
      <c r="B5" s="246"/>
      <c r="C5" s="246"/>
      <c r="F5" s="70"/>
      <c r="G5" s="71"/>
      <c r="K5" s="198" t="s">
        <v>51</v>
      </c>
      <c r="L5" s="198"/>
      <c r="M5" s="198"/>
      <c r="N5" s="199">
        <f ca="1">N4-1</f>
        <v>46183</v>
      </c>
      <c r="O5" s="197"/>
      <c r="P5" s="197"/>
      <c r="R5" s="70"/>
      <c r="S5" s="71"/>
    </row>
    <row r="6" spans="1:19 16383:16384" ht="15" customHeight="1" x14ac:dyDescent="0.35">
      <c r="A6" s="198" t="s">
        <v>121</v>
      </c>
      <c r="B6" s="198"/>
      <c r="C6" s="198"/>
      <c r="F6" s="70"/>
      <c r="G6" s="74"/>
      <c r="K6" s="198" t="s">
        <v>52</v>
      </c>
      <c r="L6" s="198"/>
      <c r="M6" s="198"/>
      <c r="N6" s="200" t="s">
        <v>118</v>
      </c>
      <c r="O6" s="200"/>
      <c r="P6" s="200"/>
      <c r="R6" s="70"/>
      <c r="S6" s="74"/>
      <c r="XFC6" t="s">
        <v>53</v>
      </c>
      <c r="XFD6" s="2">
        <v>0.18</v>
      </c>
    </row>
    <row r="7" spans="1:19 16383:16384" x14ac:dyDescent="0.35">
      <c r="A7" s="202"/>
      <c r="B7" s="202"/>
      <c r="C7" s="202"/>
      <c r="F7" s="70"/>
      <c r="G7" s="74"/>
      <c r="K7" s="198"/>
      <c r="L7" s="198"/>
      <c r="M7" s="198"/>
      <c r="N7" s="200"/>
      <c r="O7" s="200"/>
      <c r="P7" s="200"/>
      <c r="R7" s="70"/>
      <c r="S7" s="74"/>
      <c r="XFD7" t="s">
        <v>55</v>
      </c>
    </row>
    <row r="8" spans="1:19 16383:16384" x14ac:dyDescent="0.35">
      <c r="A8" s="203" t="s">
        <v>96</v>
      </c>
      <c r="B8" s="75" t="s">
        <v>122</v>
      </c>
      <c r="C8" s="75"/>
      <c r="F8" s="70"/>
      <c r="G8" s="71"/>
      <c r="K8" s="198" t="s">
        <v>56</v>
      </c>
      <c r="L8" s="198"/>
      <c r="M8" s="198"/>
      <c r="N8" s="197" t="s">
        <v>57</v>
      </c>
      <c r="O8" s="197"/>
      <c r="P8" s="197"/>
      <c r="R8" s="70"/>
      <c r="S8" s="71"/>
      <c r="XFD8" t="s">
        <v>58</v>
      </c>
    </row>
    <row r="9" spans="1:19 16383:16384" x14ac:dyDescent="0.35">
      <c r="A9" s="203"/>
      <c r="B9" s="76" t="s">
        <v>48</v>
      </c>
      <c r="C9" s="77" t="str">
        <f>IF($O32&gt;2.49%,"No","Yes")</f>
        <v>Yes</v>
      </c>
      <c r="F9" s="70"/>
      <c r="G9" s="71"/>
      <c r="K9" s="198" t="s">
        <v>59</v>
      </c>
      <c r="L9" s="198"/>
      <c r="M9" s="198"/>
      <c r="N9" s="197" t="s">
        <v>55</v>
      </c>
      <c r="O9" s="197"/>
      <c r="P9" s="197"/>
      <c r="R9" s="70"/>
      <c r="S9" s="71"/>
    </row>
    <row r="10" spans="1:19 16383:16384" ht="14.65" customHeight="1" x14ac:dyDescent="0.35">
      <c r="A10" s="203" t="s">
        <v>60</v>
      </c>
      <c r="B10" s="76" t="s">
        <v>54</v>
      </c>
      <c r="C10" s="77" t="str">
        <f>IF($O30&gt;21.99%,"No","Yes")</f>
        <v>No</v>
      </c>
      <c r="F10" s="70"/>
      <c r="G10" s="71"/>
      <c r="K10" s="198" t="s">
        <v>61</v>
      </c>
      <c r="L10" s="198"/>
      <c r="M10" s="198"/>
      <c r="N10" s="197"/>
      <c r="O10" s="197"/>
      <c r="P10" s="197"/>
      <c r="R10" s="70"/>
      <c r="S10" s="71"/>
      <c r="XFD10" t="s">
        <v>62</v>
      </c>
    </row>
    <row r="11" spans="1:19 16383:16384" ht="15" thickBot="1" x14ac:dyDescent="0.4">
      <c r="A11" s="240"/>
      <c r="B11" s="168"/>
      <c r="J11" s="78"/>
      <c r="K11" s="78"/>
      <c r="L11" s="79">
        <v>0.05</v>
      </c>
      <c r="XFD11" t="s">
        <v>63</v>
      </c>
    </row>
    <row r="12" spans="1:19 16383:16384" ht="20.5" thickBot="1" x14ac:dyDescent="0.4">
      <c r="A12" s="241" t="s">
        <v>64</v>
      </c>
      <c r="B12" s="210"/>
      <c r="C12" s="204" t="s">
        <v>65</v>
      </c>
      <c r="D12" s="80" t="s">
        <v>2</v>
      </c>
      <c r="E12" s="81" t="s">
        <v>66</v>
      </c>
      <c r="F12" s="82" t="s">
        <v>67</v>
      </c>
      <c r="G12" s="247" t="s">
        <v>68</v>
      </c>
      <c r="H12" s="248"/>
      <c r="I12" s="249" t="s">
        <v>69</v>
      </c>
      <c r="J12" s="247" t="s">
        <v>70</v>
      </c>
      <c r="K12" s="251"/>
      <c r="L12" s="248"/>
      <c r="M12" s="249" t="s">
        <v>71</v>
      </c>
      <c r="N12" s="83" t="s">
        <v>72</v>
      </c>
      <c r="O12" s="84" t="s">
        <v>73</v>
      </c>
      <c r="P12" s="85" t="s">
        <v>74</v>
      </c>
      <c r="XFD12" t="s">
        <v>75</v>
      </c>
    </row>
    <row r="13" spans="1:19 16383:16384" ht="15" thickBot="1" x14ac:dyDescent="0.4">
      <c r="A13" s="242"/>
      <c r="B13" s="211"/>
      <c r="C13" s="205"/>
      <c r="D13" s="86" t="s">
        <v>76</v>
      </c>
      <c r="E13" s="86" t="s">
        <v>3</v>
      </c>
      <c r="F13" s="87" t="s">
        <v>3</v>
      </c>
      <c r="G13" s="88" t="s">
        <v>2</v>
      </c>
      <c r="H13" s="89" t="s">
        <v>77</v>
      </c>
      <c r="I13" s="250"/>
      <c r="J13" s="88" t="s">
        <v>78</v>
      </c>
      <c r="K13" s="90" t="s">
        <v>79</v>
      </c>
      <c r="L13" s="91" t="s">
        <v>80</v>
      </c>
      <c r="M13" s="250"/>
      <c r="N13" s="92">
        <f>IF(B10="Registered",18%,22%)</f>
        <v>0.22</v>
      </c>
      <c r="O13" s="93">
        <f>IF(B9="Filer",0.5%,2.5%)</f>
        <v>5.0000000000000001E-3</v>
      </c>
      <c r="P13" s="94" t="s">
        <v>1</v>
      </c>
      <c r="XFD13" t="s">
        <v>81</v>
      </c>
    </row>
    <row r="14" spans="1:19 16383:16384" x14ac:dyDescent="0.35">
      <c r="A14" s="95" t="s">
        <v>27</v>
      </c>
      <c r="B14" s="96" t="str">
        <f>VLOOKUP($A14,'[1]Cust. Price List'!$D$6:$O$14,2,0)</f>
        <v xml:space="preserve">Meat Masala </v>
      </c>
      <c r="C14" s="97">
        <f>VLOOKUP(A14,'[1]Cust. Price List'!D6:M14,3,0)</f>
        <v>70</v>
      </c>
      <c r="D14" s="98">
        <f>VLOOKUP(A14,'[1]Cust. Price List'!D6:M14,4,0)</f>
        <v>40</v>
      </c>
      <c r="E14" s="98">
        <f>VLOOKUP(A14,'[1]Cust. Price List'!D6:M14,6,0)</f>
        <v>65</v>
      </c>
      <c r="F14" s="99">
        <f>VLOOKUP(A14,'[1]Cust. Price List'!D6:M14,10,0)</f>
        <v>52.462499999999999</v>
      </c>
      <c r="G14" s="100">
        <v>10</v>
      </c>
      <c r="H14" s="101">
        <f>G14*40</f>
        <v>400</v>
      </c>
      <c r="I14" s="102">
        <f>(G14*D14)*F14+H14*F14</f>
        <v>41970</v>
      </c>
      <c r="J14" s="103">
        <v>30</v>
      </c>
      <c r="K14" s="104">
        <f>I14*$K$11</f>
        <v>0</v>
      </c>
      <c r="L14" s="105">
        <f t="shared" ref="L14:L19" si="0">I14*14%</f>
        <v>5875.8</v>
      </c>
      <c r="M14" s="106">
        <f>I14-K14-L14</f>
        <v>36094.199999999997</v>
      </c>
      <c r="N14" s="106">
        <f t="shared" ref="N14:N22" si="1">(M14*$N$13)+(J14*F14)*$N$13</f>
        <v>8286.9764999999989</v>
      </c>
      <c r="O14" s="107">
        <f t="shared" ref="O14:O22" si="2">(N14+M14)*$O$13</f>
        <v>221.90588249999996</v>
      </c>
      <c r="P14" s="105">
        <f t="shared" ref="P14:P22" si="3">M14+N14+O14</f>
        <v>44603.082382499997</v>
      </c>
      <c r="Q14" s="108"/>
      <c r="XFD14" t="s">
        <v>82</v>
      </c>
    </row>
    <row r="15" spans="1:19 16383:16384" x14ac:dyDescent="0.35">
      <c r="A15" s="109" t="s">
        <v>25</v>
      </c>
      <c r="B15" s="110" t="str">
        <f>VLOOKUP($A15,'[1]Cust. Price List'!$D$6:$O$14,2,0)</f>
        <v>Lemon Tarka</v>
      </c>
      <c r="C15" s="111">
        <f>VLOOKUP(B15,'[1]Cust. Price List'!E7:P15,2,0)</f>
        <v>70</v>
      </c>
      <c r="D15" s="112">
        <f>VLOOKUP(A15,'[1]Cust. Price List'!D7:M15,4,0)</f>
        <v>40</v>
      </c>
      <c r="E15" s="112">
        <f>VLOOKUP(A15,'[1]Cust. Price List'!D7:M15,6,0)</f>
        <v>65</v>
      </c>
      <c r="F15" s="113">
        <f>VLOOKUP(A15,'[1]Cust. Price List'!D7:M15,10,0)</f>
        <v>52.462499999999999</v>
      </c>
      <c r="G15" s="114">
        <v>10</v>
      </c>
      <c r="H15" s="101">
        <f t="shared" ref="H15:H20" si="4">G15*40</f>
        <v>400</v>
      </c>
      <c r="I15" s="116">
        <f t="shared" ref="I15:I21" si="5">(G15*D15)*F15+H15*F15</f>
        <v>41970</v>
      </c>
      <c r="J15" s="117">
        <v>20</v>
      </c>
      <c r="K15" s="1">
        <f t="shared" ref="K15:K19" si="6">I15*$K$11</f>
        <v>0</v>
      </c>
      <c r="L15" s="105">
        <f t="shared" si="0"/>
        <v>5875.8</v>
      </c>
      <c r="M15" s="118">
        <f t="shared" ref="M15:M21" si="7">I15-K15-L15</f>
        <v>36094.199999999997</v>
      </c>
      <c r="N15" s="118">
        <f t="shared" si="1"/>
        <v>8171.5589999999993</v>
      </c>
      <c r="O15" s="119">
        <f t="shared" si="2"/>
        <v>221.32879499999999</v>
      </c>
      <c r="P15" s="120">
        <f t="shared" si="3"/>
        <v>44487.087794999999</v>
      </c>
      <c r="S15" s="64"/>
      <c r="XFD15" t="s">
        <v>83</v>
      </c>
    </row>
    <row r="16" spans="1:19 16383:16384" x14ac:dyDescent="0.35">
      <c r="A16" s="109" t="s">
        <v>23</v>
      </c>
      <c r="B16" s="110" t="str">
        <f>VLOOKUP($A16,'[1]Cust. Price List'!$D$6:$O$14,2,0)</f>
        <v>Chicken Chatkhara</v>
      </c>
      <c r="C16" s="111">
        <f>VLOOKUP(B16,'[1]Cust. Price List'!E8:P16,2,0)</f>
        <v>70</v>
      </c>
      <c r="D16" s="112">
        <f>VLOOKUP(A16,'[1]Cust. Price List'!D8:M16,4,0)</f>
        <v>40</v>
      </c>
      <c r="E16" s="112">
        <f>VLOOKUP(A16,'[1]Cust. Price List'!D8:M16,6,0)</f>
        <v>65</v>
      </c>
      <c r="F16" s="113">
        <f>VLOOKUP(A16,'[1]Cust. Price List'!D8:M16,10,0)</f>
        <v>52.462499999999999</v>
      </c>
      <c r="G16" s="114"/>
      <c r="H16" s="101">
        <f t="shared" si="4"/>
        <v>0</v>
      </c>
      <c r="I16" s="116">
        <f t="shared" si="5"/>
        <v>0</v>
      </c>
      <c r="J16" s="117"/>
      <c r="K16" s="1">
        <f t="shared" si="6"/>
        <v>0</v>
      </c>
      <c r="L16" s="105">
        <f t="shared" si="0"/>
        <v>0</v>
      </c>
      <c r="M16" s="118">
        <f t="shared" si="7"/>
        <v>0</v>
      </c>
      <c r="N16" s="118">
        <f t="shared" si="1"/>
        <v>0</v>
      </c>
      <c r="O16" s="119">
        <f t="shared" si="2"/>
        <v>0</v>
      </c>
      <c r="P16" s="120">
        <f t="shared" si="3"/>
        <v>0</v>
      </c>
    </row>
    <row r="17" spans="1:16" x14ac:dyDescent="0.35">
      <c r="A17" s="109" t="s">
        <v>33</v>
      </c>
      <c r="B17" s="110" t="str">
        <f>VLOOKUP($A17,'[1]Cust. Price List'!$D$6:$O$14,2,0)</f>
        <v>Meat Masala (Jumbo)</v>
      </c>
      <c r="C17" s="111">
        <f>VLOOKUP(B17,'[1]Cust. Price List'!E9:P17,2,0)</f>
        <v>120</v>
      </c>
      <c r="D17" s="112">
        <f>VLOOKUP(A17,'[1]Cust. Price List'!D9:M17,4,0)</f>
        <v>40</v>
      </c>
      <c r="E17" s="112">
        <f>VLOOKUP(A17,'[1]Cust. Price List'!D9:M17,6,0)</f>
        <v>90</v>
      </c>
      <c r="F17" s="113">
        <f>VLOOKUP(A17,'[1]Cust. Price List'!D9:M17,10,0)</f>
        <v>72.64</v>
      </c>
      <c r="G17" s="114">
        <v>10</v>
      </c>
      <c r="H17" s="101">
        <f t="shared" si="4"/>
        <v>400</v>
      </c>
      <c r="I17" s="116">
        <f t="shared" si="5"/>
        <v>58112</v>
      </c>
      <c r="J17" s="117">
        <v>30</v>
      </c>
      <c r="K17" s="1">
        <f t="shared" si="6"/>
        <v>0</v>
      </c>
      <c r="L17" s="105">
        <f t="shared" si="0"/>
        <v>8135.6800000000012</v>
      </c>
      <c r="M17" s="118">
        <f t="shared" si="7"/>
        <v>49976.32</v>
      </c>
      <c r="N17" s="118">
        <f t="shared" si="1"/>
        <v>11474.214400000001</v>
      </c>
      <c r="O17" s="119">
        <f t="shared" si="2"/>
        <v>307.25267200000002</v>
      </c>
      <c r="P17" s="120">
        <f t="shared" si="3"/>
        <v>61757.787072000006</v>
      </c>
    </row>
    <row r="18" spans="1:16" x14ac:dyDescent="0.35">
      <c r="A18" s="109" t="s">
        <v>31</v>
      </c>
      <c r="B18" s="110" t="str">
        <f>VLOOKUP($A18,'[1]Cust. Price List'!$D$6:$O$14,2,0)</f>
        <v>Lemon Tarka (Jumbo)</v>
      </c>
      <c r="C18" s="111">
        <f>VLOOKUP(B18,'[1]Cust. Price List'!E10:P18,2,0)</f>
        <v>120</v>
      </c>
      <c r="D18" s="112">
        <f>VLOOKUP(A18,'[1]Cust. Price List'!D10:M18,4,0)</f>
        <v>40</v>
      </c>
      <c r="E18" s="112">
        <f>VLOOKUP(A18,'[1]Cust. Price List'!D10:M18,6,0)</f>
        <v>90</v>
      </c>
      <c r="F18" s="113">
        <f>VLOOKUP(A18,'[1]Cust. Price List'!D10:M18,10,0)</f>
        <v>72.64</v>
      </c>
      <c r="G18" s="114">
        <v>10</v>
      </c>
      <c r="H18" s="101">
        <f t="shared" si="4"/>
        <v>400</v>
      </c>
      <c r="I18" s="116">
        <f t="shared" si="5"/>
        <v>58112</v>
      </c>
      <c r="J18" s="117">
        <v>20</v>
      </c>
      <c r="K18" s="1">
        <f t="shared" si="6"/>
        <v>0</v>
      </c>
      <c r="L18" s="105">
        <f t="shared" si="0"/>
        <v>8135.6800000000012</v>
      </c>
      <c r="M18" s="118">
        <f t="shared" si="7"/>
        <v>49976.32</v>
      </c>
      <c r="N18" s="118">
        <f t="shared" si="1"/>
        <v>11314.4064</v>
      </c>
      <c r="O18" s="119">
        <f t="shared" si="2"/>
        <v>306.45363200000003</v>
      </c>
      <c r="P18" s="120">
        <f t="shared" si="3"/>
        <v>61597.180031999997</v>
      </c>
    </row>
    <row r="19" spans="1:16" x14ac:dyDescent="0.35">
      <c r="A19" s="109" t="s">
        <v>29</v>
      </c>
      <c r="B19" s="110" t="str">
        <f>VLOOKUP($A19,'[1]Cust. Price List'!$D$6:$O$14,2,0)</f>
        <v>Chicken Chatkhara (Jumbo)</v>
      </c>
      <c r="C19" s="111">
        <f>VLOOKUP(B19,'[1]Cust. Price List'!E11:P19,2,0)</f>
        <v>120</v>
      </c>
      <c r="D19" s="112">
        <f>VLOOKUP(A19,'[1]Cust. Price List'!D11:M19,4,0)</f>
        <v>40</v>
      </c>
      <c r="E19" s="112">
        <f>VLOOKUP(A19,'[1]Cust. Price List'!D11:M19,6,0)</f>
        <v>90</v>
      </c>
      <c r="F19" s="113">
        <f>VLOOKUP(A19,'[1]Cust. Price List'!D11:M19,10,0)</f>
        <v>72.64</v>
      </c>
      <c r="G19" s="114">
        <v>15</v>
      </c>
      <c r="H19" s="101">
        <f t="shared" si="4"/>
        <v>600</v>
      </c>
      <c r="I19" s="116">
        <f t="shared" si="5"/>
        <v>87168</v>
      </c>
      <c r="J19" s="117">
        <v>30</v>
      </c>
      <c r="K19" s="1">
        <f t="shared" si="6"/>
        <v>0</v>
      </c>
      <c r="L19" s="105">
        <f t="shared" si="0"/>
        <v>12203.52</v>
      </c>
      <c r="M19" s="118">
        <f t="shared" si="7"/>
        <v>74964.479999999996</v>
      </c>
      <c r="N19" s="118">
        <f t="shared" si="1"/>
        <v>16971.6096</v>
      </c>
      <c r="O19" s="119">
        <f t="shared" si="2"/>
        <v>459.68044799999996</v>
      </c>
      <c r="P19" s="120">
        <f t="shared" si="3"/>
        <v>92395.770047999991</v>
      </c>
    </row>
    <row r="20" spans="1:16" ht="15" thickBot="1" x14ac:dyDescent="0.4">
      <c r="A20" s="109" t="s">
        <v>35</v>
      </c>
      <c r="B20" s="110" t="str">
        <f>VLOOKUP($A20,'[1]Cust. Price List'!$D$6:$O$14,2,0)</f>
        <v>Chicken Chatkhara  (ECO)</v>
      </c>
      <c r="C20" s="111">
        <f>VLOOKUP(B20,'[1]Cust. Price List'!E12:P20,2,0)</f>
        <v>60</v>
      </c>
      <c r="D20" s="112">
        <f>VLOOKUP(A20,'[1]Cust. Price List'!D12:M20,4,0)</f>
        <v>40</v>
      </c>
      <c r="E20" s="112">
        <f>VLOOKUP(A20,'[1]Cust. Price List'!D12:M20,6,0)</f>
        <v>50</v>
      </c>
      <c r="F20" s="121">
        <f>VLOOKUP(A20,'[1]Cust. Price List'!D12:M20,10,0)</f>
        <v>39.230000000000004</v>
      </c>
      <c r="G20" s="114">
        <v>35</v>
      </c>
      <c r="H20" s="101">
        <f t="shared" si="4"/>
        <v>1400</v>
      </c>
      <c r="I20" s="116">
        <f t="shared" si="5"/>
        <v>109844.00000000001</v>
      </c>
      <c r="J20" s="117"/>
      <c r="K20" s="1">
        <f>I20*3.5%</f>
        <v>3844.5400000000009</v>
      </c>
      <c r="L20" s="120">
        <f>I20*11%</f>
        <v>12082.840000000002</v>
      </c>
      <c r="M20" s="118">
        <f t="shared" si="7"/>
        <v>93916.620000000024</v>
      </c>
      <c r="N20" s="118">
        <f t="shared" si="1"/>
        <v>20661.656400000007</v>
      </c>
      <c r="O20" s="119">
        <f t="shared" si="2"/>
        <v>572.89138200000014</v>
      </c>
      <c r="P20" s="120">
        <f t="shared" si="3"/>
        <v>115151.16778200003</v>
      </c>
    </row>
    <row r="21" spans="1:16" ht="15" hidden="1" thickBot="1" x14ac:dyDescent="0.4">
      <c r="A21" s="109" t="s">
        <v>37</v>
      </c>
      <c r="B21" s="110" t="str">
        <f>VLOOKUP($A21,'[1]Cust. Price List'!$D$6:$O$14,2,0)</f>
        <v>Lemon Tarka (ECO)</v>
      </c>
      <c r="C21" s="111">
        <f>VLOOKUP(B21,'[1]Cust. Price List'!E13:P21,2,0)</f>
        <v>60</v>
      </c>
      <c r="D21" s="112">
        <f>VLOOKUP(A21,'[1]Cust. Price List'!D13:M21,4,0)</f>
        <v>40</v>
      </c>
      <c r="E21" s="112">
        <f>VLOOKUP(A21,'[1]Cust. Price List'!D13:M21,6,0)</f>
        <v>50</v>
      </c>
      <c r="F21" s="113">
        <f>VLOOKUP(A21,'[1]Cust. Price List'!D13:M21,10,0)</f>
        <v>39.230000000000004</v>
      </c>
      <c r="G21" s="114"/>
      <c r="H21" s="115"/>
      <c r="I21" s="116">
        <f t="shared" si="5"/>
        <v>0</v>
      </c>
      <c r="J21" s="117"/>
      <c r="K21" s="1">
        <f t="shared" ref="K21:K22" si="8">I21*3.5%</f>
        <v>0</v>
      </c>
      <c r="L21" s="120">
        <f t="shared" ref="L21:L22" si="9">I21*$L$11</f>
        <v>0</v>
      </c>
      <c r="M21" s="118">
        <f t="shared" si="7"/>
        <v>0</v>
      </c>
      <c r="N21" s="118">
        <f t="shared" si="1"/>
        <v>0</v>
      </c>
      <c r="O21" s="119">
        <f t="shared" si="2"/>
        <v>0</v>
      </c>
      <c r="P21" s="120">
        <f t="shared" si="3"/>
        <v>0</v>
      </c>
    </row>
    <row r="22" spans="1:16" ht="15" hidden="1" thickBot="1" x14ac:dyDescent="0.4">
      <c r="A22" s="122" t="s">
        <v>39</v>
      </c>
      <c r="B22" s="123" t="str">
        <f>VLOOKUP($A22,'[1]Cust. Price List'!$D$6:$O$14,2,0)</f>
        <v>Meat Masala (ECO)</v>
      </c>
      <c r="C22" s="124">
        <f>VLOOKUP(B22,'[1]Cust. Price List'!E14:P22,2,0)</f>
        <v>60</v>
      </c>
      <c r="D22" s="125">
        <f>VLOOKUP(A22,'[1]Cust. Price List'!D14:M22,4,0)</f>
        <v>40</v>
      </c>
      <c r="E22" s="125">
        <f>VLOOKUP(A22,'[1]Cust. Price List'!D14:M22,6,0)</f>
        <v>50</v>
      </c>
      <c r="F22" s="126">
        <f>VLOOKUP(A22,'[1]Cust. Price List'!D14:M22,10,0)</f>
        <v>39.230000000000004</v>
      </c>
      <c r="G22" s="127"/>
      <c r="H22" s="128"/>
      <c r="I22" s="129">
        <f>(G22*D22)*F22+H22*F22</f>
        <v>0</v>
      </c>
      <c r="J22" s="130"/>
      <c r="K22" s="131">
        <f t="shared" si="8"/>
        <v>0</v>
      </c>
      <c r="L22" s="132">
        <f t="shared" si="9"/>
        <v>0</v>
      </c>
      <c r="M22" s="133">
        <f>I22-K22-L22</f>
        <v>0</v>
      </c>
      <c r="N22" s="133">
        <f t="shared" si="1"/>
        <v>0</v>
      </c>
      <c r="O22" s="134">
        <f t="shared" si="2"/>
        <v>0</v>
      </c>
      <c r="P22" s="132">
        <f t="shared" si="3"/>
        <v>0</v>
      </c>
    </row>
    <row r="23" spans="1:16" ht="15" thickBot="1" x14ac:dyDescent="0.4">
      <c r="A23" s="222" t="s">
        <v>84</v>
      </c>
      <c r="B23" s="223"/>
      <c r="C23" s="224"/>
      <c r="D23" s="218"/>
      <c r="E23" s="218"/>
      <c r="F23" s="252"/>
      <c r="G23" s="135">
        <f t="shared" ref="G23:M23" si="10">SUM(G14:G22)</f>
        <v>90</v>
      </c>
      <c r="H23" s="136">
        <f t="shared" si="10"/>
        <v>3600</v>
      </c>
      <c r="I23" s="137">
        <f t="shared" si="10"/>
        <v>397176</v>
      </c>
      <c r="J23" s="138"/>
      <c r="K23" s="139">
        <f t="shared" si="10"/>
        <v>3844.5400000000009</v>
      </c>
      <c r="L23" s="140">
        <f t="shared" si="10"/>
        <v>52309.320000000007</v>
      </c>
      <c r="M23" s="141">
        <f t="shared" si="10"/>
        <v>341022.14</v>
      </c>
      <c r="N23" s="142">
        <f>SUM(N14:N22)</f>
        <v>76880.422300000006</v>
      </c>
      <c r="O23" s="143">
        <f>SUM(O14:O22)</f>
        <v>2089.5128115000002</v>
      </c>
      <c r="P23" s="144">
        <f>SUM(P14:P22)</f>
        <v>419992.07511150005</v>
      </c>
    </row>
    <row r="24" spans="1:16" x14ac:dyDescent="0.35">
      <c r="A24" s="145"/>
      <c r="B24" s="145"/>
      <c r="C24" s="145"/>
      <c r="D24" s="145"/>
      <c r="E24" s="145"/>
      <c r="F24" s="145"/>
      <c r="G24" s="146"/>
      <c r="H24" s="146">
        <f>H23/40</f>
        <v>90</v>
      </c>
      <c r="I24" s="147"/>
      <c r="K24" s="148"/>
      <c r="L24" s="148"/>
      <c r="M24" s="148"/>
      <c r="N24" s="148"/>
      <c r="O24" s="149"/>
      <c r="P24" s="148"/>
    </row>
    <row r="25" spans="1:16" ht="15" thickBot="1" x14ac:dyDescent="0.4">
      <c r="A25" s="69"/>
      <c r="B25" s="69"/>
      <c r="C25" s="150"/>
      <c r="D25" s="150"/>
      <c r="E25" s="150"/>
      <c r="F25" s="150"/>
      <c r="G25" s="151"/>
      <c r="H25" s="151"/>
    </row>
    <row r="26" spans="1:16" x14ac:dyDescent="0.35">
      <c r="B26" s="225" t="s">
        <v>85</v>
      </c>
      <c r="C26" s="226"/>
      <c r="D26" s="226"/>
      <c r="E26" s="226"/>
      <c r="F26" s="226"/>
      <c r="G26" s="226"/>
      <c r="H26" s="226"/>
      <c r="I26" s="226"/>
      <c r="J26" s="226"/>
      <c r="K26" s="226"/>
      <c r="L26" s="227"/>
      <c r="N26" s="234" t="s">
        <v>86</v>
      </c>
      <c r="O26" s="235"/>
      <c r="P26" s="152">
        <f>I23</f>
        <v>397176</v>
      </c>
    </row>
    <row r="27" spans="1:16" ht="15" customHeight="1" x14ac:dyDescent="0.35">
      <c r="B27" s="228"/>
      <c r="C27" s="229"/>
      <c r="D27" s="229"/>
      <c r="E27" s="229"/>
      <c r="F27" s="229"/>
      <c r="G27" s="229"/>
      <c r="H27" s="229"/>
      <c r="I27" s="229"/>
      <c r="J27" s="229"/>
      <c r="K27" s="229"/>
      <c r="L27" s="230"/>
      <c r="N27" s="236" t="s">
        <v>87</v>
      </c>
      <c r="O27" s="237"/>
      <c r="P27" s="153">
        <f>L23</f>
        <v>52309.320000000007</v>
      </c>
    </row>
    <row r="28" spans="1:16" ht="15" customHeight="1" x14ac:dyDescent="0.35">
      <c r="B28" s="228"/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6" t="s">
        <v>4</v>
      </c>
      <c r="O28" s="237"/>
      <c r="P28" s="154">
        <f>K23</f>
        <v>3844.5400000000009</v>
      </c>
    </row>
    <row r="29" spans="1:16" ht="15" customHeight="1" x14ac:dyDescent="0.35">
      <c r="B29" s="228"/>
      <c r="C29" s="229"/>
      <c r="D29" s="229"/>
      <c r="E29" s="229"/>
      <c r="F29" s="229"/>
      <c r="G29" s="229"/>
      <c r="H29" s="229"/>
      <c r="I29" s="229"/>
      <c r="J29" s="229"/>
      <c r="K29" s="229"/>
      <c r="L29" s="230"/>
      <c r="M29" s="2"/>
      <c r="N29" s="236" t="s">
        <v>88</v>
      </c>
      <c r="O29" s="237"/>
      <c r="P29" s="153">
        <f>P26-P27-P28</f>
        <v>341022.14</v>
      </c>
    </row>
    <row r="30" spans="1:16" ht="15" customHeight="1" x14ac:dyDescent="0.35">
      <c r="B30" s="228"/>
      <c r="C30" s="229"/>
      <c r="D30" s="229"/>
      <c r="E30" s="229"/>
      <c r="F30" s="229"/>
      <c r="G30" s="229"/>
      <c r="H30" s="229"/>
      <c r="I30" s="229"/>
      <c r="J30" s="229"/>
      <c r="K30" s="229"/>
      <c r="L30" s="230"/>
      <c r="M30" s="2"/>
      <c r="N30" s="155" t="s">
        <v>89</v>
      </c>
      <c r="O30" s="156">
        <f>IF(B10="Registered",18%,22%)</f>
        <v>0.22</v>
      </c>
      <c r="P30" s="153">
        <f>N23</f>
        <v>76880.422300000006</v>
      </c>
    </row>
    <row r="31" spans="1:16" ht="15" customHeight="1" x14ac:dyDescent="0.35">
      <c r="B31" s="228"/>
      <c r="C31" s="229"/>
      <c r="D31" s="229"/>
      <c r="E31" s="229"/>
      <c r="F31" s="229"/>
      <c r="G31" s="229"/>
      <c r="H31" s="229"/>
      <c r="I31" s="229"/>
      <c r="J31" s="229"/>
      <c r="K31" s="229"/>
      <c r="L31" s="230"/>
      <c r="M31" s="2"/>
      <c r="N31" s="238" t="s">
        <v>90</v>
      </c>
      <c r="O31" s="239"/>
      <c r="P31" s="153">
        <f>P29+P30</f>
        <v>417902.56229999999</v>
      </c>
    </row>
    <row r="32" spans="1:16" ht="15" customHeight="1" thickBot="1" x14ac:dyDescent="0.4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157"/>
      <c r="N32" s="158" t="s">
        <v>91</v>
      </c>
      <c r="O32" s="159">
        <f>IF(B9="Filer",0.5%,2.5%)</f>
        <v>5.0000000000000001E-3</v>
      </c>
      <c r="P32" s="153">
        <f>O32*P31</f>
        <v>2089.5128114999998</v>
      </c>
    </row>
    <row r="33" spans="2:16" ht="15.75" customHeight="1" thickBot="1" x14ac:dyDescent="0.4">
      <c r="N33" s="216" t="s">
        <v>92</v>
      </c>
      <c r="O33" s="217"/>
      <c r="P33" s="160">
        <f>P31+P32</f>
        <v>419992.07511149999</v>
      </c>
    </row>
    <row r="34" spans="2:16" ht="15" thickBot="1" x14ac:dyDescent="0.4">
      <c r="B34" s="161" t="s">
        <v>93</v>
      </c>
      <c r="C34" s="218"/>
      <c r="D34" s="218"/>
      <c r="E34" s="218"/>
      <c r="F34" s="218"/>
      <c r="G34" s="218"/>
      <c r="H34" s="218"/>
      <c r="I34" s="219"/>
      <c r="J34" s="220"/>
      <c r="K34" s="221"/>
    </row>
    <row r="35" spans="2:16" ht="15.75" customHeight="1" thickBot="1" x14ac:dyDescent="0.4"/>
    <row r="36" spans="2:16" ht="15" thickBot="1" x14ac:dyDescent="0.4">
      <c r="B36" s="243" t="s">
        <v>124</v>
      </c>
      <c r="C36" s="244"/>
      <c r="D36" s="244"/>
      <c r="E36" s="244"/>
      <c r="F36" s="244"/>
      <c r="G36" s="244"/>
      <c r="H36" s="244"/>
      <c r="I36" s="245"/>
    </row>
  </sheetData>
  <mergeCells count="42">
    <mergeCell ref="N33:O33"/>
    <mergeCell ref="C34:I34"/>
    <mergeCell ref="J34:K34"/>
    <mergeCell ref="A23:B23"/>
    <mergeCell ref="C23:F23"/>
    <mergeCell ref="B26:L32"/>
    <mergeCell ref="N26:O26"/>
    <mergeCell ref="N27:O27"/>
    <mergeCell ref="N28:O28"/>
    <mergeCell ref="N29:O29"/>
    <mergeCell ref="N31:O31"/>
    <mergeCell ref="A10:A11"/>
    <mergeCell ref="K10:M10"/>
    <mergeCell ref="N10:P10"/>
    <mergeCell ref="A12:B13"/>
    <mergeCell ref="C12:C13"/>
    <mergeCell ref="G12:H12"/>
    <mergeCell ref="I12:I13"/>
    <mergeCell ref="J12:L12"/>
    <mergeCell ref="M12:M13"/>
    <mergeCell ref="N7:P7"/>
    <mergeCell ref="A8:A9"/>
    <mergeCell ref="K8:M8"/>
    <mergeCell ref="N8:P8"/>
    <mergeCell ref="K9:M9"/>
    <mergeCell ref="N9:P9"/>
    <mergeCell ref="B36:I36"/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</mergeCells>
  <dataValidations disablePrompts="1" count="3">
    <dataValidation type="list" allowBlank="1" showInputMessage="1" showErrorMessage="1" sqref="B9" xr:uid="{00000000-0002-0000-0300-000000000000}">
      <formula1>$XFC$3:$XFC$4</formula1>
    </dataValidation>
    <dataValidation type="list" allowBlank="1" showInputMessage="1" showErrorMessage="1" sqref="B10" xr:uid="{00000000-0002-0000-0300-000001000000}">
      <formula1>$XFC$6:$XFC$6</formula1>
    </dataValidation>
    <dataValidation type="list" allowBlank="1" showInputMessage="1" showErrorMessage="1" sqref="N7:P7" xr:uid="{00000000-0002-0000-0300-000002000000}">
      <formula1>$XFD$10:$XFD$15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300-000003000000}">
          <x14:formula1>
            <xm:f>Sheet2!$B$6:$B$21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workbookViewId="0">
      <selection activeCell="I11" activeCellId="1" sqref="H19 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6" t="s">
        <v>45</v>
      </c>
      <c r="B2" s="196"/>
      <c r="C2" s="196"/>
    </row>
    <row r="3" spans="1:19 16383:16384" ht="15" customHeight="1" x14ac:dyDescent="0.35">
      <c r="A3" s="197" t="s">
        <v>46</v>
      </c>
      <c r="B3" s="197"/>
      <c r="C3" s="197"/>
      <c r="F3" s="70"/>
      <c r="G3" s="71"/>
      <c r="K3" s="198" t="s">
        <v>47</v>
      </c>
      <c r="L3" s="198"/>
      <c r="M3" s="198"/>
      <c r="N3" s="197">
        <v>4</v>
      </c>
      <c r="O3" s="197"/>
      <c r="P3" s="19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7" t="s">
        <v>94</v>
      </c>
      <c r="B4" s="197"/>
      <c r="C4" s="197"/>
      <c r="F4" s="70"/>
      <c r="G4" s="71"/>
      <c r="K4" s="198" t="s">
        <v>49</v>
      </c>
      <c r="L4" s="198"/>
      <c r="M4" s="198"/>
      <c r="N4" s="199">
        <f ca="1">TODAY()</f>
        <v>46184</v>
      </c>
      <c r="O4" s="199"/>
      <c r="P4" s="19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112</v>
      </c>
      <c r="B5" s="246"/>
      <c r="C5" s="246"/>
      <c r="F5" s="70"/>
      <c r="G5" s="71"/>
      <c r="K5" s="198" t="s">
        <v>51</v>
      </c>
      <c r="L5" s="198"/>
      <c r="M5" s="198"/>
      <c r="N5" s="199">
        <f ca="1">N4-1</f>
        <v>46183</v>
      </c>
      <c r="O5" s="197"/>
      <c r="P5" s="197"/>
      <c r="R5" s="70"/>
      <c r="S5" s="71"/>
    </row>
    <row r="6" spans="1:19 16383:16384" ht="15" customHeight="1" x14ac:dyDescent="0.35">
      <c r="A6" s="198" t="s">
        <v>108</v>
      </c>
      <c r="B6" s="198"/>
      <c r="C6" s="198"/>
      <c r="F6" s="70"/>
      <c r="G6" s="74"/>
      <c r="K6" s="198" t="s">
        <v>52</v>
      </c>
      <c r="L6" s="198"/>
      <c r="M6" s="198"/>
      <c r="N6" s="200" t="s">
        <v>107</v>
      </c>
      <c r="O6" s="200"/>
      <c r="P6" s="20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8"/>
      <c r="B7" s="198"/>
      <c r="C7" s="198"/>
      <c r="F7" s="70"/>
      <c r="G7" s="74"/>
      <c r="K7" s="198"/>
      <c r="L7" s="198"/>
      <c r="M7" s="198"/>
      <c r="N7" s="200"/>
      <c r="O7" s="200"/>
      <c r="P7" s="20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2"/>
      <c r="B8" s="202"/>
      <c r="C8" s="202"/>
      <c r="F8" s="70"/>
      <c r="G8" s="74"/>
      <c r="K8" s="198"/>
      <c r="L8" s="198"/>
      <c r="M8" s="198"/>
      <c r="N8" s="200"/>
      <c r="O8" s="200"/>
      <c r="P8" s="200"/>
      <c r="R8" s="70"/>
      <c r="S8" s="74"/>
    </row>
    <row r="9" spans="1:19 16383:16384" x14ac:dyDescent="0.35">
      <c r="A9" s="202"/>
      <c r="B9" s="202"/>
      <c r="C9" s="202"/>
      <c r="F9" s="70"/>
      <c r="G9" s="74"/>
      <c r="K9" s="198"/>
      <c r="L9" s="198"/>
      <c r="M9" s="198"/>
      <c r="N9" s="200"/>
      <c r="O9" s="200"/>
      <c r="P9" s="200"/>
      <c r="R9" s="70"/>
      <c r="S9" s="74"/>
      <c r="XFD9" t="s">
        <v>55</v>
      </c>
    </row>
    <row r="10" spans="1:19 16383:16384" x14ac:dyDescent="0.35">
      <c r="A10" s="203" t="s">
        <v>96</v>
      </c>
      <c r="B10" s="169"/>
      <c r="C10" s="75"/>
      <c r="F10" s="70"/>
      <c r="G10" s="71"/>
      <c r="K10" s="198" t="s">
        <v>56</v>
      </c>
      <c r="L10" s="198"/>
      <c r="M10" s="198"/>
      <c r="N10" s="197" t="s">
        <v>57</v>
      </c>
      <c r="O10" s="197"/>
      <c r="P10" s="197"/>
      <c r="R10" s="70"/>
      <c r="S10" s="71"/>
      <c r="XFD10" t="s">
        <v>58</v>
      </c>
    </row>
    <row r="11" spans="1:19 16383:16384" x14ac:dyDescent="0.35">
      <c r="A11" s="203"/>
      <c r="B11" s="76" t="s">
        <v>50</v>
      </c>
      <c r="C11" s="77" t="str">
        <f>IF($O34&gt;2.49%,"No","Yes")</f>
        <v>No</v>
      </c>
      <c r="F11" s="70"/>
      <c r="G11" s="71"/>
      <c r="K11" s="198" t="s">
        <v>59</v>
      </c>
      <c r="L11" s="198"/>
      <c r="M11" s="198"/>
      <c r="N11" s="197" t="s">
        <v>55</v>
      </c>
      <c r="O11" s="197"/>
      <c r="P11" s="197"/>
      <c r="R11" s="70"/>
      <c r="S11" s="71"/>
    </row>
    <row r="12" spans="1:19 16383:16384" ht="14.65" customHeight="1" x14ac:dyDescent="0.35">
      <c r="A12" s="203" t="s">
        <v>60</v>
      </c>
      <c r="B12" s="76" t="s">
        <v>54</v>
      </c>
      <c r="C12" s="77" t="str">
        <f>IF($O32&gt;21.99%,"No","Yes")</f>
        <v>No</v>
      </c>
      <c r="F12" s="70"/>
      <c r="G12" s="71"/>
      <c r="K12" s="198" t="s">
        <v>61</v>
      </c>
      <c r="L12" s="198"/>
      <c r="M12" s="198"/>
      <c r="N12" s="197"/>
      <c r="O12" s="197"/>
      <c r="P12" s="197"/>
      <c r="R12" s="70"/>
      <c r="S12" s="71"/>
      <c r="XFD12" t="s">
        <v>62</v>
      </c>
    </row>
    <row r="13" spans="1:19 16383:16384" ht="15" thickBot="1" x14ac:dyDescent="0.4">
      <c r="A13" s="240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10"/>
      <c r="C14" s="204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11"/>
      <c r="C15" s="20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hidden="1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hidden="1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hidden="1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ht="15" thickBot="1" x14ac:dyDescent="0.4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hidden="1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idden="1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2" t="s">
        <v>84</v>
      </c>
      <c r="B25" s="223"/>
      <c r="C25" s="224"/>
      <c r="D25" s="218"/>
      <c r="E25" s="218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5" t="s">
        <v>85</v>
      </c>
      <c r="C28" s="226"/>
      <c r="D28" s="226"/>
      <c r="E28" s="226"/>
      <c r="F28" s="226"/>
      <c r="G28" s="226"/>
      <c r="H28" s="226"/>
      <c r="I28" s="226"/>
      <c r="J28" s="226"/>
      <c r="K28" s="226"/>
      <c r="L28" s="227"/>
      <c r="N28" s="234" t="s">
        <v>86</v>
      </c>
      <c r="O28" s="235"/>
      <c r="P28" s="152">
        <f>I25</f>
        <v>0</v>
      </c>
    </row>
    <row r="29" spans="1:19 16384:16384" ht="15" customHeight="1" x14ac:dyDescent="0.35">
      <c r="B29" s="228"/>
      <c r="C29" s="229"/>
      <c r="D29" s="229"/>
      <c r="E29" s="229"/>
      <c r="F29" s="229"/>
      <c r="G29" s="229"/>
      <c r="H29" s="229"/>
      <c r="I29" s="229"/>
      <c r="J29" s="229"/>
      <c r="K29" s="229"/>
      <c r="L29" s="230"/>
      <c r="N29" s="236" t="s">
        <v>87</v>
      </c>
      <c r="O29" s="237"/>
      <c r="P29" s="153">
        <f>L25</f>
        <v>0</v>
      </c>
    </row>
    <row r="30" spans="1:19 16384:16384" ht="15" customHeight="1" x14ac:dyDescent="0.35">
      <c r="B30" s="228"/>
      <c r="C30" s="229"/>
      <c r="D30" s="229"/>
      <c r="E30" s="229"/>
      <c r="F30" s="229"/>
      <c r="G30" s="229"/>
      <c r="H30" s="229"/>
      <c r="I30" s="229"/>
      <c r="J30" s="229"/>
      <c r="K30" s="229"/>
      <c r="L30" s="230"/>
      <c r="N30" s="236" t="s">
        <v>4</v>
      </c>
      <c r="O30" s="237"/>
      <c r="P30" s="154">
        <f>K25</f>
        <v>0</v>
      </c>
    </row>
    <row r="31" spans="1:19 16384:16384" ht="15" customHeight="1" x14ac:dyDescent="0.35">
      <c r="B31" s="228"/>
      <c r="C31" s="229"/>
      <c r="D31" s="229"/>
      <c r="E31" s="229"/>
      <c r="F31" s="229"/>
      <c r="G31" s="229"/>
      <c r="H31" s="229"/>
      <c r="I31" s="229"/>
      <c r="J31" s="229"/>
      <c r="K31" s="229"/>
      <c r="L31" s="230"/>
      <c r="M31" s="2"/>
      <c r="N31" s="236" t="s">
        <v>88</v>
      </c>
      <c r="O31" s="237"/>
      <c r="P31" s="153">
        <f>P28-P29-P30</f>
        <v>0</v>
      </c>
    </row>
    <row r="32" spans="1:19 16384:16384" ht="15" customHeight="1" x14ac:dyDescent="0.35">
      <c r="B32" s="228"/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8"/>
      <c r="C33" s="229"/>
      <c r="D33" s="229"/>
      <c r="E33" s="229"/>
      <c r="F33" s="229"/>
      <c r="G33" s="229"/>
      <c r="H33" s="229"/>
      <c r="I33" s="229"/>
      <c r="J33" s="229"/>
      <c r="K33" s="229"/>
      <c r="L33" s="230"/>
      <c r="M33" s="2"/>
      <c r="N33" s="238" t="s">
        <v>90</v>
      </c>
      <c r="O33" s="239"/>
      <c r="P33" s="153">
        <f>P31+P32</f>
        <v>0</v>
      </c>
    </row>
    <row r="34" spans="2:16" ht="15" customHeight="1" thickBot="1" x14ac:dyDescent="0.4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6" t="s">
        <v>92</v>
      </c>
      <c r="O35" s="217"/>
      <c r="P35" s="160">
        <f>P33+P34</f>
        <v>0</v>
      </c>
    </row>
    <row r="36" spans="2:16" ht="15" thickBot="1" x14ac:dyDescent="0.4">
      <c r="B36" s="161" t="s">
        <v>93</v>
      </c>
      <c r="C36" s="218"/>
      <c r="D36" s="218"/>
      <c r="E36" s="218"/>
      <c r="F36" s="218"/>
      <c r="G36" s="218"/>
      <c r="H36" s="218"/>
      <c r="I36" s="219"/>
      <c r="J36" s="220"/>
      <c r="K36" s="221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3" workbookViewId="0">
      <selection activeCell="H21" sqref="H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6" t="s">
        <v>45</v>
      </c>
      <c r="B2" s="196"/>
      <c r="C2" s="196"/>
    </row>
    <row r="3" spans="1:19 16383:16384" ht="15" customHeight="1" x14ac:dyDescent="0.35">
      <c r="A3" s="197" t="s">
        <v>46</v>
      </c>
      <c r="B3" s="197"/>
      <c r="C3" s="197"/>
      <c r="F3" s="70"/>
      <c r="G3" s="71"/>
      <c r="K3" s="198" t="s">
        <v>47</v>
      </c>
      <c r="L3" s="198"/>
      <c r="M3" s="198"/>
      <c r="N3" s="197">
        <v>3</v>
      </c>
      <c r="O3" s="197"/>
      <c r="P3" s="19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7" t="s">
        <v>94</v>
      </c>
      <c r="B4" s="197"/>
      <c r="C4" s="197"/>
      <c r="F4" s="70"/>
      <c r="G4" s="71"/>
      <c r="K4" s="198" t="s">
        <v>49</v>
      </c>
      <c r="L4" s="198"/>
      <c r="M4" s="198"/>
      <c r="N4" s="199">
        <f ca="1">TODAY()</f>
        <v>46184</v>
      </c>
      <c r="O4" s="199"/>
      <c r="P4" s="19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109</v>
      </c>
      <c r="B5" s="246"/>
      <c r="C5" s="246"/>
      <c r="F5" s="70"/>
      <c r="G5" s="71"/>
      <c r="K5" s="198" t="s">
        <v>51</v>
      </c>
      <c r="L5" s="198"/>
      <c r="M5" s="198"/>
      <c r="N5" s="199">
        <f ca="1">N4-1</f>
        <v>46183</v>
      </c>
      <c r="O5" s="197"/>
      <c r="P5" s="197"/>
      <c r="R5" s="70"/>
      <c r="S5" s="71"/>
    </row>
    <row r="6" spans="1:19 16383:16384" ht="15" customHeight="1" x14ac:dyDescent="0.35">
      <c r="A6" s="198" t="s">
        <v>110</v>
      </c>
      <c r="B6" s="198"/>
      <c r="C6" s="198"/>
      <c r="F6" s="70"/>
      <c r="G6" s="74"/>
      <c r="K6" s="198" t="s">
        <v>52</v>
      </c>
      <c r="L6" s="198"/>
      <c r="M6" s="198"/>
      <c r="N6" s="200" t="s">
        <v>107</v>
      </c>
      <c r="O6" s="200"/>
      <c r="P6" s="20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8"/>
      <c r="B7" s="198"/>
      <c r="C7" s="198"/>
      <c r="F7" s="70"/>
      <c r="G7" s="74"/>
      <c r="K7" s="198"/>
      <c r="L7" s="198"/>
      <c r="M7" s="198"/>
      <c r="N7" s="200"/>
      <c r="O7" s="200"/>
      <c r="P7" s="20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2"/>
      <c r="B8" s="202"/>
      <c r="C8" s="202"/>
      <c r="F8" s="70"/>
      <c r="G8" s="74"/>
      <c r="K8" s="198"/>
      <c r="L8" s="198"/>
      <c r="M8" s="198"/>
      <c r="N8" s="200"/>
      <c r="O8" s="200"/>
      <c r="P8" s="200"/>
      <c r="R8" s="70"/>
      <c r="S8" s="74"/>
    </row>
    <row r="9" spans="1:19 16383:16384" x14ac:dyDescent="0.35">
      <c r="A9" s="202"/>
      <c r="B9" s="202"/>
      <c r="C9" s="202"/>
      <c r="F9" s="70"/>
      <c r="G9" s="74"/>
      <c r="K9" s="198"/>
      <c r="L9" s="198"/>
      <c r="M9" s="198"/>
      <c r="N9" s="200"/>
      <c r="O9" s="200"/>
      <c r="P9" s="200"/>
      <c r="R9" s="70"/>
      <c r="S9" s="74"/>
      <c r="XFD9" t="s">
        <v>55</v>
      </c>
    </row>
    <row r="10" spans="1:19 16383:16384" x14ac:dyDescent="0.35">
      <c r="A10" s="203" t="s">
        <v>96</v>
      </c>
      <c r="B10" s="75" t="s">
        <v>111</v>
      </c>
      <c r="C10" s="75"/>
      <c r="F10" s="70"/>
      <c r="G10" s="71"/>
      <c r="K10" s="198" t="s">
        <v>56</v>
      </c>
      <c r="L10" s="198"/>
      <c r="M10" s="198"/>
      <c r="N10" s="197" t="s">
        <v>57</v>
      </c>
      <c r="O10" s="197"/>
      <c r="P10" s="197"/>
      <c r="R10" s="70"/>
      <c r="S10" s="71"/>
      <c r="XFD10" t="s">
        <v>58</v>
      </c>
    </row>
    <row r="11" spans="1:19 16383:16384" x14ac:dyDescent="0.35">
      <c r="A11" s="203"/>
      <c r="B11" s="76" t="s">
        <v>48</v>
      </c>
      <c r="C11" s="77" t="str">
        <f>IF($O34&gt;2.49%,"No","Yes")</f>
        <v>Yes</v>
      </c>
      <c r="F11" s="70"/>
      <c r="G11" s="71"/>
      <c r="K11" s="198" t="s">
        <v>59</v>
      </c>
      <c r="L11" s="198"/>
      <c r="M11" s="198"/>
      <c r="N11" s="197" t="s">
        <v>55</v>
      </c>
      <c r="O11" s="197"/>
      <c r="P11" s="197"/>
      <c r="R11" s="70"/>
      <c r="S11" s="71"/>
    </row>
    <row r="12" spans="1:19 16383:16384" ht="14.65" customHeight="1" x14ac:dyDescent="0.35">
      <c r="A12" s="203" t="s">
        <v>60</v>
      </c>
      <c r="B12" s="76" t="s">
        <v>53</v>
      </c>
      <c r="C12" s="77" t="str">
        <f>IF($O32&gt;21.99%,"No","Yes")</f>
        <v>Yes</v>
      </c>
      <c r="F12" s="70"/>
      <c r="G12" s="71"/>
      <c r="K12" s="198" t="s">
        <v>61</v>
      </c>
      <c r="L12" s="198"/>
      <c r="M12" s="198"/>
      <c r="N12" s="197"/>
      <c r="O12" s="197"/>
      <c r="P12" s="197"/>
      <c r="R12" s="70"/>
      <c r="S12" s="71"/>
      <c r="XFD12" t="s">
        <v>62</v>
      </c>
    </row>
    <row r="13" spans="1:19 16383:16384" ht="15" thickBot="1" x14ac:dyDescent="0.4">
      <c r="A13" s="240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10"/>
      <c r="C14" s="204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11"/>
      <c r="C15" s="20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hidden="1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hidden="1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hidden="1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2" t="s">
        <v>84</v>
      </c>
      <c r="B25" s="223"/>
      <c r="C25" s="224"/>
      <c r="D25" s="218"/>
      <c r="E25" s="218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5" t="s">
        <v>85</v>
      </c>
      <c r="C28" s="226"/>
      <c r="D28" s="226"/>
      <c r="E28" s="226"/>
      <c r="F28" s="226"/>
      <c r="G28" s="226"/>
      <c r="H28" s="226"/>
      <c r="I28" s="226"/>
      <c r="J28" s="226"/>
      <c r="K28" s="226"/>
      <c r="L28" s="227"/>
      <c r="N28" s="234" t="s">
        <v>86</v>
      </c>
      <c r="O28" s="235"/>
      <c r="P28" s="152">
        <f>I25</f>
        <v>0</v>
      </c>
    </row>
    <row r="29" spans="1:19 16384:16384" ht="15" customHeight="1" x14ac:dyDescent="0.35">
      <c r="B29" s="228"/>
      <c r="C29" s="229"/>
      <c r="D29" s="229"/>
      <c r="E29" s="229"/>
      <c r="F29" s="229"/>
      <c r="G29" s="229"/>
      <c r="H29" s="229"/>
      <c r="I29" s="229"/>
      <c r="J29" s="229"/>
      <c r="K29" s="229"/>
      <c r="L29" s="230"/>
      <c r="N29" s="236" t="s">
        <v>87</v>
      </c>
      <c r="O29" s="237"/>
      <c r="P29" s="153">
        <f>L25</f>
        <v>0</v>
      </c>
    </row>
    <row r="30" spans="1:19 16384:16384" ht="15" customHeight="1" x14ac:dyDescent="0.35">
      <c r="B30" s="228"/>
      <c r="C30" s="229"/>
      <c r="D30" s="229"/>
      <c r="E30" s="229"/>
      <c r="F30" s="229"/>
      <c r="G30" s="229"/>
      <c r="H30" s="229"/>
      <c r="I30" s="229"/>
      <c r="J30" s="229"/>
      <c r="K30" s="229"/>
      <c r="L30" s="230"/>
      <c r="N30" s="236" t="s">
        <v>4</v>
      </c>
      <c r="O30" s="237"/>
      <c r="P30" s="154">
        <f>K25</f>
        <v>0</v>
      </c>
    </row>
    <row r="31" spans="1:19 16384:16384" ht="15" customHeight="1" x14ac:dyDescent="0.35">
      <c r="B31" s="228"/>
      <c r="C31" s="229"/>
      <c r="D31" s="229"/>
      <c r="E31" s="229"/>
      <c r="F31" s="229"/>
      <c r="G31" s="229"/>
      <c r="H31" s="229"/>
      <c r="I31" s="229"/>
      <c r="J31" s="229"/>
      <c r="K31" s="229"/>
      <c r="L31" s="230"/>
      <c r="M31" s="2"/>
      <c r="N31" s="236" t="s">
        <v>88</v>
      </c>
      <c r="O31" s="237"/>
      <c r="P31" s="153">
        <f>P28-P29-P30</f>
        <v>0</v>
      </c>
    </row>
    <row r="32" spans="1:19 16384:16384" ht="15" customHeight="1" x14ac:dyDescent="0.35">
      <c r="B32" s="228"/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28"/>
      <c r="C33" s="229"/>
      <c r="D33" s="229"/>
      <c r="E33" s="229"/>
      <c r="F33" s="229"/>
      <c r="G33" s="229"/>
      <c r="H33" s="229"/>
      <c r="I33" s="229"/>
      <c r="J33" s="229"/>
      <c r="K33" s="229"/>
      <c r="L33" s="230"/>
      <c r="M33" s="2"/>
      <c r="N33" s="238" t="s">
        <v>90</v>
      </c>
      <c r="O33" s="239"/>
      <c r="P33" s="153">
        <f>P31+P32</f>
        <v>0</v>
      </c>
    </row>
    <row r="34" spans="2:16" ht="15" customHeight="1" thickBot="1" x14ac:dyDescent="0.4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6" t="s">
        <v>92</v>
      </c>
      <c r="O35" s="217"/>
      <c r="P35" s="160">
        <f>P33+P34</f>
        <v>0</v>
      </c>
    </row>
    <row r="36" spans="2:16" ht="15" thickBot="1" x14ac:dyDescent="0.4">
      <c r="B36" s="161" t="s">
        <v>93</v>
      </c>
      <c r="C36" s="218"/>
      <c r="D36" s="218"/>
      <c r="E36" s="218"/>
      <c r="F36" s="218"/>
      <c r="G36" s="218"/>
      <c r="H36" s="218"/>
      <c r="I36" s="219"/>
      <c r="J36" s="220"/>
      <c r="K36" s="221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workbookViewId="0">
      <selection activeCell="G20" sqref="G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6" t="s">
        <v>45</v>
      </c>
      <c r="B2" s="196"/>
      <c r="C2" s="196"/>
    </row>
    <row r="3" spans="1:19 16383:16384" ht="15" customHeight="1" x14ac:dyDescent="0.35">
      <c r="A3" s="197" t="s">
        <v>46</v>
      </c>
      <c r="B3" s="197"/>
      <c r="C3" s="197"/>
      <c r="F3" s="70"/>
      <c r="G3" s="71"/>
      <c r="K3" s="198" t="s">
        <v>47</v>
      </c>
      <c r="L3" s="198"/>
      <c r="M3" s="198"/>
      <c r="N3" s="197">
        <v>5</v>
      </c>
      <c r="O3" s="197"/>
      <c r="P3" s="19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7" t="s">
        <v>94</v>
      </c>
      <c r="B4" s="197"/>
      <c r="C4" s="197"/>
      <c r="F4" s="70"/>
      <c r="G4" s="71"/>
      <c r="K4" s="198" t="s">
        <v>49</v>
      </c>
      <c r="L4" s="198"/>
      <c r="M4" s="198"/>
      <c r="N4" s="199">
        <f ca="1">TODAY()</f>
        <v>46184</v>
      </c>
      <c r="O4" s="199"/>
      <c r="P4" s="19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113</v>
      </c>
      <c r="B5" s="246"/>
      <c r="C5" s="246"/>
      <c r="F5" s="70"/>
      <c r="G5" s="71"/>
      <c r="K5" s="198" t="s">
        <v>51</v>
      </c>
      <c r="L5" s="198"/>
      <c r="M5" s="198"/>
      <c r="N5" s="199">
        <f ca="1">N4-1</f>
        <v>46183</v>
      </c>
      <c r="O5" s="197"/>
      <c r="P5" s="197"/>
      <c r="R5" s="70"/>
      <c r="S5" s="71"/>
    </row>
    <row r="6" spans="1:19 16383:16384" ht="15" customHeight="1" x14ac:dyDescent="0.35">
      <c r="A6" s="198" t="s">
        <v>114</v>
      </c>
      <c r="B6" s="198"/>
      <c r="C6" s="198"/>
      <c r="F6" s="70"/>
      <c r="G6" s="74"/>
      <c r="K6" s="198" t="s">
        <v>52</v>
      </c>
      <c r="L6" s="198"/>
      <c r="M6" s="198"/>
      <c r="N6" s="200" t="s">
        <v>107</v>
      </c>
      <c r="O6" s="200"/>
      <c r="P6" s="20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8"/>
      <c r="B7" s="198"/>
      <c r="C7" s="198"/>
      <c r="F7" s="70"/>
      <c r="G7" s="74"/>
      <c r="K7" s="198"/>
      <c r="L7" s="198"/>
      <c r="M7" s="198"/>
      <c r="N7" s="200"/>
      <c r="O7" s="200"/>
      <c r="P7" s="20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2"/>
      <c r="B8" s="202"/>
      <c r="C8" s="202"/>
      <c r="F8" s="70"/>
      <c r="G8" s="74"/>
      <c r="K8" s="198"/>
      <c r="L8" s="198"/>
      <c r="M8" s="198"/>
      <c r="N8" s="200"/>
      <c r="O8" s="200"/>
      <c r="P8" s="200"/>
      <c r="R8" s="70"/>
      <c r="S8" s="74"/>
    </row>
    <row r="9" spans="1:19 16383:16384" x14ac:dyDescent="0.35">
      <c r="A9" s="202"/>
      <c r="B9" s="202"/>
      <c r="C9" s="202"/>
      <c r="F9" s="70"/>
      <c r="G9" s="74"/>
      <c r="K9" s="198"/>
      <c r="L9" s="198"/>
      <c r="M9" s="198"/>
      <c r="N9" s="200"/>
      <c r="O9" s="200"/>
      <c r="P9" s="200"/>
      <c r="R9" s="70"/>
      <c r="S9" s="74"/>
      <c r="XFD9" t="s">
        <v>55</v>
      </c>
    </row>
    <row r="10" spans="1:19 16383:16384" x14ac:dyDescent="0.35">
      <c r="A10" s="203" t="s">
        <v>96</v>
      </c>
      <c r="B10" s="169" t="s">
        <v>115</v>
      </c>
      <c r="C10" s="75"/>
      <c r="F10" s="70"/>
      <c r="G10" s="71"/>
      <c r="K10" s="198" t="s">
        <v>56</v>
      </c>
      <c r="L10" s="198"/>
      <c r="M10" s="198"/>
      <c r="N10" s="197" t="s">
        <v>57</v>
      </c>
      <c r="O10" s="197"/>
      <c r="P10" s="197"/>
      <c r="R10" s="70"/>
      <c r="S10" s="71"/>
      <c r="XFD10" t="s">
        <v>58</v>
      </c>
    </row>
    <row r="11" spans="1:19 16383:16384" x14ac:dyDescent="0.35">
      <c r="A11" s="203"/>
      <c r="B11" s="76" t="s">
        <v>48</v>
      </c>
      <c r="C11" s="77" t="str">
        <f>IF($O34&gt;2.49%,"No","Yes")</f>
        <v>Yes</v>
      </c>
      <c r="F11" s="70"/>
      <c r="G11" s="71"/>
      <c r="K11" s="198" t="s">
        <v>59</v>
      </c>
      <c r="L11" s="198"/>
      <c r="M11" s="198"/>
      <c r="N11" s="197" t="s">
        <v>55</v>
      </c>
      <c r="O11" s="197"/>
      <c r="P11" s="197"/>
      <c r="R11" s="70"/>
      <c r="S11" s="71"/>
    </row>
    <row r="12" spans="1:19 16383:16384" ht="14.65" customHeight="1" x14ac:dyDescent="0.35">
      <c r="A12" s="203" t="s">
        <v>60</v>
      </c>
      <c r="B12" s="76" t="s">
        <v>54</v>
      </c>
      <c r="C12" s="77" t="str">
        <f>IF($O32&gt;21.99%,"No","Yes")</f>
        <v>No</v>
      </c>
      <c r="F12" s="70"/>
      <c r="G12" s="71"/>
      <c r="K12" s="198" t="s">
        <v>61</v>
      </c>
      <c r="L12" s="198"/>
      <c r="M12" s="198"/>
      <c r="N12" s="197"/>
      <c r="O12" s="197"/>
      <c r="P12" s="197"/>
      <c r="R12" s="70"/>
      <c r="S12" s="71"/>
      <c r="XFD12" t="s">
        <v>62</v>
      </c>
    </row>
    <row r="13" spans="1:19 16383:16384" ht="15" thickBot="1" x14ac:dyDescent="0.4">
      <c r="A13" s="240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10"/>
      <c r="C14" s="204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11"/>
      <c r="C15" s="20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hidden="1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hidden="1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hidden="1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ht="15" thickBot="1" x14ac:dyDescent="0.4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idden="1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2" t="s">
        <v>84</v>
      </c>
      <c r="B25" s="223"/>
      <c r="C25" s="224"/>
      <c r="D25" s="218"/>
      <c r="E25" s="218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5" t="s">
        <v>85</v>
      </c>
      <c r="C28" s="226"/>
      <c r="D28" s="226"/>
      <c r="E28" s="226"/>
      <c r="F28" s="226"/>
      <c r="G28" s="226"/>
      <c r="H28" s="226"/>
      <c r="I28" s="226"/>
      <c r="J28" s="226"/>
      <c r="K28" s="226"/>
      <c r="L28" s="227"/>
      <c r="N28" s="234" t="s">
        <v>86</v>
      </c>
      <c r="O28" s="235"/>
      <c r="P28" s="152">
        <f>I25</f>
        <v>0</v>
      </c>
    </row>
    <row r="29" spans="1:19 16384:16384" ht="15" customHeight="1" x14ac:dyDescent="0.35">
      <c r="B29" s="228"/>
      <c r="C29" s="229"/>
      <c r="D29" s="229"/>
      <c r="E29" s="229"/>
      <c r="F29" s="229"/>
      <c r="G29" s="229"/>
      <c r="H29" s="229"/>
      <c r="I29" s="229"/>
      <c r="J29" s="229"/>
      <c r="K29" s="229"/>
      <c r="L29" s="230"/>
      <c r="N29" s="236" t="s">
        <v>87</v>
      </c>
      <c r="O29" s="237"/>
      <c r="P29" s="153">
        <f>L25</f>
        <v>0</v>
      </c>
    </row>
    <row r="30" spans="1:19 16384:16384" ht="15" customHeight="1" x14ac:dyDescent="0.35">
      <c r="B30" s="228"/>
      <c r="C30" s="229"/>
      <c r="D30" s="229"/>
      <c r="E30" s="229"/>
      <c r="F30" s="229"/>
      <c r="G30" s="229"/>
      <c r="H30" s="229"/>
      <c r="I30" s="229"/>
      <c r="J30" s="229"/>
      <c r="K30" s="229"/>
      <c r="L30" s="230"/>
      <c r="N30" s="236" t="s">
        <v>4</v>
      </c>
      <c r="O30" s="237"/>
      <c r="P30" s="154">
        <f>K25</f>
        <v>0</v>
      </c>
    </row>
    <row r="31" spans="1:19 16384:16384" ht="15" customHeight="1" x14ac:dyDescent="0.35">
      <c r="B31" s="228"/>
      <c r="C31" s="229"/>
      <c r="D31" s="229"/>
      <c r="E31" s="229"/>
      <c r="F31" s="229"/>
      <c r="G31" s="229"/>
      <c r="H31" s="229"/>
      <c r="I31" s="229"/>
      <c r="J31" s="229"/>
      <c r="K31" s="229"/>
      <c r="L31" s="230"/>
      <c r="M31" s="2"/>
      <c r="N31" s="236" t="s">
        <v>88</v>
      </c>
      <c r="O31" s="237"/>
      <c r="P31" s="153">
        <f>P28-P29-P30</f>
        <v>0</v>
      </c>
    </row>
    <row r="32" spans="1:19 16384:16384" ht="15" customHeight="1" x14ac:dyDescent="0.35">
      <c r="B32" s="228"/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8"/>
      <c r="C33" s="229"/>
      <c r="D33" s="229"/>
      <c r="E33" s="229"/>
      <c r="F33" s="229"/>
      <c r="G33" s="229"/>
      <c r="H33" s="229"/>
      <c r="I33" s="229"/>
      <c r="J33" s="229"/>
      <c r="K33" s="229"/>
      <c r="L33" s="230"/>
      <c r="M33" s="2"/>
      <c r="N33" s="238" t="s">
        <v>90</v>
      </c>
      <c r="O33" s="239"/>
      <c r="P33" s="153">
        <f>P31+P32</f>
        <v>0</v>
      </c>
    </row>
    <row r="34" spans="2:16" ht="15" customHeight="1" thickBot="1" x14ac:dyDescent="0.4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6" t="s">
        <v>92</v>
      </c>
      <c r="O35" s="217"/>
      <c r="P35" s="160">
        <f>P33+P34</f>
        <v>0</v>
      </c>
    </row>
    <row r="36" spans="2:16" ht="15" thickBot="1" x14ac:dyDescent="0.4">
      <c r="B36" s="161" t="s">
        <v>93</v>
      </c>
      <c r="C36" s="218"/>
      <c r="D36" s="218"/>
      <c r="E36" s="218"/>
      <c r="F36" s="218"/>
      <c r="G36" s="218"/>
      <c r="H36" s="218"/>
      <c r="I36" s="219"/>
      <c r="J36" s="220"/>
      <c r="K36" s="221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workbookViewId="0">
      <selection activeCell="H21" sqref="H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6" t="s">
        <v>45</v>
      </c>
      <c r="B2" s="196"/>
      <c r="C2" s="196"/>
    </row>
    <row r="3" spans="1:19 16383:16384" ht="15" customHeight="1" x14ac:dyDescent="0.35">
      <c r="A3" s="197" t="s">
        <v>46</v>
      </c>
      <c r="B3" s="197"/>
      <c r="C3" s="197"/>
      <c r="F3" s="70"/>
      <c r="G3" s="71"/>
      <c r="K3" s="198" t="s">
        <v>47</v>
      </c>
      <c r="L3" s="198"/>
      <c r="M3" s="198"/>
      <c r="N3" s="197">
        <v>6</v>
      </c>
      <c r="O3" s="197"/>
      <c r="P3" s="19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7" t="s">
        <v>94</v>
      </c>
      <c r="B4" s="197"/>
      <c r="C4" s="197"/>
      <c r="F4" s="70"/>
      <c r="G4" s="71"/>
      <c r="K4" s="198" t="s">
        <v>49</v>
      </c>
      <c r="L4" s="198"/>
      <c r="M4" s="198"/>
      <c r="N4" s="199">
        <f ca="1">TODAY()</f>
        <v>46184</v>
      </c>
      <c r="O4" s="199"/>
      <c r="P4" s="19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116</v>
      </c>
      <c r="B5" s="246"/>
      <c r="C5" s="246"/>
      <c r="F5" s="70"/>
      <c r="G5" s="71"/>
      <c r="K5" s="198" t="s">
        <v>51</v>
      </c>
      <c r="L5" s="198"/>
      <c r="M5" s="198"/>
      <c r="N5" s="199">
        <f ca="1">N4-1</f>
        <v>46183</v>
      </c>
      <c r="O5" s="197"/>
      <c r="P5" s="197"/>
      <c r="R5" s="70"/>
      <c r="S5" s="71"/>
    </row>
    <row r="6" spans="1:19 16383:16384" ht="15" customHeight="1" x14ac:dyDescent="0.35">
      <c r="A6" s="198" t="s">
        <v>110</v>
      </c>
      <c r="B6" s="198"/>
      <c r="C6" s="198"/>
      <c r="F6" s="70"/>
      <c r="G6" s="74"/>
      <c r="K6" s="198" t="s">
        <v>52</v>
      </c>
      <c r="L6" s="198"/>
      <c r="M6" s="198"/>
      <c r="N6" s="200" t="s">
        <v>107</v>
      </c>
      <c r="O6" s="200"/>
      <c r="P6" s="20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8"/>
      <c r="B7" s="198"/>
      <c r="C7" s="198"/>
      <c r="F7" s="70"/>
      <c r="G7" s="74"/>
      <c r="K7" s="198"/>
      <c r="L7" s="198"/>
      <c r="M7" s="198"/>
      <c r="N7" s="200"/>
      <c r="O7" s="200"/>
      <c r="P7" s="20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2"/>
      <c r="B8" s="202"/>
      <c r="C8" s="202"/>
      <c r="F8" s="70"/>
      <c r="G8" s="74"/>
      <c r="K8" s="198"/>
      <c r="L8" s="198"/>
      <c r="M8" s="198"/>
      <c r="N8" s="200"/>
      <c r="O8" s="200"/>
      <c r="P8" s="200"/>
      <c r="R8" s="70"/>
      <c r="S8" s="74"/>
    </row>
    <row r="9" spans="1:19 16383:16384" x14ac:dyDescent="0.35">
      <c r="A9" s="202"/>
      <c r="B9" s="202"/>
      <c r="C9" s="202"/>
      <c r="F9" s="70"/>
      <c r="G9" s="74"/>
      <c r="K9" s="198"/>
      <c r="L9" s="198"/>
      <c r="M9" s="198"/>
      <c r="N9" s="200"/>
      <c r="O9" s="200"/>
      <c r="P9" s="200"/>
      <c r="R9" s="70"/>
      <c r="S9" s="74"/>
      <c r="XFD9" t="s">
        <v>55</v>
      </c>
    </row>
    <row r="10" spans="1:19 16383:16384" x14ac:dyDescent="0.35">
      <c r="A10" s="203" t="s">
        <v>96</v>
      </c>
      <c r="B10" s="75" t="s">
        <v>117</v>
      </c>
      <c r="C10" s="75"/>
      <c r="F10" s="70"/>
      <c r="G10" s="71"/>
      <c r="K10" s="198" t="s">
        <v>56</v>
      </c>
      <c r="L10" s="198"/>
      <c r="M10" s="198"/>
      <c r="N10" s="197" t="s">
        <v>57</v>
      </c>
      <c r="O10" s="197"/>
      <c r="P10" s="197"/>
      <c r="R10" s="70"/>
      <c r="S10" s="71"/>
      <c r="XFD10" t="s">
        <v>58</v>
      </c>
    </row>
    <row r="11" spans="1:19 16383:16384" x14ac:dyDescent="0.35">
      <c r="A11" s="203"/>
      <c r="B11" s="76" t="s">
        <v>48</v>
      </c>
      <c r="C11" s="77" t="str">
        <f>IF($O34&gt;2.49%,"No","Yes")</f>
        <v>Yes</v>
      </c>
      <c r="F11" s="70"/>
      <c r="G11" s="71"/>
      <c r="K11" s="198" t="s">
        <v>59</v>
      </c>
      <c r="L11" s="198"/>
      <c r="M11" s="198"/>
      <c r="N11" s="197" t="s">
        <v>55</v>
      </c>
      <c r="O11" s="197"/>
      <c r="P11" s="197"/>
      <c r="R11" s="70"/>
      <c r="S11" s="71"/>
    </row>
    <row r="12" spans="1:19 16383:16384" ht="14.65" customHeight="1" x14ac:dyDescent="0.35">
      <c r="A12" s="203" t="s">
        <v>60</v>
      </c>
      <c r="B12" s="76" t="s">
        <v>54</v>
      </c>
      <c r="C12" s="77" t="str">
        <f>IF($O32&gt;21.99%,"No","Yes")</f>
        <v>No</v>
      </c>
      <c r="F12" s="70"/>
      <c r="G12" s="71"/>
      <c r="K12" s="198" t="s">
        <v>61</v>
      </c>
      <c r="L12" s="198"/>
      <c r="M12" s="198"/>
      <c r="N12" s="197"/>
      <c r="O12" s="197"/>
      <c r="P12" s="197"/>
      <c r="R12" s="70"/>
      <c r="S12" s="71"/>
      <c r="XFD12" t="s">
        <v>62</v>
      </c>
    </row>
    <row r="13" spans="1:19 16383:16384" ht="15" thickBot="1" x14ac:dyDescent="0.4">
      <c r="A13" s="240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10"/>
      <c r="C14" s="204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11"/>
      <c r="C15" s="20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hidden="1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hidden="1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hidden="1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hidden="1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hidden="1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ht="15" thickBot="1" x14ac:dyDescent="0.4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idden="1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2" t="s">
        <v>84</v>
      </c>
      <c r="B25" s="223"/>
      <c r="C25" s="224"/>
      <c r="D25" s="218"/>
      <c r="E25" s="218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5" t="s">
        <v>85</v>
      </c>
      <c r="C28" s="226"/>
      <c r="D28" s="226"/>
      <c r="E28" s="226"/>
      <c r="F28" s="226"/>
      <c r="G28" s="226"/>
      <c r="H28" s="226"/>
      <c r="I28" s="226"/>
      <c r="J28" s="226"/>
      <c r="K28" s="226"/>
      <c r="L28" s="227"/>
      <c r="N28" s="234" t="s">
        <v>86</v>
      </c>
      <c r="O28" s="235"/>
      <c r="P28" s="152">
        <f>I25</f>
        <v>0</v>
      </c>
    </row>
    <row r="29" spans="1:19 16384:16384" ht="15" customHeight="1" x14ac:dyDescent="0.35">
      <c r="B29" s="228"/>
      <c r="C29" s="229"/>
      <c r="D29" s="229"/>
      <c r="E29" s="229"/>
      <c r="F29" s="229"/>
      <c r="G29" s="229"/>
      <c r="H29" s="229"/>
      <c r="I29" s="229"/>
      <c r="J29" s="229"/>
      <c r="K29" s="229"/>
      <c r="L29" s="230"/>
      <c r="N29" s="236" t="s">
        <v>87</v>
      </c>
      <c r="O29" s="237"/>
      <c r="P29" s="153">
        <f>L25</f>
        <v>0</v>
      </c>
    </row>
    <row r="30" spans="1:19 16384:16384" ht="15" customHeight="1" x14ac:dyDescent="0.35">
      <c r="B30" s="228"/>
      <c r="C30" s="229"/>
      <c r="D30" s="229"/>
      <c r="E30" s="229"/>
      <c r="F30" s="229"/>
      <c r="G30" s="229"/>
      <c r="H30" s="229"/>
      <c r="I30" s="229"/>
      <c r="J30" s="229"/>
      <c r="K30" s="229"/>
      <c r="L30" s="230"/>
      <c r="N30" s="236" t="s">
        <v>4</v>
      </c>
      <c r="O30" s="237"/>
      <c r="P30" s="154">
        <f>K25</f>
        <v>0</v>
      </c>
    </row>
    <row r="31" spans="1:19 16384:16384" ht="15" customHeight="1" x14ac:dyDescent="0.35">
      <c r="B31" s="228"/>
      <c r="C31" s="229"/>
      <c r="D31" s="229"/>
      <c r="E31" s="229"/>
      <c r="F31" s="229"/>
      <c r="G31" s="229"/>
      <c r="H31" s="229"/>
      <c r="I31" s="229"/>
      <c r="J31" s="229"/>
      <c r="K31" s="229"/>
      <c r="L31" s="230"/>
      <c r="M31" s="2"/>
      <c r="N31" s="236" t="s">
        <v>88</v>
      </c>
      <c r="O31" s="237"/>
      <c r="P31" s="153">
        <f>P28-P29-P30</f>
        <v>0</v>
      </c>
    </row>
    <row r="32" spans="1:19 16384:16384" ht="15" customHeight="1" x14ac:dyDescent="0.35">
      <c r="B32" s="228"/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8"/>
      <c r="C33" s="229"/>
      <c r="D33" s="229"/>
      <c r="E33" s="229"/>
      <c r="F33" s="229"/>
      <c r="G33" s="229"/>
      <c r="H33" s="229"/>
      <c r="I33" s="229"/>
      <c r="J33" s="229"/>
      <c r="K33" s="229"/>
      <c r="L33" s="230"/>
      <c r="M33" s="2"/>
      <c r="N33" s="238" t="s">
        <v>90</v>
      </c>
      <c r="O33" s="239"/>
      <c r="P33" s="153">
        <f>P31+P32</f>
        <v>0</v>
      </c>
    </row>
    <row r="34" spans="2:16" ht="15" customHeight="1" thickBot="1" x14ac:dyDescent="0.4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6" t="s">
        <v>92</v>
      </c>
      <c r="O35" s="217"/>
      <c r="P35" s="160">
        <f>P33+P34</f>
        <v>0</v>
      </c>
    </row>
    <row r="36" spans="2:16" ht="15" thickBot="1" x14ac:dyDescent="0.4">
      <c r="B36" s="161" t="s">
        <v>93</v>
      </c>
      <c r="C36" s="218"/>
      <c r="D36" s="218"/>
      <c r="E36" s="218"/>
      <c r="F36" s="218"/>
      <c r="G36" s="218"/>
      <c r="H36" s="218"/>
      <c r="I36" s="219"/>
      <c r="J36" s="220"/>
      <c r="K36" s="221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workbookViewId="0">
      <selection activeCell="D8" sqref="D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6" t="s">
        <v>45</v>
      </c>
      <c r="B2" s="196"/>
      <c r="C2" s="196"/>
    </row>
    <row r="3" spans="1:19 16383:16384" ht="15" customHeight="1" x14ac:dyDescent="0.35">
      <c r="A3" s="197" t="s">
        <v>46</v>
      </c>
      <c r="B3" s="197"/>
      <c r="C3" s="197"/>
      <c r="F3" s="70"/>
      <c r="G3" s="71"/>
      <c r="K3" s="198" t="s">
        <v>47</v>
      </c>
      <c r="L3" s="198"/>
      <c r="M3" s="198"/>
      <c r="N3" s="197">
        <v>7</v>
      </c>
      <c r="O3" s="197"/>
      <c r="P3" s="19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7" t="s">
        <v>94</v>
      </c>
      <c r="B4" s="197"/>
      <c r="C4" s="197"/>
      <c r="F4" s="70"/>
      <c r="G4" s="71"/>
      <c r="K4" s="198" t="s">
        <v>49</v>
      </c>
      <c r="L4" s="198"/>
      <c r="M4" s="198"/>
      <c r="N4" s="199">
        <f ca="1">TODAY()</f>
        <v>46184</v>
      </c>
      <c r="O4" s="199"/>
      <c r="P4" s="19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95</v>
      </c>
      <c r="B5" s="246"/>
      <c r="C5" s="246"/>
      <c r="F5" s="70"/>
      <c r="G5" s="71"/>
      <c r="K5" s="198" t="s">
        <v>51</v>
      </c>
      <c r="L5" s="198"/>
      <c r="M5" s="198"/>
      <c r="N5" s="199">
        <f ca="1">N4-1</f>
        <v>46183</v>
      </c>
      <c r="O5" s="197"/>
      <c r="P5" s="197"/>
      <c r="R5" s="70"/>
      <c r="S5" s="71"/>
    </row>
    <row r="6" spans="1:19 16383:16384" ht="15" customHeight="1" x14ac:dyDescent="0.35">
      <c r="A6" s="198" t="s">
        <v>105</v>
      </c>
      <c r="B6" s="198"/>
      <c r="C6" s="198"/>
      <c r="F6" s="70"/>
      <c r="G6" s="74"/>
      <c r="K6" s="198" t="s">
        <v>52</v>
      </c>
      <c r="L6" s="198"/>
      <c r="M6" s="198"/>
      <c r="N6" s="200" t="s">
        <v>104</v>
      </c>
      <c r="O6" s="200"/>
      <c r="P6" s="20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8"/>
      <c r="B7" s="198"/>
      <c r="C7" s="198"/>
      <c r="F7" s="70"/>
      <c r="G7" s="74"/>
      <c r="K7" s="198"/>
      <c r="L7" s="198"/>
      <c r="M7" s="198"/>
      <c r="N7" s="200"/>
      <c r="O7" s="200"/>
      <c r="P7" s="20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2"/>
      <c r="B8" s="202"/>
      <c r="C8" s="202"/>
      <c r="F8" s="70"/>
      <c r="G8" s="74"/>
      <c r="K8" s="198"/>
      <c r="L8" s="198"/>
      <c r="M8" s="198"/>
      <c r="N8" s="200"/>
      <c r="O8" s="200"/>
      <c r="P8" s="200"/>
      <c r="R8" s="70"/>
      <c r="S8" s="74"/>
    </row>
    <row r="9" spans="1:19 16383:16384" x14ac:dyDescent="0.35">
      <c r="A9" s="202"/>
      <c r="B9" s="202"/>
      <c r="C9" s="202"/>
      <c r="F9" s="70"/>
      <c r="G9" s="74"/>
      <c r="K9" s="198"/>
      <c r="L9" s="198"/>
      <c r="M9" s="198"/>
      <c r="N9" s="200"/>
      <c r="O9" s="200"/>
      <c r="P9" s="200"/>
      <c r="R9" s="70"/>
      <c r="S9" s="74"/>
      <c r="XFD9" t="s">
        <v>55</v>
      </c>
    </row>
    <row r="10" spans="1:19 16383:16384" x14ac:dyDescent="0.35">
      <c r="A10" s="203" t="s">
        <v>96</v>
      </c>
      <c r="B10" s="169">
        <v>3520242563059</v>
      </c>
      <c r="C10" s="75"/>
      <c r="F10" s="70"/>
      <c r="G10" s="71"/>
      <c r="K10" s="198" t="s">
        <v>56</v>
      </c>
      <c r="L10" s="198"/>
      <c r="M10" s="198"/>
      <c r="N10" s="197" t="s">
        <v>57</v>
      </c>
      <c r="O10" s="197"/>
      <c r="P10" s="197"/>
      <c r="R10" s="70"/>
      <c r="S10" s="71"/>
      <c r="XFD10" t="s">
        <v>58</v>
      </c>
    </row>
    <row r="11" spans="1:19 16383:16384" x14ac:dyDescent="0.35">
      <c r="A11" s="203"/>
      <c r="B11" s="76" t="s">
        <v>48</v>
      </c>
      <c r="C11" s="77" t="str">
        <f>IF($O34&gt;2.49%,"No","Yes")</f>
        <v>Yes</v>
      </c>
      <c r="F11" s="70"/>
      <c r="G11" s="71"/>
      <c r="K11" s="198" t="s">
        <v>59</v>
      </c>
      <c r="L11" s="198"/>
      <c r="M11" s="198"/>
      <c r="N11" s="197" t="s">
        <v>55</v>
      </c>
      <c r="O11" s="197"/>
      <c r="P11" s="197"/>
      <c r="R11" s="70"/>
      <c r="S11" s="71"/>
    </row>
    <row r="12" spans="1:19 16383:16384" ht="14.65" customHeight="1" x14ac:dyDescent="0.35">
      <c r="A12" s="203" t="s">
        <v>60</v>
      </c>
      <c r="B12" s="76" t="s">
        <v>54</v>
      </c>
      <c r="C12" s="77" t="str">
        <f>IF($O32&gt;21.99%,"No","Yes")</f>
        <v>No</v>
      </c>
      <c r="F12" s="70"/>
      <c r="G12" s="71"/>
      <c r="K12" s="198" t="s">
        <v>61</v>
      </c>
      <c r="L12" s="198"/>
      <c r="M12" s="198"/>
      <c r="N12" s="197"/>
      <c r="O12" s="197"/>
      <c r="P12" s="197"/>
      <c r="R12" s="70"/>
      <c r="S12" s="71"/>
      <c r="XFD12" t="s">
        <v>62</v>
      </c>
    </row>
    <row r="13" spans="1:19 16383:16384" ht="15" thickBot="1" x14ac:dyDescent="0.4">
      <c r="A13" s="240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10"/>
      <c r="C14" s="204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11"/>
      <c r="C15" s="20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2" t="s">
        <v>84</v>
      </c>
      <c r="B25" s="223"/>
      <c r="C25" s="224"/>
      <c r="D25" s="218"/>
      <c r="E25" s="218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5" t="s">
        <v>85</v>
      </c>
      <c r="C28" s="226"/>
      <c r="D28" s="226"/>
      <c r="E28" s="226"/>
      <c r="F28" s="226"/>
      <c r="G28" s="226"/>
      <c r="H28" s="226"/>
      <c r="I28" s="226"/>
      <c r="J28" s="226"/>
      <c r="K28" s="226"/>
      <c r="L28" s="227"/>
      <c r="N28" s="234" t="s">
        <v>86</v>
      </c>
      <c r="O28" s="235"/>
      <c r="P28" s="152">
        <f>I25</f>
        <v>0</v>
      </c>
    </row>
    <row r="29" spans="1:19 16384:16384" ht="15" customHeight="1" x14ac:dyDescent="0.35">
      <c r="B29" s="228"/>
      <c r="C29" s="229"/>
      <c r="D29" s="229"/>
      <c r="E29" s="229"/>
      <c r="F29" s="229"/>
      <c r="G29" s="229"/>
      <c r="H29" s="229"/>
      <c r="I29" s="229"/>
      <c r="J29" s="229"/>
      <c r="K29" s="229"/>
      <c r="L29" s="230"/>
      <c r="N29" s="236" t="s">
        <v>87</v>
      </c>
      <c r="O29" s="237"/>
      <c r="P29" s="153">
        <f>L25</f>
        <v>0</v>
      </c>
    </row>
    <row r="30" spans="1:19 16384:16384" ht="15" customHeight="1" x14ac:dyDescent="0.35">
      <c r="B30" s="228"/>
      <c r="C30" s="229"/>
      <c r="D30" s="229"/>
      <c r="E30" s="229"/>
      <c r="F30" s="229"/>
      <c r="G30" s="229"/>
      <c r="H30" s="229"/>
      <c r="I30" s="229"/>
      <c r="J30" s="229"/>
      <c r="K30" s="229"/>
      <c r="L30" s="230"/>
      <c r="N30" s="236" t="s">
        <v>4</v>
      </c>
      <c r="O30" s="237"/>
      <c r="P30" s="154">
        <f>K25</f>
        <v>0</v>
      </c>
    </row>
    <row r="31" spans="1:19 16384:16384" ht="15" customHeight="1" x14ac:dyDescent="0.35">
      <c r="B31" s="228"/>
      <c r="C31" s="229"/>
      <c r="D31" s="229"/>
      <c r="E31" s="229"/>
      <c r="F31" s="229"/>
      <c r="G31" s="229"/>
      <c r="H31" s="229"/>
      <c r="I31" s="229"/>
      <c r="J31" s="229"/>
      <c r="K31" s="229"/>
      <c r="L31" s="230"/>
      <c r="M31" s="2"/>
      <c r="N31" s="236" t="s">
        <v>88</v>
      </c>
      <c r="O31" s="237"/>
      <c r="P31" s="153">
        <f>P28-P29-P30</f>
        <v>0</v>
      </c>
    </row>
    <row r="32" spans="1:19 16384:16384" ht="15" customHeight="1" x14ac:dyDescent="0.35">
      <c r="B32" s="228"/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8"/>
      <c r="C33" s="229"/>
      <c r="D33" s="229"/>
      <c r="E33" s="229"/>
      <c r="F33" s="229"/>
      <c r="G33" s="229"/>
      <c r="H33" s="229"/>
      <c r="I33" s="229"/>
      <c r="J33" s="229"/>
      <c r="K33" s="229"/>
      <c r="L33" s="230"/>
      <c r="M33" s="2"/>
      <c r="N33" s="238" t="s">
        <v>90</v>
      </c>
      <c r="O33" s="239"/>
      <c r="P33" s="153">
        <f>P31+P32</f>
        <v>0</v>
      </c>
    </row>
    <row r="34" spans="2:16" ht="15" customHeight="1" thickBot="1" x14ac:dyDescent="0.4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6" t="s">
        <v>92</v>
      </c>
      <c r="O35" s="217"/>
      <c r="P35" s="160">
        <f>P33+P34</f>
        <v>0</v>
      </c>
    </row>
    <row r="36" spans="2:16" ht="15" thickBot="1" x14ac:dyDescent="0.4">
      <c r="B36" s="161" t="s">
        <v>93</v>
      </c>
      <c r="C36" s="218"/>
      <c r="D36" s="218"/>
      <c r="E36" s="218"/>
      <c r="F36" s="218"/>
      <c r="G36" s="218"/>
      <c r="H36" s="218"/>
      <c r="I36" s="219"/>
      <c r="J36" s="220"/>
      <c r="K36" s="221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3" workbookViewId="0">
      <selection activeCell="I19" sqref="I1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6" t="s">
        <v>45</v>
      </c>
      <c r="B2" s="196"/>
      <c r="C2" s="196"/>
    </row>
    <row r="3" spans="1:19 16383:16384" ht="15" customHeight="1" x14ac:dyDescent="0.35">
      <c r="A3" s="197" t="s">
        <v>46</v>
      </c>
      <c r="B3" s="197"/>
      <c r="C3" s="197"/>
      <c r="F3" s="70"/>
      <c r="G3" s="71"/>
      <c r="K3" s="198" t="s">
        <v>47</v>
      </c>
      <c r="L3" s="198"/>
      <c r="M3" s="198"/>
      <c r="N3" s="197">
        <v>8</v>
      </c>
      <c r="O3" s="197"/>
      <c r="P3" s="19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7" t="s">
        <v>94</v>
      </c>
      <c r="B4" s="197"/>
      <c r="C4" s="197"/>
      <c r="F4" s="70"/>
      <c r="G4" s="71"/>
      <c r="K4" s="198" t="s">
        <v>49</v>
      </c>
      <c r="L4" s="198"/>
      <c r="M4" s="198"/>
      <c r="N4" s="199">
        <f ca="1">TODAY()</f>
        <v>46184</v>
      </c>
      <c r="O4" s="199"/>
      <c r="P4" s="19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95</v>
      </c>
      <c r="B5" s="246"/>
      <c r="C5" s="246"/>
      <c r="F5" s="70"/>
      <c r="G5" s="71"/>
      <c r="K5" s="198" t="s">
        <v>51</v>
      </c>
      <c r="L5" s="198"/>
      <c r="M5" s="198"/>
      <c r="N5" s="199">
        <f ca="1">N4-1</f>
        <v>46183</v>
      </c>
      <c r="O5" s="197"/>
      <c r="P5" s="197"/>
      <c r="R5" s="70"/>
      <c r="S5" s="71"/>
    </row>
    <row r="6" spans="1:19 16383:16384" ht="15" customHeight="1" x14ac:dyDescent="0.35">
      <c r="A6" s="198" t="s">
        <v>102</v>
      </c>
      <c r="B6" s="198"/>
      <c r="C6" s="198"/>
      <c r="F6" s="70"/>
      <c r="G6" s="74"/>
      <c r="K6" s="198" t="s">
        <v>52</v>
      </c>
      <c r="L6" s="198"/>
      <c r="M6" s="198"/>
      <c r="N6" s="200" t="s">
        <v>103</v>
      </c>
      <c r="O6" s="200"/>
      <c r="P6" s="20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8"/>
      <c r="B7" s="198"/>
      <c r="C7" s="198"/>
      <c r="F7" s="70"/>
      <c r="G7" s="74"/>
      <c r="K7" s="198"/>
      <c r="L7" s="198"/>
      <c r="M7" s="198"/>
      <c r="N7" s="200"/>
      <c r="O7" s="200"/>
      <c r="P7" s="20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2"/>
      <c r="B8" s="202"/>
      <c r="C8" s="202"/>
      <c r="F8" s="70"/>
      <c r="G8" s="74"/>
      <c r="K8" s="198"/>
      <c r="L8" s="198"/>
      <c r="M8" s="198"/>
      <c r="N8" s="200"/>
      <c r="O8" s="200"/>
      <c r="P8" s="200"/>
      <c r="R8" s="70"/>
      <c r="S8" s="74"/>
    </row>
    <row r="9" spans="1:19 16383:16384" x14ac:dyDescent="0.35">
      <c r="A9" s="202"/>
      <c r="B9" s="202"/>
      <c r="C9" s="202"/>
      <c r="F9" s="70"/>
      <c r="G9" s="74"/>
      <c r="K9" s="198"/>
      <c r="L9" s="198"/>
      <c r="M9" s="198"/>
      <c r="N9" s="200"/>
      <c r="O9" s="200"/>
      <c r="P9" s="200"/>
      <c r="R9" s="70"/>
      <c r="S9" s="74"/>
      <c r="XFD9" t="s">
        <v>55</v>
      </c>
    </row>
    <row r="10" spans="1:19 16383:16384" x14ac:dyDescent="0.35">
      <c r="A10" s="203" t="s">
        <v>96</v>
      </c>
      <c r="B10" s="75"/>
      <c r="C10" s="75"/>
      <c r="F10" s="70"/>
      <c r="G10" s="71"/>
      <c r="K10" s="198" t="s">
        <v>56</v>
      </c>
      <c r="L10" s="198"/>
      <c r="M10" s="198"/>
      <c r="N10" s="197" t="s">
        <v>57</v>
      </c>
      <c r="O10" s="197"/>
      <c r="P10" s="197"/>
      <c r="R10" s="70"/>
      <c r="S10" s="71"/>
      <c r="XFD10" t="s">
        <v>58</v>
      </c>
    </row>
    <row r="11" spans="1:19 16383:16384" x14ac:dyDescent="0.35">
      <c r="A11" s="203"/>
      <c r="B11" s="76" t="s">
        <v>50</v>
      </c>
      <c r="C11" s="77" t="str">
        <f>IF($O34&gt;2.49%,"No","Yes")</f>
        <v>No</v>
      </c>
      <c r="F11" s="70"/>
      <c r="G11" s="71"/>
      <c r="K11" s="198" t="s">
        <v>59</v>
      </c>
      <c r="L11" s="198"/>
      <c r="M11" s="198"/>
      <c r="N11" s="197" t="s">
        <v>55</v>
      </c>
      <c r="O11" s="197"/>
      <c r="P11" s="197"/>
      <c r="R11" s="70"/>
      <c r="S11" s="71"/>
    </row>
    <row r="12" spans="1:19 16383:16384" ht="14.65" customHeight="1" x14ac:dyDescent="0.35">
      <c r="A12" s="203" t="s">
        <v>60</v>
      </c>
      <c r="B12" s="76" t="s">
        <v>54</v>
      </c>
      <c r="C12" s="77" t="str">
        <f>IF($O32&gt;21.99%,"No","Yes")</f>
        <v>No</v>
      </c>
      <c r="F12" s="70"/>
      <c r="G12" s="71"/>
      <c r="K12" s="198" t="s">
        <v>61</v>
      </c>
      <c r="L12" s="198"/>
      <c r="M12" s="198"/>
      <c r="N12" s="197"/>
      <c r="O12" s="197"/>
      <c r="P12" s="197"/>
      <c r="R12" s="70"/>
      <c r="S12" s="71"/>
      <c r="XFD12" t="s">
        <v>62</v>
      </c>
    </row>
    <row r="13" spans="1:19 16383:16384" ht="15" thickBot="1" x14ac:dyDescent="0.4">
      <c r="A13" s="240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10"/>
      <c r="C14" s="204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11"/>
      <c r="C15" s="20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2" t="s">
        <v>84</v>
      </c>
      <c r="B25" s="223"/>
      <c r="C25" s="224"/>
      <c r="D25" s="218"/>
      <c r="E25" s="218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5" t="s">
        <v>85</v>
      </c>
      <c r="C28" s="226"/>
      <c r="D28" s="226"/>
      <c r="E28" s="226"/>
      <c r="F28" s="226"/>
      <c r="G28" s="226"/>
      <c r="H28" s="226"/>
      <c r="I28" s="226"/>
      <c r="J28" s="226"/>
      <c r="K28" s="226"/>
      <c r="L28" s="227"/>
      <c r="N28" s="234" t="s">
        <v>86</v>
      </c>
      <c r="O28" s="235"/>
      <c r="P28" s="152">
        <f>I25</f>
        <v>0</v>
      </c>
    </row>
    <row r="29" spans="1:19 16384:16384" ht="15" customHeight="1" x14ac:dyDescent="0.35">
      <c r="B29" s="228"/>
      <c r="C29" s="229"/>
      <c r="D29" s="229"/>
      <c r="E29" s="229"/>
      <c r="F29" s="229"/>
      <c r="G29" s="229"/>
      <c r="H29" s="229"/>
      <c r="I29" s="229"/>
      <c r="J29" s="229"/>
      <c r="K29" s="229"/>
      <c r="L29" s="230"/>
      <c r="N29" s="236" t="s">
        <v>87</v>
      </c>
      <c r="O29" s="237"/>
      <c r="P29" s="153">
        <f>L25</f>
        <v>0</v>
      </c>
    </row>
    <row r="30" spans="1:19 16384:16384" ht="15" customHeight="1" x14ac:dyDescent="0.35">
      <c r="B30" s="228"/>
      <c r="C30" s="229"/>
      <c r="D30" s="229"/>
      <c r="E30" s="229"/>
      <c r="F30" s="229"/>
      <c r="G30" s="229"/>
      <c r="H30" s="229"/>
      <c r="I30" s="229"/>
      <c r="J30" s="229"/>
      <c r="K30" s="229"/>
      <c r="L30" s="230"/>
      <c r="N30" s="236" t="s">
        <v>4</v>
      </c>
      <c r="O30" s="237"/>
      <c r="P30" s="154">
        <f>K25</f>
        <v>0</v>
      </c>
    </row>
    <row r="31" spans="1:19 16384:16384" ht="15" customHeight="1" x14ac:dyDescent="0.35">
      <c r="B31" s="228"/>
      <c r="C31" s="229"/>
      <c r="D31" s="229"/>
      <c r="E31" s="229"/>
      <c r="F31" s="229"/>
      <c r="G31" s="229"/>
      <c r="H31" s="229"/>
      <c r="I31" s="229"/>
      <c r="J31" s="229"/>
      <c r="K31" s="229"/>
      <c r="L31" s="230"/>
      <c r="M31" s="2"/>
      <c r="N31" s="236" t="s">
        <v>88</v>
      </c>
      <c r="O31" s="237"/>
      <c r="P31" s="153">
        <f>P28-P29-P30</f>
        <v>0</v>
      </c>
    </row>
    <row r="32" spans="1:19 16384:16384" ht="15" customHeight="1" x14ac:dyDescent="0.35">
      <c r="B32" s="228"/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8"/>
      <c r="C33" s="229"/>
      <c r="D33" s="229"/>
      <c r="E33" s="229"/>
      <c r="F33" s="229"/>
      <c r="G33" s="229"/>
      <c r="H33" s="229"/>
      <c r="I33" s="229"/>
      <c r="J33" s="229"/>
      <c r="K33" s="229"/>
      <c r="L33" s="230"/>
      <c r="M33" s="2"/>
      <c r="N33" s="238" t="s">
        <v>90</v>
      </c>
      <c r="O33" s="239"/>
      <c r="P33" s="153">
        <f>P31+P32</f>
        <v>0</v>
      </c>
    </row>
    <row r="34" spans="2:16" ht="15" customHeight="1" thickBot="1" x14ac:dyDescent="0.4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6" t="s">
        <v>92</v>
      </c>
      <c r="O35" s="217"/>
      <c r="P35" s="160">
        <f>P33+P34</f>
        <v>0</v>
      </c>
    </row>
    <row r="36" spans="2:16" ht="15" thickBot="1" x14ac:dyDescent="0.4">
      <c r="B36" s="161" t="s">
        <v>93</v>
      </c>
      <c r="C36" s="218"/>
      <c r="D36" s="218"/>
      <c r="E36" s="218"/>
      <c r="F36" s="218"/>
      <c r="G36" s="218"/>
      <c r="H36" s="218"/>
      <c r="I36" s="219"/>
      <c r="J36" s="220"/>
      <c r="K36" s="221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6" t="s">
        <v>45</v>
      </c>
      <c r="B2" s="196"/>
      <c r="C2" s="196"/>
    </row>
    <row r="3" spans="1:19 16383:16384" ht="15" customHeight="1" x14ac:dyDescent="0.35">
      <c r="A3" s="197" t="s">
        <v>46</v>
      </c>
      <c r="B3" s="197"/>
      <c r="C3" s="197"/>
      <c r="F3" s="70"/>
      <c r="G3" s="71"/>
      <c r="K3" s="198" t="s">
        <v>47</v>
      </c>
      <c r="L3" s="198"/>
      <c r="M3" s="198"/>
      <c r="N3" s="197">
        <v>9</v>
      </c>
      <c r="O3" s="197"/>
      <c r="P3" s="19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7" t="s">
        <v>94</v>
      </c>
      <c r="B4" s="197"/>
      <c r="C4" s="197"/>
      <c r="F4" s="70"/>
      <c r="G4" s="71"/>
      <c r="K4" s="198" t="s">
        <v>49</v>
      </c>
      <c r="L4" s="198"/>
      <c r="M4" s="198"/>
      <c r="N4" s="199">
        <f ca="1">TODAY()</f>
        <v>46184</v>
      </c>
      <c r="O4" s="199"/>
      <c r="P4" s="19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95</v>
      </c>
      <c r="B5" s="246"/>
      <c r="C5" s="246"/>
      <c r="F5" s="70"/>
      <c r="G5" s="71"/>
      <c r="K5" s="198" t="s">
        <v>51</v>
      </c>
      <c r="L5" s="198"/>
      <c r="M5" s="198"/>
      <c r="N5" s="199">
        <f ca="1">N4-1</f>
        <v>46183</v>
      </c>
      <c r="O5" s="197"/>
      <c r="P5" s="197"/>
      <c r="R5" s="70"/>
      <c r="S5" s="71"/>
    </row>
    <row r="6" spans="1:19 16383:16384" ht="15" customHeight="1" x14ac:dyDescent="0.35">
      <c r="A6" s="198" t="s">
        <v>97</v>
      </c>
      <c r="B6" s="198"/>
      <c r="C6" s="198"/>
      <c r="F6" s="70"/>
      <c r="G6" s="74"/>
      <c r="K6" s="198" t="s">
        <v>52</v>
      </c>
      <c r="L6" s="198"/>
      <c r="M6" s="198"/>
      <c r="N6" s="200" t="s">
        <v>103</v>
      </c>
      <c r="O6" s="200"/>
      <c r="P6" s="20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8"/>
      <c r="B7" s="198"/>
      <c r="C7" s="198"/>
      <c r="F7" s="70"/>
      <c r="G7" s="74"/>
      <c r="K7" s="198"/>
      <c r="L7" s="198"/>
      <c r="M7" s="198"/>
      <c r="N7" s="200"/>
      <c r="O7" s="200"/>
      <c r="P7" s="20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2"/>
      <c r="B8" s="202"/>
      <c r="C8" s="202"/>
      <c r="F8" s="70"/>
      <c r="G8" s="74"/>
      <c r="K8" s="198"/>
      <c r="L8" s="198"/>
      <c r="M8" s="198"/>
      <c r="N8" s="200"/>
      <c r="O8" s="200"/>
      <c r="P8" s="200"/>
      <c r="R8" s="70"/>
      <c r="S8" s="74"/>
    </row>
    <row r="9" spans="1:19 16383:16384" x14ac:dyDescent="0.35">
      <c r="A9" s="202"/>
      <c r="B9" s="202"/>
      <c r="C9" s="202"/>
      <c r="F9" s="70"/>
      <c r="G9" s="74"/>
      <c r="K9" s="198"/>
      <c r="L9" s="198"/>
      <c r="M9" s="198"/>
      <c r="N9" s="200"/>
      <c r="O9" s="200"/>
      <c r="P9" s="200"/>
      <c r="R9" s="70"/>
      <c r="S9" s="74"/>
      <c r="XFD9" t="s">
        <v>55</v>
      </c>
    </row>
    <row r="10" spans="1:19 16383:16384" x14ac:dyDescent="0.35">
      <c r="A10" s="203" t="s">
        <v>96</v>
      </c>
      <c r="B10" s="167"/>
      <c r="C10" s="75"/>
      <c r="F10" s="70"/>
      <c r="G10" s="71"/>
      <c r="K10" s="198" t="s">
        <v>56</v>
      </c>
      <c r="L10" s="198"/>
      <c r="M10" s="198"/>
      <c r="N10" s="197" t="s">
        <v>57</v>
      </c>
      <c r="O10" s="197"/>
      <c r="P10" s="197"/>
      <c r="R10" s="70"/>
      <c r="S10" s="71"/>
      <c r="XFD10" t="s">
        <v>58</v>
      </c>
    </row>
    <row r="11" spans="1:19 16383:16384" x14ac:dyDescent="0.35">
      <c r="A11" s="203"/>
      <c r="B11" s="76" t="s">
        <v>48</v>
      </c>
      <c r="C11" s="77" t="str">
        <f>IF($O34&gt;2.49%,"No","Yes")</f>
        <v>Yes</v>
      </c>
      <c r="F11" s="70"/>
      <c r="G11" s="71"/>
      <c r="K11" s="198" t="s">
        <v>59</v>
      </c>
      <c r="L11" s="198"/>
      <c r="M11" s="198"/>
      <c r="N11" s="197" t="s">
        <v>55</v>
      </c>
      <c r="O11" s="197"/>
      <c r="P11" s="197"/>
      <c r="R11" s="70"/>
      <c r="S11" s="71"/>
    </row>
    <row r="12" spans="1:19 16383:16384" ht="14.65" customHeight="1" x14ac:dyDescent="0.35">
      <c r="A12" s="203" t="s">
        <v>60</v>
      </c>
      <c r="B12" s="76" t="s">
        <v>54</v>
      </c>
      <c r="C12" s="77" t="str">
        <f>IF($O32&gt;21.99%,"No","Yes")</f>
        <v>No</v>
      </c>
      <c r="F12" s="70"/>
      <c r="G12" s="71"/>
      <c r="K12" s="198" t="s">
        <v>61</v>
      </c>
      <c r="L12" s="198"/>
      <c r="M12" s="198"/>
      <c r="N12" s="197"/>
      <c r="O12" s="197"/>
      <c r="P12" s="197"/>
      <c r="R12" s="70"/>
      <c r="S12" s="71"/>
      <c r="XFD12" t="s">
        <v>62</v>
      </c>
    </row>
    <row r="13" spans="1:19 16383:16384" ht="15" thickBot="1" x14ac:dyDescent="0.4">
      <c r="A13" s="240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10"/>
      <c r="C14" s="204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11"/>
      <c r="C15" s="20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2" t="s">
        <v>84</v>
      </c>
      <c r="B25" s="223"/>
      <c r="C25" s="224"/>
      <c r="D25" s="218"/>
      <c r="E25" s="218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5" t="s">
        <v>85</v>
      </c>
      <c r="C28" s="226"/>
      <c r="D28" s="226"/>
      <c r="E28" s="226"/>
      <c r="F28" s="226"/>
      <c r="G28" s="226"/>
      <c r="H28" s="226"/>
      <c r="I28" s="226"/>
      <c r="J28" s="226"/>
      <c r="K28" s="226"/>
      <c r="L28" s="227"/>
      <c r="N28" s="234" t="s">
        <v>86</v>
      </c>
      <c r="O28" s="235"/>
      <c r="P28" s="152">
        <f>I25</f>
        <v>0</v>
      </c>
    </row>
    <row r="29" spans="1:19 16384:16384" ht="15" customHeight="1" x14ac:dyDescent="0.35">
      <c r="B29" s="228"/>
      <c r="C29" s="229"/>
      <c r="D29" s="229"/>
      <c r="E29" s="229"/>
      <c r="F29" s="229"/>
      <c r="G29" s="229"/>
      <c r="H29" s="229"/>
      <c r="I29" s="229"/>
      <c r="J29" s="229"/>
      <c r="K29" s="229"/>
      <c r="L29" s="230"/>
      <c r="N29" s="236" t="s">
        <v>87</v>
      </c>
      <c r="O29" s="237"/>
      <c r="P29" s="153">
        <f>L25</f>
        <v>0</v>
      </c>
    </row>
    <row r="30" spans="1:19 16384:16384" ht="15" customHeight="1" x14ac:dyDescent="0.35">
      <c r="B30" s="228"/>
      <c r="C30" s="229"/>
      <c r="D30" s="229"/>
      <c r="E30" s="229"/>
      <c r="F30" s="229"/>
      <c r="G30" s="229"/>
      <c r="H30" s="229"/>
      <c r="I30" s="229"/>
      <c r="J30" s="229"/>
      <c r="K30" s="229"/>
      <c r="L30" s="230"/>
      <c r="N30" s="236" t="s">
        <v>4</v>
      </c>
      <c r="O30" s="237"/>
      <c r="P30" s="154">
        <f>K25</f>
        <v>0</v>
      </c>
    </row>
    <row r="31" spans="1:19 16384:16384" ht="15" customHeight="1" x14ac:dyDescent="0.35">
      <c r="B31" s="228"/>
      <c r="C31" s="229"/>
      <c r="D31" s="229"/>
      <c r="E31" s="229"/>
      <c r="F31" s="229"/>
      <c r="G31" s="229"/>
      <c r="H31" s="229"/>
      <c r="I31" s="229"/>
      <c r="J31" s="229"/>
      <c r="K31" s="229"/>
      <c r="L31" s="230"/>
      <c r="M31" s="2"/>
      <c r="N31" s="236" t="s">
        <v>88</v>
      </c>
      <c r="O31" s="237"/>
      <c r="P31" s="153">
        <f>P28-P29-P30</f>
        <v>0</v>
      </c>
    </row>
    <row r="32" spans="1:19 16384:16384" ht="15" customHeight="1" x14ac:dyDescent="0.35">
      <c r="B32" s="228"/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8"/>
      <c r="C33" s="229"/>
      <c r="D33" s="229"/>
      <c r="E33" s="229"/>
      <c r="F33" s="229"/>
      <c r="G33" s="229"/>
      <c r="H33" s="229"/>
      <c r="I33" s="229"/>
      <c r="J33" s="229"/>
      <c r="K33" s="229"/>
      <c r="L33" s="230"/>
      <c r="M33" s="2"/>
      <c r="N33" s="238" t="s">
        <v>90</v>
      </c>
      <c r="O33" s="239"/>
      <c r="P33" s="153">
        <f>P31+P32</f>
        <v>0</v>
      </c>
    </row>
    <row r="34" spans="2:16" ht="15" customHeight="1" thickBot="1" x14ac:dyDescent="0.4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6" t="s">
        <v>92</v>
      </c>
      <c r="O35" s="217"/>
      <c r="P35" s="160">
        <f>P33+P34</f>
        <v>0</v>
      </c>
    </row>
    <row r="36" spans="2:16" ht="15" thickBot="1" x14ac:dyDescent="0.4">
      <c r="B36" s="161" t="s">
        <v>93</v>
      </c>
      <c r="C36" s="218"/>
      <c r="D36" s="218"/>
      <c r="E36" s="218"/>
      <c r="F36" s="218"/>
      <c r="G36" s="218"/>
      <c r="H36" s="218"/>
      <c r="I36" s="219"/>
      <c r="J36" s="220"/>
      <c r="K36" s="221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6" t="s">
        <v>45</v>
      </c>
      <c r="B2" s="196"/>
      <c r="C2" s="196"/>
    </row>
    <row r="3" spans="1:19 16383:16384" ht="15" customHeight="1" x14ac:dyDescent="0.35">
      <c r="A3" s="197" t="s">
        <v>46</v>
      </c>
      <c r="B3" s="197"/>
      <c r="C3" s="197"/>
      <c r="F3" s="70"/>
      <c r="G3" s="71"/>
      <c r="K3" s="198" t="s">
        <v>47</v>
      </c>
      <c r="L3" s="198"/>
      <c r="M3" s="198"/>
      <c r="N3" s="197">
        <v>10</v>
      </c>
      <c r="O3" s="197"/>
      <c r="P3" s="19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7" t="s">
        <v>94</v>
      </c>
      <c r="B4" s="197"/>
      <c r="C4" s="197"/>
      <c r="F4" s="70"/>
      <c r="G4" s="71"/>
      <c r="K4" s="198" t="s">
        <v>49</v>
      </c>
      <c r="L4" s="198"/>
      <c r="M4" s="198"/>
      <c r="N4" s="199">
        <f ca="1">TODAY()</f>
        <v>46184</v>
      </c>
      <c r="O4" s="199"/>
      <c r="P4" s="19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95</v>
      </c>
      <c r="B5" s="246"/>
      <c r="C5" s="246"/>
      <c r="F5" s="70"/>
      <c r="G5" s="71"/>
      <c r="K5" s="198" t="s">
        <v>51</v>
      </c>
      <c r="L5" s="198"/>
      <c r="M5" s="198"/>
      <c r="N5" s="199">
        <f ca="1">N4-1</f>
        <v>46183</v>
      </c>
      <c r="O5" s="197"/>
      <c r="P5" s="197"/>
      <c r="R5" s="70"/>
      <c r="S5" s="71"/>
    </row>
    <row r="6" spans="1:19 16383:16384" ht="15" customHeight="1" x14ac:dyDescent="0.35">
      <c r="A6" s="198" t="s">
        <v>99</v>
      </c>
      <c r="B6" s="198"/>
      <c r="C6" s="198"/>
      <c r="F6" s="70"/>
      <c r="G6" s="74"/>
      <c r="K6" s="198" t="s">
        <v>52</v>
      </c>
      <c r="L6" s="198"/>
      <c r="M6" s="198"/>
      <c r="N6" s="200" t="s">
        <v>103</v>
      </c>
      <c r="O6" s="200"/>
      <c r="P6" s="20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8"/>
      <c r="B7" s="198"/>
      <c r="C7" s="198"/>
      <c r="F7" s="70"/>
      <c r="G7" s="74"/>
      <c r="K7" s="198"/>
      <c r="L7" s="198"/>
      <c r="M7" s="198"/>
      <c r="N7" s="200"/>
      <c r="O7" s="200"/>
      <c r="P7" s="20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2"/>
      <c r="B8" s="202"/>
      <c r="C8" s="202"/>
      <c r="F8" s="70"/>
      <c r="G8" s="74"/>
      <c r="K8" s="198"/>
      <c r="L8" s="198"/>
      <c r="M8" s="198"/>
      <c r="N8" s="200"/>
      <c r="O8" s="200"/>
      <c r="P8" s="200"/>
      <c r="R8" s="70"/>
      <c r="S8" s="74"/>
    </row>
    <row r="9" spans="1:19 16383:16384" x14ac:dyDescent="0.35">
      <c r="A9" s="202"/>
      <c r="B9" s="202"/>
      <c r="C9" s="202"/>
      <c r="F9" s="70"/>
      <c r="G9" s="74"/>
      <c r="K9" s="198"/>
      <c r="L9" s="198"/>
      <c r="M9" s="198"/>
      <c r="N9" s="200"/>
      <c r="O9" s="200"/>
      <c r="P9" s="200"/>
      <c r="R9" s="70"/>
      <c r="S9" s="74"/>
      <c r="XFD9" t="s">
        <v>55</v>
      </c>
    </row>
    <row r="10" spans="1:19 16383:16384" x14ac:dyDescent="0.35">
      <c r="A10" s="203" t="s">
        <v>96</v>
      </c>
      <c r="B10" s="75"/>
      <c r="C10" s="75"/>
      <c r="F10" s="70"/>
      <c r="G10" s="71"/>
      <c r="K10" s="198" t="s">
        <v>56</v>
      </c>
      <c r="L10" s="198"/>
      <c r="M10" s="198"/>
      <c r="N10" s="197" t="s">
        <v>57</v>
      </c>
      <c r="O10" s="197"/>
      <c r="P10" s="197"/>
      <c r="R10" s="70"/>
      <c r="S10" s="71"/>
      <c r="XFD10" t="s">
        <v>58</v>
      </c>
    </row>
    <row r="11" spans="1:19 16383:16384" x14ac:dyDescent="0.35">
      <c r="A11" s="203"/>
      <c r="B11" s="76" t="s">
        <v>48</v>
      </c>
      <c r="C11" s="77" t="str">
        <f>IF($O34&gt;2.49%,"No","Yes")</f>
        <v>Yes</v>
      </c>
      <c r="F11" s="70"/>
      <c r="G11" s="71"/>
      <c r="K11" s="198" t="s">
        <v>59</v>
      </c>
      <c r="L11" s="198"/>
      <c r="M11" s="198"/>
      <c r="N11" s="197" t="s">
        <v>55</v>
      </c>
      <c r="O11" s="197"/>
      <c r="P11" s="197"/>
      <c r="R11" s="70"/>
      <c r="S11" s="71"/>
    </row>
    <row r="12" spans="1:19 16383:16384" ht="14.65" customHeight="1" x14ac:dyDescent="0.35">
      <c r="A12" s="203" t="s">
        <v>60</v>
      </c>
      <c r="B12" s="76" t="s">
        <v>54</v>
      </c>
      <c r="C12" s="77" t="str">
        <f>IF($O32&gt;21.99%,"No","Yes")</f>
        <v>No</v>
      </c>
      <c r="F12" s="70"/>
      <c r="G12" s="71"/>
      <c r="K12" s="198" t="s">
        <v>61</v>
      </c>
      <c r="L12" s="198"/>
      <c r="M12" s="198"/>
      <c r="N12" s="197"/>
      <c r="O12" s="197"/>
      <c r="P12" s="197"/>
      <c r="R12" s="70"/>
      <c r="S12" s="71"/>
      <c r="XFD12" t="s">
        <v>62</v>
      </c>
    </row>
    <row r="13" spans="1:19 16383:16384" ht="15" thickBot="1" x14ac:dyDescent="0.4">
      <c r="A13" s="240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10"/>
      <c r="C14" s="204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11"/>
      <c r="C15" s="20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2" t="s">
        <v>84</v>
      </c>
      <c r="B25" s="223"/>
      <c r="C25" s="224"/>
      <c r="D25" s="218"/>
      <c r="E25" s="218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5" t="s">
        <v>85</v>
      </c>
      <c r="C28" s="226"/>
      <c r="D28" s="226"/>
      <c r="E28" s="226"/>
      <c r="F28" s="226"/>
      <c r="G28" s="226"/>
      <c r="H28" s="226"/>
      <c r="I28" s="226"/>
      <c r="J28" s="226"/>
      <c r="K28" s="226"/>
      <c r="L28" s="227"/>
      <c r="N28" s="234" t="s">
        <v>86</v>
      </c>
      <c r="O28" s="235"/>
      <c r="P28" s="152">
        <f>I25</f>
        <v>0</v>
      </c>
    </row>
    <row r="29" spans="1:19 16384:16384" ht="15" customHeight="1" x14ac:dyDescent="0.35">
      <c r="B29" s="228"/>
      <c r="C29" s="229"/>
      <c r="D29" s="229"/>
      <c r="E29" s="229"/>
      <c r="F29" s="229"/>
      <c r="G29" s="229"/>
      <c r="H29" s="229"/>
      <c r="I29" s="229"/>
      <c r="J29" s="229"/>
      <c r="K29" s="229"/>
      <c r="L29" s="230"/>
      <c r="N29" s="236" t="s">
        <v>87</v>
      </c>
      <c r="O29" s="237"/>
      <c r="P29" s="153">
        <f>L25</f>
        <v>0</v>
      </c>
    </row>
    <row r="30" spans="1:19 16384:16384" ht="15" customHeight="1" x14ac:dyDescent="0.35">
      <c r="B30" s="228"/>
      <c r="C30" s="229"/>
      <c r="D30" s="229"/>
      <c r="E30" s="229"/>
      <c r="F30" s="229"/>
      <c r="G30" s="229"/>
      <c r="H30" s="229"/>
      <c r="I30" s="229"/>
      <c r="J30" s="229"/>
      <c r="K30" s="229"/>
      <c r="L30" s="230"/>
      <c r="N30" s="236" t="s">
        <v>4</v>
      </c>
      <c r="O30" s="237"/>
      <c r="P30" s="154">
        <f>K25</f>
        <v>0</v>
      </c>
    </row>
    <row r="31" spans="1:19 16384:16384" ht="15" customHeight="1" x14ac:dyDescent="0.35">
      <c r="B31" s="228"/>
      <c r="C31" s="229"/>
      <c r="D31" s="229"/>
      <c r="E31" s="229"/>
      <c r="F31" s="229"/>
      <c r="G31" s="229"/>
      <c r="H31" s="229"/>
      <c r="I31" s="229"/>
      <c r="J31" s="229"/>
      <c r="K31" s="229"/>
      <c r="L31" s="230"/>
      <c r="M31" s="2"/>
      <c r="N31" s="236" t="s">
        <v>88</v>
      </c>
      <c r="O31" s="237"/>
      <c r="P31" s="153">
        <f>P28-P29-P30</f>
        <v>0</v>
      </c>
    </row>
    <row r="32" spans="1:19 16384:16384" ht="15" customHeight="1" x14ac:dyDescent="0.35">
      <c r="B32" s="228"/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8"/>
      <c r="C33" s="229"/>
      <c r="D33" s="229"/>
      <c r="E33" s="229"/>
      <c r="F33" s="229"/>
      <c r="G33" s="229"/>
      <c r="H33" s="229"/>
      <c r="I33" s="229"/>
      <c r="J33" s="229"/>
      <c r="K33" s="229"/>
      <c r="L33" s="230"/>
      <c r="M33" s="2"/>
      <c r="N33" s="238" t="s">
        <v>90</v>
      </c>
      <c r="O33" s="239"/>
      <c r="P33" s="153">
        <f>P31+P32</f>
        <v>0</v>
      </c>
    </row>
    <row r="34" spans="2:16" ht="15" customHeight="1" thickBot="1" x14ac:dyDescent="0.4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6" t="s">
        <v>92</v>
      </c>
      <c r="O35" s="217"/>
      <c r="P35" s="160">
        <f>P33+P34</f>
        <v>0</v>
      </c>
    </row>
    <row r="36" spans="2:16" ht="15" thickBot="1" x14ac:dyDescent="0.4">
      <c r="B36" s="161" t="s">
        <v>93</v>
      </c>
      <c r="C36" s="218"/>
      <c r="D36" s="218"/>
      <c r="E36" s="218"/>
      <c r="F36" s="218"/>
      <c r="G36" s="218"/>
      <c r="H36" s="218"/>
      <c r="I36" s="219"/>
      <c r="J36" s="220"/>
      <c r="K36" s="221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6" t="s">
        <v>45</v>
      </c>
      <c r="B2" s="196"/>
      <c r="C2" s="196"/>
    </row>
    <row r="3" spans="1:19 16383:16384" ht="15" customHeight="1" x14ac:dyDescent="0.35">
      <c r="A3" s="197" t="s">
        <v>46</v>
      </c>
      <c r="B3" s="197"/>
      <c r="C3" s="197"/>
      <c r="F3" s="70"/>
      <c r="G3" s="71"/>
      <c r="K3" s="198" t="s">
        <v>47</v>
      </c>
      <c r="L3" s="198"/>
      <c r="M3" s="198"/>
      <c r="N3" s="197">
        <v>10</v>
      </c>
      <c r="O3" s="197"/>
      <c r="P3" s="19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7" t="s">
        <v>94</v>
      </c>
      <c r="B4" s="197"/>
      <c r="C4" s="197"/>
      <c r="F4" s="70"/>
      <c r="G4" s="71"/>
      <c r="K4" s="198" t="s">
        <v>49</v>
      </c>
      <c r="L4" s="198"/>
      <c r="M4" s="198"/>
      <c r="N4" s="199">
        <f ca="1">TODAY()</f>
        <v>46184</v>
      </c>
      <c r="O4" s="199"/>
      <c r="P4" s="19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95</v>
      </c>
      <c r="B5" s="246"/>
      <c r="C5" s="246"/>
      <c r="F5" s="70"/>
      <c r="G5" s="71"/>
      <c r="K5" s="198" t="s">
        <v>51</v>
      </c>
      <c r="L5" s="198"/>
      <c r="M5" s="198"/>
      <c r="N5" s="199">
        <f ca="1">N4-1</f>
        <v>46183</v>
      </c>
      <c r="O5" s="197"/>
      <c r="P5" s="197"/>
      <c r="R5" s="70"/>
      <c r="S5" s="71"/>
    </row>
    <row r="6" spans="1:19 16383:16384" ht="15" customHeight="1" x14ac:dyDescent="0.35">
      <c r="A6" s="198" t="s">
        <v>97</v>
      </c>
      <c r="B6" s="198"/>
      <c r="C6" s="198"/>
      <c r="F6" s="70"/>
      <c r="G6" s="74"/>
      <c r="K6" s="198" t="s">
        <v>52</v>
      </c>
      <c r="L6" s="198"/>
      <c r="M6" s="198"/>
      <c r="N6" s="200" t="s">
        <v>103</v>
      </c>
      <c r="O6" s="200"/>
      <c r="P6" s="20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8"/>
      <c r="B7" s="198"/>
      <c r="C7" s="198"/>
      <c r="F7" s="70"/>
      <c r="G7" s="74"/>
      <c r="K7" s="198"/>
      <c r="L7" s="198"/>
      <c r="M7" s="198"/>
      <c r="N7" s="200"/>
      <c r="O7" s="200"/>
      <c r="P7" s="20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2"/>
      <c r="B8" s="202"/>
      <c r="C8" s="202"/>
      <c r="F8" s="70"/>
      <c r="G8" s="74"/>
      <c r="K8" s="198"/>
      <c r="L8" s="198"/>
      <c r="M8" s="198"/>
      <c r="N8" s="200"/>
      <c r="O8" s="200"/>
      <c r="P8" s="200"/>
      <c r="R8" s="70"/>
      <c r="S8" s="74"/>
    </row>
    <row r="9" spans="1:19 16383:16384" x14ac:dyDescent="0.35">
      <c r="A9" s="202"/>
      <c r="B9" s="202"/>
      <c r="C9" s="202"/>
      <c r="F9" s="70"/>
      <c r="G9" s="74"/>
      <c r="K9" s="198"/>
      <c r="L9" s="198"/>
      <c r="M9" s="198"/>
      <c r="N9" s="200"/>
      <c r="O9" s="200"/>
      <c r="P9" s="200"/>
      <c r="R9" s="70"/>
      <c r="S9" s="74"/>
      <c r="XFD9" t="s">
        <v>55</v>
      </c>
    </row>
    <row r="10" spans="1:19 16383:16384" x14ac:dyDescent="0.35">
      <c r="A10" s="203" t="s">
        <v>96</v>
      </c>
      <c r="B10" s="75"/>
      <c r="C10" s="75"/>
      <c r="F10" s="70"/>
      <c r="G10" s="71"/>
      <c r="K10" s="198" t="s">
        <v>56</v>
      </c>
      <c r="L10" s="198"/>
      <c r="M10" s="198"/>
      <c r="N10" s="197" t="s">
        <v>57</v>
      </c>
      <c r="O10" s="197"/>
      <c r="P10" s="197"/>
      <c r="R10" s="70"/>
      <c r="S10" s="71"/>
      <c r="XFD10" t="s">
        <v>58</v>
      </c>
    </row>
    <row r="11" spans="1:19 16383:16384" x14ac:dyDescent="0.35">
      <c r="A11" s="203"/>
      <c r="B11" s="76" t="s">
        <v>50</v>
      </c>
      <c r="C11" s="77" t="str">
        <f>IF($O34&gt;2.49%,"No","Yes")</f>
        <v>No</v>
      </c>
      <c r="F11" s="70"/>
      <c r="G11" s="71"/>
      <c r="K11" s="198" t="s">
        <v>59</v>
      </c>
      <c r="L11" s="198"/>
      <c r="M11" s="198"/>
      <c r="N11" s="197" t="s">
        <v>55</v>
      </c>
      <c r="O11" s="197"/>
      <c r="P11" s="197"/>
      <c r="R11" s="70"/>
      <c r="S11" s="71"/>
    </row>
    <row r="12" spans="1:19 16383:16384" ht="14.65" customHeight="1" x14ac:dyDescent="0.35">
      <c r="A12" s="203" t="s">
        <v>60</v>
      </c>
      <c r="B12" s="76" t="s">
        <v>54</v>
      </c>
      <c r="C12" s="77" t="str">
        <f>IF($O32&gt;21.99%,"No","Yes")</f>
        <v>No</v>
      </c>
      <c r="F12" s="70"/>
      <c r="G12" s="71"/>
      <c r="K12" s="198" t="s">
        <v>61</v>
      </c>
      <c r="L12" s="198"/>
      <c r="M12" s="198"/>
      <c r="N12" s="197"/>
      <c r="O12" s="197"/>
      <c r="P12" s="197"/>
      <c r="R12" s="70"/>
      <c r="S12" s="71"/>
      <c r="XFD12" t="s">
        <v>62</v>
      </c>
    </row>
    <row r="13" spans="1:19 16383:16384" ht="15" thickBot="1" x14ac:dyDescent="0.4">
      <c r="A13" s="240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10"/>
      <c r="C14" s="204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11"/>
      <c r="C15" s="20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2" t="s">
        <v>84</v>
      </c>
      <c r="B25" s="223"/>
      <c r="C25" s="224"/>
      <c r="D25" s="218"/>
      <c r="E25" s="218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5" t="s">
        <v>85</v>
      </c>
      <c r="C28" s="226"/>
      <c r="D28" s="226"/>
      <c r="E28" s="226"/>
      <c r="F28" s="226"/>
      <c r="G28" s="226"/>
      <c r="H28" s="226"/>
      <c r="I28" s="226"/>
      <c r="J28" s="226"/>
      <c r="K28" s="226"/>
      <c r="L28" s="227"/>
      <c r="N28" s="234" t="s">
        <v>86</v>
      </c>
      <c r="O28" s="235"/>
      <c r="P28" s="152">
        <f>I25</f>
        <v>0</v>
      </c>
    </row>
    <row r="29" spans="1:19 16384:16384" ht="15" customHeight="1" x14ac:dyDescent="0.35">
      <c r="B29" s="228"/>
      <c r="C29" s="229"/>
      <c r="D29" s="229"/>
      <c r="E29" s="229"/>
      <c r="F29" s="229"/>
      <c r="G29" s="229"/>
      <c r="H29" s="229"/>
      <c r="I29" s="229"/>
      <c r="J29" s="229"/>
      <c r="K29" s="229"/>
      <c r="L29" s="230"/>
      <c r="N29" s="236" t="s">
        <v>87</v>
      </c>
      <c r="O29" s="237"/>
      <c r="P29" s="153">
        <f>L25</f>
        <v>0</v>
      </c>
    </row>
    <row r="30" spans="1:19 16384:16384" ht="15" customHeight="1" x14ac:dyDescent="0.35">
      <c r="B30" s="228"/>
      <c r="C30" s="229"/>
      <c r="D30" s="229"/>
      <c r="E30" s="229"/>
      <c r="F30" s="229"/>
      <c r="G30" s="229"/>
      <c r="H30" s="229"/>
      <c r="I30" s="229"/>
      <c r="J30" s="229"/>
      <c r="K30" s="229"/>
      <c r="L30" s="230"/>
      <c r="N30" s="236" t="s">
        <v>4</v>
      </c>
      <c r="O30" s="237"/>
      <c r="P30" s="154">
        <f>K25</f>
        <v>0</v>
      </c>
    </row>
    <row r="31" spans="1:19 16384:16384" ht="15" customHeight="1" x14ac:dyDescent="0.35">
      <c r="B31" s="228"/>
      <c r="C31" s="229"/>
      <c r="D31" s="229"/>
      <c r="E31" s="229"/>
      <c r="F31" s="229"/>
      <c r="G31" s="229"/>
      <c r="H31" s="229"/>
      <c r="I31" s="229"/>
      <c r="J31" s="229"/>
      <c r="K31" s="229"/>
      <c r="L31" s="230"/>
      <c r="M31" s="2"/>
      <c r="N31" s="236" t="s">
        <v>88</v>
      </c>
      <c r="O31" s="237"/>
      <c r="P31" s="153">
        <f>P28-P29-P30</f>
        <v>0</v>
      </c>
    </row>
    <row r="32" spans="1:19 16384:16384" ht="15" customHeight="1" x14ac:dyDescent="0.35">
      <c r="B32" s="228"/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8"/>
      <c r="C33" s="229"/>
      <c r="D33" s="229"/>
      <c r="E33" s="229"/>
      <c r="F33" s="229"/>
      <c r="G33" s="229"/>
      <c r="H33" s="229"/>
      <c r="I33" s="229"/>
      <c r="J33" s="229"/>
      <c r="K33" s="229"/>
      <c r="L33" s="230"/>
      <c r="M33" s="2"/>
      <c r="N33" s="238" t="s">
        <v>90</v>
      </c>
      <c r="O33" s="239"/>
      <c r="P33" s="153">
        <f>P31+P32</f>
        <v>0</v>
      </c>
    </row>
    <row r="34" spans="2:16" ht="15" customHeight="1" thickBot="1" x14ac:dyDescent="0.4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6" t="s">
        <v>92</v>
      </c>
      <c r="O35" s="217"/>
      <c r="P35" s="160">
        <f>P33+P34</f>
        <v>0</v>
      </c>
    </row>
    <row r="36" spans="2:16" ht="15" thickBot="1" x14ac:dyDescent="0.4">
      <c r="B36" s="161" t="s">
        <v>93</v>
      </c>
      <c r="C36" s="218"/>
      <c r="D36" s="218"/>
      <c r="E36" s="218"/>
      <c r="F36" s="218"/>
      <c r="G36" s="218"/>
      <c r="H36" s="218"/>
      <c r="I36" s="219"/>
      <c r="J36" s="220"/>
      <c r="K36" s="221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workbookViewId="0">
      <selection activeCell="H9" sqref="H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6" t="s">
        <v>45</v>
      </c>
      <c r="B2" s="196"/>
      <c r="C2" s="196"/>
    </row>
    <row r="3" spans="1:19 16383:16384" ht="15" customHeight="1" x14ac:dyDescent="0.35">
      <c r="A3" s="197" t="s">
        <v>46</v>
      </c>
      <c r="B3" s="197"/>
      <c r="C3" s="197"/>
      <c r="F3" s="70"/>
      <c r="G3" s="71"/>
      <c r="K3" s="198" t="s">
        <v>47</v>
      </c>
      <c r="L3" s="198"/>
      <c r="M3" s="198"/>
      <c r="N3" s="197">
        <v>10</v>
      </c>
      <c r="O3" s="197"/>
      <c r="P3" s="19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7" t="s">
        <v>94</v>
      </c>
      <c r="B4" s="197"/>
      <c r="C4" s="197"/>
      <c r="F4" s="70"/>
      <c r="G4" s="71"/>
      <c r="K4" s="198" t="s">
        <v>49</v>
      </c>
      <c r="L4" s="198"/>
      <c r="M4" s="198"/>
      <c r="N4" s="199">
        <f ca="1">TODAY()</f>
        <v>46184</v>
      </c>
      <c r="O4" s="199"/>
      <c r="P4" s="19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95</v>
      </c>
      <c r="B5" s="246"/>
      <c r="C5" s="246"/>
      <c r="F5" s="70"/>
      <c r="G5" s="71"/>
      <c r="K5" s="198" t="s">
        <v>51</v>
      </c>
      <c r="L5" s="198"/>
      <c r="M5" s="198"/>
      <c r="N5" s="199">
        <f ca="1">N4-1</f>
        <v>46183</v>
      </c>
      <c r="O5" s="197"/>
      <c r="P5" s="197"/>
      <c r="R5" s="70"/>
      <c r="S5" s="71"/>
    </row>
    <row r="6" spans="1:19 16383:16384" ht="15" customHeight="1" x14ac:dyDescent="0.35">
      <c r="A6" s="198" t="s">
        <v>100</v>
      </c>
      <c r="B6" s="198"/>
      <c r="C6" s="198"/>
      <c r="F6" s="70"/>
      <c r="G6" s="74"/>
      <c r="K6" s="198" t="s">
        <v>52</v>
      </c>
      <c r="L6" s="198"/>
      <c r="M6" s="198"/>
      <c r="N6" s="200" t="s">
        <v>103</v>
      </c>
      <c r="O6" s="200"/>
      <c r="P6" s="20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8"/>
      <c r="B7" s="198"/>
      <c r="C7" s="198"/>
      <c r="F7" s="70"/>
      <c r="G7" s="74"/>
      <c r="K7" s="198"/>
      <c r="L7" s="198"/>
      <c r="M7" s="198"/>
      <c r="N7" s="200"/>
      <c r="O7" s="200"/>
      <c r="P7" s="20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2"/>
      <c r="B8" s="202"/>
      <c r="C8" s="202"/>
      <c r="F8" s="70"/>
      <c r="G8" s="74"/>
      <c r="K8" s="198"/>
      <c r="L8" s="198"/>
      <c r="M8" s="198"/>
      <c r="N8" s="200"/>
      <c r="O8" s="200"/>
      <c r="P8" s="200"/>
      <c r="R8" s="70"/>
      <c r="S8" s="74"/>
    </row>
    <row r="9" spans="1:19 16383:16384" x14ac:dyDescent="0.35">
      <c r="A9" s="202"/>
      <c r="B9" s="202"/>
      <c r="C9" s="202"/>
      <c r="F9" s="70"/>
      <c r="G9" s="74"/>
      <c r="K9" s="198"/>
      <c r="L9" s="198"/>
      <c r="M9" s="198"/>
      <c r="N9" s="200"/>
      <c r="O9" s="200"/>
      <c r="P9" s="200"/>
      <c r="R9" s="70"/>
      <c r="S9" s="74"/>
      <c r="XFD9" t="s">
        <v>55</v>
      </c>
    </row>
    <row r="10" spans="1:19 16383:16384" x14ac:dyDescent="0.35">
      <c r="A10" s="203" t="s">
        <v>96</v>
      </c>
      <c r="B10" s="75" t="s">
        <v>101</v>
      </c>
      <c r="C10" s="75"/>
      <c r="F10" s="70"/>
      <c r="G10" s="71"/>
      <c r="K10" s="198" t="s">
        <v>56</v>
      </c>
      <c r="L10" s="198"/>
      <c r="M10" s="198"/>
      <c r="N10" s="197" t="s">
        <v>57</v>
      </c>
      <c r="O10" s="197"/>
      <c r="P10" s="197"/>
      <c r="R10" s="70"/>
      <c r="S10" s="71"/>
      <c r="XFD10" t="s">
        <v>58</v>
      </c>
    </row>
    <row r="11" spans="1:19 16383:16384" x14ac:dyDescent="0.35">
      <c r="A11" s="203"/>
      <c r="B11" s="76" t="s">
        <v>48</v>
      </c>
      <c r="C11" s="77" t="str">
        <f>IF($O34&gt;2.49%,"No","Yes")</f>
        <v>Yes</v>
      </c>
      <c r="F11" s="70"/>
      <c r="G11" s="71"/>
      <c r="K11" s="198" t="s">
        <v>59</v>
      </c>
      <c r="L11" s="198"/>
      <c r="M11" s="198"/>
      <c r="N11" s="197" t="s">
        <v>55</v>
      </c>
      <c r="O11" s="197"/>
      <c r="P11" s="197"/>
      <c r="R11" s="70"/>
      <c r="S11" s="71"/>
    </row>
    <row r="12" spans="1:19 16383:16384" ht="14.65" customHeight="1" x14ac:dyDescent="0.35">
      <c r="A12" s="203" t="s">
        <v>60</v>
      </c>
      <c r="B12" s="76" t="s">
        <v>54</v>
      </c>
      <c r="C12" s="77" t="str">
        <f>IF($O32&gt;21.99%,"No","Yes")</f>
        <v>No</v>
      </c>
      <c r="F12" s="70"/>
      <c r="G12" s="71"/>
      <c r="K12" s="198" t="s">
        <v>61</v>
      </c>
      <c r="L12" s="198"/>
      <c r="M12" s="198"/>
      <c r="N12" s="197"/>
      <c r="O12" s="197"/>
      <c r="P12" s="197"/>
      <c r="R12" s="70"/>
      <c r="S12" s="71"/>
      <c r="XFD12" t="s">
        <v>62</v>
      </c>
    </row>
    <row r="13" spans="1:19 16383:16384" ht="15" thickBot="1" x14ac:dyDescent="0.4">
      <c r="A13" s="240"/>
      <c r="B13" s="64" t="s">
        <v>101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10"/>
      <c r="C14" s="204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11"/>
      <c r="C15" s="20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2" t="s">
        <v>84</v>
      </c>
      <c r="B25" s="223"/>
      <c r="C25" s="224"/>
      <c r="D25" s="218"/>
      <c r="E25" s="218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5" t="s">
        <v>85</v>
      </c>
      <c r="C28" s="226"/>
      <c r="D28" s="226"/>
      <c r="E28" s="226"/>
      <c r="F28" s="226"/>
      <c r="G28" s="226"/>
      <c r="H28" s="226"/>
      <c r="I28" s="226"/>
      <c r="J28" s="226"/>
      <c r="K28" s="226"/>
      <c r="L28" s="227"/>
      <c r="N28" s="234" t="s">
        <v>86</v>
      </c>
      <c r="O28" s="235"/>
      <c r="P28" s="152">
        <f>I25</f>
        <v>0</v>
      </c>
    </row>
    <row r="29" spans="1:19 16384:16384" ht="15" customHeight="1" x14ac:dyDescent="0.35">
      <c r="B29" s="228"/>
      <c r="C29" s="229"/>
      <c r="D29" s="229"/>
      <c r="E29" s="229"/>
      <c r="F29" s="229"/>
      <c r="G29" s="229"/>
      <c r="H29" s="229"/>
      <c r="I29" s="229"/>
      <c r="J29" s="229"/>
      <c r="K29" s="229"/>
      <c r="L29" s="230"/>
      <c r="N29" s="236" t="s">
        <v>87</v>
      </c>
      <c r="O29" s="237"/>
      <c r="P29" s="153">
        <f>L25</f>
        <v>0</v>
      </c>
    </row>
    <row r="30" spans="1:19 16384:16384" ht="15" customHeight="1" x14ac:dyDescent="0.35">
      <c r="B30" s="228"/>
      <c r="C30" s="229"/>
      <c r="D30" s="229"/>
      <c r="E30" s="229"/>
      <c r="F30" s="229"/>
      <c r="G30" s="229"/>
      <c r="H30" s="229"/>
      <c r="I30" s="229"/>
      <c r="J30" s="229"/>
      <c r="K30" s="229"/>
      <c r="L30" s="230"/>
      <c r="N30" s="236" t="s">
        <v>4</v>
      </c>
      <c r="O30" s="237"/>
      <c r="P30" s="154">
        <f>K25</f>
        <v>0</v>
      </c>
    </row>
    <row r="31" spans="1:19 16384:16384" ht="15" customHeight="1" x14ac:dyDescent="0.35">
      <c r="B31" s="228"/>
      <c r="C31" s="229"/>
      <c r="D31" s="229"/>
      <c r="E31" s="229"/>
      <c r="F31" s="229"/>
      <c r="G31" s="229"/>
      <c r="H31" s="229"/>
      <c r="I31" s="229"/>
      <c r="J31" s="229"/>
      <c r="K31" s="229"/>
      <c r="L31" s="230"/>
      <c r="M31" s="2"/>
      <c r="N31" s="236" t="s">
        <v>88</v>
      </c>
      <c r="O31" s="237"/>
      <c r="P31" s="153">
        <f>P28-P29-P30</f>
        <v>0</v>
      </c>
    </row>
    <row r="32" spans="1:19 16384:16384" ht="15" customHeight="1" x14ac:dyDescent="0.35">
      <c r="B32" s="228"/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8"/>
      <c r="C33" s="229"/>
      <c r="D33" s="229"/>
      <c r="E33" s="229"/>
      <c r="F33" s="229"/>
      <c r="G33" s="229"/>
      <c r="H33" s="229"/>
      <c r="I33" s="229"/>
      <c r="J33" s="229"/>
      <c r="K33" s="229"/>
      <c r="L33" s="230"/>
      <c r="M33" s="2"/>
      <c r="N33" s="238" t="s">
        <v>90</v>
      </c>
      <c r="O33" s="239"/>
      <c r="P33" s="153">
        <f>P31+P32</f>
        <v>0</v>
      </c>
    </row>
    <row r="34" spans="2:16" ht="15" customHeight="1" thickBot="1" x14ac:dyDescent="0.4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6" t="s">
        <v>92</v>
      </c>
      <c r="O35" s="217"/>
      <c r="P35" s="160">
        <f>P33+P34</f>
        <v>0</v>
      </c>
    </row>
    <row r="36" spans="2:16" ht="15" thickBot="1" x14ac:dyDescent="0.4">
      <c r="B36" s="161" t="s">
        <v>93</v>
      </c>
      <c r="C36" s="218"/>
      <c r="D36" s="218"/>
      <c r="E36" s="218"/>
      <c r="F36" s="218"/>
      <c r="G36" s="218"/>
      <c r="H36" s="218"/>
      <c r="I36" s="219"/>
      <c r="J36" s="220"/>
      <c r="K36" s="221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Sheet2!$B$5:$B$10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Sheet2</vt:lpstr>
      <vt:lpstr>Cust. Price List</vt:lpstr>
      <vt:lpstr>Format</vt:lpstr>
      <vt:lpstr>abdullah traders</vt:lpstr>
      <vt:lpstr>top</vt:lpstr>
      <vt:lpstr>khan</vt:lpstr>
      <vt:lpstr>mrwa</vt:lpstr>
      <vt:lpstr>saad</vt:lpstr>
      <vt:lpstr>cant</vt:lpstr>
      <vt:lpstr>HRMN</vt:lpstr>
      <vt:lpstr>Ghani</vt:lpstr>
      <vt:lpstr>Mehaj</vt:lpstr>
      <vt:lpstr>Bravo</vt:lpstr>
      <vt:lpstr>786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2026-06-11T06:36:12Z</dcterms:modified>
</cp:coreProperties>
</file>