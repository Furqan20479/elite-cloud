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B441C547-0CF1-4317-9C0D-F332FA525BB3}" xr6:coauthVersionLast="45" xr6:coauthVersionMax="45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faisal Store" sheetId="16" r:id="rId4"/>
    <sheet name="fazal sweet" sheetId="17" r:id="rId5"/>
    <sheet name="tanver" sheetId="19" r:id="rId6"/>
    <sheet name="bhai bhai " sheetId="18" r:id="rId7"/>
    <sheet name="food" sheetId="21" r:id="rId8"/>
    <sheet name="shaheen " sheetId="22" r:id="rId9"/>
    <sheet name="bhai jan" sheetId="23" r:id="rId10"/>
    <sheet name="Ghani" sheetId="24" r:id="rId11"/>
    <sheet name="Mehaj" sheetId="25" r:id="rId12"/>
    <sheet name="Bravo" sheetId="26" r:id="rId13"/>
    <sheet name="786" sheetId="27" r:id="rId14"/>
  </sheets>
  <externalReferences>
    <externalReference r:id="rId15"/>
    <externalReference r:id="rId16"/>
  </externalReferences>
  <definedNames>
    <definedName name="_xlnm._FilterDatabase" localSheetId="1" hidden="1">'Cust. Price List'!$A$7:$Q$7</definedName>
    <definedName name="_xlnm._FilterDatabase" localSheetId="3" hidden="1">'faisal Store'!$K$3:$P$6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8" i="15" l="1"/>
  <c r="T19" i="15"/>
  <c r="T25" i="15" l="1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J25" i="15" l="1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7" i="15"/>
  <c r="T16" i="15"/>
  <c r="T15" i="15"/>
  <c r="T14" i="15"/>
  <c r="M17" i="27" l="1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C11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20" i="18" l="1"/>
  <c r="L20" i="18" s="1"/>
  <c r="I18" i="18"/>
  <c r="L18" i="18" s="1"/>
  <c r="M25" i="27"/>
  <c r="P24" i="27"/>
  <c r="P31" i="26"/>
  <c r="I16" i="24"/>
  <c r="I17" i="24"/>
  <c r="I18" i="24"/>
  <c r="K18" i="24" s="1"/>
  <c r="I19" i="24"/>
  <c r="I20" i="24"/>
  <c r="I21" i="24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K20" i="24"/>
  <c r="L20" i="24"/>
  <c r="L17" i="24"/>
  <c r="K17" i="24"/>
  <c r="L19" i="24"/>
  <c r="K19" i="24"/>
  <c r="L21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4" i="21"/>
  <c r="L21" i="21"/>
  <c r="K20" i="19"/>
  <c r="L20" i="19"/>
  <c r="K18" i="19"/>
  <c r="K24" i="19"/>
  <c r="L24" i="19"/>
  <c r="K22" i="19"/>
  <c r="L22" i="19"/>
  <c r="K17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6" i="17" l="1"/>
  <c r="K20" i="18"/>
  <c r="M20" i="18" s="1"/>
  <c r="N20" i="18" s="1"/>
  <c r="O20" i="18" s="1"/>
  <c r="L17" i="17"/>
  <c r="K16" i="23"/>
  <c r="L24" i="24"/>
  <c r="L25" i="24" s="1"/>
  <c r="P29" i="24" s="1"/>
  <c r="L18" i="24"/>
  <c r="L22" i="21"/>
  <c r="M22" i="21" s="1"/>
  <c r="N22" i="21" s="1"/>
  <c r="O22" i="21" s="1"/>
  <c r="L18" i="21"/>
  <c r="M18" i="21" s="1"/>
  <c r="N18" i="21" s="1"/>
  <c r="O18" i="21" s="1"/>
  <c r="K16" i="19"/>
  <c r="M16" i="19" s="1"/>
  <c r="N16" i="19" s="1"/>
  <c r="K22" i="17"/>
  <c r="M22" i="17" s="1"/>
  <c r="N22" i="17" s="1"/>
  <c r="O22" i="17" s="1"/>
  <c r="L19" i="2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K21" i="17"/>
  <c r="L22" i="24"/>
  <c r="M22" i="24" s="1"/>
  <c r="N22" i="24" s="1"/>
  <c r="O22" i="24" s="1"/>
  <c r="L21" i="23"/>
  <c r="L23" i="17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L25" i="23" s="1"/>
  <c r="P29" i="23" s="1"/>
  <c r="M16" i="23"/>
  <c r="L23" i="2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17" i="18"/>
  <c r="N17" i="18" s="1"/>
  <c r="O17" i="18" s="1"/>
  <c r="I25" i="18"/>
  <c r="P28" i="18" s="1"/>
  <c r="I25" i="17"/>
  <c r="P28" i="17" s="1"/>
  <c r="M20" i="17"/>
  <c r="M18" i="25"/>
  <c r="N18" i="25" s="1"/>
  <c r="O18" i="25" s="1"/>
  <c r="M19" i="25"/>
  <c r="M22" i="25"/>
  <c r="N22" i="25" s="1"/>
  <c r="O22" i="25" s="1"/>
  <c r="M20" i="25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3" i="21"/>
  <c r="N23" i="21" s="1"/>
  <c r="O23" i="21" s="1"/>
  <c r="P23" i="21" s="1"/>
  <c r="K16" i="21"/>
  <c r="M16" i="21" s="1"/>
  <c r="N16" i="21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L17" i="15" s="1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L23" i="15" s="1"/>
  <c r="I24" i="16"/>
  <c r="L24" i="16" s="1"/>
  <c r="M23" i="17"/>
  <c r="N23" i="17" s="1"/>
  <c r="O23" i="17" s="1"/>
  <c r="P23" i="17" s="1"/>
  <c r="M21" i="18"/>
  <c r="N21" i="18" s="1"/>
  <c r="O21" i="18" s="1"/>
  <c r="M18" i="19"/>
  <c r="M19" i="21"/>
  <c r="N19" i="21" s="1"/>
  <c r="O19" i="21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N20" i="25"/>
  <c r="O20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1" i="22"/>
  <c r="O21" i="22" s="1"/>
  <c r="P21" i="22" s="1"/>
  <c r="N24" i="22"/>
  <c r="O24" i="22" s="1"/>
  <c r="P24" i="22" s="1"/>
  <c r="N18" i="22"/>
  <c r="O18" i="22" s="1"/>
  <c r="L25" i="22"/>
  <c r="P29" i="22" s="1"/>
  <c r="M16" i="22"/>
  <c r="M21" i="21"/>
  <c r="N21" i="21" s="1"/>
  <c r="M17" i="19"/>
  <c r="N17" i="19" s="1"/>
  <c r="O17" i="19" s="1"/>
  <c r="M21" i="19"/>
  <c r="N23" i="19"/>
  <c r="O23" i="19" s="1"/>
  <c r="N18" i="19"/>
  <c r="O18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N20" i="17"/>
  <c r="O20" i="17" s="1"/>
  <c r="M16" i="17"/>
  <c r="L16" i="16"/>
  <c r="L16" i="15" s="1"/>
  <c r="I23" i="15"/>
  <c r="K25" i="19" l="1"/>
  <c r="P30" i="19" s="1"/>
  <c r="K25" i="17"/>
  <c r="P30" i="17" s="1"/>
  <c r="K25" i="21"/>
  <c r="P30" i="21" s="1"/>
  <c r="L24" i="15"/>
  <c r="K25" i="18"/>
  <c r="P30" i="18" s="1"/>
  <c r="P31" i="18" s="1"/>
  <c r="M16" i="18"/>
  <c r="L25" i="17"/>
  <c r="P29" i="17" s="1"/>
  <c r="P31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M16" i="15" s="1"/>
  <c r="L22" i="16"/>
  <c r="L22" i="15" s="1"/>
  <c r="M22" i="15" s="1"/>
  <c r="M22" i="23"/>
  <c r="N22" i="23" s="1"/>
  <c r="O22" i="23" s="1"/>
  <c r="M25" i="24"/>
  <c r="K20" i="15"/>
  <c r="K21" i="16"/>
  <c r="K21" i="15" s="1"/>
  <c r="M21" i="15" s="1"/>
  <c r="P16" i="26"/>
  <c r="P25" i="26" s="1"/>
  <c r="K25" i="23"/>
  <c r="P30" i="23" s="1"/>
  <c r="P31" i="23" s="1"/>
  <c r="L19" i="15"/>
  <c r="P34" i="26"/>
  <c r="P35" i="26" s="1"/>
  <c r="U24" i="15" s="1"/>
  <c r="P31" i="22"/>
  <c r="I25" i="16"/>
  <c r="P28" i="16" s="1"/>
  <c r="K17" i="16"/>
  <c r="K17" i="15" s="1"/>
  <c r="M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L25" i="16"/>
  <c r="P29" i="16" s="1"/>
  <c r="P21" i="17" l="1"/>
  <c r="M25" i="17"/>
  <c r="U18" i="15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<sst xmlns="http://schemas.openxmlformats.org/spreadsheetml/2006/main" count="935" uniqueCount="124">
  <si>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</si>
  <si>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</si>
  <si>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</si>
  <si>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</si>
  <si>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</si>
  <si>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</si>
  <si>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</si>
  <si>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</si>
  <si>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</si>
  <si>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</si>
  <si>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</si>
  <si>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</si>
  <si>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</si>
  <si>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</si>
  <si>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</si>
  <si>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</si>
  <si>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</si>
  <si>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</si>
  <si>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</si>
  <si>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</si>
  <si>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</si>
  <si>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</si>
  <si>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</si>
  <si>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</si>
  <si>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</si>
  <si>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</si>
  <si>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</si>
  <si>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</si>
  <si>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</si>
  <si>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</si>
  <si>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</si>
  <si>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</si>
  <si>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</si>
  <si>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</si>
  <si>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</si>
  <si>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</si>
  <si>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</si>
  <si>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</si>
  <si>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</si>
  <si>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</si>
  <si>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</si>
  <si>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</si>
  <si>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</si>
  <si>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</si>
  <si>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</si>
  <si>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</si>
  <si>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</si>
  <si>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</si>
  <si>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</si>
  <si>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</si>
  <si>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</si>
  <si>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</si>
  <si>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</si>
  <si>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</si>
  <si>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</si>
  <si>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</si>
  <si>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</si>
  <si>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</si>
  <si>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</si>
  <si>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</si>
  <si>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</si>
  <si>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</si>
  <si>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</si>
  <si>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</si>
  <si>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</si>
  <si>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</si>
  <si>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</si>
  <si>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</si>
  <si>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</si>
  <si>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</si>
  <si>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</si>
  <si>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</si>
  <si>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</si>
  <si>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</si>
  <si>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</si>
  <si>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</si>
  <si>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</si>
  <si>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</si>
  <si>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</si>
  <si>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</si>
  <si>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</si>
  <si>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</si>
  <si>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</si>
  <si>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</si>
  <si>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</si>
  <si>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</si>
  <si>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</si>
  <si>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</si>
  <si>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</si>
  <si>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</si>
  <si>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</si>
  <si>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</si>
  <si>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</si>
  <si>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</si>
  <si>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</si>
  <si>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</si>
  <si>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</si>
  <si>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</si>
  <si>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</si>
  <si>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Y Block DHA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</si>
  <si>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</si>
  <si>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</si>
  <si>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</si>
  <si>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</si>
  <si>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</si>
  <si>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</si>
  <si>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</si>
  <si>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</si>
  <si>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>Mubeen ahmad</t>
  </si>
  <si>
    <t xml:space="preserve">Customer Name : Faisal Store </t>
  </si>
  <si>
    <t>Address: Sharampura chowk</t>
  </si>
  <si>
    <t xml:space="preserve">Customer Name : Fazal Sweet </t>
  </si>
  <si>
    <t>Address: Dharampura Chowk</t>
  </si>
  <si>
    <t xml:space="preserve">Customer Name : Tanveer Store </t>
  </si>
  <si>
    <t xml:space="preserve">Address: Lala Book Depot Dharampura Chowk </t>
  </si>
  <si>
    <t>Customer Name : Bhai Bhai Medical Store</t>
  </si>
  <si>
    <t>0159676-4</t>
  </si>
  <si>
    <t>Customer Name : Food Rite</t>
  </si>
  <si>
    <t>Address: Iqbal Road</t>
  </si>
  <si>
    <t>4031762-5</t>
  </si>
  <si>
    <t>Customer Name :Shaheen Bakers</t>
  </si>
  <si>
    <t>Address: Sadar Bazar</t>
  </si>
  <si>
    <t>Customer Name : Bhai Jan Store</t>
  </si>
  <si>
    <t xml:space="preserve">Address: Bartan wala bazar Dharampura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</si>
</sst>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0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hai%20bhai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hai bhai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103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105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106</v>
      </c>
    </row>
    <row r="13" spans="1:2" x14ac:dyDescent="0.35">
      <c r="A13">
        <v>8</v>
      </c>
      <c r="B13" t="s">
        <v>107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E12" sqref="E1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0"/>
      <c r="B3" s="180"/>
      <c r="C3" s="180"/>
      <c r="D3" s="180"/>
      <c r="E3" s="180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</row>
    <row r="4" spans="1:29" x14ac:dyDescent="0.35">
      <c r="A4" s="182" t="s">
        <v>6</v>
      </c>
      <c r="B4" s="5" t="s">
        <v>7</v>
      </c>
      <c r="C4" s="5"/>
      <c r="D4" s="184" t="s">
        <v>8</v>
      </c>
      <c r="E4" s="186" t="s">
        <v>9</v>
      </c>
      <c r="F4" s="188" t="s">
        <v>3</v>
      </c>
      <c r="G4" s="188"/>
      <c r="H4" s="189" t="s">
        <v>10</v>
      </c>
      <c r="I4" s="189"/>
      <c r="J4" s="190" t="s">
        <v>11</v>
      </c>
      <c r="K4" s="191"/>
      <c r="L4" s="190" t="s">
        <v>12</v>
      </c>
      <c r="M4" s="191"/>
      <c r="N4" s="192" t="s">
        <v>13</v>
      </c>
      <c r="O4" s="192"/>
      <c r="P4" s="190" t="s">
        <v>4</v>
      </c>
      <c r="Q4" s="191"/>
      <c r="R4" s="190" t="s">
        <v>14</v>
      </c>
      <c r="S4" s="191"/>
      <c r="T4" s="193" t="s">
        <v>15</v>
      </c>
      <c r="U4" s="193"/>
      <c r="V4" s="194" t="s">
        <v>16</v>
      </c>
      <c r="W4" s="195"/>
      <c r="X4" s="194" t="s">
        <v>17</v>
      </c>
      <c r="Y4" s="195"/>
    </row>
    <row r="5" spans="1:29" ht="26.25" customHeight="1" thickBot="1" x14ac:dyDescent="0.4">
      <c r="A5" s="183"/>
      <c r="B5" s="7" t="s">
        <v>18</v>
      </c>
      <c r="C5" s="7" t="s">
        <v>8</v>
      </c>
      <c r="D5" s="185"/>
      <c r="E5" s="187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zoomScale="70" zoomScaleNormal="70" workbookViewId="0">
      <selection activeCell="T12" sqref="T12:U1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196" t="s">
        <v>45</v>
      </c>
      <c r="B2" s="196"/>
      <c r="C2" s="196"/>
    </row>
    <row r="3" spans="1:21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46177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1" t="s">
        <v>108</v>
      </c>
      <c r="B5" s="201"/>
      <c r="C5" s="201"/>
      <c r="F5" s="70"/>
      <c r="G5" s="71"/>
      <c r="K5" s="198" t="s">
        <v>51</v>
      </c>
      <c r="L5" s="198"/>
      <c r="M5" s="198"/>
      <c r="N5" s="199">
        <f ca="1">N4-1</f>
        <v>46176</v>
      </c>
      <c r="O5" s="197"/>
      <c r="P5" s="197"/>
      <c r="R5" s="70"/>
      <c r="S5" s="71"/>
    </row>
    <row r="6" spans="1:21 16383:16384" ht="15" customHeight="1" x14ac:dyDescent="0.35">
      <c r="A6" s="201"/>
      <c r="B6" s="201"/>
      <c r="C6" s="201"/>
      <c r="F6" s="70"/>
      <c r="G6" s="74"/>
      <c r="K6" s="198" t="s">
        <v>52</v>
      </c>
      <c r="L6" s="198"/>
      <c r="M6" s="198"/>
      <c r="N6" s="200" t="s">
        <v>42</v>
      </c>
      <c r="O6" s="200"/>
      <c r="P6" s="200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21 16383:16384" hidden="1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21 16383:16384" x14ac:dyDescent="0.35">
      <c r="A10" s="203"/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21 16383:16384" ht="15" thickBot="1" x14ac:dyDescent="0.4">
      <c r="A11" s="203"/>
      <c r="B11" s="76"/>
      <c r="C11" s="77"/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21 16383:16384" ht="14.65" customHeight="1" x14ac:dyDescent="0.35">
      <c r="A12" s="203"/>
      <c r="B12" s="76"/>
      <c r="C12" s="77"/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T12" s="212" t="s">
        <v>104</v>
      </c>
      <c r="U12" s="213"/>
      <c r="XFD12" t="s">
        <v>62</v>
      </c>
    </row>
    <row r="13" spans="1:21 16383:16384" ht="15" thickBot="1" x14ac:dyDescent="0.4">
      <c r="A13" s="240"/>
      <c r="J13" s="78"/>
      <c r="K13" s="78"/>
      <c r="L13" s="79">
        <v>0.05</v>
      </c>
      <c r="T13" s="214"/>
      <c r="U13" s="215"/>
      <c r="XFD13" t="s">
        <v>63</v>
      </c>
    </row>
    <row r="14" spans="1:21 16383:16384" ht="29.25" customHeight="1" x14ac:dyDescent="0.6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06" t="s">
        <v>68</v>
      </c>
      <c r="H14" s="207"/>
      <c r="I14" s="207" t="s">
        <v>69</v>
      </c>
      <c r="J14" s="207" t="s">
        <v>70</v>
      </c>
      <c r="K14" s="207"/>
      <c r="L14" s="209"/>
      <c r="M14" s="210" t="s">
        <v>71</v>
      </c>
      <c r="N14" s="83" t="s">
        <v>72</v>
      </c>
      <c r="O14" s="84" t="s">
        <v>73</v>
      </c>
      <c r="P14" s="85" t="s">
        <v>74</v>
      </c>
      <c r="T14" s="163" t="str">
        <f>+'faisal Store'!A5</f>
        <v xml:space="preserve">Customer Name : Faisal Store </v>
      </c>
      <c r="U14" s="164">
        <f>+'faisal Store'!P35</f>
        <v>5171.0276250000006</v>
      </c>
      <c r="XFD14" t="s">
        <v>75</v>
      </c>
    </row>
    <row r="15" spans="1:21 16383:16384" ht="29.25" customHeight="1" thickBot="1" x14ac:dyDescent="0.65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08"/>
      <c r="J15" s="171" t="s">
        <v>78</v>
      </c>
      <c r="K15" s="171" t="s">
        <v>79</v>
      </c>
      <c r="L15" s="174" t="s">
        <v>80</v>
      </c>
      <c r="M15" s="21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+'fazal sweet'!A5</f>
        <v xml:space="preserve">Customer Name : Fazal Sweet </v>
      </c>
      <c r="U15" s="164">
        <f>+'fazal sweet'!P35</f>
        <v>1795.4904090000002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 t="e">
        <f>+'faisal Store'!H16+'fazal sweet'!H16+'bhai bhai '!H16+tanver!H16+#REF!+food!H16+'shaheen '!H16+'bhai jan'!H16+Ghani!H16+Mehaj!H16+Bravo!H16+'786'!H16</f>
        <v>#REF!</v>
      </c>
      <c r="I16" s="1" t="e">
        <f>(G16*D16)*F16+H16*F16</f>
        <v>#REF!</v>
      </c>
      <c r="J16" s="172" t="e">
        <f>+'faisal Store'!J16+'fazal sweet'!J16+'bhai bhai '!J16+tanver!J16+#REF!+food!J16+'shaheen '!J16+'bhai jan'!J16+Ghani!J16+Mehaj!J16+Bravo!J16+'786'!J16</f>
        <v>#REF!</v>
      </c>
      <c r="K16" s="172" t="e">
        <f>+'faisal Store'!K16+'fazal sweet'!K16+'bhai bhai '!K16+tanver!K16+#REF!+food!K16+'shaheen '!K16+'bhai jan'!K16+Ghani!K16+Mehaj!K16</f>
        <v>#REF!</v>
      </c>
      <c r="L16" s="175" t="e">
        <f>+'faisal Store'!L16+'fazal sweet'!L16+'bhai bhai '!L16+tanver!L16+#REF!+food!L16+'shaheen '!L16+'bhai jan'!L16+Ghani!L16+Mehaj!L16</f>
        <v>#REF!</v>
      </c>
      <c r="M16" s="106" t="e">
        <f>I16-K16-L16</f>
        <v>#REF!</v>
      </c>
      <c r="N16" s="101" t="e">
        <f>+'faisal Store'!N16+'fazal sweet'!N16+'bhai bhai '!N16+tanver!N16+#REF!+food!N16+'shaheen '!N16+'bhai jan'!N16+Ghani!N16+Mehaj!N16</f>
        <v>#REF!</v>
      </c>
      <c r="O16" s="101" t="e">
        <f>+'faisal Store'!O16+'fazal sweet'!O16+'bhai bhai '!O16+tanver!O16+#REF!+food!O16+'shaheen '!O16+'bhai jan'!O16+Ghani!O16+Mehaj!O16</f>
        <v>#REF!</v>
      </c>
      <c r="P16" s="105" t="e">
        <f t="shared" ref="P16:P24" si="0">M16+N16+O16</f>
        <v>#REF!</v>
      </c>
      <c r="Q16" s="108"/>
      <c r="T16" s="163" t="str">
        <f>+'bhai bhai '!A5</f>
        <v>Customer Name : Bhai Bhai Medical Store</v>
      </c>
      <c r="U16" s="164">
        <f>+'bhai bhai '!P35</f>
        <v>1474.8982502399999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 t="e">
        <f>+'faisal Store'!H17+'fazal sweet'!H17+'bhai bhai '!H17+tanver!H17+#REF!+food!H17+'shaheen '!H17+'bhai jan'!H17+Ghani!H17+Mehaj!H17+Bravo!H17+'786'!H17</f>
        <v>#REF!</v>
      </c>
      <c r="I17" s="1" t="e">
        <f t="shared" ref="I17:I23" si="1">(G17*D17)*F17+H17*F17</f>
        <v>#REF!</v>
      </c>
      <c r="J17" s="172" t="e">
        <f>+'faisal Store'!J17+'fazal sweet'!J17+'bhai bhai '!J17+tanver!J17+#REF!+food!J17+'shaheen '!J17+'bhai jan'!J17+Ghani!J17+Mehaj!J17+Bravo!J17+'786'!J17</f>
        <v>#REF!</v>
      </c>
      <c r="K17" s="172" t="e">
        <f>+'faisal Store'!K17+'fazal sweet'!K17+'bhai bhai '!K17+tanver!K17+#REF!+food!K17+'shaheen '!K17+'bhai jan'!K17+Ghani!K17+Mehaj!K17</f>
        <v>#REF!</v>
      </c>
      <c r="L17" s="175" t="e">
        <f>+'faisal Store'!L17+'fazal sweet'!L17+'bhai bhai '!L17+tanver!L17+#REF!+food!L17+'shaheen '!L17+'bhai jan'!L17+Ghani!L17+Mehaj!L17</f>
        <v>#REF!</v>
      </c>
      <c r="M17" s="118" t="e">
        <f t="shared" ref="M17:M23" si="2">I17-K17-L17</f>
        <v>#REF!</v>
      </c>
      <c r="N17" s="101" t="e">
        <f>+'faisal Store'!N17+'fazal sweet'!N17+'bhai bhai '!N17+tanver!N17+#REF!+food!N17+'shaheen '!N17+'bhai jan'!N17+Ghani!N17+Mehaj!N17</f>
        <v>#REF!</v>
      </c>
      <c r="O17" s="101" t="e">
        <f>+'faisal Store'!O17+'fazal sweet'!O17+'bhai bhai '!O17+tanver!O17+#REF!+food!O17+'shaheen '!O17+'bhai jan'!O17+Ghani!O17+Mehaj!O17</f>
        <v>#REF!</v>
      </c>
      <c r="P17" s="120" t="e">
        <f t="shared" si="0"/>
        <v>#REF!</v>
      </c>
      <c r="S17" s="64"/>
      <c r="T17" s="163" t="str">
        <f>+tanver!A5</f>
        <v xml:space="preserve">Customer Name : Tanveer Store </v>
      </c>
      <c r="U17" s="164">
        <f>+tanver!P35</f>
        <v>3082.9601910000001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 t="e">
        <f>+'faisal Store'!H18+'fazal sweet'!H18+'bhai bhai '!H18+tanver!H18+#REF!+food!H18+'shaheen '!H18+'bhai jan'!H18+Ghani!H18+Mehaj!H18+Bravo!H18+'786'!H18</f>
        <v>#REF!</v>
      </c>
      <c r="I18" s="1" t="e">
        <f t="shared" si="1"/>
        <v>#REF!</v>
      </c>
      <c r="J18" s="172" t="e">
        <f>+'faisal Store'!J18+'fazal sweet'!J18+'bhai bhai '!J18+tanver!J18+#REF!+food!J18+'shaheen '!J18+'bhai jan'!J18+Ghani!J18+Mehaj!J18+Bravo!J18+'786'!J18</f>
        <v>#REF!</v>
      </c>
      <c r="K18" s="172" t="e">
        <f>+'faisal Store'!K18+'fazal sweet'!K18+'bhai bhai '!K18+tanver!K18+#REF!+food!K18+'shaheen '!K18+'bhai jan'!K18+Ghani!K18+Mehaj!K18</f>
        <v>#REF!</v>
      </c>
      <c r="L18" s="175" t="e">
        <f>+'faisal Store'!L18+'fazal sweet'!L18+'bhai bhai '!L18+tanver!L18+#REF!+food!L18+'shaheen '!L18+'bhai jan'!L18+Ghani!L18+Mehaj!L18</f>
        <v>#REF!</v>
      </c>
      <c r="M18" s="118" t="e">
        <f t="shared" si="2"/>
        <v>#REF!</v>
      </c>
      <c r="N18" s="101" t="e">
        <f>+'faisal Store'!N18+'fazal sweet'!N18+'bhai bhai '!N18+tanver!N18+#REF!+food!N18+'shaheen '!N18+'bhai jan'!N18+Ghani!N18+Mehaj!N18</f>
        <v>#REF!</v>
      </c>
      <c r="O18" s="101" t="e">
        <f>+'faisal Store'!O18+'fazal sweet'!O18+'bhai bhai '!O18+tanver!O18+#REF!+food!O18+'shaheen '!O18+'bhai jan'!O18+Ghani!O18+Mehaj!O18</f>
        <v>#REF!</v>
      </c>
      <c r="P18" s="120" t="e">
        <f t="shared" si="0"/>
        <v>#REF!</v>
      </c>
      <c r="T18" s="163" t="e">
        <f>+'[2]bhai bhai'!A6</f>
        <v>#REF!</v>
      </c>
      <c r="U18" s="164" t="e">
        <f>+#REF!</f>
        <v>#REF!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 t="e">
        <f>+'faisal Store'!H19+'fazal sweet'!H19+'bhai bhai '!H19+tanver!H19+#REF!+food!H19+'shaheen '!H19+'bhai jan'!H19+Ghani!H19+Mehaj!H19+Bravo!H19+'786'!H19</f>
        <v>#REF!</v>
      </c>
      <c r="I19" s="1" t="e">
        <f t="shared" si="1"/>
        <v>#REF!</v>
      </c>
      <c r="J19" s="172" t="e">
        <f>+'faisal Store'!J19+'fazal sweet'!J19+'bhai bhai '!J19+tanver!J19+#REF!+food!J19+'shaheen '!J19+'bhai jan'!J19+Ghani!J19+Mehaj!J19+Bravo!J19+'786'!J19</f>
        <v>#REF!</v>
      </c>
      <c r="K19" s="172" t="e">
        <f>+'faisal Store'!K19+'fazal sweet'!K19+'bhai bhai '!K19+tanver!K19+#REF!+food!K19+'shaheen '!K19+'bhai jan'!K19+Ghani!K19+Mehaj!K19</f>
        <v>#REF!</v>
      </c>
      <c r="L19" s="175" t="e">
        <f>+'faisal Store'!L19+'fazal sweet'!L19+'bhai bhai '!L19+tanver!L19+#REF!+food!L19+'shaheen '!L19+'bhai jan'!L19+Ghani!L19+Mehaj!L19</f>
        <v>#REF!</v>
      </c>
      <c r="M19" s="118" t="e">
        <f t="shared" si="2"/>
        <v>#REF!</v>
      </c>
      <c r="N19" s="101" t="e">
        <f>+'faisal Store'!N19+'fazal sweet'!N19+'bhai bhai '!N19+tanver!N19+#REF!+food!N19+'shaheen '!N19+'bhai jan'!N19+Ghani!N19+Mehaj!N19</f>
        <v>#REF!</v>
      </c>
      <c r="O19" s="101" t="e">
        <f>+'faisal Store'!O19+'fazal sweet'!O19+'bhai bhai '!O19+tanver!O19+#REF!+food!O19+'shaheen '!O19+'bhai jan'!O19+Ghani!O19+Mehaj!O19</f>
        <v>#REF!</v>
      </c>
      <c r="P19" s="120" t="e">
        <f t="shared" si="0"/>
        <v>#REF!</v>
      </c>
      <c r="T19" s="163" t="str">
        <f>+food!A5</f>
        <v>Customer Name : Food Rite</v>
      </c>
      <c r="U19" s="164">
        <f>+food!P35</f>
        <v>2308.5031904999996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 t="e">
        <f>+'faisal Store'!H20+'fazal sweet'!H20+'bhai bhai '!H20+tanver!H20+#REF!+food!H20+'shaheen '!H20+'bhai jan'!H20+Ghani!H20+Mehaj!H20+Bravo!H20+'786'!H20</f>
        <v>#REF!</v>
      </c>
      <c r="I20" s="1" t="e">
        <f t="shared" si="1"/>
        <v>#REF!</v>
      </c>
      <c r="J20" s="172" t="e">
        <f>+'faisal Store'!J20+'fazal sweet'!J20+'bhai bhai '!J20+tanver!J20+#REF!+food!J20+'shaheen '!J20+'bhai jan'!J20+Ghani!J20+Mehaj!J20+Bravo!J20+'786'!J20</f>
        <v>#REF!</v>
      </c>
      <c r="K20" s="172" t="e">
        <f>+'faisal Store'!K20+'fazal sweet'!K20+'bhai bhai '!K20+tanver!K20+#REF!+food!K20+'shaheen '!K20+'bhai jan'!K20+Ghani!K20+Mehaj!K20</f>
        <v>#REF!</v>
      </c>
      <c r="L20" s="175" t="e">
        <f>+'faisal Store'!L20+'fazal sweet'!L20+'bhai bhai '!L20+tanver!L20+#REF!+food!L20+'shaheen '!L20+'bhai jan'!L20+Ghani!L20+Mehaj!L20</f>
        <v>#REF!</v>
      </c>
      <c r="M20" s="118" t="e">
        <f t="shared" si="2"/>
        <v>#REF!</v>
      </c>
      <c r="N20" s="101" t="e">
        <f>+'faisal Store'!N20+'fazal sweet'!N20+'bhai bhai '!N20+tanver!N20+#REF!+food!N20+'shaheen '!N20+'bhai jan'!N20+Ghani!N20+Mehaj!N20</f>
        <v>#REF!</v>
      </c>
      <c r="O20" s="101" t="e">
        <f>+'faisal Store'!O20+'fazal sweet'!O20+'bhai bhai '!O20+tanver!O20+#REF!+food!O20+'shaheen '!O20+'bhai jan'!O20+Ghani!O20+Mehaj!O20</f>
        <v>#REF!</v>
      </c>
      <c r="P20" s="120" t="e">
        <f t="shared" si="0"/>
        <v>#REF!</v>
      </c>
      <c r="T20" s="163" t="str">
        <f>+'shaheen '!A5</f>
        <v>Customer Name :Shaheen Bakers</v>
      </c>
      <c r="U20" s="164">
        <f>+'shaheen '!P35</f>
        <v>5070.1295250000003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 t="e">
        <f>+'faisal Store'!H21+'fazal sweet'!H21+'bhai bhai '!H21+tanver!H21+#REF!+food!H21+'shaheen '!H21+'bhai jan'!H21+Ghani!H21+Mehaj!H21+Bravo!H21+'786'!H21</f>
        <v>#REF!</v>
      </c>
      <c r="I21" s="1" t="e">
        <f t="shared" si="1"/>
        <v>#REF!</v>
      </c>
      <c r="J21" s="172" t="e">
        <f>+'faisal Store'!J21+'fazal sweet'!J21+'bhai bhai '!J21+tanver!J21+#REF!+food!J21+'shaheen '!J21+'bhai jan'!J21+Ghani!J21+Mehaj!J21+Bravo!J21+'786'!J21</f>
        <v>#REF!</v>
      </c>
      <c r="K21" s="172" t="e">
        <f>+'faisal Store'!K21+'fazal sweet'!K21+'bhai bhai '!K21+tanver!K21+#REF!+food!K21+'shaheen '!K21+'bhai jan'!K21+Ghani!K21+Mehaj!K21</f>
        <v>#REF!</v>
      </c>
      <c r="L21" s="175" t="e">
        <f>+'faisal Store'!L21+'fazal sweet'!L21+'bhai bhai '!L21+tanver!L21+#REF!+food!L21+'shaheen '!L21+'bhai jan'!L21+Ghani!L21+Mehaj!L21</f>
        <v>#REF!</v>
      </c>
      <c r="M21" s="118" t="e">
        <f t="shared" si="2"/>
        <v>#REF!</v>
      </c>
      <c r="N21" s="101" t="e">
        <f>+'faisal Store'!N21+'fazal sweet'!N21+'bhai bhai '!N21+tanver!N21+#REF!+food!N21+'shaheen '!N21+'bhai jan'!N21+Ghani!N21+Mehaj!N21</f>
        <v>#REF!</v>
      </c>
      <c r="O21" s="101" t="e">
        <f>+'faisal Store'!O21+'fazal sweet'!O21+'bhai bhai '!O21+tanver!O21+#REF!+food!O21+'shaheen '!O21+'bhai jan'!O21+Ghani!O21+Mehaj!O21</f>
        <v>#REF!</v>
      </c>
      <c r="P21" s="120" t="e">
        <f t="shared" si="0"/>
        <v>#REF!</v>
      </c>
      <c r="T21" s="163" t="str">
        <f>+'bhai jan'!A5</f>
        <v>Customer Name : Bhai Jan Store</v>
      </c>
      <c r="U21" s="164">
        <f>+'bhai jan'!P35</f>
        <v>1795.4904090000002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 t="e">
        <f>+'faisal Store'!H22+'fazal sweet'!H22+'bhai bhai '!H22+tanver!H22+#REF!+food!H22+'shaheen '!H22+'bhai jan'!H22+Ghani!H22+Mehaj!H22+Bravo!H22+'786'!H22</f>
        <v>#REF!</v>
      </c>
      <c r="I22" s="1" t="e">
        <f t="shared" si="1"/>
        <v>#REF!</v>
      </c>
      <c r="J22" s="172" t="e">
        <f>+'faisal Store'!J22+'fazal sweet'!J22+'bhai bhai '!J22+tanver!J22+#REF!+food!J22+'shaheen '!J22+'bhai jan'!J22+Ghani!J22+Mehaj!J22+Bravo!J22+'786'!J22</f>
        <v>#REF!</v>
      </c>
      <c r="K22" s="172" t="e">
        <f>+'faisal Store'!K22+'fazal sweet'!K22+'bhai bhai '!K22+tanver!K22+#REF!+food!K22+'shaheen '!K22+'bhai jan'!K22+Ghani!K22+Mehaj!K22</f>
        <v>#REF!</v>
      </c>
      <c r="L22" s="175" t="e">
        <f>+'faisal Store'!L22+'fazal sweet'!L22+'bhai bhai '!L22+tanver!L22+#REF!+food!L22+'shaheen '!L22+'bhai jan'!L22+Ghani!L22+Mehaj!L22</f>
        <v>#REF!</v>
      </c>
      <c r="M22" s="118" t="e">
        <f t="shared" si="2"/>
        <v>#REF!</v>
      </c>
      <c r="N22" s="101" t="e">
        <f>+'faisal Store'!N22+'fazal sweet'!N22+'bhai bhai '!N22+tanver!N22+#REF!+food!N22+'shaheen '!N22+'bhai jan'!N22+Ghani!N22+Mehaj!N22</f>
        <v>#REF!</v>
      </c>
      <c r="O22" s="101" t="e">
        <f>+'faisal Store'!O22+'fazal sweet'!O22+'bhai bhai '!O22+tanver!O22+#REF!+food!O22+'shaheen '!O22+'bhai jan'!O22+Ghani!O22+Mehaj!O22</f>
        <v>#REF!</v>
      </c>
      <c r="P22" s="120" t="e">
        <f t="shared" si="0"/>
        <v>#REF!</v>
      </c>
      <c r="T22" s="163" t="str">
        <f>+Ghani!A5</f>
        <v xml:space="preserve">Customer Name : </v>
      </c>
      <c r="U22" s="164">
        <f>+Ghani!P35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 t="e">
        <f>+'faisal Store'!H23+'fazal sweet'!H23+'bhai bhai '!H23+tanver!H23+#REF!+food!H23+'shaheen '!H23+'bhai jan'!H23+Ghani!H23+Mehaj!H23+Bravo!H23+'786'!H23</f>
        <v>#REF!</v>
      </c>
      <c r="I23" s="1" t="e">
        <f t="shared" si="1"/>
        <v>#REF!</v>
      </c>
      <c r="J23" s="172" t="e">
        <f>+'faisal Store'!J23+'fazal sweet'!J23+'bhai bhai '!J23+tanver!J23+#REF!+food!J23+'shaheen '!J23+'bhai jan'!J23+Ghani!J23+Mehaj!J23+Bravo!J23+'786'!J23</f>
        <v>#REF!</v>
      </c>
      <c r="K23" s="172" t="e">
        <f>+'faisal Store'!K23+'fazal sweet'!K23+'bhai bhai '!K23+tanver!K23+#REF!+food!K23+'shaheen '!K23+'bhai jan'!K23+Ghani!K23+Mehaj!K23</f>
        <v>#REF!</v>
      </c>
      <c r="L23" s="175" t="e">
        <f>+'faisal Store'!L23+'fazal sweet'!L23+'bhai bhai '!L23+tanver!L23+#REF!+food!L23+'shaheen '!L23+'bhai jan'!L23+Ghani!L23+Mehaj!L23</f>
        <v>#REF!</v>
      </c>
      <c r="M23" s="118" t="e">
        <f t="shared" si="2"/>
        <v>#REF!</v>
      </c>
      <c r="N23" s="101" t="e">
        <f>+'faisal Store'!N23+'fazal sweet'!N23+'bhai bhai '!N23+tanver!N23+#REF!+food!N23+'shaheen '!N23+'bhai jan'!N23+Ghani!N23+Mehaj!N23</f>
        <v>#REF!</v>
      </c>
      <c r="O23" s="101" t="e">
        <f>+'faisal Store'!O23+'fazal sweet'!O23+'bhai bhai '!O23+tanver!O23+#REF!+food!O23+'shaheen '!O23+'bhai jan'!O23+Ghani!O23+Mehaj!O23</f>
        <v>#REF!</v>
      </c>
      <c r="P23" s="120" t="e">
        <f t="shared" si="0"/>
        <v>#REF!</v>
      </c>
      <c r="T23" s="163" t="str">
        <f>+Mehaj!A5</f>
        <v xml:space="preserve">Customer Name : </v>
      </c>
      <c r="U23" s="164">
        <f>+Mehaj!P35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 t="e">
        <f>+'faisal Store'!H24+'fazal sweet'!H24+'bhai bhai '!H24+tanver!H24+#REF!+food!H24+'shaheen '!H24+'bhai jan'!H24+Ghani!H24+Mehaj!H24+Bravo!H24+'786'!H24</f>
        <v>#REF!</v>
      </c>
      <c r="I24" s="1" t="e">
        <f>(G24*D24)*F24+H24*F24</f>
        <v>#REF!</v>
      </c>
      <c r="J24" s="172" t="e">
        <f>+'faisal Store'!J24+'fazal sweet'!J24+'bhai bhai '!J24+tanver!J24+#REF!+food!J24+'shaheen '!J24+'bhai jan'!J24+Ghani!J24+Mehaj!J24+Bravo!J24+'786'!J24</f>
        <v>#REF!</v>
      </c>
      <c r="K24" s="172" t="e">
        <f>+'faisal Store'!K24+'fazal sweet'!K24+'bhai bhai '!K24+tanver!K24+#REF!+food!K24+'shaheen '!K24+'bhai jan'!K24+Ghani!K24+Mehaj!K24</f>
        <v>#REF!</v>
      </c>
      <c r="L24" s="175" t="e">
        <f>+'faisal Store'!L24+'fazal sweet'!L24+'bhai bhai '!L24+tanver!L24+#REF!+food!L24+'shaheen '!L24+'bhai jan'!L24+Ghani!L24+Mehaj!L24</f>
        <v>#REF!</v>
      </c>
      <c r="M24" s="133" t="e">
        <f>I24-K24-L24</f>
        <v>#REF!</v>
      </c>
      <c r="N24" s="101" t="e">
        <f>+'faisal Store'!N24+'fazal sweet'!N24+'bhai bhai '!N24+tanver!N24+#REF!+food!N24+'shaheen '!N24+'bhai jan'!N24+Ghani!N24+Mehaj!N24</f>
        <v>#REF!</v>
      </c>
      <c r="O24" s="101" t="e">
        <f>+'faisal Store'!O24+'fazal sweet'!O24+'bhai bhai '!O24+tanver!O24+#REF!+food!O24+'shaheen '!O24+'bhai jan'!O24+Ghani!O24+Mehaj!O24</f>
        <v>#REF!</v>
      </c>
      <c r="P24" s="132" t="e">
        <f t="shared" si="0"/>
        <v>#REF!</v>
      </c>
      <c r="T24" s="163" t="str">
        <f>+Bravo!A5</f>
        <v xml:space="preserve">Customer Name : </v>
      </c>
      <c r="U24" s="164">
        <f>+Bravo!P35</f>
        <v>0</v>
      </c>
    </row>
    <row r="25" spans="1:21 16384:16384" ht="26.5" thickBot="1" x14ac:dyDescent="0.65">
      <c r="A25" s="222" t="s">
        <v>84</v>
      </c>
      <c r="B25" s="223"/>
      <c r="C25" s="224"/>
      <c r="D25" s="218"/>
      <c r="E25" s="218"/>
      <c r="F25" s="218"/>
      <c r="G25" s="176">
        <f t="shared" ref="G25:M25" si="3">SUM(G16:G24)</f>
        <v>0</v>
      </c>
      <c r="H25" s="177" t="e">
        <f t="shared" si="3"/>
        <v>#REF!</v>
      </c>
      <c r="I25" s="178" t="e">
        <f t="shared" si="3"/>
        <v>#REF!</v>
      </c>
      <c r="J25" s="177" t="e">
        <f t="shared" si="3"/>
        <v>#REF!</v>
      </c>
      <c r="K25" s="178" t="e">
        <f t="shared" si="3"/>
        <v>#REF!</v>
      </c>
      <c r="L25" s="179" t="e">
        <f t="shared" si="3"/>
        <v>#REF!</v>
      </c>
      <c r="M25" s="141" t="e">
        <f t="shared" si="3"/>
        <v>#REF!</v>
      </c>
      <c r="N25" s="142" t="e">
        <f>SUM(N16:N24)</f>
        <v>#REF!</v>
      </c>
      <c r="O25" s="143" t="e">
        <f>SUM(O16:O24)</f>
        <v>#REF!</v>
      </c>
      <c r="P25" s="144" t="e">
        <f>SUM(P16:P24)</f>
        <v>#REF!</v>
      </c>
      <c r="T25" s="163" t="str">
        <f>+'786'!A5</f>
        <v xml:space="preserve">Customer Name : </v>
      </c>
      <c r="U25" s="164">
        <f>+'786'!P35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 t="e">
        <f>SUM(U14:U25)</f>
        <v>#REF!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 t="e">
        <f>I25</f>
        <v>#REF!</v>
      </c>
    </row>
    <row r="29" spans="1:21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 t="e">
        <f>L25</f>
        <v>#REF!</v>
      </c>
    </row>
    <row r="30" spans="1:21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 t="e">
        <f>K25</f>
        <v>#REF!</v>
      </c>
    </row>
    <row r="31" spans="1:21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 t="e">
        <f>P28-P29-P30</f>
        <v>#REF!</v>
      </c>
    </row>
    <row r="32" spans="1:21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 t="e">
        <f>N25</f>
        <v>#REF!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 t="e">
        <f>P31+P32</f>
        <v>#REF!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 t="e">
        <f>O34*P33</f>
        <v>#REF!</v>
      </c>
    </row>
    <row r="35" spans="2:16" ht="15.75" customHeight="1" thickBot="1" x14ac:dyDescent="0.4">
      <c r="N35" s="216" t="s">
        <v>92</v>
      </c>
      <c r="O35" s="217"/>
      <c r="P35" s="160" t="e">
        <f>P33+P34</f>
        <v>#REF!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46177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109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46176</v>
      </c>
      <c r="O5" s="197"/>
      <c r="P5" s="197"/>
      <c r="R5" s="70"/>
      <c r="S5" s="71"/>
    </row>
    <row r="6" spans="1:19 16383:16384" ht="15" customHeight="1" x14ac:dyDescent="0.35">
      <c r="A6" s="198" t="s">
        <v>110</v>
      </c>
      <c r="B6" s="198"/>
      <c r="C6" s="198"/>
      <c r="F6" s="70"/>
      <c r="G6" s="74"/>
      <c r="K6" s="198" t="s">
        <v>52</v>
      </c>
      <c r="L6" s="198"/>
      <c r="M6" s="198"/>
      <c r="N6" s="200" t="s">
        <v>105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>
        <v>1</v>
      </c>
      <c r="K19" s="1">
        <f t="shared" si="4"/>
        <v>0</v>
      </c>
      <c r="L19" s="105">
        <f t="shared" si="5"/>
        <v>116.224</v>
      </c>
      <c r="M19" s="118">
        <f t="shared" si="6"/>
        <v>1336.576</v>
      </c>
      <c r="N19" s="118">
        <f t="shared" si="0"/>
        <v>310.02751999999998</v>
      </c>
      <c r="O19" s="119">
        <f t="shared" si="1"/>
        <v>41.165088000000004</v>
      </c>
      <c r="P19" s="120">
        <f t="shared" si="2"/>
        <v>1687.7686080000001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>
        <v>1</v>
      </c>
      <c r="K21" s="1">
        <f t="shared" si="4"/>
        <v>0</v>
      </c>
      <c r="L21" s="105">
        <f t="shared" si="5"/>
        <v>116.224</v>
      </c>
      <c r="M21" s="118">
        <f t="shared" si="6"/>
        <v>1336.576</v>
      </c>
      <c r="N21" s="118">
        <f t="shared" si="0"/>
        <v>310.02751999999998</v>
      </c>
      <c r="O21" s="119">
        <f t="shared" si="1"/>
        <v>41.165088000000004</v>
      </c>
      <c r="P21" s="120">
        <f t="shared" si="2"/>
        <v>1687.7686080000001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>
        <v>1</v>
      </c>
      <c r="H22" s="115"/>
      <c r="I22" s="116">
        <f t="shared" si="3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6"/>
        <v>1435.8180000000002</v>
      </c>
      <c r="N22" s="118">
        <f t="shared" si="0"/>
        <v>315.87996000000004</v>
      </c>
      <c r="O22" s="119">
        <f t="shared" si="1"/>
        <v>43.792449000000005</v>
      </c>
      <c r="P22" s="120">
        <f t="shared" si="2"/>
        <v>1795.4904090000002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1</v>
      </c>
      <c r="H25" s="136">
        <f t="shared" si="9"/>
        <v>40</v>
      </c>
      <c r="I25" s="137">
        <f t="shared" si="9"/>
        <v>4474.8</v>
      </c>
      <c r="J25" s="138"/>
      <c r="K25" s="139">
        <f t="shared" si="9"/>
        <v>54.922000000000011</v>
      </c>
      <c r="L25" s="140">
        <f t="shared" si="9"/>
        <v>310.90800000000002</v>
      </c>
      <c r="M25" s="141">
        <f t="shared" si="9"/>
        <v>4108.97</v>
      </c>
      <c r="N25" s="142">
        <f>SUM(N16:N24)</f>
        <v>935.93499999999995</v>
      </c>
      <c r="O25" s="143">
        <f>SUM(O16:O24)</f>
        <v>126.12262500000001</v>
      </c>
      <c r="P25" s="144">
        <f>SUM(P16:P24)</f>
        <v>5171.0276250000006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4474.8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310.90800000000002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54.922000000000011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4108.97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935.93499999999995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5044.9050000000007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126.12262500000003</v>
      </c>
    </row>
    <row r="35" spans="2:16" ht="15.75" customHeight="1" thickBot="1" x14ac:dyDescent="0.4">
      <c r="N35" s="216" t="s">
        <v>92</v>
      </c>
      <c r="O35" s="217"/>
      <c r="P35" s="160">
        <f>P33+P34</f>
        <v>5171.0276250000006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Sheet2!$B$6:$B$21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2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46177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111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46176</v>
      </c>
      <c r="O5" s="197"/>
      <c r="P5" s="197"/>
      <c r="R5" s="70"/>
      <c r="S5" s="71"/>
    </row>
    <row r="6" spans="1:19 16383:16384" ht="15" customHeight="1" x14ac:dyDescent="0.35">
      <c r="A6" s="198" t="s">
        <v>112</v>
      </c>
      <c r="B6" s="198"/>
      <c r="C6" s="198"/>
      <c r="F6" s="70"/>
      <c r="G6" s="74"/>
      <c r="K6" s="198" t="s">
        <v>52</v>
      </c>
      <c r="L6" s="198"/>
      <c r="M6" s="198"/>
      <c r="N6" s="200" t="s">
        <v>105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>
        <v>1</v>
      </c>
      <c r="H22" s="115"/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1</v>
      </c>
      <c r="H25" s="136">
        <f t="shared" si="9"/>
        <v>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1569.2000000000003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78.460000000000022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54.922000000000011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1435.8180000000002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1751.6979600000002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16" t="s">
        <v>92</v>
      </c>
      <c r="O35" s="217"/>
      <c r="P35" s="160">
        <f>P33+P34</f>
        <v>1795.4904090000002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4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46177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113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46176</v>
      </c>
      <c r="O5" s="197"/>
      <c r="P5" s="197"/>
      <c r="R5" s="70"/>
      <c r="S5" s="71"/>
    </row>
    <row r="6" spans="1:19 16383:16384" ht="15" customHeight="1" x14ac:dyDescent="0.35">
      <c r="A6" s="198" t="s">
        <v>114</v>
      </c>
      <c r="B6" s="198"/>
      <c r="C6" s="198"/>
      <c r="F6" s="70"/>
      <c r="G6" s="74"/>
      <c r="K6" s="198" t="s">
        <v>52</v>
      </c>
      <c r="L6" s="198"/>
      <c r="M6" s="198"/>
      <c r="N6" s="200" t="s">
        <v>105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169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">
        <f t="shared" si="3"/>
        <v>0</v>
      </c>
      <c r="L19" s="105">
        <f t="shared" si="4"/>
        <v>69.734400000000008</v>
      </c>
      <c r="M19" s="118">
        <f t="shared" si="5"/>
        <v>801.94560000000001</v>
      </c>
      <c r="N19" s="118">
        <f t="shared" si="0"/>
        <v>176.428032</v>
      </c>
      <c r="O19" s="119">
        <f t="shared" si="6"/>
        <v>24.459340800000003</v>
      </c>
      <c r="P19" s="120">
        <f t="shared" si="1"/>
        <v>1002.8329728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176.428032</v>
      </c>
      <c r="O21" s="119">
        <f t="shared" si="6"/>
        <v>24.459340800000003</v>
      </c>
      <c r="P21" s="120">
        <f t="shared" si="1"/>
        <v>1002.8329728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">
        <f>I22*3.5%</f>
        <v>32.95320000000001</v>
      </c>
      <c r="L22" s="120">
        <f>I22*5%</f>
        <v>47.076000000000008</v>
      </c>
      <c r="M22" s="118">
        <f t="shared" si="5"/>
        <v>861.49080000000004</v>
      </c>
      <c r="N22" s="118">
        <f t="shared" si="0"/>
        <v>189.527976</v>
      </c>
      <c r="O22" s="119">
        <f t="shared" si="6"/>
        <v>26.275469400000006</v>
      </c>
      <c r="P22" s="120">
        <f t="shared" si="1"/>
        <v>1077.2942454000001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48</v>
      </c>
      <c r="I25" s="137">
        <f t="shared" si="9"/>
        <v>2684.88</v>
      </c>
      <c r="J25" s="138"/>
      <c r="K25" s="139">
        <f t="shared" si="9"/>
        <v>32.95320000000001</v>
      </c>
      <c r="L25" s="140">
        <f t="shared" si="9"/>
        <v>186.54480000000001</v>
      </c>
      <c r="M25" s="141">
        <f t="shared" si="9"/>
        <v>2465.3820000000001</v>
      </c>
      <c r="N25" s="142">
        <f>SUM(N16:N24)</f>
        <v>542.38404000000003</v>
      </c>
      <c r="O25" s="143">
        <f>SUM(O16:O24)</f>
        <v>75.194151000000005</v>
      </c>
      <c r="P25" s="144">
        <f>SUM(P16:P24)</f>
        <v>3082.9601910000001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2684.88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186.54480000000001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32.95320000000001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2465.3820000000001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542.38404000000003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3007.76604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75.194151000000005</v>
      </c>
    </row>
    <row r="35" spans="2:16" ht="15.75" customHeight="1" thickBot="1" x14ac:dyDescent="0.4">
      <c r="N35" s="216" t="s">
        <v>92</v>
      </c>
      <c r="O35" s="217"/>
      <c r="P35" s="160">
        <f>P33+P34</f>
        <v>3082.9601910000001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3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46177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46176</v>
      </c>
      <c r="O5" s="197"/>
      <c r="P5" s="197"/>
      <c r="R5" s="70"/>
      <c r="S5" s="71"/>
    </row>
    <row r="6" spans="1:19 16383:16384" ht="15" customHeight="1" x14ac:dyDescent="0.35">
      <c r="A6" s="198" t="s">
        <v>112</v>
      </c>
      <c r="B6" s="198"/>
      <c r="C6" s="198"/>
      <c r="F6" s="70"/>
      <c r="G6" s="74"/>
      <c r="K6" s="198" t="s">
        <v>52</v>
      </c>
      <c r="L6" s="198"/>
      <c r="M6" s="198"/>
      <c r="N6" s="200" t="s">
        <v>105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116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39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">
        <f t="shared" si="3"/>
        <v>0</v>
      </c>
      <c r="L19" s="105">
        <f t="shared" si="4"/>
        <v>34.867200000000004</v>
      </c>
      <c r="M19" s="118">
        <f t="shared" si="5"/>
        <v>400.97280000000001</v>
      </c>
      <c r="N19" s="118">
        <f t="shared" si="0"/>
        <v>88.214016000000001</v>
      </c>
      <c r="O19" s="119">
        <f t="shared" si="6"/>
        <v>2.4459340800000002</v>
      </c>
      <c r="P19" s="120">
        <f t="shared" si="1"/>
        <v>491.63275007999999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">
        <f t="shared" si="3"/>
        <v>0</v>
      </c>
      <c r="L20" s="105">
        <f t="shared" si="4"/>
        <v>34.867200000000004</v>
      </c>
      <c r="M20" s="118">
        <f t="shared" si="5"/>
        <v>400.97280000000001</v>
      </c>
      <c r="N20" s="118">
        <f t="shared" si="0"/>
        <v>88.214016000000001</v>
      </c>
      <c r="O20" s="119">
        <f t="shared" si="6"/>
        <v>2.4459340800000002</v>
      </c>
      <c r="P20" s="120">
        <f t="shared" si="1"/>
        <v>491.63275007999999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2.4459340800000002</v>
      </c>
      <c r="P21" s="120">
        <f t="shared" si="1"/>
        <v>491.63275007999999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18</v>
      </c>
      <c r="I25" s="137">
        <f t="shared" si="9"/>
        <v>1307.52</v>
      </c>
      <c r="J25" s="138"/>
      <c r="K25" s="139">
        <f t="shared" si="9"/>
        <v>0</v>
      </c>
      <c r="L25" s="140">
        <f t="shared" si="9"/>
        <v>104.60160000000002</v>
      </c>
      <c r="M25" s="141">
        <f t="shared" si="9"/>
        <v>1202.9184</v>
      </c>
      <c r="N25" s="142">
        <f>SUM(N16:N24)</f>
        <v>264.64204799999999</v>
      </c>
      <c r="O25" s="143">
        <f>SUM(O16:O24)</f>
        <v>7.3378022400000003</v>
      </c>
      <c r="P25" s="144">
        <f>SUM(P16:P24)</f>
        <v>1474.8982502399999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1307.52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104.60160000000002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1202.9184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264.64204799999999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1467.560448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7.3378022400000003</v>
      </c>
    </row>
    <row r="35" spans="2:16" ht="15.75" customHeight="1" thickBot="1" x14ac:dyDescent="0.4">
      <c r="N35" s="216" t="s">
        <v>92</v>
      </c>
      <c r="O35" s="217"/>
      <c r="P35" s="160">
        <f>P33+P34</f>
        <v>1474.8982502399999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8" workbookViewId="0">
      <selection activeCell="C22" sqref="C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6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46177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117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46176</v>
      </c>
      <c r="O5" s="197"/>
      <c r="P5" s="197"/>
      <c r="R5" s="70"/>
      <c r="S5" s="71"/>
    </row>
    <row r="6" spans="1:19 16383:16384" ht="15" customHeight="1" x14ac:dyDescent="0.35">
      <c r="A6" s="198" t="s">
        <v>118</v>
      </c>
      <c r="B6" s="198"/>
      <c r="C6" s="198"/>
      <c r="F6" s="70"/>
      <c r="G6" s="74"/>
      <c r="K6" s="198" t="s">
        <v>52</v>
      </c>
      <c r="L6" s="198"/>
      <c r="M6" s="198"/>
      <c r="N6" s="200" t="s">
        <v>105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119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53</v>
      </c>
      <c r="C12" s="77" t="str">
        <f>IF($O32&gt;21.99%,"No","Yes")</f>
        <v>Yes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>
        <v>3520168333533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16</v>
      </c>
      <c r="I17" s="116">
        <f t="shared" ref="I17:I23" si="2">(G17*D17)*F17+H17*F17</f>
        <v>839.4</v>
      </c>
      <c r="J17" s="117">
        <v>1</v>
      </c>
      <c r="K17" s="1">
        <f t="shared" ref="K17:K21" si="3">I17*$K$13</f>
        <v>0</v>
      </c>
      <c r="L17" s="105">
        <f t="shared" ref="L17:L21" si="4">I17*8%</f>
        <v>67.152000000000001</v>
      </c>
      <c r="M17" s="118">
        <f t="shared" ref="M17:M23" si="5">I17-K17-L17</f>
        <v>772.24799999999993</v>
      </c>
      <c r="N17" s="118">
        <f t="shared" si="0"/>
        <v>148.44789</v>
      </c>
      <c r="O17" s="119">
        <f t="shared" ref="O17:O24" si="6">(N17+M17)*$O$15</f>
        <v>4.60347945</v>
      </c>
      <c r="P17" s="120">
        <f t="shared" si="1"/>
        <v>925.29936944999997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24</v>
      </c>
      <c r="I18" s="116">
        <f t="shared" si="2"/>
        <v>1259.0999999999999</v>
      </c>
      <c r="J18" s="117">
        <v>1</v>
      </c>
      <c r="K18" s="1">
        <f t="shared" si="3"/>
        <v>0</v>
      </c>
      <c r="L18" s="105">
        <f t="shared" si="4"/>
        <v>100.72799999999999</v>
      </c>
      <c r="M18" s="118">
        <f t="shared" si="5"/>
        <v>1158.3719999999998</v>
      </c>
      <c r="N18" s="118">
        <f t="shared" si="0"/>
        <v>217.95020999999997</v>
      </c>
      <c r="O18" s="119">
        <f t="shared" si="6"/>
        <v>6.8816110499999992</v>
      </c>
      <c r="P18" s="120">
        <f t="shared" si="1"/>
        <v>1383.2038210499998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366.3981</v>
      </c>
      <c r="O25" s="143">
        <f>SUM(O16:O24)</f>
        <v>11.485090499999998</v>
      </c>
      <c r="P25" s="144">
        <f>SUM(P16:P24)</f>
        <v>2308.5031904999996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2098.5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167.88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1930.62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0.18</v>
      </c>
      <c r="P32" s="153">
        <f>N25</f>
        <v>366.3981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2297.0180999999998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11.485090499999998</v>
      </c>
    </row>
    <row r="35" spans="2:16" ht="15.75" customHeight="1" thickBot="1" x14ac:dyDescent="0.4">
      <c r="N35" s="216" t="s">
        <v>92</v>
      </c>
      <c r="O35" s="217"/>
      <c r="P35" s="160">
        <f>P33+P34</f>
        <v>2308.5031904999996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7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46177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120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46176</v>
      </c>
      <c r="O5" s="197"/>
      <c r="P5" s="197"/>
      <c r="R5" s="70"/>
      <c r="S5" s="71"/>
    </row>
    <row r="6" spans="1:19 16383:16384" ht="15" customHeight="1" x14ac:dyDescent="0.35">
      <c r="A6" s="198" t="s">
        <v>121</v>
      </c>
      <c r="B6" s="198"/>
      <c r="C6" s="198"/>
      <c r="F6" s="70"/>
      <c r="G6" s="74"/>
      <c r="K6" s="198" t="s">
        <v>52</v>
      </c>
      <c r="L6" s="198"/>
      <c r="M6" s="198"/>
      <c r="N6" s="200" t="s">
        <v>105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169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2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252.49663999999999</v>
      </c>
      <c r="O20" s="119">
        <f t="shared" si="6"/>
        <v>6.2746431999999999</v>
      </c>
      <c r="P20" s="120">
        <f t="shared" si="1"/>
        <v>1261.2032831999998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6.1148351999999999</v>
      </c>
      <c r="P21" s="120">
        <f t="shared" si="1"/>
        <v>1229.0818752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>
        <v>1</v>
      </c>
      <c r="H22" s="115"/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1</v>
      </c>
      <c r="H25" s="136">
        <f t="shared" si="9"/>
        <v>40</v>
      </c>
      <c r="I25" s="137">
        <f t="shared" si="9"/>
        <v>4474.8</v>
      </c>
      <c r="J25" s="138"/>
      <c r="K25" s="139">
        <f t="shared" si="9"/>
        <v>54.922000000000011</v>
      </c>
      <c r="L25" s="140">
        <f t="shared" si="9"/>
        <v>310.90800000000002</v>
      </c>
      <c r="M25" s="141">
        <f t="shared" si="9"/>
        <v>4108.9699999999993</v>
      </c>
      <c r="N25" s="142">
        <f>SUM(N16:N24)</f>
        <v>935.93499999999995</v>
      </c>
      <c r="O25" s="143">
        <f>SUM(O16:O24)</f>
        <v>25.224525</v>
      </c>
      <c r="P25" s="144">
        <f>SUM(P16:P24)</f>
        <v>5070.1295250000003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4474.8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310.90800000000002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54.922000000000011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4108.97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935.93499999999995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5044.9050000000007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25.224525000000003</v>
      </c>
    </row>
    <row r="35" spans="2:16" ht="15.75" customHeight="1" thickBot="1" x14ac:dyDescent="0.4">
      <c r="N35" s="216" t="s">
        <v>92</v>
      </c>
      <c r="O35" s="217"/>
      <c r="P35" s="160">
        <f>P33+P34</f>
        <v>5070.1295250000003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G22" sqref="G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8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46177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122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46176</v>
      </c>
      <c r="O5" s="197"/>
      <c r="P5" s="197"/>
      <c r="R5" s="70"/>
      <c r="S5" s="71"/>
    </row>
    <row r="6" spans="1:19 16383:16384" ht="15" customHeight="1" x14ac:dyDescent="0.35">
      <c r="A6" s="198" t="s">
        <v>123</v>
      </c>
      <c r="B6" s="198"/>
      <c r="C6" s="198"/>
      <c r="F6" s="70"/>
      <c r="G6" s="74"/>
      <c r="K6" s="198" t="s">
        <v>52</v>
      </c>
      <c r="L6" s="198"/>
      <c r="M6" s="198"/>
      <c r="N6" s="200" t="s">
        <v>105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>
        <v>1</v>
      </c>
      <c r="H22" s="115"/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1</v>
      </c>
      <c r="H25" s="136">
        <f t="shared" si="9"/>
        <v>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1569.2000000000003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78.460000000000022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54.922000000000011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1435.8180000000002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1751.6979600000002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16" t="s">
        <v>92</v>
      </c>
      <c r="O35" s="217"/>
      <c r="P35" s="160">
        <f>P33+P34</f>
        <v>1795.4904090000002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9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46177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46176</v>
      </c>
      <c r="O5" s="197"/>
      <c r="P5" s="197"/>
      <c r="R5" s="70"/>
      <c r="S5" s="71"/>
    </row>
    <row r="6" spans="1:19 16383:16384" ht="15" customHeight="1" x14ac:dyDescent="0.35">
      <c r="A6" s="198" t="s">
        <v>97</v>
      </c>
      <c r="B6" s="198"/>
      <c r="C6" s="198"/>
      <c r="F6" s="70"/>
      <c r="G6" s="74"/>
      <c r="K6" s="198" t="s">
        <v>52</v>
      </c>
      <c r="L6" s="198"/>
      <c r="M6" s="198"/>
      <c r="N6" s="200" t="s">
        <v>102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167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46177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46176</v>
      </c>
      <c r="O5" s="197"/>
      <c r="P5" s="197"/>
      <c r="R5" s="70"/>
      <c r="S5" s="71"/>
    </row>
    <row r="6" spans="1:19 16383:16384" ht="15" customHeight="1" x14ac:dyDescent="0.35">
      <c r="A6" s="198" t="s">
        <v>99</v>
      </c>
      <c r="B6" s="198"/>
      <c r="C6" s="198"/>
      <c r="F6" s="70"/>
      <c r="G6" s="74"/>
      <c r="K6" s="198" t="s">
        <v>52</v>
      </c>
      <c r="L6" s="198"/>
      <c r="M6" s="198"/>
      <c r="N6" s="200" t="s">
        <v>102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46177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46176</v>
      </c>
      <c r="O5" s="197"/>
      <c r="P5" s="197"/>
      <c r="R5" s="70"/>
      <c r="S5" s="71"/>
    </row>
    <row r="6" spans="1:19 16383:16384" ht="15" customHeight="1" x14ac:dyDescent="0.35">
      <c r="A6" s="198" t="s">
        <v>97</v>
      </c>
      <c r="B6" s="198"/>
      <c r="C6" s="198"/>
      <c r="F6" s="70"/>
      <c r="G6" s="74"/>
      <c r="K6" s="198" t="s">
        <v>52</v>
      </c>
      <c r="L6" s="198"/>
      <c r="M6" s="198"/>
      <c r="N6" s="200" t="s">
        <v>102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/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50</v>
      </c>
      <c r="C11" s="77" t="str">
        <f>IF($O34&gt;2.49%,"No","Yes")</f>
        <v>No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H9" sqref="H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6" t="s">
        <v>45</v>
      </c>
      <c r="B2" s="196"/>
      <c r="C2" s="196"/>
    </row>
    <row r="3" spans="1:19 16383:16384" ht="15" customHeight="1" x14ac:dyDescent="0.35">
      <c r="A3" s="197" t="s">
        <v>46</v>
      </c>
      <c r="B3" s="197"/>
      <c r="C3" s="197"/>
      <c r="F3" s="70"/>
      <c r="G3" s="71"/>
      <c r="K3" s="198" t="s">
        <v>47</v>
      </c>
      <c r="L3" s="198"/>
      <c r="M3" s="198"/>
      <c r="N3" s="197">
        <v>10</v>
      </c>
      <c r="O3" s="197"/>
      <c r="P3" s="19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7" t="s">
        <v>94</v>
      </c>
      <c r="B4" s="197"/>
      <c r="C4" s="197"/>
      <c r="F4" s="70"/>
      <c r="G4" s="71"/>
      <c r="K4" s="198" t="s">
        <v>49</v>
      </c>
      <c r="L4" s="198"/>
      <c r="M4" s="198"/>
      <c r="N4" s="199">
        <f ca="1">TODAY()</f>
        <v>46177</v>
      </c>
      <c r="O4" s="199"/>
      <c r="P4" s="19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3" t="s">
        <v>95</v>
      </c>
      <c r="B5" s="243"/>
      <c r="C5" s="243"/>
      <c r="F5" s="70"/>
      <c r="G5" s="71"/>
      <c r="K5" s="198" t="s">
        <v>51</v>
      </c>
      <c r="L5" s="198"/>
      <c r="M5" s="198"/>
      <c r="N5" s="199">
        <f ca="1">N4-1</f>
        <v>46176</v>
      </c>
      <c r="O5" s="197"/>
      <c r="P5" s="197"/>
      <c r="R5" s="70"/>
      <c r="S5" s="71"/>
    </row>
    <row r="6" spans="1:19 16383:16384" ht="15" customHeight="1" x14ac:dyDescent="0.35">
      <c r="A6" s="198" t="s">
        <v>100</v>
      </c>
      <c r="B6" s="198"/>
      <c r="C6" s="198"/>
      <c r="F6" s="70"/>
      <c r="G6" s="74"/>
      <c r="K6" s="198" t="s">
        <v>52</v>
      </c>
      <c r="L6" s="198"/>
      <c r="M6" s="198"/>
      <c r="N6" s="200" t="s">
        <v>102</v>
      </c>
      <c r="O6" s="200"/>
      <c r="P6" s="20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198"/>
      <c r="B7" s="198"/>
      <c r="C7" s="198"/>
      <c r="F7" s="70"/>
      <c r="G7" s="74"/>
      <c r="K7" s="198"/>
      <c r="L7" s="198"/>
      <c r="M7" s="198"/>
      <c r="N7" s="200"/>
      <c r="O7" s="200"/>
      <c r="P7" s="20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2"/>
      <c r="B8" s="202"/>
      <c r="C8" s="202"/>
      <c r="F8" s="70"/>
      <c r="G8" s="74"/>
      <c r="K8" s="198"/>
      <c r="L8" s="198"/>
      <c r="M8" s="198"/>
      <c r="N8" s="200"/>
      <c r="O8" s="200"/>
      <c r="P8" s="200"/>
      <c r="R8" s="70"/>
      <c r="S8" s="74"/>
    </row>
    <row r="9" spans="1:19 16383:16384" x14ac:dyDescent="0.35">
      <c r="A9" s="202"/>
      <c r="B9" s="202"/>
      <c r="C9" s="202"/>
      <c r="F9" s="70"/>
      <c r="G9" s="74"/>
      <c r="K9" s="198"/>
      <c r="L9" s="198"/>
      <c r="M9" s="198"/>
      <c r="N9" s="200"/>
      <c r="O9" s="200"/>
      <c r="P9" s="200"/>
      <c r="R9" s="70"/>
      <c r="S9" s="74"/>
      <c r="XFD9" t="s">
        <v>55</v>
      </c>
    </row>
    <row r="10" spans="1:19 16383:16384" x14ac:dyDescent="0.35">
      <c r="A10" s="203" t="s">
        <v>96</v>
      </c>
      <c r="B10" s="75" t="s">
        <v>101</v>
      </c>
      <c r="C10" s="75"/>
      <c r="F10" s="70"/>
      <c r="G10" s="71"/>
      <c r="K10" s="198" t="s">
        <v>56</v>
      </c>
      <c r="L10" s="198"/>
      <c r="M10" s="198"/>
      <c r="N10" s="197" t="s">
        <v>57</v>
      </c>
      <c r="O10" s="197"/>
      <c r="P10" s="197"/>
      <c r="R10" s="70"/>
      <c r="S10" s="71"/>
      <c r="XFD10" t="s">
        <v>58</v>
      </c>
    </row>
    <row r="11" spans="1:19 16383:16384" x14ac:dyDescent="0.35">
      <c r="A11" s="203"/>
      <c r="B11" s="76" t="s">
        <v>48</v>
      </c>
      <c r="C11" s="77" t="str">
        <f>IF($O34&gt;2.49%,"No","Yes")</f>
        <v>Yes</v>
      </c>
      <c r="F11" s="70"/>
      <c r="G11" s="71"/>
      <c r="K11" s="198" t="s">
        <v>59</v>
      </c>
      <c r="L11" s="198"/>
      <c r="M11" s="198"/>
      <c r="N11" s="197" t="s">
        <v>55</v>
      </c>
      <c r="O11" s="197"/>
      <c r="P11" s="197"/>
      <c r="R11" s="70"/>
      <c r="S11" s="71"/>
    </row>
    <row r="12" spans="1:19 16383:16384" ht="14.65" customHeight="1" x14ac:dyDescent="0.35">
      <c r="A12" s="203" t="s">
        <v>60</v>
      </c>
      <c r="B12" s="76" t="s">
        <v>54</v>
      </c>
      <c r="C12" s="77" t="str">
        <f>IF($O32&gt;21.99%,"No","Yes")</f>
        <v>No</v>
      </c>
      <c r="F12" s="70"/>
      <c r="G12" s="71"/>
      <c r="K12" s="198" t="s">
        <v>61</v>
      </c>
      <c r="L12" s="198"/>
      <c r="M12" s="198"/>
      <c r="N12" s="197"/>
      <c r="O12" s="197"/>
      <c r="P12" s="197"/>
      <c r="R12" s="70"/>
      <c r="S12" s="71"/>
      <c r="XFD12" t="s">
        <v>62</v>
      </c>
    </row>
    <row r="13" spans="1:19 16383:16384" ht="15" thickBot="1" x14ac:dyDescent="0.4">
      <c r="A13" s="240"/>
      <c r="B13" s="64" t="s">
        <v>101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10"/>
      <c r="C14" s="204" t="s">
        <v>65</v>
      </c>
      <c r="D14" s="80" t="s">
        <v>2</v>
      </c>
      <c r="E14" s="81" t="s">
        <v>66</v>
      </c>
      <c r="F14" s="82" t="s">
        <v>67</v>
      </c>
      <c r="G14" s="244" t="s">
        <v>68</v>
      </c>
      <c r="H14" s="245"/>
      <c r="I14" s="246" t="s">
        <v>69</v>
      </c>
      <c r="J14" s="244" t="s">
        <v>70</v>
      </c>
      <c r="K14" s="248"/>
      <c r="L14" s="245"/>
      <c r="M14" s="24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11"/>
      <c r="C15" s="20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7"/>
      <c r="J15" s="88" t="s">
        <v>78</v>
      </c>
      <c r="K15" s="90" t="s">
        <v>79</v>
      </c>
      <c r="L15" s="91" t="s">
        <v>80</v>
      </c>
      <c r="M15" s="24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2" t="s">
        <v>84</v>
      </c>
      <c r="B25" s="223"/>
      <c r="C25" s="224"/>
      <c r="D25" s="218"/>
      <c r="E25" s="218"/>
      <c r="F25" s="24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5" t="s">
        <v>85</v>
      </c>
      <c r="C28" s="226"/>
      <c r="D28" s="226"/>
      <c r="E28" s="226"/>
      <c r="F28" s="226"/>
      <c r="G28" s="226"/>
      <c r="H28" s="226"/>
      <c r="I28" s="226"/>
      <c r="J28" s="226"/>
      <c r="K28" s="226"/>
      <c r="L28" s="227"/>
      <c r="N28" s="234" t="s">
        <v>86</v>
      </c>
      <c r="O28" s="235"/>
      <c r="P28" s="152">
        <f>I25</f>
        <v>0</v>
      </c>
    </row>
    <row r="29" spans="1:19 16384:16384" ht="15" customHeight="1" x14ac:dyDescent="0.35">
      <c r="B29" s="228"/>
      <c r="C29" s="229"/>
      <c r="D29" s="229"/>
      <c r="E29" s="229"/>
      <c r="F29" s="229"/>
      <c r="G29" s="229"/>
      <c r="H29" s="229"/>
      <c r="I29" s="229"/>
      <c r="J29" s="229"/>
      <c r="K29" s="229"/>
      <c r="L29" s="230"/>
      <c r="N29" s="236" t="s">
        <v>87</v>
      </c>
      <c r="O29" s="237"/>
      <c r="P29" s="153">
        <f>L25</f>
        <v>0</v>
      </c>
    </row>
    <row r="30" spans="1:19 16384:16384" ht="15" customHeight="1" x14ac:dyDescent="0.35">
      <c r="B30" s="228"/>
      <c r="C30" s="229"/>
      <c r="D30" s="229"/>
      <c r="E30" s="229"/>
      <c r="F30" s="229"/>
      <c r="G30" s="229"/>
      <c r="H30" s="229"/>
      <c r="I30" s="229"/>
      <c r="J30" s="229"/>
      <c r="K30" s="229"/>
      <c r="L30" s="230"/>
      <c r="N30" s="236" t="s">
        <v>4</v>
      </c>
      <c r="O30" s="237"/>
      <c r="P30" s="154">
        <f>K25</f>
        <v>0</v>
      </c>
    </row>
    <row r="31" spans="1:19 16384:16384" ht="15" customHeight="1" x14ac:dyDescent="0.35">
      <c r="B31" s="228"/>
      <c r="C31" s="229"/>
      <c r="D31" s="229"/>
      <c r="E31" s="229"/>
      <c r="F31" s="229"/>
      <c r="G31" s="229"/>
      <c r="H31" s="229"/>
      <c r="I31" s="229"/>
      <c r="J31" s="229"/>
      <c r="K31" s="229"/>
      <c r="L31" s="230"/>
      <c r="M31" s="2"/>
      <c r="N31" s="236" t="s">
        <v>88</v>
      </c>
      <c r="O31" s="237"/>
      <c r="P31" s="153">
        <f>P28-P29-P30</f>
        <v>0</v>
      </c>
    </row>
    <row r="32" spans="1:19 16384:16384" ht="15" customHeight="1" x14ac:dyDescent="0.35">
      <c r="B32" s="228"/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8"/>
      <c r="C33" s="229"/>
      <c r="D33" s="229"/>
      <c r="E33" s="229"/>
      <c r="F33" s="229"/>
      <c r="G33" s="229"/>
      <c r="H33" s="229"/>
      <c r="I33" s="229"/>
      <c r="J33" s="229"/>
      <c r="K33" s="229"/>
      <c r="L33" s="230"/>
      <c r="M33" s="2"/>
      <c r="N33" s="238" t="s">
        <v>90</v>
      </c>
      <c r="O33" s="239"/>
      <c r="P33" s="153">
        <f>P31+P32</f>
        <v>0</v>
      </c>
    </row>
    <row r="34" spans="2:16" ht="15" customHeight="1" thickBot="1" x14ac:dyDescent="0.4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6" t="s">
        <v>92</v>
      </c>
      <c r="O35" s="217"/>
      <c r="P35" s="160">
        <f>P33+P34</f>
        <v>0</v>
      </c>
    </row>
    <row r="36" spans="2:16" ht="15" thickBot="1" x14ac:dyDescent="0.4">
      <c r="B36" s="161" t="s">
        <v>93</v>
      </c>
      <c r="C36" s="218"/>
      <c r="D36" s="218"/>
      <c r="E36" s="218"/>
      <c r="F36" s="218"/>
      <c r="G36" s="218"/>
      <c r="H36" s="218"/>
      <c r="I36" s="219"/>
      <c r="J36" s="220"/>
      <c r="K36" s="22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Sheet2!$B$5:$B$10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Sheet2</vt:lpstr>
      <vt:lpstr>Cust. Price List</vt:lpstr>
      <vt:lpstr>Format</vt:lpstr>
      <vt:lpstr>faisal Store</vt:lpstr>
      <vt:lpstr>fazal sweet</vt:lpstr>
      <vt:lpstr>tanver</vt:lpstr>
      <vt:lpstr>bhai bhai </vt:lpstr>
      <vt:lpstr>food</vt:lpstr>
      <vt:lpstr>shaheen </vt:lpstr>
      <vt:lpstr>bhai jan</vt:lpstr>
      <vt:lpstr>Ghani</vt:lpstr>
      <vt:lpstr>Mehaj</vt:lpstr>
      <vt:lpstr>Bravo</vt:lpstr>
      <vt:lpstr>786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2026-06-04T12:43:22Z</dcterms:modified>
</cp:coreProperties>
</file>