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3B470B7-9016-4C94-85F2-798B5AA082F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Clinix" sheetId="16" r:id="rId4"/>
    <sheet name="al-fatah" sheetId="17" r:id="rId5"/>
    <sheet name="top" sheetId="19" r:id="rId6"/>
    <sheet name="khan" sheetId="18" r:id="rId7"/>
    <sheet name="mrwa" sheetId="20" r:id="rId8"/>
    <sheet name="saad" sheetId="21" r:id="rId9"/>
    <sheet name="cant" sheetId="22" r:id="rId10"/>
    <sheet name="HRMN" sheetId="23" r:id="rId11"/>
    <sheet name="Ghani" sheetId="24" r:id="rId12"/>
    <sheet name="Mehaj" sheetId="25" r:id="rId13"/>
    <sheet name="Bravo" sheetId="26" r:id="rId14"/>
    <sheet name="786" sheetId="27" r:id="rId15"/>
  </sheets>
  <externalReferences>
    <externalReference r:id="rId16"/>
  </externalReferences>
  <definedNames>
    <definedName name="_xlnm._FilterDatabase" localSheetId="3" hidden="1">Clinix!$K$3:$P$6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Q22" i="16" l="1"/>
  <c r="L17" i="17" l="1"/>
  <c r="L18" i="17"/>
  <c r="L19" i="17"/>
  <c r="L20" i="17"/>
  <c r="L21" i="17"/>
  <c r="L22" i="17"/>
  <c r="L23" i="17"/>
  <c r="L24" i="17"/>
  <c r="L16" i="17"/>
  <c r="R18" i="17"/>
  <c r="T25" i="15" l="1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J25" i="15" l="1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7" i="27" l="1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C11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20" i="18" l="1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K20" i="24"/>
  <c r="L20" i="24"/>
  <c r="L17" i="24"/>
  <c r="K17" i="24"/>
  <c r="L19" i="24"/>
  <c r="K19" i="24"/>
  <c r="L21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4" i="21"/>
  <c r="L21" i="21"/>
  <c r="K24" i="20"/>
  <c r="L24" i="20"/>
  <c r="K17" i="20"/>
  <c r="L17" i="20"/>
  <c r="L21" i="20"/>
  <c r="K21" i="20"/>
  <c r="K23" i="20"/>
  <c r="K20" i="19"/>
  <c r="L20" i="19"/>
  <c r="K18" i="19"/>
  <c r="L18" i="19"/>
  <c r="K24" i="19"/>
  <c r="L24" i="19"/>
  <c r="K22" i="19"/>
  <c r="L22" i="19"/>
  <c r="K17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8" l="1"/>
  <c r="M20" i="18" s="1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2" i="17"/>
  <c r="L19" i="21"/>
  <c r="K17" i="21"/>
  <c r="M17" i="21" s="1"/>
  <c r="N17" i="21" s="1"/>
  <c r="O17" i="21" s="1"/>
  <c r="P17" i="21" s="1"/>
  <c r="K18" i="23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1" i="23"/>
  <c r="M23" i="17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L25" i="23" s="1"/>
  <c r="P29" i="23" s="1"/>
  <c r="M16" i="23"/>
  <c r="L23" i="2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M21" i="20"/>
  <c r="N21" i="20" s="1"/>
  <c r="O21" i="20" s="1"/>
  <c r="M17" i="20"/>
  <c r="M17" i="18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23" i="21"/>
  <c r="N23" i="21" s="1"/>
  <c r="O23" i="21" s="1"/>
  <c r="P23" i="21" s="1"/>
  <c r="K16" i="21"/>
  <c r="M16" i="21" s="1"/>
  <c r="L22" i="20"/>
  <c r="L25" i="20" s="1"/>
  <c r="P29" i="20" s="1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L19" i="16" s="1"/>
  <c r="I20" i="16"/>
  <c r="I21" i="16"/>
  <c r="I22" i="16"/>
  <c r="I23" i="16"/>
  <c r="L23" i="16" s="1"/>
  <c r="L23" i="15" s="1"/>
  <c r="I24" i="16"/>
  <c r="L24" i="16" s="1"/>
  <c r="M21" i="18"/>
  <c r="N21" i="18" s="1"/>
  <c r="O21" i="18" s="1"/>
  <c r="M18" i="19"/>
  <c r="M24" i="20"/>
  <c r="N24" i="20" s="1"/>
  <c r="O24" i="20" s="1"/>
  <c r="M19" i="21"/>
  <c r="N19" i="21" s="1"/>
  <c r="O19" i="21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N20" i="25"/>
  <c r="O20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1" i="22"/>
  <c r="O21" i="22" s="1"/>
  <c r="P21" i="22" s="1"/>
  <c r="N24" i="22"/>
  <c r="O24" i="22" s="1"/>
  <c r="P24" i="22" s="1"/>
  <c r="N18" i="22"/>
  <c r="O18" i="22" s="1"/>
  <c r="L25" i="22"/>
  <c r="P29" i="22" s="1"/>
  <c r="M16" i="22"/>
  <c r="M21" i="21"/>
  <c r="N21" i="21" s="1"/>
  <c r="N18" i="21"/>
  <c r="O18" i="21" s="1"/>
  <c r="N16" i="21"/>
  <c r="M19" i="20"/>
  <c r="N19" i="20" s="1"/>
  <c r="O19" i="20" s="1"/>
  <c r="N23" i="20"/>
  <c r="O23" i="20" s="1"/>
  <c r="N17" i="20"/>
  <c r="O17" i="20" s="1"/>
  <c r="M16" i="19"/>
  <c r="M17" i="19"/>
  <c r="N17" i="19" s="1"/>
  <c r="O17" i="19" s="1"/>
  <c r="M21" i="19"/>
  <c r="N23" i="19"/>
  <c r="O23" i="19" s="1"/>
  <c r="N16" i="19"/>
  <c r="N18" i="19"/>
  <c r="O18" i="19" s="1"/>
  <c r="N24" i="19"/>
  <c r="O24" i="19" s="1"/>
  <c r="N20" i="19"/>
  <c r="O20" i="19" s="1"/>
  <c r="L25" i="19"/>
  <c r="P29" i="19" s="1"/>
  <c r="K25" i="19"/>
  <c r="P30" i="19" s="1"/>
  <c r="M19" i="18"/>
  <c r="N19" i="18" s="1"/>
  <c r="O19" i="18" s="1"/>
  <c r="N24" i="18"/>
  <c r="O24" i="18" s="1"/>
  <c r="N18" i="18"/>
  <c r="O18" i="18" s="1"/>
  <c r="N17" i="18"/>
  <c r="O17" i="18" s="1"/>
  <c r="N22" i="18"/>
  <c r="O22" i="18" s="1"/>
  <c r="N20" i="18"/>
  <c r="O20" i="18" s="1"/>
  <c r="M22" i="17"/>
  <c r="N22" i="17" s="1"/>
  <c r="O22" i="17" s="1"/>
  <c r="M16" i="17"/>
  <c r="N24" i="17"/>
  <c r="O24" i="17" s="1"/>
  <c r="I23" i="15"/>
  <c r="L21" i="16" l="1"/>
  <c r="L21" i="15" s="1"/>
  <c r="K20" i="16"/>
  <c r="L20" i="16"/>
  <c r="M20" i="16" s="1"/>
  <c r="N20" i="16" s="1"/>
  <c r="K16" i="16"/>
  <c r="L16" i="16"/>
  <c r="L16" i="15" s="1"/>
  <c r="L17" i="15"/>
  <c r="L17" i="16"/>
  <c r="L25" i="16" s="1"/>
  <c r="P29" i="16" s="1"/>
  <c r="K22" i="16"/>
  <c r="K22" i="15" s="1"/>
  <c r="L22" i="16"/>
  <c r="K18" i="16"/>
  <c r="K18" i="15" s="1"/>
  <c r="L18" i="16"/>
  <c r="L18" i="15" s="1"/>
  <c r="M18" i="15" s="1"/>
  <c r="K25" i="17"/>
  <c r="P30" i="17" s="1"/>
  <c r="K25" i="20"/>
  <c r="P30" i="20" s="1"/>
  <c r="P31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1" i="17"/>
  <c r="N21" i="17" s="1"/>
  <c r="O21" i="17" s="1"/>
  <c r="L25" i="21"/>
  <c r="P29" i="21" s="1"/>
  <c r="P31" i="21" s="1"/>
  <c r="K16" i="15"/>
  <c r="M16" i="15" s="1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P31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1" i="15" l="1"/>
  <c r="L20" i="15"/>
  <c r="M17" i="15"/>
  <c r="M24" i="15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20" i="16"/>
  <c r="P17" i="16"/>
  <c r="N21" i="15"/>
  <c r="P21" i="15" s="1"/>
  <c r="P18" i="16"/>
  <c r="P21" i="16"/>
  <c r="P22" i="16"/>
  <c r="P24" i="15"/>
  <c r="P18" i="15"/>
  <c r="P20" i="15"/>
  <c r="P17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<sst xmlns="http://schemas.openxmlformats.org/spreadsheetml/2006/main" count="1010" uniqueCount="126">
  <si>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</si>
  <si>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</si>
  <si>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</si>
  <si>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</si>
  <si>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</si>
  <si>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</si>
  <si>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</si>
  <si>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</si>
  <si>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</si>
  <si>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</si>
  <si>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</si>
  <si>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</si>
  <si>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</si>
  <si>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</si>
  <si>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</si>
  <si>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</si>
  <si>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</si>
  <si>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</si>
  <si>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</si>
  <si>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</si>
  <si>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</si>
  <si>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</si>
  <si>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</si>
  <si>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</si>
  <si>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</si>
  <si>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</si>
  <si>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</si>
  <si>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</si>
  <si>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</si>
  <si>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</si>
  <si>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</si>
  <si>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</si>
  <si>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</si>
  <si>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</si>
  <si>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</si>
  <si>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</si>
  <si>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</si>
  <si>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</si>
  <si>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</si>
  <si>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</si>
  <si>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</si>
  <si>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</si>
  <si>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</si>
  <si>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</si>
  <si>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</si>
  <si>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</si>
  <si>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</si>
  <si>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</si>
  <si>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</si>
  <si>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</si>
  <si>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</si>
  <si>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</si>
  <si>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</si>
  <si>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</si>
  <si>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</si>
  <si>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</si>
  <si>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</si>
  <si>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</si>
  <si>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</si>
  <si>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</si>
  <si>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</si>
  <si>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</si>
  <si>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</si>
  <si>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</si>
  <si>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</si>
  <si>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</si>
  <si>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</si>
  <si>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</si>
  <si>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</si>
  <si>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</si>
  <si>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</si>
  <si>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</si>
  <si>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</si>
  <si>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</si>
  <si>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</si>
  <si>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</si>
  <si>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</si>
  <si>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</si>
  <si>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</si>
  <si>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</si>
  <si>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</si>
  <si>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</si>
  <si>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</si>
  <si>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</si>
  <si>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</si>
  <si>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</si>
  <si>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</si>
  <si>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</si>
  <si>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</si>
  <si>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</si>
  <si>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</si>
  <si>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</si>
  <si>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</si>
  <si>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</si>
  <si>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</si>
  <si>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</si>
  <si>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</si>
  <si>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</si>
  <si>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</si>
  <si>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Y Block DHA</t>
  </si>
  <si>
    <t>Address: Nishat Colony</t>
  </si>
  <si>
    <t>8058676-4</t>
  </si>
  <si>
    <t>Address: CAVALRY GROUNG</t>
  </si>
  <si>
    <t>Furqan Ali</t>
  </si>
  <si>
    <t>Salman Butt</t>
  </si>
  <si>
    <t>Address: Near Askari-9</t>
  </si>
  <si>
    <t>Shop Bill Summary (Mobeen Ahmad)</t>
  </si>
  <si>
    <t>Mobeen Ahmad</t>
  </si>
  <si>
    <t>Address:  Tajbagh</t>
  </si>
  <si>
    <t>Customer Name : Khan Store</t>
  </si>
  <si>
    <t>Address: Tajbagh</t>
  </si>
  <si>
    <t>368496-8</t>
  </si>
  <si>
    <t>Customer Name : Top Bakers</t>
  </si>
  <si>
    <t>Customer Name : Marwa Mart</t>
  </si>
  <si>
    <t xml:space="preserve">Address: Tajbagh </t>
  </si>
  <si>
    <t>7919618-5</t>
  </si>
  <si>
    <t>Customer Name : Saad Mart</t>
  </si>
  <si>
    <t>200379-3</t>
  </si>
  <si>
    <t>Rana Bilal Tso</t>
  </si>
  <si>
    <t>Shakoor</t>
  </si>
  <si>
    <t>Customer Name : Clinix Central Warehouse</t>
  </si>
  <si>
    <t>Address: S-94-R 153,E, Main Multan Road Lahore</t>
  </si>
  <si>
    <t>0150979-9</t>
  </si>
  <si>
    <t>Customer Name : Al-Fatah Shoping Mall</t>
  </si>
  <si>
    <t>Address: Attari Darbaar</t>
  </si>
  <si>
    <t>4269497-3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</si>
</sst>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104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107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118</v>
      </c>
    </row>
    <row r="13" spans="1:2" x14ac:dyDescent="0.35">
      <c r="A13">
        <v>8</v>
      </c>
      <c r="B13" t="s">
        <v>119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E19" sqref="E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16" zoomScale="70" zoomScaleNormal="70" workbookViewId="0">
      <selection activeCell="V14" activeCellId="1" sqref="W6 V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8.5429687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119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106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+Clinix!A5</f>
        <v>Customer Name : Clinix Central Warehouse</v>
      </c>
      <c r="U14" s="164">
        <f>+Clinix!P35</f>
        <v>121290.64532640002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+'al-fatah'!A5</f>
        <v>Customer Name : Al-Fatah Shoping Mall</v>
      </c>
      <c r="U15" s="164">
        <f>+'al-fatah'!P35</f>
        <v>419118.833124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+Clinix!H16+'al-fatah'!H16+khan!H16+top!H16+mrwa!H16+saad!H16+cant!H16+HRMN!H16+Ghani!H16+Mehaj!H16+Bravo!H16+'786'!H16</f>
        <v>840</v>
      </c>
      <c r="I16" s="1">
        <f>(G16*D16)*F16+H16*F16</f>
        <v>44068.5</v>
      </c>
      <c r="J16" s="172">
        <f>+Clinix!J16+'al-fatah'!J16+khan!J16+top!J16+mrwa!J16+saad!J16+cant!J16+HRMN!J16+Ghani!J16+Mehaj!J16+Bravo!J16+'786'!J16</f>
        <v>0</v>
      </c>
      <c r="K16" s="172">
        <f>+Clinix!K16+'al-fatah'!K16+khan!K16+top!K16+mrwa!K16+saad!K16+cant!K16+HRMN!K16+Ghani!K16+Mehaj!K16</f>
        <v>0</v>
      </c>
      <c r="L16" s="175">
        <f>+Clinix!L16+'al-fatah'!L16+khan!L16+top!L16+mrwa!L16+saad!L16+cant!L16+HRMN!L16+Ghani!L16+Mehaj!L16</f>
        <v>7176.87</v>
      </c>
      <c r="M16" s="106">
        <f>I16-K16-L16</f>
        <v>36891.629999999997</v>
      </c>
      <c r="N16" s="101">
        <f>+Clinix!N16+'al-fatah'!N16+khan!N16+top!N16+mrwa!N16+saad!N16+cant!N16+HRMN!N16+Ghani!N16+Mehaj!N16</f>
        <v>6640.4933999999994</v>
      </c>
      <c r="O16" s="101">
        <f>+Clinix!O16+'al-fatah'!O16+khan!O16+top!O16+mrwa!O16+saad!O16+cant!O16+HRMN!O16+Ghani!O16+Mehaj!O16</f>
        <v>217.660617</v>
      </c>
      <c r="P16" s="105">
        <f t="shared" ref="P16:P24" si="0">M16+N16+O16</f>
        <v>43749.784016999998</v>
      </c>
      <c r="Q16" s="108"/>
      <c r="T16" s="163" t="str">
        <f>+khan!A5</f>
        <v>Customer Name : Khan Store</v>
      </c>
      <c r="U16" s="164">
        <f>+khan!P35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+Clinix!H17+'al-fatah'!H17+khan!H17+top!H17+mrwa!H17+saad!H17+cant!H17+HRMN!H17+Ghani!H17+Mehaj!H17+Bravo!H17+'786'!H17</f>
        <v>840</v>
      </c>
      <c r="I17" s="1">
        <f t="shared" ref="I17:I23" si="1">(G17*D17)*F17+H17*F17</f>
        <v>44068.5</v>
      </c>
      <c r="J17" s="172">
        <f>+Clinix!J17+'al-fatah'!J17+khan!J17+top!J17+mrwa!J17+saad!J17+cant!J17+HRMN!J17+Ghani!J17+Mehaj!J17+Bravo!J17+'786'!J17</f>
        <v>0</v>
      </c>
      <c r="K17" s="172">
        <f>+Clinix!K17+'al-fatah'!K17+khan!K17+top!K17+mrwa!K17+saad!K17+cant!K17+HRMN!K17+Ghani!K17+Mehaj!K17</f>
        <v>0</v>
      </c>
      <c r="L17" s="175">
        <f>+Clinix!L17+'al-fatah'!L17+khan!L17+top!L17+mrwa!L17+saad!L17+cant!L17+HRMN!L17+Ghani!L17+Mehaj!L17</f>
        <v>7176.87</v>
      </c>
      <c r="M17" s="118">
        <f t="shared" ref="M17:M23" si="2">I17-K17-L17</f>
        <v>36891.629999999997</v>
      </c>
      <c r="N17" s="101">
        <f>+Clinix!N17+'al-fatah'!N17+khan!N17+top!N17+mrwa!N17+saad!N17+cant!N17+HRMN!N17+Ghani!N17+Mehaj!N17</f>
        <v>6640.4933999999994</v>
      </c>
      <c r="O17" s="101">
        <f>+Clinix!O17+'al-fatah'!O17+khan!O17+top!O17+mrwa!O17+saad!O17+cant!O17+HRMN!O17+Ghani!O17+Mehaj!O17</f>
        <v>217.660617</v>
      </c>
      <c r="P17" s="120">
        <f t="shared" si="0"/>
        <v>43749.784016999998</v>
      </c>
      <c r="S17" s="64"/>
      <c r="T17" s="163" t="str">
        <f>+top!A5</f>
        <v>Customer Name : Top Bakers</v>
      </c>
      <c r="U17" s="164">
        <f>+top!P35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+Clinix!H18+'al-fatah'!H18+khan!H18+top!H18+mrwa!H18+saad!H18+cant!H18+HRMN!H18+Ghani!H18+Mehaj!H18+Bravo!H18+'786'!H18</f>
        <v>1440</v>
      </c>
      <c r="I18" s="1">
        <f t="shared" si="1"/>
        <v>75546</v>
      </c>
      <c r="J18" s="172">
        <f>+Clinix!J18+'al-fatah'!J18+khan!J18+top!J18+mrwa!J18+saad!J18+cant!J18+HRMN!J18+Ghani!J18+Mehaj!J18+Bravo!J18+'786'!J18</f>
        <v>0</v>
      </c>
      <c r="K18" s="172">
        <f>+Clinix!K18+'al-fatah'!K18+khan!K18+top!K18+mrwa!K18+saad!K18+cant!K18+HRMN!K18+Ghani!K18+Mehaj!K18</f>
        <v>0</v>
      </c>
      <c r="L18" s="175">
        <f>+Clinix!L18+'al-fatah'!L18+khan!L18+top!L18+mrwa!L18+saad!L18+cant!L18+HRMN!L18+Ghani!L18+Mehaj!L18</f>
        <v>12842.82</v>
      </c>
      <c r="M18" s="118">
        <f t="shared" si="2"/>
        <v>62703.18</v>
      </c>
      <c r="N18" s="101">
        <f>+Clinix!N18+'al-fatah'!N18+khan!N18+top!N18+mrwa!N18+saad!N18+cant!N18+HRMN!N18+Ghani!N18+Mehaj!N18</f>
        <v>11286.572399999999</v>
      </c>
      <c r="O18" s="101">
        <f>+Clinix!O18+'al-fatah'!O18+khan!O18+top!O18+mrwa!O18+saad!O18+cant!O18+HRMN!O18+Ghani!O18+Mehaj!O18</f>
        <v>369.94876200000004</v>
      </c>
      <c r="P18" s="120">
        <f t="shared" si="0"/>
        <v>74359.701161999998</v>
      </c>
      <c r="T18" s="163" t="str">
        <f>+mrwa!A5</f>
        <v>Customer Name : Marwa Mart</v>
      </c>
      <c r="U18" s="164">
        <f>+mrwa!P35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+Clinix!H19+'al-fatah'!H19+khan!H19+top!H19+mrwa!H19+saad!H19+cant!H19+HRMN!H19+Ghani!H19+Mehaj!H19+Bravo!H19+'786'!H19</f>
        <v>2040</v>
      </c>
      <c r="I19" s="1">
        <f t="shared" si="1"/>
        <v>148185.60000000001</v>
      </c>
      <c r="J19" s="172">
        <f>+Clinix!J19+'al-fatah'!J19+khan!J19+top!J19+mrwa!J19+saad!J19+cant!J19+HRMN!J19+Ghani!J19+Mehaj!J19+Bravo!J19+'786'!J19</f>
        <v>0</v>
      </c>
      <c r="K19" s="172">
        <f>+Clinix!K19+'al-fatah'!K19+khan!K19+top!K19+mrwa!K19+saad!K19+cant!K19+HRMN!K19+Ghani!K19+Mehaj!K19</f>
        <v>0</v>
      </c>
      <c r="L19" s="175">
        <f>+Clinix!L19+'al-fatah'!L19+khan!L19+top!L19+mrwa!L19+saad!L19+cant!L19+HRMN!L19+Ghani!L19+Mehaj!L19</f>
        <v>25627.392</v>
      </c>
      <c r="M19" s="118">
        <f t="shared" si="2"/>
        <v>122558.20800000001</v>
      </c>
      <c r="N19" s="101">
        <f>+Clinix!N19+'al-fatah'!N19+khan!N19+top!N19+mrwa!N19+saad!N19+cant!N19+HRMN!N19+Ghani!N19+Mehaj!N19</f>
        <v>22060.477439999999</v>
      </c>
      <c r="O19" s="101">
        <f>+Clinix!O19+'al-fatah'!O19+khan!O19+top!O19+mrwa!O19+saad!O19+cant!O19+HRMN!O19+Ghani!O19+Mehaj!O19</f>
        <v>723.09342719999995</v>
      </c>
      <c r="P19" s="120">
        <f t="shared" si="0"/>
        <v>145341.77886719999</v>
      </c>
      <c r="T19" s="163" t="str">
        <f>+saad!A5</f>
        <v>Customer Name : Saad Mart</v>
      </c>
      <c r="U19" s="164">
        <f>+saad!P35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+Clinix!H20+'al-fatah'!H20+khan!H20+top!H20+mrwa!H20+saad!H20+cant!H20+HRMN!H20+Ghani!H20+Mehaj!H20+Bravo!H20+'786'!H20</f>
        <v>1440</v>
      </c>
      <c r="I20" s="1">
        <f t="shared" si="1"/>
        <v>104601.60000000001</v>
      </c>
      <c r="J20" s="172">
        <f>+Clinix!J20+'al-fatah'!J20+khan!J20+top!J20+mrwa!J20+saad!J20+cant!J20+HRMN!J20+Ghani!J20+Mehaj!J20+Bravo!J20+'786'!J20</f>
        <v>0</v>
      </c>
      <c r="K20" s="172">
        <f>+Clinix!K20+'al-fatah'!K20+khan!K20+top!K20+mrwa!K20+saad!K20+cant!K20+HRMN!K20+Ghani!K20+Mehaj!K20</f>
        <v>0</v>
      </c>
      <c r="L20" s="175">
        <f>+Clinix!L20+'al-fatah'!L20+khan!L20+top!L20+mrwa!L20+saad!L20+cant!L20+HRMN!L20+Ghani!L20+Mehaj!L20</f>
        <v>17782.272000000001</v>
      </c>
      <c r="M20" s="118">
        <f t="shared" si="2"/>
        <v>86819.328000000009</v>
      </c>
      <c r="N20" s="101">
        <f>+Clinix!N20+'al-fatah'!N20+khan!N20+top!N20+mrwa!N20+saad!N20+cant!N20+HRMN!N20+Ghani!N20+Mehaj!N20</f>
        <v>15627.479039999998</v>
      </c>
      <c r="O20" s="101">
        <f>+Clinix!O20+'al-fatah'!O20+khan!O20+top!O20+mrwa!O20+saad!O20+cant!O20+HRMN!O20+Ghani!O20+Mehaj!O20</f>
        <v>512.23403519999999</v>
      </c>
      <c r="P20" s="120">
        <f t="shared" si="0"/>
        <v>102959.04107520002</v>
      </c>
      <c r="T20" s="163" t="str">
        <f>+cant!A5</f>
        <v xml:space="preserve">Customer Name : </v>
      </c>
      <c r="U20" s="164">
        <f>+cant!P35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+Clinix!H21+'al-fatah'!H21+khan!H21+top!H21+mrwa!H21+saad!H21+cant!H21+HRMN!H21+Ghani!H21+Mehaj!H21+Bravo!H21+'786'!H21</f>
        <v>1800</v>
      </c>
      <c r="I21" s="1">
        <f t="shared" si="1"/>
        <v>130752</v>
      </c>
      <c r="J21" s="172">
        <f>+Clinix!J21+'al-fatah'!J21+khan!J21+top!J21+mrwa!J21+saad!J21+cant!J21+HRMN!J21+Ghani!J21+Mehaj!J21+Bravo!J21+'786'!J21</f>
        <v>0</v>
      </c>
      <c r="K21" s="172">
        <f>+Clinix!K21+'al-fatah'!K21+khan!K21+top!K21+mrwa!K21+saad!K21+cant!K21+HRMN!K21+Ghani!K21+Mehaj!K21</f>
        <v>0</v>
      </c>
      <c r="L21" s="175">
        <f>+Clinix!L21+'al-fatah'!L21+khan!L21+top!L21+mrwa!L21+saad!L21+cant!L21+HRMN!L21+Ghani!L21+Mehaj!L21</f>
        <v>20920.32</v>
      </c>
      <c r="M21" s="118">
        <f t="shared" si="2"/>
        <v>109831.67999999999</v>
      </c>
      <c r="N21" s="101">
        <f>+Clinix!N21+'al-fatah'!N21+khan!N21+top!N21+mrwa!N21+saad!N21+cant!N21+HRMN!N21+Ghani!N21+Mehaj!N21</f>
        <v>19769.702399999998</v>
      </c>
      <c r="O21" s="101">
        <f>+Clinix!O21+'al-fatah'!O21+khan!O21+top!O21+mrwa!O21+saad!O21+cant!O21+HRMN!O21+Ghani!O21+Mehaj!O21</f>
        <v>648.00691199999994</v>
      </c>
      <c r="P21" s="120">
        <f t="shared" si="0"/>
        <v>130249.38931199998</v>
      </c>
      <c r="T21" s="163" t="str">
        <f>+HRMN!A5</f>
        <v xml:space="preserve">Customer Name : </v>
      </c>
      <c r="U21" s="164">
        <f>+HRMN!P35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+Clinix!H22+'al-fatah'!H22+khan!H22+top!H22+mrwa!H22+saad!H22+cant!H22+HRMN!H22+Ghani!H22+Mehaj!H22+Bravo!H22+'786'!H22</f>
        <v>0</v>
      </c>
      <c r="I22" s="1">
        <f t="shared" si="1"/>
        <v>0</v>
      </c>
      <c r="J22" s="172">
        <f>+Clinix!J22+'al-fatah'!J22+khan!J22+top!J22+mrwa!J22+saad!J22+cant!J22+HRMN!J22+Ghani!J22+Mehaj!J22+Bravo!J22+'786'!J22</f>
        <v>0</v>
      </c>
      <c r="K22" s="172">
        <f>+Clinix!K22+'al-fatah'!K22+khan!K22+top!K22+mrwa!K22+saad!K22+cant!K22+HRMN!K22+Ghani!K22+Mehaj!K22</f>
        <v>0</v>
      </c>
      <c r="L22" s="175">
        <f>+Clinix!L22+'al-fatah'!L22+khan!L22+top!L22+mrwa!L22+saad!L22+cant!L22+HRMN!L22+Ghani!L22+Mehaj!L22</f>
        <v>0</v>
      </c>
      <c r="M22" s="118">
        <f t="shared" si="2"/>
        <v>0</v>
      </c>
      <c r="N22" s="101">
        <f>+Clinix!N22+'al-fatah'!N22+khan!N22+top!N22+mrwa!N22+saad!N22+cant!N22+HRMN!N22+Ghani!N22+Mehaj!N22</f>
        <v>0</v>
      </c>
      <c r="O22" s="101">
        <f>+Clinix!O22+'al-fatah'!O22+khan!O22+top!O22+mrwa!O22+saad!O22+cant!O22+HRMN!O22+Ghani!O22+Mehaj!O22</f>
        <v>0</v>
      </c>
      <c r="P22" s="120">
        <f t="shared" si="0"/>
        <v>0</v>
      </c>
      <c r="T22" s="163" t="str">
        <f>+Ghani!A5</f>
        <v xml:space="preserve">Customer Name : </v>
      </c>
      <c r="U22" s="164">
        <f>+Ghani!P35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+Clinix!H23+'al-fatah'!H23+khan!H23+top!H23+mrwa!H23+saad!H23+cant!H23+HRMN!H23+Ghani!H23+Mehaj!H23+Bravo!H23+'786'!H23</f>
        <v>0</v>
      </c>
      <c r="I23" s="1">
        <f t="shared" si="1"/>
        <v>0</v>
      </c>
      <c r="J23" s="172">
        <f>+Clinix!J23+'al-fatah'!J23+khan!J23+top!J23+mrwa!J23+saad!J23+cant!J23+HRMN!J23+Ghani!J23+Mehaj!J23+Bravo!J23+'786'!J23</f>
        <v>0</v>
      </c>
      <c r="K23" s="172">
        <f>+Clinix!K23+'al-fatah'!K23+khan!K23+top!K23+mrwa!K23+saad!K23+cant!K23+HRMN!K23+Ghani!K23+Mehaj!K23</f>
        <v>0</v>
      </c>
      <c r="L23" s="175">
        <f>+Clinix!L23+'al-fatah'!L23+khan!L23+top!L23+mrwa!L23+saad!L23+cant!L23+HRMN!L23+Ghani!L23+Mehaj!L23</f>
        <v>0</v>
      </c>
      <c r="M23" s="118">
        <f t="shared" si="2"/>
        <v>0</v>
      </c>
      <c r="N23" s="101">
        <f>+Clinix!N23+'al-fatah'!N23+khan!N23+top!N23+mrwa!N23+saad!N23+cant!N23+HRMN!N23+Ghani!N23+Mehaj!N23</f>
        <v>0</v>
      </c>
      <c r="O23" s="101">
        <f>+Clinix!O23+'al-fatah'!O23+khan!O23+top!O23+mrwa!O23+saad!O23+cant!O23+HRMN!O23+Ghani!O23+Mehaj!O23</f>
        <v>0</v>
      </c>
      <c r="P23" s="120">
        <f t="shared" si="0"/>
        <v>0</v>
      </c>
      <c r="T23" s="163" t="str">
        <f>+Mehaj!A5</f>
        <v xml:space="preserve">Customer Name : </v>
      </c>
      <c r="U23" s="164">
        <f>+Mehaj!P35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+Clinix!H24+'al-fatah'!H24+khan!H24+top!H24+mrwa!H24+saad!H24+cant!H24+HRMN!H24+Ghani!H24+Mehaj!H24+Bravo!H24+'786'!H24</f>
        <v>0</v>
      </c>
      <c r="I24" s="1">
        <f>(G24*D24)*F24+H24*F24</f>
        <v>0</v>
      </c>
      <c r="J24" s="172">
        <f>+Clinix!J24+'al-fatah'!J24+khan!J24+top!J24+mrwa!J24+saad!J24+cant!J24+HRMN!J24+Ghani!J24+Mehaj!J24+Bravo!J24+'786'!J24</f>
        <v>0</v>
      </c>
      <c r="K24" s="172">
        <f>+Clinix!K24+'al-fatah'!K24+khan!K24+top!K24+mrwa!K24+saad!K24+cant!K24+HRMN!K24+Ghani!K24+Mehaj!K24</f>
        <v>0</v>
      </c>
      <c r="L24" s="175">
        <f>+Clinix!L24+'al-fatah'!L24+khan!L24+top!L24+mrwa!L24+saad!L24+cant!L24+HRMN!L24+Ghani!L24+Mehaj!L24</f>
        <v>0</v>
      </c>
      <c r="M24" s="133">
        <f>I24-K24-L24</f>
        <v>0</v>
      </c>
      <c r="N24" s="101">
        <f>+Clinix!N24+'al-fatah'!N24+khan!N24+top!N24+mrwa!N24+saad!N24+cant!N24+HRMN!N24+Ghani!N24+Mehaj!N24</f>
        <v>0</v>
      </c>
      <c r="O24" s="101">
        <f>+Clinix!O24+'al-fatah'!O24+khan!O24+top!O24+mrwa!O24+saad!O24+cant!O24+HRMN!O24+Ghani!O24+Mehaj!O24</f>
        <v>0</v>
      </c>
      <c r="P24" s="132">
        <f t="shared" si="0"/>
        <v>0</v>
      </c>
      <c r="T24" s="163" t="str">
        <f>+Bravo!A5</f>
        <v xml:space="preserve">Customer Name : </v>
      </c>
      <c r="U24" s="164">
        <f>+Bravo!P35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8400</v>
      </c>
      <c r="I25" s="178">
        <f t="shared" si="3"/>
        <v>547222.19999999995</v>
      </c>
      <c r="J25" s="177">
        <f t="shared" si="3"/>
        <v>0</v>
      </c>
      <c r="K25" s="178">
        <f t="shared" si="3"/>
        <v>0</v>
      </c>
      <c r="L25" s="179">
        <f t="shared" si="3"/>
        <v>91526.543999999994</v>
      </c>
      <c r="M25" s="141">
        <f t="shared" si="3"/>
        <v>455695.65600000002</v>
      </c>
      <c r="N25" s="142">
        <f>SUM(N16:N24)</f>
        <v>82025.218079999991</v>
      </c>
      <c r="O25" s="143">
        <f>SUM(O16:O24)</f>
        <v>2688.6043703999999</v>
      </c>
      <c r="P25" s="144">
        <f>SUM(P16:P24)</f>
        <v>540409.47845039994</v>
      </c>
      <c r="T25" s="163" t="str">
        <f>+'786'!A5</f>
        <v xml:space="preserve">Customer Name : </v>
      </c>
      <c r="U25" s="164">
        <f>+'786'!P35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540409.47845040006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547222.19999999995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91526.543999999994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455695.65599999996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82025.218079999991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537720.87407999998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13443.021852</v>
      </c>
    </row>
    <row r="35" spans="2:16" ht="15.75" customHeight="1" thickBot="1" x14ac:dyDescent="0.4">
      <c r="N35" s="200" t="s">
        <v>92</v>
      </c>
      <c r="O35" s="201"/>
      <c r="P35" s="160">
        <f>P33+P34</f>
        <v>551163.89593200001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I13" sqref="I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121</v>
      </c>
      <c r="B6" s="226"/>
      <c r="C6" s="226"/>
      <c r="F6" s="70"/>
      <c r="G6" s="74"/>
      <c r="K6" s="226" t="s">
        <v>52</v>
      </c>
      <c r="L6" s="226"/>
      <c r="M6" s="226"/>
      <c r="N6" s="239" t="s">
        <v>119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122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240</v>
      </c>
      <c r="I16" s="102">
        <f>(G16*D16)*F16+H16*F16</f>
        <v>12591</v>
      </c>
      <c r="J16" s="103"/>
      <c r="K16" s="104">
        <f>I16*$K$13</f>
        <v>0</v>
      </c>
      <c r="L16" s="105">
        <f>I16*12%</f>
        <v>1510.9199999999998</v>
      </c>
      <c r="M16" s="106">
        <f>I16-K16-L16</f>
        <v>11080.08</v>
      </c>
      <c r="N16" s="106">
        <f t="shared" ref="N16:N24" si="0">(M16*$N$15)+(J16*F16)*$N$15</f>
        <v>1994.4143999999999</v>
      </c>
      <c r="O16" s="107">
        <f t="shared" ref="O16:O24" si="1">(N16+M16)*$O$15</f>
        <v>65.372472000000002</v>
      </c>
      <c r="P16" s="105">
        <f t="shared" ref="P16:P24" si="2">M16+N16+O16</f>
        <v>13139.866871999999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240</v>
      </c>
      <c r="I17" s="116">
        <f t="shared" ref="I17:I23" si="3">(G17*D17)*F17+H17*F17</f>
        <v>12591</v>
      </c>
      <c r="J17" s="117"/>
      <c r="K17" s="1">
        <f t="shared" ref="K17:K21" si="4">I17*$K$13</f>
        <v>0</v>
      </c>
      <c r="L17" s="105">
        <f t="shared" ref="L17:L22" si="5">I17*12%</f>
        <v>1510.9199999999998</v>
      </c>
      <c r="M17" s="118">
        <f t="shared" ref="M17:M23" si="6">I17-K17-L17</f>
        <v>11080.08</v>
      </c>
      <c r="N17" s="118">
        <f t="shared" si="0"/>
        <v>1994.4143999999999</v>
      </c>
      <c r="O17" s="119">
        <f t="shared" si="1"/>
        <v>65.372472000000002</v>
      </c>
      <c r="P17" s="120">
        <f t="shared" si="2"/>
        <v>13139.866871999999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240</v>
      </c>
      <c r="I18" s="116">
        <f t="shared" si="3"/>
        <v>12591</v>
      </c>
      <c r="J18" s="117"/>
      <c r="K18" s="1">
        <f t="shared" si="4"/>
        <v>0</v>
      </c>
      <c r="L18" s="105">
        <f t="shared" si="5"/>
        <v>1510.9199999999998</v>
      </c>
      <c r="M18" s="118">
        <f t="shared" si="6"/>
        <v>11080.08</v>
      </c>
      <c r="N18" s="118">
        <f t="shared" si="0"/>
        <v>1994.4143999999999</v>
      </c>
      <c r="O18" s="119">
        <f t="shared" si="1"/>
        <v>65.372472000000002</v>
      </c>
      <c r="P18" s="120">
        <f t="shared" si="2"/>
        <v>13139.866871999999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/>
      <c r="K19" s="1">
        <f t="shared" si="4"/>
        <v>0</v>
      </c>
      <c r="L19" s="105">
        <f t="shared" si="5"/>
        <v>2092.0319999999997</v>
      </c>
      <c r="M19" s="118">
        <f t="shared" si="6"/>
        <v>15341.567999999999</v>
      </c>
      <c r="N19" s="118">
        <f t="shared" si="0"/>
        <v>2761.4822399999998</v>
      </c>
      <c r="O19" s="119">
        <f t="shared" si="1"/>
        <v>90.515251200000009</v>
      </c>
      <c r="P19" s="120">
        <f t="shared" si="2"/>
        <v>18193.565491199999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/>
      <c r="K20" s="1">
        <f t="shared" si="4"/>
        <v>0</v>
      </c>
      <c r="L20" s="105">
        <f t="shared" si="5"/>
        <v>2092.0319999999997</v>
      </c>
      <c r="M20" s="118">
        <f t="shared" si="6"/>
        <v>15341.567999999999</v>
      </c>
      <c r="N20" s="118">
        <f t="shared" si="0"/>
        <v>2761.4822399999998</v>
      </c>
      <c r="O20" s="119">
        <f t="shared" si="1"/>
        <v>90.515251200000009</v>
      </c>
      <c r="P20" s="120">
        <f t="shared" si="2"/>
        <v>18193.565491199999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600</v>
      </c>
      <c r="I21" s="116">
        <f t="shared" si="3"/>
        <v>43584</v>
      </c>
      <c r="J21" s="117"/>
      <c r="K21" s="1">
        <f t="shared" si="4"/>
        <v>0</v>
      </c>
      <c r="L21" s="105">
        <f t="shared" si="5"/>
        <v>5230.08</v>
      </c>
      <c r="M21" s="118">
        <f t="shared" si="6"/>
        <v>38353.919999999998</v>
      </c>
      <c r="N21" s="118">
        <f t="shared" si="0"/>
        <v>6903.7055999999993</v>
      </c>
      <c r="O21" s="119">
        <f t="shared" si="1"/>
        <v>226.288128</v>
      </c>
      <c r="P21" s="120">
        <f t="shared" si="2"/>
        <v>45483.913728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Q22">
        <f>H25/40</f>
        <v>45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1800</v>
      </c>
      <c r="I25" s="137">
        <f t="shared" si="9"/>
        <v>116224.2</v>
      </c>
      <c r="J25" s="138"/>
      <c r="K25" s="139">
        <f t="shared" si="9"/>
        <v>0</v>
      </c>
      <c r="L25" s="140">
        <f t="shared" si="9"/>
        <v>13946.903999999999</v>
      </c>
      <c r="M25" s="141">
        <f t="shared" si="9"/>
        <v>102277.296</v>
      </c>
      <c r="N25" s="142">
        <f>SUM(N16:N24)</f>
        <v>18409.913280000001</v>
      </c>
      <c r="O25" s="143">
        <f>SUM(O16:O24)</f>
        <v>603.43604640000001</v>
      </c>
      <c r="P25" s="144">
        <f>SUM(P16:P24)</f>
        <v>121290.6453264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116224.2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13946.903999999999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102277.296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18409.913280000001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120687.20928000001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603.43604640000001</v>
      </c>
    </row>
    <row r="35" spans="2:16" ht="15.75" customHeight="1" thickBot="1" x14ac:dyDescent="0.4">
      <c r="N35" s="200" t="s">
        <v>92</v>
      </c>
      <c r="O35" s="201"/>
      <c r="P35" s="160">
        <f>P33+P34</f>
        <v>121290.64532640002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paperSize="9"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Sheet2!$B$6:$B$21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.7265625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124</v>
      </c>
      <c r="B6" s="226"/>
      <c r="C6" s="226"/>
      <c r="F6" s="70"/>
      <c r="G6" s="74"/>
      <c r="K6" s="226" t="s">
        <v>52</v>
      </c>
      <c r="L6" s="226"/>
      <c r="M6" s="226"/>
      <c r="N6" s="239" t="s">
        <v>119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125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600</v>
      </c>
      <c r="I16" s="102">
        <f>(G16*D16)*F16+H16*F16</f>
        <v>31477.5</v>
      </c>
      <c r="J16" s="103"/>
      <c r="K16" s="104">
        <f>I16*$K$13</f>
        <v>0</v>
      </c>
      <c r="L16" s="105">
        <f>I16*18%</f>
        <v>5665.95</v>
      </c>
      <c r="M16" s="106">
        <f>I16-K16-L16</f>
        <v>25811.55</v>
      </c>
      <c r="N16" s="106">
        <f t="shared" ref="N16:N24" si="0">(M16*$N$15)+(J16*F16)*$N$15</f>
        <v>4646.0789999999997</v>
      </c>
      <c r="O16" s="107">
        <f>(N16+M16)*$O$15</f>
        <v>152.28814500000001</v>
      </c>
      <c r="P16" s="105">
        <f t="shared" ref="P16:P24" si="1">M16+N16+O16</f>
        <v>30609.917144999999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600</v>
      </c>
      <c r="I17" s="116">
        <f t="shared" ref="I17:I23" si="2">(G17*D17)*F17+H17*F17</f>
        <v>31477.5</v>
      </c>
      <c r="J17" s="117"/>
      <c r="K17" s="1">
        <f t="shared" ref="K17:K21" si="3">I17*$K$13</f>
        <v>0</v>
      </c>
      <c r="L17" s="105">
        <f t="shared" ref="L17:L24" si="4">I17*18%</f>
        <v>5665.95</v>
      </c>
      <c r="M17" s="118">
        <f t="shared" ref="M17:M23" si="5">I17-K17-L17</f>
        <v>25811.55</v>
      </c>
      <c r="N17" s="118">
        <f t="shared" si="0"/>
        <v>4646.0789999999997</v>
      </c>
      <c r="O17" s="119">
        <f t="shared" ref="O17:O24" si="6">(N17+M17)*$O$15</f>
        <v>152.28814500000001</v>
      </c>
      <c r="P17" s="120">
        <f t="shared" si="1"/>
        <v>30609.917144999999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1200</v>
      </c>
      <c r="I18" s="116">
        <f t="shared" si="2"/>
        <v>62955</v>
      </c>
      <c r="J18" s="117"/>
      <c r="K18" s="1">
        <f t="shared" si="3"/>
        <v>0</v>
      </c>
      <c r="L18" s="105">
        <f t="shared" si="4"/>
        <v>11331.9</v>
      </c>
      <c r="M18" s="118">
        <f t="shared" si="5"/>
        <v>51623.1</v>
      </c>
      <c r="N18" s="118">
        <f t="shared" si="0"/>
        <v>9292.1579999999994</v>
      </c>
      <c r="O18" s="119">
        <f t="shared" si="6"/>
        <v>304.57629000000003</v>
      </c>
      <c r="P18" s="120">
        <f t="shared" si="1"/>
        <v>61219.834289999999</v>
      </c>
      <c r="R18">
        <f>H25/40</f>
        <v>165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1800</v>
      </c>
      <c r="I19" s="116">
        <f t="shared" si="2"/>
        <v>130752</v>
      </c>
      <c r="J19" s="117"/>
      <c r="K19" s="1">
        <f t="shared" si="3"/>
        <v>0</v>
      </c>
      <c r="L19" s="105">
        <f t="shared" si="4"/>
        <v>23535.360000000001</v>
      </c>
      <c r="M19" s="118">
        <f t="shared" si="5"/>
        <v>107216.64</v>
      </c>
      <c r="N19" s="118">
        <f t="shared" si="0"/>
        <v>19298.995199999998</v>
      </c>
      <c r="O19" s="119">
        <f t="shared" si="6"/>
        <v>632.57817599999998</v>
      </c>
      <c r="P19" s="120">
        <f t="shared" si="1"/>
        <v>127148.21337599999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1200</v>
      </c>
      <c r="I20" s="116">
        <f t="shared" si="2"/>
        <v>87168</v>
      </c>
      <c r="J20" s="117"/>
      <c r="K20" s="1">
        <f t="shared" si="3"/>
        <v>0</v>
      </c>
      <c r="L20" s="105">
        <f t="shared" si="4"/>
        <v>15690.24</v>
      </c>
      <c r="M20" s="118">
        <f t="shared" si="5"/>
        <v>71477.759999999995</v>
      </c>
      <c r="N20" s="118">
        <f t="shared" si="0"/>
        <v>12865.996799999999</v>
      </c>
      <c r="O20" s="119">
        <f t="shared" si="6"/>
        <v>421.71878399999997</v>
      </c>
      <c r="P20" s="120">
        <f t="shared" si="1"/>
        <v>84765.475583999985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1200</v>
      </c>
      <c r="I21" s="116">
        <f t="shared" si="2"/>
        <v>87168</v>
      </c>
      <c r="J21" s="117"/>
      <c r="K21" s="1">
        <f t="shared" si="3"/>
        <v>0</v>
      </c>
      <c r="L21" s="105">
        <f t="shared" si="4"/>
        <v>15690.24</v>
      </c>
      <c r="M21" s="118">
        <f t="shared" si="5"/>
        <v>71477.759999999995</v>
      </c>
      <c r="N21" s="118">
        <f t="shared" si="0"/>
        <v>12865.996799999999</v>
      </c>
      <c r="O21" s="119">
        <f t="shared" si="6"/>
        <v>421.71878399999997</v>
      </c>
      <c r="P21" s="120">
        <f t="shared" si="1"/>
        <v>84765.475583999985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8">SUM(G16:G24)</f>
        <v>0</v>
      </c>
      <c r="H25" s="136">
        <f t="shared" si="8"/>
        <v>6600</v>
      </c>
      <c r="I25" s="137">
        <f t="shared" si="8"/>
        <v>430998</v>
      </c>
      <c r="J25" s="138"/>
      <c r="K25" s="139">
        <f t="shared" si="8"/>
        <v>0</v>
      </c>
      <c r="L25" s="140">
        <f t="shared" si="8"/>
        <v>77579.64</v>
      </c>
      <c r="M25" s="141">
        <f t="shared" si="8"/>
        <v>353418.36</v>
      </c>
      <c r="N25" s="142">
        <f>SUM(N16:N24)</f>
        <v>63615.304799999998</v>
      </c>
      <c r="O25" s="143">
        <f>SUM(O16:O24)</f>
        <v>2085.1683239999998</v>
      </c>
      <c r="P25" s="144">
        <f>SUM(P16:P24)</f>
        <v>419118.833124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430998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77579.64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353418.36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63615.304799999998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417033.66479999997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2085.1683239999998</v>
      </c>
    </row>
    <row r="35" spans="2:16" ht="15.75" customHeight="1" thickBot="1" x14ac:dyDescent="0.4">
      <c r="N35" s="200" t="s">
        <v>92</v>
      </c>
      <c r="O35" s="201"/>
      <c r="P35" s="160">
        <f>P33+P34</f>
        <v>419118.833124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paperSize="9"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I11" activeCellId="1" sqref="H19 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112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107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ht="15" thickBot="1" x14ac:dyDescent="0.4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idden="1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110</v>
      </c>
      <c r="B6" s="226"/>
      <c r="C6" s="226"/>
      <c r="F6" s="70"/>
      <c r="G6" s="74"/>
      <c r="K6" s="226" t="s">
        <v>52</v>
      </c>
      <c r="L6" s="226"/>
      <c r="M6" s="226"/>
      <c r="N6" s="239" t="s">
        <v>107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111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G20" sqref="G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114</v>
      </c>
      <c r="B6" s="226"/>
      <c r="C6" s="226"/>
      <c r="F6" s="70"/>
      <c r="G6" s="74"/>
      <c r="K6" s="226" t="s">
        <v>52</v>
      </c>
      <c r="L6" s="226"/>
      <c r="M6" s="226"/>
      <c r="N6" s="239" t="s">
        <v>107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 t="s">
        <v>115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t="15" thickBot="1" x14ac:dyDescent="0.4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116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110</v>
      </c>
      <c r="B6" s="226"/>
      <c r="C6" s="226"/>
      <c r="F6" s="70"/>
      <c r="G6" s="74"/>
      <c r="K6" s="226" t="s">
        <v>52</v>
      </c>
      <c r="L6" s="226"/>
      <c r="M6" s="226"/>
      <c r="N6" s="239" t="s">
        <v>107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117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hidden="1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hidden="1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t="15" thickBot="1" x14ac:dyDescent="0.4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104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3520242563059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I19" sqref="I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102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46187</v>
      </c>
      <c r="O5" s="227"/>
      <c r="P5" s="227"/>
      <c r="R5" s="70"/>
      <c r="S5" s="71"/>
    </row>
    <row r="6" spans="1:19 16383:16384" ht="15" customHeight="1" x14ac:dyDescent="0.35">
      <c r="A6" s="226" t="s">
        <v>100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101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Sheet2!$B$5:$B$10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Sheet2</vt:lpstr>
      <vt:lpstr>Cust. Price List</vt:lpstr>
      <vt:lpstr>Format</vt:lpstr>
      <vt:lpstr>Clinix</vt:lpstr>
      <vt:lpstr>al-fatah</vt:lpstr>
      <vt:lpstr>top</vt:lpstr>
      <vt:lpstr>khan</vt:lpstr>
      <vt:lpstr>mrwa</vt:lpstr>
      <vt:lpstr>saad</vt:lpstr>
      <vt:lpstr>cant</vt:lpstr>
      <vt:lpstr>HRMN</vt:lpstr>
      <vt:lpstr>Ghani</vt:lpstr>
      <vt:lpstr>Mehaj</vt:lpstr>
      <vt:lpstr>Bravo</vt:lpstr>
      <vt:lpstr>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2026-06-15T08:40:17Z</dcterms:modified>
</cp:coreProperties>
</file>