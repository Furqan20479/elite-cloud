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FAF8F8D-20E9-438F-AA46-6137CC8C12C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6" i="16" l="1"/>
  <c r="L16" i="16"/>
  <c r="H10" i="16"/>
  <c r="H9" i="16"/>
  <c r="L22" i="17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 l="1"/>
  <c r="P16" i="16" s="1"/>
  <c r="N13" i="16"/>
  <c r="N18" i="15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<sst xmlns="http://schemas.openxmlformats.org/spreadsheetml/2006/main" count="1632" uniqueCount="122">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</sst>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  <numFmt numFmtId="170" formatCode="0.0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170" fontId="0" fillId="0" borderId="0" xfId="0" applyNumberFormat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104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105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6861.6013903500016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462.86207999999999</v>
      </c>
      <c r="O19" s="101">
        <f>+'1'!O19+'2'!O19+'4'!O19+'3'!O19+'5'!O19+'6'!O19+'7'!O19+'8'!O19+'9'!O19+'10'!O19</f>
        <v>15.171590399999999</v>
      </c>
      <c r="P19" s="120">
        <f t="shared" si="0"/>
        <v>3049.4896703999998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156.92000000000004</v>
      </c>
      <c r="M22" s="118">
        <f t="shared" si="2"/>
        <v>1357.3580000000002</v>
      </c>
      <c r="N22" s="101">
        <f>+'1'!N22+'2'!N22+'4'!N22+'3'!N22+'5'!N22+'6'!N22+'7'!N22+'8'!N22+'9'!N22+'10'!N22</f>
        <v>244.32444000000001</v>
      </c>
      <c r="O22" s="101">
        <f>+'1'!O22+'2'!O22+'4'!O22+'3'!O22+'5'!O22+'6'!O22+'7'!O22+'8'!O22+'9'!O22+'10'!O22</f>
        <v>8.0084122000000022</v>
      </c>
      <c r="P22" s="120">
        <f t="shared" si="0"/>
        <v>1609.6908522000003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120</v>
      </c>
      <c r="I25" s="178">
        <f t="shared" si="3"/>
        <v>6573.3000000000011</v>
      </c>
      <c r="J25" s="177">
        <f t="shared" si="3"/>
        <v>0</v>
      </c>
      <c r="K25" s="178">
        <f t="shared" si="3"/>
        <v>230.06550000000004</v>
      </c>
      <c r="L25" s="179">
        <f t="shared" si="3"/>
        <v>557.24800000000005</v>
      </c>
      <c r="M25" s="141">
        <f t="shared" si="3"/>
        <v>5785.9865000000009</v>
      </c>
      <c r="N25" s="142">
        <f>SUM(N16:N24)</f>
        <v>1041.47757</v>
      </c>
      <c r="O25" s="143">
        <f>SUM(O16:O24)</f>
        <v>34.137320350000003</v>
      </c>
      <c r="P25" s="144">
        <f>SUM(P16:P24)</f>
        <v>6861.6013903499997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6861.6013903500016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6573.3000000000011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557.24800000000005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230.06550000000004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5785.9865000000018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1041.47757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6827.4640700000018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170.68660175000005</v>
      </c>
    </row>
    <row r="43" spans="1:21" ht="15.75" customHeight="1" thickBot="1" x14ac:dyDescent="0.4">
      <c r="N43" s="213" t="s">
        <v>92</v>
      </c>
      <c r="O43" s="214"/>
      <c r="P43" s="160">
        <f>P41+P42</f>
        <v>6998.1506717500015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M18" sqref="M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.81640625" bestFit="1" customWidth="1"/>
    <col min="8" max="8" width="6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26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106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H9">
        <f>1*40</f>
        <v>40</v>
      </c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H10">
        <f>H9*52</f>
        <v>2080</v>
      </c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N13" s="267">
        <f>N16+K16</f>
        <v>407.73854999999998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119</v>
      </c>
      <c r="T14" s="256"/>
      <c r="U14" s="256"/>
      <c r="V14" s="256"/>
      <c r="W14" s="257" t="s">
        <v>121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120</v>
      </c>
      <c r="T19" s="258"/>
      <c r="U19" s="258"/>
      <c r="V19" s="258"/>
      <c r="W19" s="259" t="s">
        <v>118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6573.3000000000011</v>
      </c>
      <c r="J25" s="138"/>
      <c r="K25" s="139">
        <f t="shared" si="13"/>
        <v>230.06550000000004</v>
      </c>
      <c r="L25" s="140">
        <f t="shared" si="13"/>
        <v>557.24800000000005</v>
      </c>
      <c r="M25" s="141">
        <f t="shared" si="13"/>
        <v>5785.9865000000009</v>
      </c>
      <c r="N25" s="142">
        <f>SUM(N16:N24)</f>
        <v>1041.47757</v>
      </c>
      <c r="O25" s="143">
        <f>SUM(O16:O24)</f>
        <v>34.137320350000003</v>
      </c>
      <c r="P25" s="144">
        <f>SUM(P16:P24)</f>
        <v>6861.6013903499997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6573.3000000000011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557.24800000000005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230.06550000000004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5785.9865000000018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1041.47757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6827.4640700000018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34.13732035000001</v>
      </c>
    </row>
    <row r="35" spans="2:16" ht="15.75" customHeight="1" thickBot="1" x14ac:dyDescent="0.4">
      <c r="N35" s="213" t="s">
        <v>92</v>
      </c>
      <c r="O35" s="214"/>
      <c r="P35" s="160">
        <f>P33+P34</f>
        <v>6861.6013903500016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2026-07-14T09:25:26Z</dcterms:modified>
</cp:coreProperties>
</file>