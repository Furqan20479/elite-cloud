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92923D8C-0AB8-4798-93D5-404E51964FDB}" xr6:coauthVersionLast="47" xr6:coauthVersionMax="47" xr10:uidLastSave="{00000000-0000-0000-0000-000000000000}"/>
  <bookViews>
    <workbookView xWindow="-110" yWindow="-110" windowWidth="19420" windowHeight="10420" tabRatio="887" activeTab="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9" i="2"/>
  <c r="K11" i="2"/>
  <c r="K12" i="2"/>
  <c r="K13" i="2"/>
  <c r="K8" i="2"/>
  <c r="G9" i="2"/>
  <c r="G10" i="2"/>
  <c r="K10" i="2" s="1"/>
  <c r="G11" i="2"/>
  <c r="G12" i="2"/>
  <c r="G13" i="2"/>
  <c r="G8" i="2"/>
  <c r="L9" i="2" l="1"/>
  <c r="Y13" i="29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9" i="28"/>
  <c r="L10" i="28"/>
  <c r="L11" i="28"/>
  <c r="L12" i="28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<sst xmlns="http://schemas.openxmlformats.org/spreadsheetml/2006/main" count="1456" uniqueCount="41">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</sst>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6" t="s">
        <v>0</v>
      </c>
      <c r="C2" s="57"/>
      <c r="D2" s="57"/>
      <c r="E2" s="57"/>
      <c r="F2" s="57"/>
      <c r="G2" s="57"/>
      <c r="H2" s="57"/>
      <c r="I2" s="57"/>
      <c r="J2" s="57"/>
      <c r="K2" s="58"/>
    </row>
    <row r="3" spans="1:1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</row>
    <row r="4" spans="1:1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</row>
    <row r="5" spans="1:11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</row>
    <row r="6" spans="1:11" ht="15" thickBot="1" x14ac:dyDescent="0.4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  <c r="AB2" t="s">
        <v>38</v>
      </c>
    </row>
    <row r="3" spans="1:30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  <c r="AB3">
        <v>14</v>
      </c>
      <c r="AC3">
        <v>13</v>
      </c>
      <c r="AD3">
        <v>13</v>
      </c>
    </row>
    <row r="4" spans="1:30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30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30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M4" sqref="M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Z14" sqref="Z14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tabSelected="1" zoomScaleNormal="100" workbookViewId="0">
      <selection activeCell="O19" sqref="O1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M10" sqref="M10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4.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ht="14.5" customHeight="1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 t="s">
        <v>17</v>
      </c>
      <c r="C8" s="12"/>
      <c r="D8" s="12"/>
      <c r="E8" s="12"/>
      <c r="F8" s="12"/>
      <c r="G8" s="28">
        <f>SUM(C8:F8)/20</f>
        <v>0</v>
      </c>
      <c r="H8" s="12"/>
      <c r="I8" s="12"/>
      <c r="J8" s="12"/>
      <c r="K8" s="28">
        <f>SUM(G8:J8)/20</f>
        <v>0</v>
      </c>
      <c r="L8">
        <f>SUM(C8:F8,H8,I8,J8)/40</f>
        <v>0</v>
      </c>
      <c r="N8" s="27">
        <v>46178</v>
      </c>
      <c r="O8" s="10" t="str">
        <f>B8</f>
        <v>Furqan</v>
      </c>
      <c r="P8" s="12"/>
      <c r="Q8" s="12"/>
      <c r="R8" s="12"/>
      <c r="S8" s="12"/>
      <c r="T8" s="28">
        <f>SUM(P8:S8)/20</f>
        <v>0</v>
      </c>
      <c r="U8" s="12"/>
      <c r="V8" s="12"/>
      <c r="W8" s="12"/>
      <c r="X8" s="28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f t="shared" ref="G9:G13" si="1">SUM(C9:F9)/20</f>
        <v>10.9</v>
      </c>
      <c r="H9" s="12">
        <v>60</v>
      </c>
      <c r="I9" s="12">
        <v>25</v>
      </c>
      <c r="J9" s="12">
        <v>65</v>
      </c>
      <c r="K9" s="28">
        <f t="shared" ref="K9:K13" si="2">SUM(G9:J9)/20</f>
        <v>8.0449999999999999</v>
      </c>
      <c r="L9">
        <f t="shared" ref="L9:L12" si="3">SUM(C9:F9,H9,I9,J9)/40</f>
        <v>9.1999999999999993</v>
      </c>
      <c r="M9" s="44">
        <v>8</v>
      </c>
      <c r="N9" s="27">
        <v>46178</v>
      </c>
      <c r="O9" s="10" t="str">
        <f t="shared" ref="O9:O12" si="4">B9</f>
        <v>Salman</v>
      </c>
      <c r="P9" s="12"/>
      <c r="Q9" s="12"/>
      <c r="R9" s="12"/>
      <c r="S9" s="12"/>
      <c r="T9" s="28">
        <f t="shared" ref="T9:T13" si="5">SUM(P9:S9)/20</f>
        <v>0</v>
      </c>
      <c r="U9" s="12"/>
      <c r="V9" s="12"/>
      <c r="W9" s="12"/>
      <c r="X9" s="28">
        <f t="shared" si="0"/>
        <v>0</v>
      </c>
      <c r="Y9">
        <f t="shared" ref="Y9:Y12" si="6">SUM(P9:S9,U9,V9,W9)/40</f>
        <v>0</v>
      </c>
    </row>
    <row r="10" spans="1:26" x14ac:dyDescent="0.35">
      <c r="A10" s="27">
        <v>46178</v>
      </c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f t="shared" si="1"/>
        <v>12</v>
      </c>
      <c r="H10" s="12">
        <v>130</v>
      </c>
      <c r="I10" s="12">
        <v>50</v>
      </c>
      <c r="J10" s="12">
        <v>260</v>
      </c>
      <c r="K10" s="28">
        <f t="shared" si="2"/>
        <v>22.6</v>
      </c>
      <c r="L10">
        <f t="shared" si="3"/>
        <v>17</v>
      </c>
      <c r="M10" s="44">
        <v>10</v>
      </c>
      <c r="N10" s="27">
        <v>46178</v>
      </c>
      <c r="O10" s="10" t="str">
        <f t="shared" si="4"/>
        <v>Zesahn</v>
      </c>
      <c r="P10" s="12"/>
      <c r="Q10" s="12"/>
      <c r="R10" s="12"/>
      <c r="S10" s="12"/>
      <c r="T10" s="28">
        <f t="shared" si="5"/>
        <v>0</v>
      </c>
      <c r="U10" s="12"/>
      <c r="V10" s="12"/>
      <c r="W10" s="12"/>
      <c r="X10" s="28">
        <f t="shared" si="0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>
        <v>280</v>
      </c>
      <c r="D11" s="12">
        <v>180</v>
      </c>
      <c r="E11" s="12">
        <v>140</v>
      </c>
      <c r="F11" s="12"/>
      <c r="G11" s="28">
        <f t="shared" si="1"/>
        <v>30</v>
      </c>
      <c r="H11" s="12">
        <v>135</v>
      </c>
      <c r="I11" s="12">
        <v>135</v>
      </c>
      <c r="J11" s="12">
        <v>170</v>
      </c>
      <c r="K11" s="28">
        <f t="shared" si="2"/>
        <v>23.5</v>
      </c>
      <c r="L11">
        <f t="shared" si="3"/>
        <v>26</v>
      </c>
      <c r="M11" s="44">
        <v>7</v>
      </c>
      <c r="N11" s="11"/>
      <c r="O11" s="10" t="str">
        <f t="shared" si="4"/>
        <v>Umair</v>
      </c>
      <c r="P11" s="12"/>
      <c r="Q11" s="12"/>
      <c r="R11" s="12"/>
      <c r="S11" s="12"/>
      <c r="T11" s="28">
        <f t="shared" si="5"/>
        <v>0</v>
      </c>
      <c r="U11" s="12"/>
      <c r="V11" s="12"/>
      <c r="W11" s="12"/>
      <c r="X11" s="28">
        <f t="shared" si="0"/>
        <v>0</v>
      </c>
      <c r="Y11">
        <f t="shared" si="6"/>
        <v>0</v>
      </c>
    </row>
    <row r="12" spans="1:26" x14ac:dyDescent="0.35">
      <c r="A12" s="13"/>
      <c r="B12" s="11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f t="shared" si="1"/>
        <v>3.8</v>
      </c>
      <c r="H12" s="12">
        <v>110</v>
      </c>
      <c r="I12" s="12">
        <v>85</v>
      </c>
      <c r="J12" s="12">
        <v>85</v>
      </c>
      <c r="K12" s="28">
        <f t="shared" si="2"/>
        <v>14.190000000000001</v>
      </c>
      <c r="L12">
        <f t="shared" si="3"/>
        <v>8.9</v>
      </c>
      <c r="M12" s="44">
        <v>5</v>
      </c>
      <c r="N12" s="13"/>
      <c r="O12" s="10" t="str">
        <f t="shared" si="4"/>
        <v>Mubeen</v>
      </c>
      <c r="P12" s="12"/>
      <c r="Q12" s="12"/>
      <c r="R12" s="12"/>
      <c r="S12" s="12"/>
      <c r="T12" s="28">
        <f t="shared" si="5"/>
        <v>0</v>
      </c>
      <c r="U12" s="12"/>
      <c r="V12" s="12"/>
      <c r="W12" s="12"/>
      <c r="X12" s="28">
        <f t="shared" si="0"/>
        <v>0</v>
      </c>
      <c r="Y12">
        <f t="shared" si="6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f t="shared" si="1"/>
        <v>0</v>
      </c>
      <c r="H13" s="12"/>
      <c r="I13" s="12"/>
      <c r="J13" s="12"/>
      <c r="K13" s="28">
        <f t="shared" si="2"/>
        <v>0</v>
      </c>
      <c r="N13" s="13"/>
      <c r="O13" s="11"/>
      <c r="P13" s="12"/>
      <c r="Q13" s="12"/>
      <c r="R13" s="12"/>
      <c r="S13" s="12"/>
      <c r="T13" s="28">
        <f t="shared" si="5"/>
        <v>0</v>
      </c>
      <c r="U13" s="12"/>
      <c r="V13" s="12"/>
      <c r="W13" s="12"/>
      <c r="X13" s="28">
        <f t="shared" si="0"/>
        <v>0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7">SUM(C8:C14)</f>
        <v>602</v>
      </c>
      <c r="D15" s="14">
        <f>D14/20</f>
        <v>0</v>
      </c>
      <c r="E15" s="14">
        <f t="shared" ref="E15:J15" si="8">E14/20</f>
        <v>0</v>
      </c>
      <c r="F15" s="14">
        <f t="shared" si="8"/>
        <v>0</v>
      </c>
      <c r="G15" s="14"/>
      <c r="H15" s="14">
        <f t="shared" si="8"/>
        <v>0</v>
      </c>
      <c r="I15" s="14">
        <f t="shared" si="8"/>
        <v>0</v>
      </c>
      <c r="J15" s="14">
        <f t="shared" si="8"/>
        <v>0</v>
      </c>
      <c r="K15" s="14"/>
      <c r="N15" s="13"/>
      <c r="O15" s="10" t="s">
        <v>22</v>
      </c>
      <c r="P15" s="14">
        <f t="shared" ref="P15" si="9">SUM(P8:P14)</f>
        <v>0</v>
      </c>
      <c r="Q15" s="14">
        <f>Q14/20</f>
        <v>0</v>
      </c>
      <c r="R15" s="14">
        <f t="shared" ref="R15:S15" si="10">R14/20</f>
        <v>0</v>
      </c>
      <c r="S15" s="14">
        <f t="shared" si="10"/>
        <v>0</v>
      </c>
      <c r="T15" s="14"/>
      <c r="U15" s="14">
        <f t="shared" ref="U15:W15" si="11">U14/20</f>
        <v>0</v>
      </c>
      <c r="V15" s="14">
        <f t="shared" si="11"/>
        <v>0</v>
      </c>
      <c r="W15" s="14">
        <f t="shared" si="11"/>
        <v>0</v>
      </c>
      <c r="X15" s="14"/>
    </row>
    <row r="16" spans="1:26" x14ac:dyDescent="0.35">
      <c r="A16" s="13"/>
      <c r="B16" s="10" t="s">
        <v>21</v>
      </c>
      <c r="C16" s="13">
        <f>C15+C14</f>
        <v>602</v>
      </c>
      <c r="D16" s="13">
        <f t="shared" ref="D16:J16" si="12">D15+D14</f>
        <v>0</v>
      </c>
      <c r="E16" s="13">
        <f t="shared" si="12"/>
        <v>0</v>
      </c>
      <c r="F16" s="13">
        <f t="shared" si="12"/>
        <v>0</v>
      </c>
      <c r="G16" s="13"/>
      <c r="H16" s="13">
        <f t="shared" si="12"/>
        <v>0</v>
      </c>
      <c r="I16" s="13">
        <f t="shared" si="12"/>
        <v>0</v>
      </c>
      <c r="J16" s="13">
        <f t="shared" si="12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3">Q15+Q14</f>
        <v>0</v>
      </c>
      <c r="R16" s="13">
        <f t="shared" si="13"/>
        <v>0</v>
      </c>
      <c r="S16" s="13">
        <f t="shared" si="13"/>
        <v>0</v>
      </c>
      <c r="T16" s="13"/>
      <c r="U16" s="13">
        <f t="shared" ref="U16:W16" si="14">U15+U14</f>
        <v>0</v>
      </c>
      <c r="V16" s="13">
        <f t="shared" si="14"/>
        <v>0</v>
      </c>
      <c r="W16" s="13">
        <f t="shared" si="14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5">D15/40</f>
        <v>0</v>
      </c>
      <c r="E18" s="26">
        <f t="shared" si="15"/>
        <v>0</v>
      </c>
      <c r="F18" s="26">
        <f t="shared" si="15"/>
        <v>0</v>
      </c>
      <c r="G18" s="26">
        <f t="shared" si="15"/>
        <v>0</v>
      </c>
      <c r="H18" s="26">
        <f t="shared" si="15"/>
        <v>0</v>
      </c>
      <c r="I18" s="26">
        <f t="shared" si="15"/>
        <v>0</v>
      </c>
      <c r="J18" s="26">
        <f t="shared" si="15"/>
        <v>0</v>
      </c>
      <c r="K18" s="26">
        <f t="shared" si="15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 t="str">
        <f t="shared" ref="O9:O12" si="1">B9</f>
        <v>Salman</v>
      </c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 t="str">
        <f t="shared" si="1"/>
        <v>Zesahn</v>
      </c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2"/>
        <v>0</v>
      </c>
    </row>
    <row r="11" spans="1:26" x14ac:dyDescent="0.35">
      <c r="A11" s="10"/>
      <c r="B11" s="10" t="s">
        <v>33</v>
      </c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 t="str">
        <f t="shared" si="1"/>
        <v>Umair</v>
      </c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2"/>
        <v>0</v>
      </c>
    </row>
    <row r="12" spans="1:26" x14ac:dyDescent="0.35">
      <c r="A12" s="10"/>
      <c r="B12" s="10" t="s">
        <v>19</v>
      </c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 t="str">
        <f t="shared" si="1"/>
        <v>Mubeen</v>
      </c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2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3">E14/20</f>
        <v>0</v>
      </c>
      <c r="F15" s="36">
        <f t="shared" si="3"/>
        <v>0</v>
      </c>
      <c r="G15" s="36"/>
      <c r="H15" s="36">
        <f t="shared" si="3"/>
        <v>0</v>
      </c>
      <c r="I15" s="36">
        <f t="shared" si="3"/>
        <v>0</v>
      </c>
      <c r="J15" s="36">
        <f t="shared" si="3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4">R14/20</f>
        <v>0</v>
      </c>
      <c r="S15" s="36">
        <f t="shared" si="4"/>
        <v>0</v>
      </c>
      <c r="T15" s="36"/>
      <c r="U15" s="36">
        <f t="shared" ref="U15:W15" si="5">U14/20</f>
        <v>0</v>
      </c>
      <c r="V15" s="36">
        <f t="shared" si="5"/>
        <v>0</v>
      </c>
      <c r="W15" s="36">
        <f t="shared" si="5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6">D15+D14</f>
        <v>0</v>
      </c>
      <c r="E16" s="36">
        <f t="shared" si="6"/>
        <v>0</v>
      </c>
      <c r="F16" s="36">
        <f t="shared" si="6"/>
        <v>0</v>
      </c>
      <c r="G16" s="36"/>
      <c r="H16" s="36">
        <f t="shared" si="6"/>
        <v>0</v>
      </c>
      <c r="I16" s="36">
        <f t="shared" si="6"/>
        <v>0</v>
      </c>
      <c r="J16" s="36">
        <f t="shared" si="6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7">Q15+Q14</f>
        <v>0</v>
      </c>
      <c r="R16" s="36">
        <f t="shared" si="7"/>
        <v>0</v>
      </c>
      <c r="S16" s="36">
        <f t="shared" si="7"/>
        <v>0</v>
      </c>
      <c r="T16" s="36"/>
      <c r="U16" s="36">
        <f t="shared" ref="U16:W16" si="8">U15+U14</f>
        <v>0</v>
      </c>
      <c r="V16" s="36">
        <f t="shared" si="8"/>
        <v>0</v>
      </c>
      <c r="W16" s="36">
        <f t="shared" si="8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 t="str">
        <f>B8</f>
        <v>Furqan</v>
      </c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 t="str">
        <f t="shared" ref="O9:O12" si="1">B9</f>
        <v>Salman</v>
      </c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 t="str">
        <f t="shared" si="1"/>
        <v>Zesahn</v>
      </c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2"/>
        <v>0</v>
      </c>
    </row>
    <row r="11" spans="1:26" x14ac:dyDescent="0.35">
      <c r="A11" s="11"/>
      <c r="B11" s="11" t="s">
        <v>33</v>
      </c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0" t="str">
        <f t="shared" si="1"/>
        <v>Umair</v>
      </c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2"/>
        <v>0</v>
      </c>
    </row>
    <row r="12" spans="1:26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0" t="str">
        <f t="shared" si="1"/>
        <v>Mubeen</v>
      </c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ht="14.5" customHeight="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2026-07-06T05:04:14Z</dcterms:modified>
</cp:coreProperties>
</file>