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2D0E8FD7-73AE-49B3-B928-187396A69167}" xr6:coauthVersionLast="47" xr6:coauthVersionMax="47" xr10:uidLastSave="{00000000-0000-0000-0000-000000000000}"/>
  <bookViews>
    <workbookView xWindow="-110" yWindow="-110" windowWidth="19420" windowHeight="10420" tabRatio="887" activeTab="9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N9" i="7"/>
  <c r="N10" i="7"/>
  <c r="N11" i="7"/>
  <c r="N12" i="7"/>
  <c r="N9" i="8"/>
  <c r="N10" i="8"/>
  <c r="N11" i="8"/>
  <c r="N12" i="8"/>
  <c r="N9" i="9"/>
  <c r="N10" i="9"/>
  <c r="N11" i="9"/>
  <c r="N12" i="9"/>
  <c r="N9" i="10"/>
  <c r="N10" i="10"/>
  <c r="N11" i="10"/>
  <c r="N12" i="10"/>
  <c r="N9" i="11"/>
  <c r="N10" i="11"/>
  <c r="N11" i="11"/>
  <c r="N12" i="11"/>
  <c r="N9" i="12"/>
  <c r="N10" i="12"/>
  <c r="N11" i="12"/>
  <c r="N12" i="12"/>
  <c r="N9" i="13"/>
  <c r="N10" i="13"/>
  <c r="N11" i="13"/>
  <c r="N12" i="13"/>
  <c r="N9" i="14"/>
  <c r="N10" i="14"/>
  <c r="N11" i="14"/>
  <c r="N12" i="14"/>
  <c r="N9" i="15"/>
  <c r="N10" i="15"/>
  <c r="N11" i="15"/>
  <c r="N12" i="15"/>
  <c r="N9" i="16"/>
  <c r="N10" i="16"/>
  <c r="N11" i="16"/>
  <c r="N12" i="16"/>
  <c r="N9" i="17"/>
  <c r="N10" i="17"/>
  <c r="N11" i="17"/>
  <c r="N12" i="17"/>
  <c r="N9" i="18"/>
  <c r="N10" i="18"/>
  <c r="N11" i="18"/>
  <c r="N12" i="18"/>
  <c r="N9" i="19"/>
  <c r="N10" i="19"/>
  <c r="N11" i="19"/>
  <c r="N12" i="19"/>
  <c r="N9" i="20"/>
  <c r="N10" i="20"/>
  <c r="N11" i="20"/>
  <c r="N12" i="20"/>
  <c r="N9" i="21"/>
  <c r="N10" i="21"/>
  <c r="N11" i="21"/>
  <c r="N12" i="21"/>
  <c r="N9" i="22"/>
  <c r="N10" i="22"/>
  <c r="N11" i="22"/>
  <c r="N12" i="22"/>
  <c r="N9" i="23"/>
  <c r="N10" i="23"/>
  <c r="N11" i="23"/>
  <c r="N12" i="23"/>
  <c r="N9" i="24"/>
  <c r="N10" i="24"/>
  <c r="N11" i="24"/>
  <c r="N12" i="24"/>
  <c r="N9" i="25"/>
  <c r="N10" i="25"/>
  <c r="N11" i="25"/>
  <c r="N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N8" i="7"/>
  <c r="N8" i="8"/>
  <c r="N8" i="9"/>
  <c r="N8" i="10"/>
  <c r="N8" i="11"/>
  <c r="N8" i="12"/>
  <c r="N8" i="13"/>
  <c r="N8" i="14"/>
  <c r="N8" i="15"/>
  <c r="N8" i="16"/>
  <c r="N8" i="17"/>
  <c r="N8" i="18"/>
  <c r="N8" i="19"/>
  <c r="N8" i="20"/>
  <c r="N8" i="21"/>
  <c r="N8" i="22"/>
  <c r="N8" i="23"/>
  <c r="N8" i="24"/>
  <c r="N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6"/>
  <c r="V10" i="6"/>
  <c r="V11" i="6"/>
  <c r="V12" i="6"/>
  <c r="V13" i="6"/>
  <c r="V9" i="7"/>
  <c r="V10" i="7"/>
  <c r="V11" i="7"/>
  <c r="V12" i="7"/>
  <c r="V13" i="7"/>
  <c r="V9" i="8"/>
  <c r="V10" i="8"/>
  <c r="V11" i="8"/>
  <c r="V12" i="8"/>
  <c r="V13" i="8"/>
  <c r="V9" i="9"/>
  <c r="V10" i="9"/>
  <c r="V11" i="9"/>
  <c r="V12" i="9"/>
  <c r="V13" i="9"/>
  <c r="V9" i="10"/>
  <c r="V10" i="10"/>
  <c r="V11" i="10"/>
  <c r="V12" i="10"/>
  <c r="V13" i="10"/>
  <c r="V9" i="11"/>
  <c r="V10" i="11"/>
  <c r="V11" i="11"/>
  <c r="V12" i="11"/>
  <c r="V13" i="11"/>
  <c r="V9" i="12"/>
  <c r="V10" i="12"/>
  <c r="V11" i="12"/>
  <c r="V12" i="12"/>
  <c r="V13" i="12"/>
  <c r="V9" i="13"/>
  <c r="V10" i="13"/>
  <c r="V11" i="13"/>
  <c r="V12" i="13"/>
  <c r="V13" i="13"/>
  <c r="V9" i="14"/>
  <c r="V10" i="14"/>
  <c r="V11" i="14"/>
  <c r="V12" i="14"/>
  <c r="V13" i="14"/>
  <c r="V9" i="15"/>
  <c r="V10" i="15"/>
  <c r="V11" i="15"/>
  <c r="V12" i="15"/>
  <c r="V13" i="15"/>
  <c r="V9" i="16"/>
  <c r="V10" i="16"/>
  <c r="V11" i="16"/>
  <c r="V12" i="16"/>
  <c r="V13" i="16"/>
  <c r="V9" i="17"/>
  <c r="V10" i="17"/>
  <c r="V11" i="17"/>
  <c r="V12" i="17"/>
  <c r="V13" i="17"/>
  <c r="V9" i="18"/>
  <c r="V10" i="18"/>
  <c r="V11" i="18"/>
  <c r="V12" i="18"/>
  <c r="V13" i="18"/>
  <c r="V9" i="19"/>
  <c r="V10" i="19"/>
  <c r="V11" i="19"/>
  <c r="V12" i="19"/>
  <c r="V13" i="19"/>
  <c r="V9" i="20"/>
  <c r="V10" i="20"/>
  <c r="V11" i="20"/>
  <c r="V12" i="20"/>
  <c r="V13" i="20"/>
  <c r="V9" i="21"/>
  <c r="V10" i="21"/>
  <c r="V11" i="21"/>
  <c r="V12" i="21"/>
  <c r="V13" i="21"/>
  <c r="V9" i="22"/>
  <c r="V10" i="22"/>
  <c r="V11" i="22"/>
  <c r="V12" i="22"/>
  <c r="V13" i="22"/>
  <c r="V9" i="23"/>
  <c r="V10" i="23"/>
  <c r="V11" i="23"/>
  <c r="V12" i="23"/>
  <c r="V13" i="23"/>
  <c r="V9" i="24"/>
  <c r="V10" i="24"/>
  <c r="V11" i="24"/>
  <c r="V12" i="24"/>
  <c r="V13" i="24"/>
  <c r="V9" i="25"/>
  <c r="V10" i="25"/>
  <c r="V11" i="25"/>
  <c r="V12" i="25"/>
  <c r="V13" i="25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6"/>
  <c r="R10" i="6"/>
  <c r="R11" i="6"/>
  <c r="R12" i="6"/>
  <c r="R13" i="6"/>
  <c r="R9" i="7"/>
  <c r="R10" i="7"/>
  <c r="R11" i="7"/>
  <c r="R12" i="7"/>
  <c r="R13" i="7"/>
  <c r="R9" i="8"/>
  <c r="R10" i="8"/>
  <c r="R11" i="8"/>
  <c r="R12" i="8"/>
  <c r="R13" i="8"/>
  <c r="R9" i="9"/>
  <c r="R10" i="9"/>
  <c r="R11" i="9"/>
  <c r="R12" i="9"/>
  <c r="R13" i="9"/>
  <c r="R9" i="10"/>
  <c r="R10" i="10"/>
  <c r="R11" i="10"/>
  <c r="R12" i="10"/>
  <c r="R13" i="10"/>
  <c r="R9" i="11"/>
  <c r="R10" i="11"/>
  <c r="R11" i="11"/>
  <c r="R12" i="11"/>
  <c r="R13" i="11"/>
  <c r="R9" i="12"/>
  <c r="R10" i="12"/>
  <c r="R11" i="12"/>
  <c r="R12" i="12"/>
  <c r="R13" i="12"/>
  <c r="R9" i="13"/>
  <c r="R10" i="13"/>
  <c r="R11" i="13"/>
  <c r="R12" i="13"/>
  <c r="R13" i="13"/>
  <c r="R9" i="14"/>
  <c r="R10" i="14"/>
  <c r="R11" i="14"/>
  <c r="R12" i="14"/>
  <c r="R13" i="14"/>
  <c r="R9" i="15"/>
  <c r="R10" i="15"/>
  <c r="R11" i="15"/>
  <c r="R12" i="15"/>
  <c r="R13" i="15"/>
  <c r="R9" i="16"/>
  <c r="R10" i="16"/>
  <c r="R11" i="16"/>
  <c r="R12" i="16"/>
  <c r="R13" i="16"/>
  <c r="R9" i="17"/>
  <c r="R10" i="17"/>
  <c r="R11" i="17"/>
  <c r="R12" i="17"/>
  <c r="R13" i="17"/>
  <c r="R9" i="18"/>
  <c r="R10" i="18"/>
  <c r="R11" i="18"/>
  <c r="R12" i="18"/>
  <c r="R13" i="18"/>
  <c r="R9" i="19"/>
  <c r="R10" i="19"/>
  <c r="R11" i="19"/>
  <c r="R12" i="19"/>
  <c r="R13" i="19"/>
  <c r="R9" i="20"/>
  <c r="R10" i="20"/>
  <c r="R11" i="20"/>
  <c r="R12" i="20"/>
  <c r="R13" i="20"/>
  <c r="R9" i="21"/>
  <c r="R10" i="21"/>
  <c r="R11" i="21"/>
  <c r="R12" i="21"/>
  <c r="R13" i="21"/>
  <c r="R9" i="22"/>
  <c r="R10" i="22"/>
  <c r="R11" i="22"/>
  <c r="R12" i="22"/>
  <c r="R13" i="22"/>
  <c r="R9" i="23"/>
  <c r="R10" i="23"/>
  <c r="R11" i="23"/>
  <c r="R12" i="23"/>
  <c r="R13" i="23"/>
  <c r="R9" i="24"/>
  <c r="R10" i="24"/>
  <c r="R11" i="24"/>
  <c r="R12" i="24"/>
  <c r="R13" i="24"/>
  <c r="R9" i="25"/>
  <c r="R10" i="25"/>
  <c r="R11" i="25"/>
  <c r="R12" i="25"/>
  <c r="R13" i="25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7"/>
  <c r="J10" i="7"/>
  <c r="J11" i="7"/>
  <c r="J12" i="7"/>
  <c r="J13" i="7"/>
  <c r="J9" i="8"/>
  <c r="J10" i="8"/>
  <c r="J11" i="8"/>
  <c r="J12" i="8"/>
  <c r="J13" i="8"/>
  <c r="J9" i="9"/>
  <c r="J10" i="9"/>
  <c r="J11" i="9"/>
  <c r="J12" i="9"/>
  <c r="J13" i="9"/>
  <c r="J9" i="10"/>
  <c r="J10" i="10"/>
  <c r="J11" i="10"/>
  <c r="J12" i="10"/>
  <c r="J13" i="10"/>
  <c r="J9" i="11"/>
  <c r="J10" i="11"/>
  <c r="J11" i="11"/>
  <c r="J12" i="11"/>
  <c r="J13" i="11"/>
  <c r="J9" i="12"/>
  <c r="J10" i="12"/>
  <c r="J11" i="12"/>
  <c r="J12" i="12"/>
  <c r="J13" i="12"/>
  <c r="J9" i="13"/>
  <c r="J10" i="13"/>
  <c r="J11" i="13"/>
  <c r="J12" i="13"/>
  <c r="J13" i="13"/>
  <c r="J9" i="14"/>
  <c r="J10" i="14"/>
  <c r="J11" i="14"/>
  <c r="J12" i="14"/>
  <c r="J13" i="14"/>
  <c r="J9" i="15"/>
  <c r="J10" i="15"/>
  <c r="J11" i="15"/>
  <c r="J12" i="15"/>
  <c r="J13" i="15"/>
  <c r="J9" i="16"/>
  <c r="J10" i="16"/>
  <c r="J11" i="16"/>
  <c r="J12" i="16"/>
  <c r="J13" i="16"/>
  <c r="J9" i="17"/>
  <c r="J10" i="17"/>
  <c r="J11" i="17"/>
  <c r="J12" i="17"/>
  <c r="J13" i="17"/>
  <c r="J9" i="18"/>
  <c r="J10" i="18"/>
  <c r="J11" i="18"/>
  <c r="J12" i="18"/>
  <c r="J13" i="18"/>
  <c r="J9" i="19"/>
  <c r="J10" i="19"/>
  <c r="J11" i="19"/>
  <c r="J12" i="19"/>
  <c r="J13" i="19"/>
  <c r="J9" i="20"/>
  <c r="J10" i="20"/>
  <c r="J11" i="20"/>
  <c r="J12" i="20"/>
  <c r="J13" i="20"/>
  <c r="J9" i="21"/>
  <c r="J10" i="21"/>
  <c r="J11" i="21"/>
  <c r="J12" i="21"/>
  <c r="J13" i="21"/>
  <c r="J9" i="22"/>
  <c r="J10" i="22"/>
  <c r="J11" i="22"/>
  <c r="J12" i="22"/>
  <c r="J13" i="22"/>
  <c r="J9" i="23"/>
  <c r="J10" i="23"/>
  <c r="J11" i="23"/>
  <c r="J12" i="23"/>
  <c r="J13" i="23"/>
  <c r="J9" i="24"/>
  <c r="J10" i="24"/>
  <c r="J11" i="24"/>
  <c r="J12" i="24"/>
  <c r="J13" i="24"/>
  <c r="J9" i="25"/>
  <c r="J10" i="25"/>
  <c r="J11" i="25"/>
  <c r="J12" i="25"/>
  <c r="J13" i="25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W12" i="6"/>
  <c r="W11" i="6"/>
  <c r="W10" i="6"/>
  <c r="W9" i="6"/>
  <c r="W8" i="6"/>
  <c r="V8" i="6"/>
  <c r="R8" i="6"/>
  <c r="U14" i="7"/>
  <c r="U17" i="7" s="1"/>
  <c r="T14" i="7"/>
  <c r="T17" i="7" s="1"/>
  <c r="S14" i="7"/>
  <c r="S15" i="7" s="1"/>
  <c r="S16" i="7" s="1"/>
  <c r="Q14" i="7"/>
  <c r="P14" i="7"/>
  <c r="P17" i="7" s="1"/>
  <c r="O14" i="7"/>
  <c r="W12" i="7"/>
  <c r="W11" i="7"/>
  <c r="W10" i="7"/>
  <c r="W9" i="7"/>
  <c r="W8" i="7"/>
  <c r="V8" i="7"/>
  <c r="V14" i="7" s="1"/>
  <c r="R8" i="7"/>
  <c r="R14" i="7" s="1"/>
  <c r="U14" i="8"/>
  <c r="U15" i="8" s="1"/>
  <c r="U16" i="8" s="1"/>
  <c r="T14" i="8"/>
  <c r="T15" i="8" s="1"/>
  <c r="T16" i="8" s="1"/>
  <c r="S14" i="8"/>
  <c r="S17" i="8" s="1"/>
  <c r="Q14" i="8"/>
  <c r="Q15" i="8" s="1"/>
  <c r="Q16" i="8" s="1"/>
  <c r="P14" i="8"/>
  <c r="P17" i="8" s="1"/>
  <c r="O14" i="8"/>
  <c r="O16" i="8" s="1"/>
  <c r="W12" i="8"/>
  <c r="W11" i="8"/>
  <c r="W10" i="8"/>
  <c r="W9" i="8"/>
  <c r="W8" i="8"/>
  <c r="V8" i="8"/>
  <c r="R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U14" i="10"/>
  <c r="U17" i="10" s="1"/>
  <c r="T14" i="10"/>
  <c r="T17" i="10" s="1"/>
  <c r="S14" i="10"/>
  <c r="S15" i="10" s="1"/>
  <c r="S16" i="10" s="1"/>
  <c r="Q14" i="10"/>
  <c r="P14" i="10"/>
  <c r="P17" i="10" s="1"/>
  <c r="O14" i="10"/>
  <c r="W12" i="10"/>
  <c r="W11" i="10"/>
  <c r="W10" i="10"/>
  <c r="W9" i="10"/>
  <c r="W8" i="10"/>
  <c r="V8" i="10"/>
  <c r="R8" i="10"/>
  <c r="U14" i="11"/>
  <c r="U17" i="11" s="1"/>
  <c r="T14" i="11"/>
  <c r="T17" i="11" s="1"/>
  <c r="S14" i="11"/>
  <c r="S15" i="11" s="1"/>
  <c r="S16" i="11" s="1"/>
  <c r="Q14" i="11"/>
  <c r="P14" i="11"/>
  <c r="P15" i="11" s="1"/>
  <c r="P16" i="11" s="1"/>
  <c r="O14" i="11"/>
  <c r="W12" i="11"/>
  <c r="W11" i="11"/>
  <c r="W10" i="11"/>
  <c r="W9" i="11"/>
  <c r="W8" i="11"/>
  <c r="V8" i="11"/>
  <c r="V14" i="11" s="1"/>
  <c r="R8" i="11"/>
  <c r="R14" i="11" s="1"/>
  <c r="U14" i="12"/>
  <c r="U15" i="12" s="1"/>
  <c r="U16" i="12" s="1"/>
  <c r="T14" i="12"/>
  <c r="T15" i="12" s="1"/>
  <c r="T16" i="12" s="1"/>
  <c r="S14" i="12"/>
  <c r="S17" i="12" s="1"/>
  <c r="Q14" i="12"/>
  <c r="Q15" i="12" s="1"/>
  <c r="Q16" i="12" s="1"/>
  <c r="P14" i="12"/>
  <c r="P15" i="12" s="1"/>
  <c r="P16" i="12" s="1"/>
  <c r="O14" i="12"/>
  <c r="O16" i="12" s="1"/>
  <c r="W12" i="12"/>
  <c r="W11" i="12"/>
  <c r="W10" i="12"/>
  <c r="W9" i="12"/>
  <c r="W8" i="12"/>
  <c r="V8" i="12"/>
  <c r="V14" i="12" s="1"/>
  <c r="R8" i="12"/>
  <c r="U14" i="13"/>
  <c r="U17" i="13" s="1"/>
  <c r="T14" i="13"/>
  <c r="T17" i="13" s="1"/>
  <c r="S14" i="13"/>
  <c r="S15" i="13" s="1"/>
  <c r="S16" i="13" s="1"/>
  <c r="Q14" i="13"/>
  <c r="P14" i="13"/>
  <c r="P15" i="13" s="1"/>
  <c r="P16" i="13" s="1"/>
  <c r="O14" i="13"/>
  <c r="W12" i="13"/>
  <c r="W11" i="13"/>
  <c r="W10" i="13"/>
  <c r="W9" i="13"/>
  <c r="W8" i="13"/>
  <c r="V8" i="13"/>
  <c r="R8" i="13"/>
  <c r="U14" i="14"/>
  <c r="U15" i="14" s="1"/>
  <c r="U16" i="14" s="1"/>
  <c r="T14" i="14"/>
  <c r="T15" i="14" s="1"/>
  <c r="T16" i="14" s="1"/>
  <c r="S14" i="14"/>
  <c r="S17" i="14" s="1"/>
  <c r="Q14" i="14"/>
  <c r="Q15" i="14" s="1"/>
  <c r="Q16" i="14" s="1"/>
  <c r="P14" i="14"/>
  <c r="P17" i="14" s="1"/>
  <c r="O14" i="14"/>
  <c r="W12" i="14"/>
  <c r="W11" i="14"/>
  <c r="W10" i="14"/>
  <c r="W9" i="14"/>
  <c r="W8" i="14"/>
  <c r="V8" i="14"/>
  <c r="V14" i="14" s="1"/>
  <c r="R8" i="14"/>
  <c r="U14" i="15"/>
  <c r="T14" i="15"/>
  <c r="T17" i="15" s="1"/>
  <c r="S14" i="15"/>
  <c r="S17" i="15" s="1"/>
  <c r="Q14" i="15"/>
  <c r="P14" i="15"/>
  <c r="P17" i="15" s="1"/>
  <c r="O14" i="15"/>
  <c r="O17" i="15" s="1"/>
  <c r="W12" i="15"/>
  <c r="W11" i="15"/>
  <c r="W10" i="15"/>
  <c r="W9" i="15"/>
  <c r="W8" i="15"/>
  <c r="V8" i="15"/>
  <c r="R8" i="15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U14" i="17"/>
  <c r="U17" i="17" s="1"/>
  <c r="T14" i="17"/>
  <c r="T17" i="17" s="1"/>
  <c r="S14" i="17"/>
  <c r="S15" i="17" s="1"/>
  <c r="S16" i="17" s="1"/>
  <c r="Q14" i="17"/>
  <c r="P14" i="17"/>
  <c r="P17" i="17" s="1"/>
  <c r="O14" i="17"/>
  <c r="W13" i="17"/>
  <c r="W12" i="17"/>
  <c r="W11" i="17"/>
  <c r="W10" i="17"/>
  <c r="W9" i="17"/>
  <c r="W8" i="17"/>
  <c r="V8" i="17"/>
  <c r="R8" i="17"/>
  <c r="R14" i="17" s="1"/>
  <c r="S17" i="18"/>
  <c r="U14" i="18"/>
  <c r="U17" i="18" s="1"/>
  <c r="T14" i="18"/>
  <c r="T15" i="18" s="1"/>
  <c r="T16" i="18" s="1"/>
  <c r="S14" i="18"/>
  <c r="S15" i="18" s="1"/>
  <c r="S16" i="18" s="1"/>
  <c r="Q14" i="18"/>
  <c r="Q17" i="18" s="1"/>
  <c r="P14" i="18"/>
  <c r="P15" i="18" s="1"/>
  <c r="P16" i="18" s="1"/>
  <c r="O14" i="18"/>
  <c r="O17" i="18" s="1"/>
  <c r="W12" i="18"/>
  <c r="W11" i="18"/>
  <c r="W10" i="18"/>
  <c r="W9" i="18"/>
  <c r="W8" i="18"/>
  <c r="V8" i="18"/>
  <c r="V14" i="18" s="1"/>
  <c r="R8" i="18"/>
  <c r="R14" i="18" s="1"/>
  <c r="U14" i="19"/>
  <c r="U15" i="19" s="1"/>
  <c r="U16" i="19" s="1"/>
  <c r="T14" i="19"/>
  <c r="T17" i="19" s="1"/>
  <c r="S14" i="19"/>
  <c r="S17" i="19" s="1"/>
  <c r="Q14" i="19"/>
  <c r="Q15" i="19" s="1"/>
  <c r="Q16" i="19" s="1"/>
  <c r="P14" i="19"/>
  <c r="O14" i="19"/>
  <c r="O16" i="19" s="1"/>
  <c r="W12" i="19"/>
  <c r="W11" i="19"/>
  <c r="W10" i="19"/>
  <c r="W9" i="19"/>
  <c r="W8" i="19"/>
  <c r="V8" i="19"/>
  <c r="R8" i="19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12" i="20"/>
  <c r="W11" i="20"/>
  <c r="W10" i="20"/>
  <c r="W9" i="20"/>
  <c r="W8" i="20"/>
  <c r="V8" i="20"/>
  <c r="R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W12" i="21"/>
  <c r="W11" i="21"/>
  <c r="W10" i="21"/>
  <c r="W9" i="21"/>
  <c r="W8" i="21"/>
  <c r="V8" i="21"/>
  <c r="R8" i="21"/>
  <c r="U14" i="22"/>
  <c r="U17" i="22" s="1"/>
  <c r="T14" i="22"/>
  <c r="T15" i="22" s="1"/>
  <c r="T16" i="22" s="1"/>
  <c r="S14" i="22"/>
  <c r="S15" i="22" s="1"/>
  <c r="S16" i="22" s="1"/>
  <c r="Q14" i="22"/>
  <c r="Q17" i="22" s="1"/>
  <c r="P14" i="22"/>
  <c r="P15" i="22" s="1"/>
  <c r="P16" i="22" s="1"/>
  <c r="O14" i="22"/>
  <c r="O17" i="22" s="1"/>
  <c r="W12" i="22"/>
  <c r="W11" i="22"/>
  <c r="W10" i="22"/>
  <c r="W9" i="22"/>
  <c r="W8" i="22"/>
  <c r="V8" i="22"/>
  <c r="V14" i="22" s="1"/>
  <c r="R8" i="22"/>
  <c r="R14" i="22" s="1"/>
  <c r="U14" i="23"/>
  <c r="U15" i="23" s="1"/>
  <c r="U16" i="23" s="1"/>
  <c r="T14" i="23"/>
  <c r="T17" i="23" s="1"/>
  <c r="S14" i="23"/>
  <c r="S17" i="23" s="1"/>
  <c r="Q14" i="23"/>
  <c r="Q15" i="23" s="1"/>
  <c r="Q16" i="23" s="1"/>
  <c r="P14" i="23"/>
  <c r="O14" i="23"/>
  <c r="O16" i="23" s="1"/>
  <c r="W12" i="23"/>
  <c r="W11" i="23"/>
  <c r="W10" i="23"/>
  <c r="W9" i="23"/>
  <c r="W8" i="23"/>
  <c r="V8" i="23"/>
  <c r="V14" i="23" s="1"/>
  <c r="R8" i="23"/>
  <c r="R14" i="23" s="1"/>
  <c r="U14" i="24"/>
  <c r="U17" i="24" s="1"/>
  <c r="T14" i="24"/>
  <c r="T15" i="24" s="1"/>
  <c r="T16" i="24" s="1"/>
  <c r="S14" i="24"/>
  <c r="S15" i="24" s="1"/>
  <c r="S16" i="24" s="1"/>
  <c r="Q14" i="24"/>
  <c r="Q17" i="24" s="1"/>
  <c r="P14" i="24"/>
  <c r="P15" i="24" s="1"/>
  <c r="P16" i="24" s="1"/>
  <c r="O14" i="24"/>
  <c r="O17" i="24" s="1"/>
  <c r="W12" i="24"/>
  <c r="W11" i="24"/>
  <c r="W10" i="24"/>
  <c r="W9" i="24"/>
  <c r="W8" i="24"/>
  <c r="V8" i="24"/>
  <c r="R8" i="24"/>
  <c r="U14" i="25"/>
  <c r="U15" i="25" s="1"/>
  <c r="U16" i="25" s="1"/>
  <c r="T14" i="25"/>
  <c r="T17" i="25" s="1"/>
  <c r="S14" i="25"/>
  <c r="S17" i="25" s="1"/>
  <c r="Q14" i="25"/>
  <c r="Q15" i="25" s="1"/>
  <c r="Q16" i="25" s="1"/>
  <c r="P14" i="25"/>
  <c r="O14" i="25"/>
  <c r="O16" i="25" s="1"/>
  <c r="W12" i="25"/>
  <c r="W11" i="25"/>
  <c r="W10" i="25"/>
  <c r="W9" i="25"/>
  <c r="W8" i="25"/>
  <c r="V8" i="25"/>
  <c r="R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P15" i="15" l="1"/>
  <c r="P16" i="15" s="1"/>
  <c r="S17" i="20"/>
  <c r="P17" i="16"/>
  <c r="Q17" i="23"/>
  <c r="Q15" i="22"/>
  <c r="Q16" i="22" s="1"/>
  <c r="P15" i="14"/>
  <c r="P16" i="14" s="1"/>
  <c r="Q17" i="5"/>
  <c r="V15" i="31"/>
  <c r="V16" i="31" s="1"/>
  <c r="S17" i="31"/>
  <c r="U17" i="25"/>
  <c r="U17" i="21"/>
  <c r="S17" i="26"/>
  <c r="T17" i="16"/>
  <c r="T15" i="15"/>
  <c r="T16" i="15" s="1"/>
  <c r="T17" i="14"/>
  <c r="U17" i="23"/>
  <c r="V14" i="17"/>
  <c r="U17" i="28"/>
  <c r="P17" i="11"/>
  <c r="P15" i="7"/>
  <c r="P16" i="7" s="1"/>
  <c r="S17" i="4"/>
  <c r="R17" i="29"/>
  <c r="R14" i="25"/>
  <c r="T14" i="29"/>
  <c r="R15" i="28"/>
  <c r="R16" i="28" s="1"/>
  <c r="T14" i="31"/>
  <c r="Q17" i="25"/>
  <c r="Q15" i="24"/>
  <c r="Q16" i="24" s="1"/>
  <c r="R14" i="16"/>
  <c r="R14" i="13"/>
  <c r="R14" i="12"/>
  <c r="P17" i="12"/>
  <c r="P15" i="8"/>
  <c r="P16" i="8" s="1"/>
  <c r="R15" i="30"/>
  <c r="R16" i="30" s="1"/>
  <c r="S17" i="22"/>
  <c r="T17" i="12"/>
  <c r="V14" i="20"/>
  <c r="V14" i="15"/>
  <c r="V14" i="8"/>
  <c r="W14" i="6"/>
  <c r="X14" i="29"/>
  <c r="W17" i="29"/>
  <c r="W15" i="30"/>
  <c r="W16" i="30" s="1"/>
  <c r="S17" i="24"/>
  <c r="Y14" i="29"/>
  <c r="V17" i="29"/>
  <c r="U17" i="27"/>
  <c r="V14" i="13"/>
  <c r="X14" i="31"/>
  <c r="U15" i="32"/>
  <c r="U16" i="32" s="1"/>
  <c r="V14" i="25"/>
  <c r="V14" i="24"/>
  <c r="V14" i="21"/>
  <c r="U15" i="20"/>
  <c r="U16" i="20" s="1"/>
  <c r="U17" i="19"/>
  <c r="T17" i="8"/>
  <c r="W14" i="7"/>
  <c r="X14" i="28"/>
  <c r="U17" i="30"/>
  <c r="Q17" i="27"/>
  <c r="Q15" i="26"/>
  <c r="Q16" i="26" s="1"/>
  <c r="Q17" i="21"/>
  <c r="Q15" i="20"/>
  <c r="Q16" i="20" s="1"/>
  <c r="R14" i="19"/>
  <c r="R14" i="14"/>
  <c r="P17" i="13"/>
  <c r="R14" i="10"/>
  <c r="R14" i="9"/>
  <c r="R14" i="8"/>
  <c r="P17" i="28"/>
  <c r="Y14" i="30"/>
  <c r="Q15" i="31"/>
  <c r="Q16" i="31" s="1"/>
  <c r="W14" i="20"/>
  <c r="W14" i="11"/>
  <c r="P15" i="10"/>
  <c r="P16" i="10" s="1"/>
  <c r="P15" i="9"/>
  <c r="P16" i="9" s="1"/>
  <c r="P17" i="30"/>
  <c r="Y14" i="31"/>
  <c r="W14" i="23"/>
  <c r="R14" i="21"/>
  <c r="O17" i="20"/>
  <c r="Q17" i="19"/>
  <c r="Q15" i="18"/>
  <c r="Q16" i="18" s="1"/>
  <c r="P15" i="17"/>
  <c r="P16" i="17" s="1"/>
  <c r="W14" i="9"/>
  <c r="R14" i="6"/>
  <c r="P15" i="6"/>
  <c r="P16" i="6" s="1"/>
  <c r="O15" i="5"/>
  <c r="O16" i="5" s="1"/>
  <c r="Q15" i="4"/>
  <c r="Q16" i="4" s="1"/>
  <c r="S15" i="21"/>
  <c r="S16" i="21" s="1"/>
  <c r="Q17" i="15"/>
  <c r="Q15" i="15"/>
  <c r="Q16" i="15" s="1"/>
  <c r="O17" i="14"/>
  <c r="W14" i="14"/>
  <c r="O16" i="14"/>
  <c r="R15" i="31"/>
  <c r="R16" i="31" s="1"/>
  <c r="W15" i="31"/>
  <c r="W16" i="31" s="1"/>
  <c r="P17" i="31"/>
  <c r="U17" i="31"/>
  <c r="W14" i="32"/>
  <c r="S15" i="32"/>
  <c r="S16" i="32" s="1"/>
  <c r="W14" i="25"/>
  <c r="S15" i="23"/>
  <c r="S16" i="23" s="1"/>
  <c r="W14" i="22"/>
  <c r="U15" i="22"/>
  <c r="U16" i="22" s="1"/>
  <c r="P17" i="21"/>
  <c r="P15" i="21"/>
  <c r="P16" i="21" s="1"/>
  <c r="R14" i="20"/>
  <c r="V14" i="19"/>
  <c r="W14" i="17"/>
  <c r="T15" i="17"/>
  <c r="T16" i="17" s="1"/>
  <c r="O17" i="16"/>
  <c r="W14" i="16"/>
  <c r="P17" i="27"/>
  <c r="P15" i="27"/>
  <c r="P16" i="27" s="1"/>
  <c r="P17" i="19"/>
  <c r="P15" i="19"/>
  <c r="P16" i="19" s="1"/>
  <c r="P16" i="31"/>
  <c r="T15" i="32"/>
  <c r="T16" i="32" s="1"/>
  <c r="T17" i="32"/>
  <c r="P15" i="32"/>
  <c r="P16" i="32" s="1"/>
  <c r="O17" i="32"/>
  <c r="W14" i="27"/>
  <c r="S15" i="25"/>
  <c r="S16" i="25" s="1"/>
  <c r="W14" i="24"/>
  <c r="U15" i="24"/>
  <c r="U16" i="24" s="1"/>
  <c r="P17" i="23"/>
  <c r="P15" i="23"/>
  <c r="P16" i="23" s="1"/>
  <c r="W14" i="19"/>
  <c r="W17" i="28"/>
  <c r="W15" i="28"/>
  <c r="W16" i="28" s="1"/>
  <c r="Q15" i="32"/>
  <c r="Q16" i="32" s="1"/>
  <c r="S15" i="27"/>
  <c r="S16" i="27" s="1"/>
  <c r="W14" i="26"/>
  <c r="U15" i="26"/>
  <c r="U16" i="26" s="1"/>
  <c r="P17" i="25"/>
  <c r="P15" i="25"/>
  <c r="P16" i="25" s="1"/>
  <c r="R14" i="24"/>
  <c r="W14" i="21"/>
  <c r="S15" i="19"/>
  <c r="S16" i="19" s="1"/>
  <c r="W14" i="18"/>
  <c r="U15" i="18"/>
  <c r="U16" i="18" s="1"/>
  <c r="Q17" i="17"/>
  <c r="Q15" i="17"/>
  <c r="Q16" i="17" s="1"/>
  <c r="O16" i="16"/>
  <c r="R14" i="15"/>
  <c r="T15" i="13"/>
  <c r="T16" i="13" s="1"/>
  <c r="T15" i="27"/>
  <c r="T16" i="27" s="1"/>
  <c r="O16" i="26"/>
  <c r="P17" i="26"/>
  <c r="T17" i="26"/>
  <c r="T15" i="25"/>
  <c r="T16" i="25" s="1"/>
  <c r="O16" i="24"/>
  <c r="P17" i="24"/>
  <c r="T17" i="24"/>
  <c r="T15" i="23"/>
  <c r="T16" i="23" s="1"/>
  <c r="O16" i="22"/>
  <c r="P17" i="22"/>
  <c r="T17" i="22"/>
  <c r="T15" i="21"/>
  <c r="T16" i="21" s="1"/>
  <c r="O16" i="20"/>
  <c r="P17" i="20"/>
  <c r="T17" i="20"/>
  <c r="T15" i="19"/>
  <c r="T16" i="19" s="1"/>
  <c r="O16" i="18"/>
  <c r="P17" i="18"/>
  <c r="T17" i="18"/>
  <c r="U15" i="17"/>
  <c r="U16" i="17" s="1"/>
  <c r="O17" i="17"/>
  <c r="S17" i="17"/>
  <c r="S15" i="16"/>
  <c r="S16" i="16" s="1"/>
  <c r="Q17" i="16"/>
  <c r="U17" i="16"/>
  <c r="U17" i="15"/>
  <c r="U15" i="15"/>
  <c r="U16" i="15" s="1"/>
  <c r="O16" i="15"/>
  <c r="Q17" i="13"/>
  <c r="Q15" i="13"/>
  <c r="Q16" i="13" s="1"/>
  <c r="O17" i="12"/>
  <c r="W14" i="12"/>
  <c r="V14" i="10"/>
  <c r="W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O17" i="25"/>
  <c r="O17" i="23"/>
  <c r="O17" i="21"/>
  <c r="O17" i="19"/>
  <c r="O16" i="17"/>
  <c r="Q17" i="11"/>
  <c r="Q15" i="11"/>
  <c r="Q16" i="11" s="1"/>
  <c r="T15" i="11"/>
  <c r="T16" i="11" s="1"/>
  <c r="T15" i="10"/>
  <c r="T16" i="10" s="1"/>
  <c r="T15" i="9"/>
  <c r="T16" i="9" s="1"/>
  <c r="T17" i="6"/>
  <c r="V14" i="6"/>
  <c r="W14" i="15"/>
  <c r="S15" i="15"/>
  <c r="S16" i="15" s="1"/>
  <c r="W14" i="13"/>
  <c r="Q17" i="10"/>
  <c r="Q15" i="10"/>
  <c r="Q16" i="10" s="1"/>
  <c r="Q17" i="9"/>
  <c r="Q15" i="9"/>
  <c r="Q16" i="9" s="1"/>
  <c r="O17" i="8"/>
  <c r="W14" i="8"/>
  <c r="Q17" i="7"/>
  <c r="Q15" i="7"/>
  <c r="Q16" i="7" s="1"/>
  <c r="T15" i="7"/>
  <c r="T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S15" i="14"/>
  <c r="S16" i="14" s="1"/>
  <c r="Q17" i="14"/>
  <c r="U17" i="14"/>
  <c r="U15" i="13"/>
  <c r="U16" i="13" s="1"/>
  <c r="O17" i="13"/>
  <c r="S17" i="13"/>
  <c r="S15" i="12"/>
  <c r="S16" i="12" s="1"/>
  <c r="Q17" i="12"/>
  <c r="U17" i="12"/>
  <c r="U15" i="11"/>
  <c r="U16" i="11" s="1"/>
  <c r="O17" i="11"/>
  <c r="S17" i="11"/>
  <c r="U15" i="10"/>
  <c r="U16" i="10" s="1"/>
  <c r="O17" i="10"/>
  <c r="S17" i="10"/>
  <c r="U15" i="9"/>
  <c r="U16" i="9" s="1"/>
  <c r="O17" i="9"/>
  <c r="S17" i="9"/>
  <c r="S15" i="8"/>
  <c r="S16" i="8" s="1"/>
  <c r="Q17" i="8"/>
  <c r="U17" i="8"/>
  <c r="U15" i="7"/>
  <c r="U16" i="7" s="1"/>
  <c r="O17" i="7"/>
  <c r="S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O16" i="13"/>
  <c r="O16" i="11"/>
  <c r="O16" i="10"/>
  <c r="O16" i="9"/>
  <c r="O16" i="7"/>
  <c r="O16" i="6"/>
  <c r="N16" i="5"/>
  <c r="P16" i="4"/>
  <c r="Y14" i="28"/>
  <c r="P17" i="29"/>
  <c r="X12" i="24"/>
  <c r="X11" i="24"/>
  <c r="X10" i="24"/>
  <c r="X9" i="24"/>
  <c r="X8" i="24"/>
  <c r="X12" i="21"/>
  <c r="X11" i="21"/>
  <c r="X10" i="21"/>
  <c r="X9" i="21"/>
  <c r="X8" i="21"/>
  <c r="W17" i="21" l="1"/>
  <c r="W17" i="24"/>
  <c r="Y17" i="4"/>
  <c r="W17" i="20"/>
  <c r="W17" i="22"/>
  <c r="W17" i="32"/>
  <c r="Y17" i="30"/>
  <c r="W17" i="18"/>
  <c r="W17" i="14"/>
  <c r="W17" i="23"/>
  <c r="W17" i="26"/>
  <c r="Y17" i="28"/>
  <c r="W17" i="7"/>
  <c r="W17" i="8"/>
  <c r="W17" i="12"/>
  <c r="W17" i="16"/>
  <c r="W17" i="11"/>
  <c r="W17" i="6"/>
  <c r="W17" i="10"/>
  <c r="W17" i="25"/>
  <c r="W17" i="15"/>
  <c r="Y17" i="29"/>
  <c r="V17" i="5"/>
  <c r="W17" i="9"/>
  <c r="W17" i="13"/>
  <c r="W17" i="19"/>
  <c r="W17" i="27"/>
  <c r="W17" i="17"/>
  <c r="Y17" i="31"/>
  <c r="X14" i="24"/>
  <c r="X17" i="24" l="1"/>
  <c r="K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K9" i="7"/>
  <c r="K10" i="7"/>
  <c r="K11" i="7"/>
  <c r="K12" i="7"/>
  <c r="K9" i="8"/>
  <c r="K10" i="8"/>
  <c r="K11" i="8"/>
  <c r="K12" i="8"/>
  <c r="K9" i="9"/>
  <c r="K10" i="9"/>
  <c r="K11" i="9"/>
  <c r="K12" i="9"/>
  <c r="K9" i="10"/>
  <c r="K10" i="10"/>
  <c r="K11" i="10"/>
  <c r="K12" i="10"/>
  <c r="K9" i="11"/>
  <c r="K10" i="11"/>
  <c r="K11" i="11"/>
  <c r="K12" i="11"/>
  <c r="K9" i="12"/>
  <c r="K10" i="12"/>
  <c r="K11" i="12"/>
  <c r="K12" i="12"/>
  <c r="K9" i="13"/>
  <c r="K10" i="13"/>
  <c r="K11" i="13"/>
  <c r="K12" i="13"/>
  <c r="K9" i="14"/>
  <c r="K10" i="14"/>
  <c r="K11" i="14"/>
  <c r="K12" i="14"/>
  <c r="K9" i="15"/>
  <c r="K10" i="15"/>
  <c r="K11" i="15"/>
  <c r="K12" i="15"/>
  <c r="K9" i="16"/>
  <c r="K10" i="16"/>
  <c r="K11" i="16"/>
  <c r="K12" i="16"/>
  <c r="K9" i="17"/>
  <c r="K10" i="17"/>
  <c r="K11" i="17"/>
  <c r="K12" i="17"/>
  <c r="K9" i="18"/>
  <c r="K10" i="18"/>
  <c r="K11" i="18"/>
  <c r="K12" i="18"/>
  <c r="K9" i="19"/>
  <c r="K10" i="19"/>
  <c r="K11" i="19"/>
  <c r="K12" i="19"/>
  <c r="K9" i="20"/>
  <c r="K10" i="20"/>
  <c r="K11" i="20"/>
  <c r="K12" i="20"/>
  <c r="K9" i="21"/>
  <c r="K10" i="21"/>
  <c r="K11" i="21"/>
  <c r="K12" i="21"/>
  <c r="K9" i="22"/>
  <c r="K10" i="22"/>
  <c r="K11" i="22"/>
  <c r="K12" i="22"/>
  <c r="K9" i="23"/>
  <c r="K10" i="23"/>
  <c r="K11" i="23"/>
  <c r="K12" i="23"/>
  <c r="K9" i="24"/>
  <c r="K10" i="24"/>
  <c r="K11" i="24"/>
  <c r="K12" i="24"/>
  <c r="K9" i="25"/>
  <c r="K10" i="25"/>
  <c r="K11" i="25"/>
  <c r="K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K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7" l="1"/>
  <c r="J8" i="8"/>
  <c r="J8" i="9"/>
  <c r="J8" i="10"/>
  <c r="J8" i="11"/>
  <c r="J8" i="12"/>
  <c r="J8" i="13"/>
  <c r="J8" i="14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J14" i="25"/>
  <c r="I14" i="25"/>
  <c r="H14" i="25"/>
  <c r="G14" i="25"/>
  <c r="F14" i="25"/>
  <c r="E14" i="25"/>
  <c r="D14" i="25"/>
  <c r="C14" i="25"/>
  <c r="J14" i="24"/>
  <c r="I14" i="24"/>
  <c r="H14" i="24"/>
  <c r="G14" i="24"/>
  <c r="F14" i="24"/>
  <c r="E14" i="24"/>
  <c r="D14" i="24"/>
  <c r="C14" i="24"/>
  <c r="J14" i="23"/>
  <c r="I14" i="23"/>
  <c r="H14" i="23"/>
  <c r="G14" i="23"/>
  <c r="G15" i="23" s="1"/>
  <c r="G16" i="23" s="1"/>
  <c r="F14" i="23"/>
  <c r="E14" i="23"/>
  <c r="D14" i="23"/>
  <c r="C14" i="23"/>
  <c r="J14" i="22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J14" i="19"/>
  <c r="I14" i="19"/>
  <c r="H14" i="19"/>
  <c r="G14" i="19"/>
  <c r="F14" i="19"/>
  <c r="E14" i="19"/>
  <c r="D14" i="19"/>
  <c r="C14" i="19"/>
  <c r="J14" i="18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K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K14" i="18"/>
  <c r="D17" i="18"/>
  <c r="D15" i="18"/>
  <c r="D16" i="18" s="1"/>
  <c r="D17" i="22"/>
  <c r="D15" i="22"/>
  <c r="D16" i="22" s="1"/>
  <c r="C17" i="23"/>
  <c r="K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K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K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K14" i="19"/>
  <c r="D15" i="19"/>
  <c r="D16" i="19" s="1"/>
  <c r="J14" i="17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J14" i="15"/>
  <c r="I14" i="15"/>
  <c r="H14" i="15"/>
  <c r="G14" i="15"/>
  <c r="F14" i="15"/>
  <c r="E14" i="15"/>
  <c r="D14" i="15"/>
  <c r="C14" i="15"/>
  <c r="J14" i="14"/>
  <c r="I14" i="14"/>
  <c r="H14" i="14"/>
  <c r="G14" i="14"/>
  <c r="F14" i="14"/>
  <c r="E14" i="14"/>
  <c r="D14" i="14"/>
  <c r="C14" i="14"/>
  <c r="J14" i="13"/>
  <c r="I14" i="13"/>
  <c r="H14" i="13"/>
  <c r="G14" i="13"/>
  <c r="G15" i="13" s="1"/>
  <c r="G16" i="13" s="1"/>
  <c r="F14" i="13"/>
  <c r="E14" i="13"/>
  <c r="D14" i="13"/>
  <c r="C14" i="13"/>
  <c r="J14" i="12"/>
  <c r="I14" i="12"/>
  <c r="H14" i="12"/>
  <c r="G14" i="12"/>
  <c r="F14" i="12"/>
  <c r="E14" i="12"/>
  <c r="D14" i="12"/>
  <c r="C14" i="12"/>
  <c r="J14" i="11"/>
  <c r="I14" i="11"/>
  <c r="H14" i="11"/>
  <c r="G14" i="11"/>
  <c r="G15" i="11" s="1"/>
  <c r="G16" i="11" s="1"/>
  <c r="F14" i="11"/>
  <c r="E14" i="11"/>
  <c r="D14" i="11"/>
  <c r="C14" i="11"/>
  <c r="J14" i="10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J14" i="8"/>
  <c r="I14" i="8"/>
  <c r="H14" i="8"/>
  <c r="G14" i="8"/>
  <c r="F14" i="8"/>
  <c r="E14" i="8"/>
  <c r="D14" i="8"/>
  <c r="C14" i="8"/>
  <c r="J14" i="7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K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K17" i="23"/>
  <c r="K17" i="27"/>
  <c r="C17" i="5"/>
  <c r="C16" i="5"/>
  <c r="C17" i="8"/>
  <c r="K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K14" i="7"/>
  <c r="C16" i="7"/>
  <c r="F17" i="8"/>
  <c r="F15" i="8"/>
  <c r="F16" i="8" s="1"/>
  <c r="E17" i="9"/>
  <c r="E15" i="9"/>
  <c r="E16" i="9" s="1"/>
  <c r="C17" i="11"/>
  <c r="C16" i="11"/>
  <c r="K14" i="11"/>
  <c r="K17" i="22"/>
  <c r="L17" i="28"/>
  <c r="K17" i="25"/>
  <c r="K17" i="24"/>
  <c r="K17" i="21"/>
  <c r="K17" i="20"/>
  <c r="K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K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K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K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K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K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K14" i="10"/>
  <c r="G17" i="6"/>
  <c r="J14" i="6"/>
  <c r="K14" i="4"/>
  <c r="J14" i="4"/>
  <c r="I14" i="4"/>
  <c r="H14" i="4"/>
  <c r="G14" i="4"/>
  <c r="F14" i="4"/>
  <c r="E14" i="4"/>
  <c r="D14" i="4"/>
  <c r="C14" i="4"/>
  <c r="K17" i="8" l="1"/>
  <c r="K17" i="7"/>
  <c r="J17" i="4"/>
  <c r="J15" i="4"/>
  <c r="J16" i="4" s="1"/>
  <c r="H17" i="4"/>
  <c r="H15" i="4"/>
  <c r="H16" i="4" s="1"/>
  <c r="I17" i="4"/>
  <c r="I15" i="4"/>
  <c r="I16" i="4" s="1"/>
  <c r="K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K17" i="17"/>
  <c r="K17" i="15"/>
  <c r="K17" i="14"/>
  <c r="K17" i="13"/>
  <c r="K17" i="12"/>
  <c r="K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<sst xmlns="http://schemas.openxmlformats.org/spreadsheetml/2006/main" count="1401" uniqueCount="41">
  <si>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</si>
  <si>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</si>
  <si>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</si>
  <si>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</si>
  <si>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</si>
  <si>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</si>
  <si>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</si>
  <si>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</si>
  <si>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</si>
  <si>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</si>
  <si>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</si>
  <si>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</si>
  <si>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</si>
  <si>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</si>
  <si>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</si>
  <si>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</si>
  <si>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</si>
  <si>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</si>
  <si>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</si>
  <si>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</si>
  <si>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</si>
  <si>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</si>
  <si>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</si>
  <si>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</si>
  <si>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</si>
  <si>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</si>
  <si>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</si>
  <si>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</si>
  <si>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</si>
  <si>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ok</t>
  </si>
  <si>
    <t xml:space="preserve">Executed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</si>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</sst>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2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9" t="s">
        <v>0</v>
      </c>
      <c r="C2" s="60"/>
      <c r="D2" s="60"/>
      <c r="E2" s="60"/>
      <c r="F2" s="60"/>
      <c r="G2" s="60"/>
      <c r="H2" s="60"/>
      <c r="I2" s="60"/>
      <c r="J2" s="60"/>
      <c r="K2" s="61"/>
    </row>
    <row r="3" spans="1:11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</row>
    <row r="4" spans="1:11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</row>
    <row r="5" spans="1:11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</row>
    <row r="6" spans="1:11" ht="15" thickBot="1" x14ac:dyDescent="0.4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33</v>
      </c>
    </row>
    <row r="24" spans="1:11" x14ac:dyDescent="0.35">
      <c r="B24" t="s">
        <v>32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34</v>
      </c>
    </row>
    <row r="28" spans="1:11" x14ac:dyDescent="0.35">
      <c r="B28" t="s">
        <v>35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O18" sqref="O18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  <c r="AB2" t="s">
        <v>38</v>
      </c>
    </row>
    <row r="3" spans="1:30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  <c r="AB3">
        <v>14</v>
      </c>
      <c r="AC3">
        <v>13</v>
      </c>
      <c r="AD3">
        <v>13</v>
      </c>
    </row>
    <row r="4" spans="1:30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30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30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33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32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33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topLeftCell="E1" zoomScaleNormal="100" workbookViewId="0">
      <selection activeCell="O18" sqref="O1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</row>
    <row r="3" spans="1:26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</row>
    <row r="4" spans="1:26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26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26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39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33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40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O18" sqref="O18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</row>
    <row r="3" spans="1:26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</row>
    <row r="4" spans="1:26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26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26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39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33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34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O18" sqref="O18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</row>
    <row r="3" spans="1:26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</row>
    <row r="4" spans="1:26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26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26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39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33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34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</row>
    <row r="3" spans="1:26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</row>
    <row r="4" spans="1:26" ht="14.5" customHeight="1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26" ht="14.5" customHeight="1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26" ht="14.5" customHeight="1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</row>
    <row r="3" spans="1:26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</row>
    <row r="4" spans="1:26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26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26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39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33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Y12" sqref="Y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</row>
    <row r="3" spans="1:26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</row>
    <row r="4" spans="1:26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26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26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39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33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O19" sqref="O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59" t="s">
        <v>36</v>
      </c>
      <c r="C2" s="60"/>
      <c r="D2" s="60"/>
      <c r="E2" s="60"/>
      <c r="F2" s="60"/>
      <c r="G2" s="60"/>
      <c r="H2" s="60"/>
      <c r="I2" s="61"/>
      <c r="L2" s="1"/>
      <c r="M2" s="59" t="s">
        <v>37</v>
      </c>
      <c r="N2" s="60"/>
      <c r="O2" s="60"/>
      <c r="P2" s="60"/>
      <c r="Q2" s="60"/>
      <c r="R2" s="60"/>
      <c r="S2" s="60"/>
      <c r="T2" s="60"/>
      <c r="U2" s="61"/>
    </row>
    <row r="3" spans="1:23" x14ac:dyDescent="0.35">
      <c r="A3" s="1"/>
      <c r="B3" s="62"/>
      <c r="C3" s="63"/>
      <c r="D3" s="63"/>
      <c r="E3" s="63"/>
      <c r="F3" s="63"/>
      <c r="G3" s="63"/>
      <c r="H3" s="63"/>
      <c r="I3" s="64"/>
      <c r="L3" s="1"/>
      <c r="M3" s="62"/>
      <c r="N3" s="63"/>
      <c r="O3" s="63"/>
      <c r="P3" s="63"/>
      <c r="Q3" s="63"/>
      <c r="R3" s="63"/>
      <c r="S3" s="63"/>
      <c r="T3" s="63"/>
      <c r="U3" s="64"/>
    </row>
    <row r="4" spans="1:23" x14ac:dyDescent="0.35">
      <c r="A4" s="1"/>
      <c r="B4" s="62"/>
      <c r="C4" s="63"/>
      <c r="D4" s="63"/>
      <c r="E4" s="63"/>
      <c r="F4" s="63"/>
      <c r="G4" s="63"/>
      <c r="H4" s="63"/>
      <c r="I4" s="64"/>
      <c r="L4" s="1"/>
      <c r="M4" s="62"/>
      <c r="N4" s="63"/>
      <c r="O4" s="63"/>
      <c r="P4" s="63"/>
      <c r="Q4" s="63"/>
      <c r="R4" s="63"/>
      <c r="S4" s="63"/>
      <c r="T4" s="63"/>
      <c r="U4" s="64"/>
    </row>
    <row r="5" spans="1:23" ht="15" thickBot="1" x14ac:dyDescent="0.4">
      <c r="A5" s="1"/>
      <c r="B5" s="65"/>
      <c r="C5" s="66"/>
      <c r="D5" s="66"/>
      <c r="E5" s="66"/>
      <c r="F5" s="66"/>
      <c r="G5" s="66"/>
      <c r="H5" s="66"/>
      <c r="I5" s="67"/>
      <c r="L5" s="1"/>
      <c r="M5" s="65"/>
      <c r="N5" s="66"/>
      <c r="O5" s="66"/>
      <c r="P5" s="66"/>
      <c r="Q5" s="66"/>
      <c r="R5" s="66"/>
      <c r="S5" s="66"/>
      <c r="T5" s="66"/>
      <c r="U5" s="67"/>
    </row>
    <row r="6" spans="1:23" x14ac:dyDescent="0.35">
      <c r="A6" s="1"/>
      <c r="B6" s="2"/>
      <c r="C6" s="3" t="s">
        <v>1</v>
      </c>
      <c r="D6" s="68" t="s">
        <v>2</v>
      </c>
      <c r="E6" s="69"/>
      <c r="F6" s="69"/>
      <c r="G6" s="69"/>
      <c r="H6" s="69"/>
      <c r="I6" s="70"/>
      <c r="L6" s="1"/>
      <c r="M6" s="2"/>
      <c r="N6" s="3" t="s">
        <v>1</v>
      </c>
      <c r="O6" s="68" t="s">
        <v>2</v>
      </c>
      <c r="P6" s="69"/>
      <c r="Q6" s="69"/>
      <c r="R6" s="69" t="s">
        <v>3</v>
      </c>
      <c r="S6" s="69"/>
      <c r="T6" s="69"/>
      <c r="U6" s="70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39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33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tabSelected="1" zoomScaleNormal="10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30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30">
        <f t="shared" ref="R8:R13" si="0">SUM(P8:Q8)/20</f>
        <v>0</v>
      </c>
      <c r="S8" s="12"/>
      <c r="T8" s="12"/>
      <c r="U8" s="12"/>
      <c r="V8" s="30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30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30">
        <f t="shared" si="0"/>
        <v>0</v>
      </c>
      <c r="S9" s="12"/>
      <c r="T9" s="12"/>
      <c r="U9" s="12"/>
      <c r="V9" s="30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30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30">
        <f t="shared" si="0"/>
        <v>0</v>
      </c>
      <c r="S10" s="12"/>
      <c r="T10" s="12"/>
      <c r="U10" s="12"/>
      <c r="V10" s="30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1"/>
        <v>32</v>
      </c>
      <c r="K11">
        <f>SUM(C11:F11,G11,H11,I11)/40</f>
        <v>21.3</v>
      </c>
      <c r="L11" s="71">
        <v>11</v>
      </c>
      <c r="M11" s="11"/>
      <c r="N11" s="10" t="str">
        <f>B11</f>
        <v>Umair</v>
      </c>
      <c r="O11" s="12"/>
      <c r="P11" s="12"/>
      <c r="Q11" s="12"/>
      <c r="R11" s="30">
        <f t="shared" si="0"/>
        <v>0</v>
      </c>
      <c r="S11" s="12"/>
      <c r="T11" s="12"/>
      <c r="U11" s="12"/>
      <c r="V11" s="30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>
        <f t="shared" si="0"/>
        <v>0</v>
      </c>
      <c r="S12" s="12"/>
      <c r="T12" s="12"/>
      <c r="U12" s="12"/>
      <c r="V12" s="30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1"/>
        <v>0</v>
      </c>
      <c r="M13" s="11"/>
      <c r="N13" s="11"/>
      <c r="O13" s="12"/>
      <c r="P13" s="12"/>
      <c r="Q13" s="12"/>
      <c r="R13" s="30">
        <f t="shared" si="0"/>
        <v>0</v>
      </c>
      <c r="S13" s="12"/>
      <c r="T13" s="12"/>
      <c r="U13" s="12"/>
      <c r="V13" s="30">
        <f t="shared" si="2"/>
        <v>0</v>
      </c>
    </row>
    <row r="14" spans="1:24" x14ac:dyDescent="0.35">
      <c r="A14" s="13"/>
      <c r="B14" s="10" t="s">
        <v>16</v>
      </c>
      <c r="C14" s="14">
        <f t="shared" ref="C14:I14" si="3">SUM(C8:C13)</f>
        <v>172</v>
      </c>
      <c r="D14" s="14">
        <f t="shared" si="3"/>
        <v>20</v>
      </c>
      <c r="E14" s="14">
        <f t="shared" si="3"/>
        <v>20</v>
      </c>
      <c r="F14" s="14">
        <f t="shared" si="3"/>
        <v>0</v>
      </c>
      <c r="G14" s="14">
        <f t="shared" si="3"/>
        <v>148</v>
      </c>
      <c r="H14" s="14">
        <f t="shared" si="3"/>
        <v>208</v>
      </c>
      <c r="I14" s="14">
        <f t="shared" si="3"/>
        <v>284</v>
      </c>
      <c r="J14" s="30">
        <f t="shared" ref="J14" si="4">SUM(G14:I14)/20</f>
        <v>32</v>
      </c>
      <c r="K14" s="35">
        <f>C14+D14+E14+F14+G14+H14+I14</f>
        <v>852</v>
      </c>
      <c r="M14" s="13"/>
      <c r="N14" s="10" t="s">
        <v>16</v>
      </c>
      <c r="O14" s="14">
        <f t="shared" ref="O14:U14" si="5">SUM(O8:O13)</f>
        <v>0</v>
      </c>
      <c r="P14" s="14">
        <f t="shared" si="5"/>
        <v>0</v>
      </c>
      <c r="Q14" s="14">
        <f t="shared" si="5"/>
        <v>0</v>
      </c>
      <c r="R14" s="31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30">
        <f t="shared" ref="V14" si="6">SUM(S14:U14)/20</f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1</v>
      </c>
      <c r="E15" s="13">
        <f t="shared" ref="E15:I15" si="7">E14/20</f>
        <v>1</v>
      </c>
      <c r="F15" s="13">
        <f t="shared" si="7"/>
        <v>0</v>
      </c>
      <c r="G15" s="13">
        <f t="shared" si="7"/>
        <v>7.4</v>
      </c>
      <c r="H15" s="13">
        <f t="shared" si="7"/>
        <v>10.4</v>
      </c>
      <c r="I15" s="13">
        <f t="shared" si="7"/>
        <v>14.2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8">Q14/20</f>
        <v>0</v>
      </c>
      <c r="R15" s="13"/>
      <c r="S15" s="13">
        <f t="shared" ref="S15:U15" si="9">S14/20</f>
        <v>0</v>
      </c>
      <c r="T15" s="13">
        <f t="shared" si="9"/>
        <v>0</v>
      </c>
      <c r="U15" s="13">
        <f t="shared" si="9"/>
        <v>0</v>
      </c>
      <c r="V15" s="13"/>
    </row>
    <row r="16" spans="1:24" x14ac:dyDescent="0.35">
      <c r="A16" s="13"/>
      <c r="B16" s="10" t="s">
        <v>21</v>
      </c>
      <c r="C16" s="36">
        <f>C15+C14</f>
        <v>172</v>
      </c>
      <c r="D16" s="36">
        <f t="shared" ref="D16:I16" si="10">D15+D14</f>
        <v>21</v>
      </c>
      <c r="E16" s="36">
        <f t="shared" si="10"/>
        <v>21</v>
      </c>
      <c r="F16" s="36">
        <f t="shared" si="10"/>
        <v>0</v>
      </c>
      <c r="G16" s="36">
        <f t="shared" si="10"/>
        <v>155.4</v>
      </c>
      <c r="H16" s="36">
        <f t="shared" si="10"/>
        <v>218.4</v>
      </c>
      <c r="I16" s="36">
        <f t="shared" si="10"/>
        <v>298.2</v>
      </c>
      <c r="J16" s="36"/>
      <c r="M16" s="13"/>
      <c r="N16" s="10" t="s">
        <v>21</v>
      </c>
      <c r="O16" s="36">
        <f>O15+O14</f>
        <v>0</v>
      </c>
      <c r="P16" s="36">
        <f t="shared" ref="P16:Q16" si="11">P15+P14</f>
        <v>0</v>
      </c>
      <c r="Q16" s="36">
        <f t="shared" si="11"/>
        <v>0</v>
      </c>
      <c r="R16" s="36"/>
      <c r="S16" s="36">
        <f t="shared" ref="S16:U16" si="12">S15+S14</f>
        <v>0</v>
      </c>
      <c r="T16" s="36">
        <f t="shared" si="12"/>
        <v>0</v>
      </c>
      <c r="U16" s="36">
        <f t="shared" si="12"/>
        <v>0</v>
      </c>
      <c r="V16" s="36"/>
    </row>
    <row r="17" spans="1:23" x14ac:dyDescent="0.35">
      <c r="A17" s="13"/>
      <c r="B17" s="39" t="s">
        <v>23</v>
      </c>
      <c r="C17" s="36">
        <f>C14/40</f>
        <v>4.3</v>
      </c>
      <c r="D17" s="36">
        <f t="shared" ref="D17:I17" si="13">D14/40</f>
        <v>0.5</v>
      </c>
      <c r="E17" s="36">
        <f t="shared" si="13"/>
        <v>0.5</v>
      </c>
      <c r="F17" s="36">
        <f t="shared" si="13"/>
        <v>0</v>
      </c>
      <c r="G17" s="36">
        <f t="shared" si="13"/>
        <v>3.7</v>
      </c>
      <c r="H17" s="36">
        <f t="shared" si="13"/>
        <v>5.2</v>
      </c>
      <c r="I17" s="36">
        <f t="shared" si="13"/>
        <v>7.1</v>
      </c>
      <c r="J17" s="36"/>
      <c r="K17" s="35">
        <f>SUM(C17:I17)</f>
        <v>21.299999999999997</v>
      </c>
      <c r="M17" s="13"/>
      <c r="N17" s="39" t="s">
        <v>23</v>
      </c>
      <c r="O17" s="36">
        <f>O14/40</f>
        <v>0</v>
      </c>
      <c r="P17" s="36">
        <f t="shared" ref="P17:Q17" si="14">P14/40</f>
        <v>0</v>
      </c>
      <c r="Q17" s="36">
        <f t="shared" si="14"/>
        <v>0</v>
      </c>
      <c r="R17" s="36"/>
      <c r="S17" s="36">
        <f t="shared" ref="S17:U17" si="15">S14/40</f>
        <v>0</v>
      </c>
      <c r="T17" s="36">
        <f t="shared" si="15"/>
        <v>0</v>
      </c>
      <c r="U17" s="36">
        <f t="shared" si="15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K13" s="42" t="s">
        <v>24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  <c r="W13" s="42" t="s">
        <v>24</v>
      </c>
    </row>
    <row r="14" spans="1:24" x14ac:dyDescent="0.35">
      <c r="A14" s="13"/>
      <c r="B14" s="10" t="s">
        <v>16</v>
      </c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 t="s">
        <v>16</v>
      </c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6"/>
      <c r="K16" s="42" t="s">
        <v>25</v>
      </c>
      <c r="M16" s="13"/>
      <c r="N16" s="10" t="s">
        <v>21</v>
      </c>
      <c r="O16" s="36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6"/>
      <c r="W16" s="42" t="s">
        <v>25</v>
      </c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43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M8" s="27"/>
      <c r="N8" s="43" t="str">
        <f>B8</f>
        <v>Furqan</v>
      </c>
      <c r="O8" s="29"/>
      <c r="P8" s="29"/>
      <c r="Q8" s="29"/>
      <c r="R8" s="28">
        <f t="shared" ref="R8:R13" si="0">SUM(P8:Q8)/20</f>
        <v>0</v>
      </c>
      <c r="S8" s="29"/>
      <c r="T8" s="29"/>
      <c r="U8" s="29"/>
      <c r="V8" s="28">
        <f>SUM(S8:U8)/20</f>
        <v>0</v>
      </c>
      <c r="W8">
        <f>SUM(O8:Q8,S8,T8,U8)/40</f>
        <v>0</v>
      </c>
    </row>
    <row r="9" spans="1:24" x14ac:dyDescent="0.35">
      <c r="A9" s="27"/>
      <c r="B9" s="43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M9" s="27"/>
      <c r="N9" s="43" t="str">
        <f>B9</f>
        <v>Salman</v>
      </c>
      <c r="O9" s="29"/>
      <c r="P9" s="29"/>
      <c r="Q9" s="29"/>
      <c r="R9" s="28">
        <f t="shared" si="0"/>
        <v>0</v>
      </c>
      <c r="S9" s="29"/>
      <c r="T9" s="29"/>
      <c r="U9" s="29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43" t="s">
        <v>39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M10" s="27"/>
      <c r="N10" s="43" t="str">
        <f>B10</f>
        <v>Zesahn</v>
      </c>
      <c r="O10" s="29"/>
      <c r="P10" s="29"/>
      <c r="Q10" s="29"/>
      <c r="R10" s="28">
        <f t="shared" si="0"/>
        <v>0</v>
      </c>
      <c r="S10" s="29"/>
      <c r="T10" s="29"/>
      <c r="U10" s="29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43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43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4.26953125" bestFit="1" customWidth="1"/>
    <col min="17" max="17" width="3.5429687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5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s="44">
        <v>9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s="44">
        <v>6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5">
        <f>SUM(C8:F8,G8,H8,I8)/40</f>
        <v>0</v>
      </c>
      <c r="L8" s="45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5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5">
        <f>SUM(C9:F9,G9,H9,I9)/40</f>
        <v>0</v>
      </c>
      <c r="L9" s="45">
        <v>9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5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5">
        <f>SUM(C10:F10,G10,H10,I10)/40</f>
        <v>0</v>
      </c>
      <c r="L10" s="45">
        <v>17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5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0">
        <f>SUM(C11:F11,G11,H11,I11)/40</f>
        <v>0</v>
      </c>
      <c r="L11" s="40"/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0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0">
        <f>SUM(C12:F12,G12,H12,I12)/40</f>
        <v>0</v>
      </c>
      <c r="L12" s="40"/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0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K13" s="40"/>
      <c r="L13" s="40"/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  <c r="W13" s="40"/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5429687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t="s">
        <v>30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t="s">
        <v>30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t="s">
        <v>30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t="s">
        <v>30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L15" t="s">
        <v>28</v>
      </c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31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t="s">
        <v>31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t="s">
        <v>31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 t="shared" ref="K8:K13" si="0">SUM(C8:F8,G8,H8,I8)/40</f>
        <v>0</v>
      </c>
      <c r="L8" s="44" t="s">
        <v>29</v>
      </c>
      <c r="M8" s="27"/>
      <c r="N8" s="10" t="str">
        <f>B8</f>
        <v>Furqan</v>
      </c>
      <c r="O8" s="12"/>
      <c r="P8" s="12"/>
      <c r="Q8" s="12"/>
      <c r="R8" s="28">
        <f t="shared" ref="R8:R13" si="1">SUM(P8:Q8)/20</f>
        <v>0</v>
      </c>
      <c r="S8" s="12"/>
      <c r="T8" s="12"/>
      <c r="U8" s="12"/>
      <c r="V8" s="28">
        <f>SUM(S8:U8)/20</f>
        <v>0</v>
      </c>
      <c r="W8">
        <f t="shared" ref="W8:W13" si="2"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3">SUM(G9:I9)/20</f>
        <v>0</v>
      </c>
      <c r="K9">
        <f t="shared" si="0"/>
        <v>0</v>
      </c>
      <c r="L9" s="44" t="s">
        <v>29</v>
      </c>
      <c r="M9" s="27"/>
      <c r="N9" s="10" t="str">
        <f>B9</f>
        <v>Salman</v>
      </c>
      <c r="O9" s="12"/>
      <c r="P9" s="12"/>
      <c r="Q9" s="12"/>
      <c r="R9" s="28">
        <f t="shared" si="1"/>
        <v>0</v>
      </c>
      <c r="S9" s="12"/>
      <c r="T9" s="12"/>
      <c r="U9" s="12"/>
      <c r="V9" s="28">
        <f t="shared" ref="V9:V13" si="4">SUM(S9:U9)/20</f>
        <v>0</v>
      </c>
      <c r="W9">
        <f t="shared" si="2"/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3"/>
        <v>0</v>
      </c>
      <c r="K10">
        <f t="shared" si="0"/>
        <v>0</v>
      </c>
      <c r="L10" s="44" t="s">
        <v>29</v>
      </c>
      <c r="M10" s="27"/>
      <c r="N10" s="10" t="str">
        <f>B10</f>
        <v>Zesahn</v>
      </c>
      <c r="O10" s="12"/>
      <c r="P10" s="12"/>
      <c r="Q10" s="12"/>
      <c r="R10" s="28">
        <f t="shared" si="1"/>
        <v>0</v>
      </c>
      <c r="S10" s="12"/>
      <c r="T10" s="12"/>
      <c r="U10" s="12"/>
      <c r="V10" s="28">
        <f t="shared" si="4"/>
        <v>0</v>
      </c>
      <c r="W10">
        <f t="shared" si="2"/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3"/>
        <v>0</v>
      </c>
      <c r="K11">
        <f t="shared" si="0"/>
        <v>0</v>
      </c>
      <c r="L11" s="41" t="s">
        <v>29</v>
      </c>
      <c r="M11" s="11"/>
      <c r="N11" s="10" t="str">
        <f>B11</f>
        <v>Umair</v>
      </c>
      <c r="O11" s="12"/>
      <c r="P11" s="12"/>
      <c r="Q11" s="12"/>
      <c r="R11" s="28">
        <f t="shared" si="1"/>
        <v>0</v>
      </c>
      <c r="S11" s="12"/>
      <c r="T11" s="12"/>
      <c r="U11" s="12"/>
      <c r="V11" s="28">
        <f t="shared" si="4"/>
        <v>0</v>
      </c>
      <c r="W11">
        <f t="shared" si="2"/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3"/>
        <v>0</v>
      </c>
      <c r="K12">
        <f t="shared" si="0"/>
        <v>0</v>
      </c>
      <c r="L12" s="41" t="s">
        <v>29</v>
      </c>
      <c r="M12" s="11"/>
      <c r="N12" s="10" t="str">
        <f>B12</f>
        <v>Mubeen</v>
      </c>
      <c r="O12" s="12"/>
      <c r="P12" s="12"/>
      <c r="Q12" s="12"/>
      <c r="R12" s="28">
        <f t="shared" si="1"/>
        <v>0</v>
      </c>
      <c r="S12" s="12"/>
      <c r="T12" s="12"/>
      <c r="U12" s="12"/>
      <c r="V12" s="28">
        <f t="shared" si="4"/>
        <v>0</v>
      </c>
      <c r="W12">
        <f t="shared" si="2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3"/>
        <v>0</v>
      </c>
      <c r="K13">
        <f t="shared" si="0"/>
        <v>0</v>
      </c>
      <c r="L13" s="41" t="s">
        <v>29</v>
      </c>
      <c r="M13" s="11"/>
      <c r="N13" s="11"/>
      <c r="O13" s="12"/>
      <c r="P13" s="12"/>
      <c r="Q13" s="12"/>
      <c r="R13" s="28">
        <f t="shared" si="1"/>
        <v>0</v>
      </c>
      <c r="S13" s="12"/>
      <c r="T13" s="12"/>
      <c r="U13" s="12"/>
      <c r="V13" s="28">
        <f t="shared" si="4"/>
        <v>0</v>
      </c>
      <c r="W13">
        <f t="shared" si="2"/>
        <v>0</v>
      </c>
    </row>
    <row r="14" spans="1:24" x14ac:dyDescent="0.35">
      <c r="A14" s="13"/>
      <c r="B14" s="10"/>
      <c r="C14" s="14">
        <f t="shared" ref="C14:J14" si="5">SUM(C8:C13)</f>
        <v>0</v>
      </c>
      <c r="D14" s="14">
        <f t="shared" si="5"/>
        <v>0</v>
      </c>
      <c r="E14" s="14">
        <f t="shared" si="5"/>
        <v>0</v>
      </c>
      <c r="F14" s="14">
        <f t="shared" si="5"/>
        <v>0</v>
      </c>
      <c r="G14" s="14">
        <f t="shared" si="5"/>
        <v>0</v>
      </c>
      <c r="H14" s="14">
        <f t="shared" si="5"/>
        <v>0</v>
      </c>
      <c r="I14" s="14">
        <f t="shared" si="5"/>
        <v>0</v>
      </c>
      <c r="J14" s="14">
        <f t="shared" si="5"/>
        <v>0</v>
      </c>
      <c r="K14" s="35">
        <f>C14+D14+E14+F14+G14+H14+I14</f>
        <v>0</v>
      </c>
      <c r="M14" s="13"/>
      <c r="N14" s="10"/>
      <c r="O14" s="14">
        <f t="shared" ref="O14:V14" si="6">SUM(O8:O13)</f>
        <v>0</v>
      </c>
      <c r="P14" s="14">
        <f t="shared" si="6"/>
        <v>0</v>
      </c>
      <c r="Q14" s="14">
        <f t="shared" si="6"/>
        <v>0</v>
      </c>
      <c r="R14" s="14">
        <f t="shared" si="6"/>
        <v>0</v>
      </c>
      <c r="S14" s="14">
        <f t="shared" si="6"/>
        <v>0</v>
      </c>
      <c r="T14" s="14">
        <f t="shared" si="6"/>
        <v>0</v>
      </c>
      <c r="U14" s="14">
        <f t="shared" si="6"/>
        <v>0</v>
      </c>
      <c r="V14" s="14">
        <f t="shared" si="6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7">E14/20</f>
        <v>0</v>
      </c>
      <c r="F15" s="13">
        <f t="shared" si="7"/>
        <v>0</v>
      </c>
      <c r="G15" s="13">
        <f t="shared" si="7"/>
        <v>0</v>
      </c>
      <c r="H15" s="13">
        <f t="shared" si="7"/>
        <v>0</v>
      </c>
      <c r="I15" s="13">
        <f t="shared" si="7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8">Q14/20</f>
        <v>0</v>
      </c>
      <c r="R15" s="13"/>
      <c r="S15" s="13">
        <f t="shared" ref="S15:U15" si="9">S14/20</f>
        <v>0</v>
      </c>
      <c r="T15" s="13">
        <f t="shared" si="9"/>
        <v>0</v>
      </c>
      <c r="U15" s="13">
        <f t="shared" si="9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10">D15+D14</f>
        <v>0</v>
      </c>
      <c r="E16" s="36">
        <f t="shared" si="10"/>
        <v>0</v>
      </c>
      <c r="F16" s="36">
        <f t="shared" si="10"/>
        <v>0</v>
      </c>
      <c r="G16" s="36">
        <f t="shared" si="10"/>
        <v>0</v>
      </c>
      <c r="H16" s="36">
        <f t="shared" si="10"/>
        <v>0</v>
      </c>
      <c r="I16" s="36">
        <f t="shared" si="10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1">P15+P14</f>
        <v>0</v>
      </c>
      <c r="Q16" s="36">
        <f t="shared" si="11"/>
        <v>0</v>
      </c>
      <c r="R16" s="36"/>
      <c r="S16" s="36">
        <f t="shared" ref="S16:U16" si="12">S15+S14</f>
        <v>0</v>
      </c>
      <c r="T16" s="36">
        <f t="shared" si="12"/>
        <v>0</v>
      </c>
      <c r="U16" s="36">
        <f t="shared" si="12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3">D14/40</f>
        <v>0</v>
      </c>
      <c r="E17" s="36">
        <f t="shared" si="13"/>
        <v>0</v>
      </c>
      <c r="F17" s="36">
        <f t="shared" si="13"/>
        <v>0</v>
      </c>
      <c r="G17" s="36">
        <f t="shared" si="13"/>
        <v>0</v>
      </c>
      <c r="H17" s="36">
        <f t="shared" si="13"/>
        <v>0</v>
      </c>
      <c r="I17" s="36">
        <f t="shared" si="13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4">P14/40</f>
        <v>0</v>
      </c>
      <c r="Q17" s="36">
        <f t="shared" si="14"/>
        <v>0</v>
      </c>
      <c r="R17" s="36"/>
      <c r="S17" s="36">
        <f t="shared" ref="S17:U17" si="15">S14/40</f>
        <v>0</v>
      </c>
      <c r="T17" s="36">
        <f t="shared" si="15"/>
        <v>0</v>
      </c>
      <c r="U17" s="36">
        <f t="shared" si="15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43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M8" s="27"/>
      <c r="N8" s="43" t="str">
        <f>B8</f>
        <v>Furqan</v>
      </c>
      <c r="O8" s="29"/>
      <c r="P8" s="29"/>
      <c r="Q8" s="29"/>
      <c r="R8" s="28">
        <f t="shared" ref="R8:R13" si="0">SUM(P8:Q8)/20</f>
        <v>0</v>
      </c>
      <c r="S8" s="29"/>
      <c r="T8" s="29"/>
      <c r="U8" s="29"/>
      <c r="V8" s="28">
        <f>SUM(S8:U8)/20</f>
        <v>0</v>
      </c>
      <c r="W8">
        <f>SUM(O8:Q8,S8,T8,U8)/40</f>
        <v>0</v>
      </c>
    </row>
    <row r="9" spans="1:24" x14ac:dyDescent="0.35">
      <c r="A9" s="27"/>
      <c r="B9" s="43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M9" s="27"/>
      <c r="N9" s="43" t="str">
        <f>B9</f>
        <v>Salman</v>
      </c>
      <c r="O9" s="29"/>
      <c r="P9" s="29"/>
      <c r="Q9" s="29"/>
      <c r="R9" s="28">
        <f t="shared" si="0"/>
        <v>0</v>
      </c>
      <c r="S9" s="29"/>
      <c r="T9" s="29"/>
      <c r="U9" s="29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43" t="s">
        <v>39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M10" s="27"/>
      <c r="N10" s="43" t="str">
        <f>B10</f>
        <v>Zesahn</v>
      </c>
      <c r="O10" s="29"/>
      <c r="P10" s="29"/>
      <c r="Q10" s="29"/>
      <c r="R10" s="28">
        <f t="shared" si="0"/>
        <v>0</v>
      </c>
      <c r="S10" s="29"/>
      <c r="T10" s="29"/>
      <c r="U10" s="29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43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43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6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s="46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s="46">
        <v>3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0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s="46">
        <v>8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0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s="46">
        <v>4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N8:N12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4">
        <v>3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4">
        <v>8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1">
        <v>2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1">
        <v>2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8" width="3.08984375" bestFit="1" customWidth="1"/>
    <col min="19" max="19" width="5.81640625" bestFit="1" customWidth="1"/>
    <col min="20" max="20" width="3.90625" bestFit="1" customWidth="1"/>
    <col min="21" max="21" width="3.6328125" hidden="1" customWidth="1"/>
    <col min="22" max="22" width="3.08984375" bestFit="1" customWidth="1"/>
    <col min="23" max="24" width="5.81640625" bestFit="1" customWidth="1"/>
  </cols>
  <sheetData>
    <row r="1" spans="1:25" ht="15" thickBot="1" x14ac:dyDescent="0.4">
      <c r="A1" s="1"/>
      <c r="B1" s="1"/>
      <c r="C1" s="1"/>
      <c r="D1" s="1"/>
      <c r="E1" s="1" t="s">
        <v>36</v>
      </c>
      <c r="F1" s="1"/>
      <c r="G1" s="1"/>
      <c r="H1" s="1"/>
      <c r="I1" s="1"/>
      <c r="J1" s="1"/>
      <c r="M1" s="1"/>
      <c r="N1" s="1"/>
      <c r="O1" s="1"/>
      <c r="P1" s="1"/>
      <c r="Q1" s="1" t="s">
        <v>36</v>
      </c>
      <c r="R1" s="1"/>
      <c r="S1" s="1"/>
      <c r="T1" s="1"/>
      <c r="U1" s="1"/>
      <c r="V1" s="1"/>
    </row>
    <row r="2" spans="1:25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5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5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5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5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8">
        <f t="shared" ref="W8:X12" si="1">SUM(O8:Q8,S8,T8,U8)/40</f>
        <v>0</v>
      </c>
      <c r="X8">
        <f t="shared" si="1"/>
        <v>0</v>
      </c>
      <c r="Y8" s="44">
        <v>3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 s="48">
        <f>SUM(C9:F9,G9,H9,I9)/40</f>
        <v>0</v>
      </c>
      <c r="L9" s="45">
        <v>6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 s="48">
        <f t="shared" si="1"/>
        <v>0</v>
      </c>
      <c r="X9">
        <f t="shared" si="1"/>
        <v>0</v>
      </c>
      <c r="Y9" s="44">
        <v>0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 s="48">
        <f>SUM(C10:F10,G10,H10,I10)/40</f>
        <v>0</v>
      </c>
      <c r="L10" s="45">
        <v>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 s="48">
        <f t="shared" si="1"/>
        <v>0</v>
      </c>
      <c r="X10">
        <f t="shared" si="1"/>
        <v>0</v>
      </c>
      <c r="Y10" s="44">
        <v>5</v>
      </c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 s="48">
        <f>SUM(C11:F11,G11,H11,I11)/40</f>
        <v>0</v>
      </c>
      <c r="L11" s="45">
        <v>6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 s="48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 s="48">
        <f>SUM(C12:F12,G12,H12,I12)/40</f>
        <v>0</v>
      </c>
      <c r="L12" s="45">
        <v>11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 s="48">
        <f t="shared" si="1"/>
        <v>0</v>
      </c>
      <c r="X12">
        <f t="shared" si="1"/>
        <v>0</v>
      </c>
      <c r="Y12" s="41">
        <v>9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90625" bestFit="1" customWidth="1"/>
    <col min="19" max="19" width="3.6328125" bestFit="1" customWidth="1"/>
    <col min="20" max="20" width="3.08984375" bestFit="1" customWidth="1"/>
    <col min="21" max="21" width="0" hidden="1" customWidth="1"/>
  </cols>
  <sheetData>
    <row r="1" spans="1:25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5" customHeight="1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5" ht="14.5" customHeight="1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5" ht="14.5" customHeight="1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5" ht="15" customHeight="1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5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 t="shared" ref="W8:X12" si="1">SUM(O8:Q8,S8,T8,U8)/40</f>
        <v>0</v>
      </c>
      <c r="X8">
        <f t="shared" si="1"/>
        <v>0</v>
      </c>
      <c r="Y8" s="44">
        <v>2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>
        <f>SUM(C9:F9,G9,H9,I9)/40</f>
        <v>0</v>
      </c>
      <c r="L9" s="44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>
        <f t="shared" si="1"/>
        <v>0</v>
      </c>
      <c r="X9">
        <f t="shared" si="1"/>
        <v>0</v>
      </c>
      <c r="Y9" s="44">
        <v>8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>
        <f>SUM(C10:F10,G10,H10,I10)/40</f>
        <v>0</v>
      </c>
      <c r="L10" s="44">
        <v>4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>
        <f t="shared" si="1"/>
        <v>0</v>
      </c>
      <c r="X10">
        <f t="shared" si="1"/>
        <v>0</v>
      </c>
      <c r="Y10" s="44"/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>
        <f>SUM(C11:F11,G11,H11,I11)/40</f>
        <v>0</v>
      </c>
      <c r="L11" s="41">
        <v>5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>
        <f t="shared" si="1"/>
        <v>0</v>
      </c>
      <c r="X12">
        <f t="shared" si="1"/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  <c r="X14" s="35" t="e">
        <f>P14+Q14+#REF!+R14+T14+U14+V14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4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  <c r="X17" s="35">
        <f>SUM(P17:V17)</f>
        <v>0</v>
      </c>
    </row>
    <row r="18" spans="1:24" x14ac:dyDescent="0.35">
      <c r="C18" s="32"/>
    </row>
    <row r="19" spans="1:24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.26953125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7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7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7">
        <v>10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7">
        <v>20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7">
        <v>5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2026-07-08T11:14:26Z</dcterms:modified>
</cp:coreProperties>
</file>