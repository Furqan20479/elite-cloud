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"/>
    </mc:Choice>
  </mc:AlternateContent>
  <xr:revisionPtr revIDLastSave="0" documentId="13_ncr:1_{52E6A604-F6A4-40AB-A814-F2F489A37631}" xr6:coauthVersionLast="47" xr6:coauthVersionMax="47" xr10:uidLastSave="{00000000-0000-0000-0000-000000000000}"/>
  <bookViews>
    <workbookView xWindow="-110" yWindow="-110" windowWidth="19420" windowHeight="10420" xr2:uid="{FB4C6850-28CA-4B33-B236-A8C63B1D30BC}"/>
  </bookViews>
  <sheets>
    <sheet name="Sheet1" sheetId="1" r:id="rId1"/>
  </sheets>
  <definedNames>
    <definedName name="_xlnm.Print_Area" localSheetId="0">Sheet1!$D$7:$AE$16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10" i="1" l="1"/>
  <c r="AE11" i="1"/>
  <c r="AE12" i="1"/>
  <c r="AE13" i="1"/>
  <c r="AE14" i="1"/>
  <c r="AE15" i="1"/>
  <c r="AE9" i="1"/>
  <c r="AD10" i="1"/>
  <c r="AD11" i="1"/>
  <c r="AD12" i="1"/>
  <c r="AD13" i="1"/>
  <c r="AD14" i="1"/>
  <c r="AD15" i="1"/>
  <c r="AD16" i="1"/>
  <c r="AD9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I16" i="1"/>
</calcChain>
</file>

<file path=xl/sharedStrings.xml><?xml version="1.0" encoding="utf-8"?>
<sst xmlns="http://schemas.openxmlformats.org/spreadsheetml/2006/main" count="44" uniqueCount="30">
  <si>
    <t>Sr#</t>
  </si>
  <si>
    <t>SKU</t>
  </si>
  <si>
    <t>SKUs Description</t>
  </si>
  <si>
    <t>Unit</t>
  </si>
  <si>
    <t>Gm</t>
  </si>
  <si>
    <t>CTN</t>
  </si>
  <si>
    <t>BCN</t>
  </si>
  <si>
    <t>Meat Masala</t>
  </si>
  <si>
    <t>VTN</t>
  </si>
  <si>
    <t>Lemon Tarka</t>
  </si>
  <si>
    <t>CCN</t>
  </si>
  <si>
    <t>Chicken Chatkhara</t>
  </si>
  <si>
    <t>BCNJ</t>
  </si>
  <si>
    <t>Meat Masala (Jumbo)</t>
  </si>
  <si>
    <t>VTNJ</t>
  </si>
  <si>
    <t>Lemon Tarka (Jumbo)</t>
  </si>
  <si>
    <t>CCNJ</t>
  </si>
  <si>
    <t>Chicken Chatkhara (Jumbo)</t>
  </si>
  <si>
    <t>CCE</t>
  </si>
  <si>
    <t>Chicken Chatkhara (ECO)</t>
  </si>
  <si>
    <t>Wed</t>
  </si>
  <si>
    <t>Thu</t>
  </si>
  <si>
    <t>Fri</t>
  </si>
  <si>
    <t>Sat</t>
  </si>
  <si>
    <t>Sun</t>
  </si>
  <si>
    <t>Mon</t>
  </si>
  <si>
    <t>Tue</t>
  </si>
  <si>
    <t>Total Ctns</t>
  </si>
  <si>
    <t xml:space="preserve">Total </t>
  </si>
  <si>
    <t>Per Day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</si>
</sst>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7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0" borderId="8" xfId="0" applyFont="1" applyBorder="1" applyAlignment="1">
      <alignment horizontal="center" wrapText="1"/>
    </xf>
    <xf numFmtId="0" fontId="1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0" fillId="0" borderId="10" xfId="0" applyBorder="1"/>
    <xf numFmtId="0" fontId="1" fillId="0" borderId="10" xfId="0" applyFont="1" applyBorder="1" applyAlignment="1">
      <alignment horizontal="center" vertical="center"/>
    </xf>
    <xf numFmtId="16" fontId="3" fillId="5" borderId="4" xfId="0" applyNumberFormat="1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 wrapText="1"/>
    </xf>
    <xf numFmtId="16" fontId="3" fillId="5" borderId="1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16" fontId="3" fillId="5" borderId="5" xfId="0" applyNumberFormat="1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AFF92-F630-4D3D-B6FB-3E80E9C0F63D}">
  <sheetPr>
    <pageSetUpPr fitToPage="1"/>
  </sheetPr>
  <dimension ref="D6:AE16"/>
  <sheetViews>
    <sheetView tabSelected="1" topLeftCell="P1" workbookViewId="0">
      <selection activeCell="AH13" sqref="AH13"/>
    </sheetView>
  </sheetViews>
  <sheetFormatPr defaultRowHeight="14.5" x14ac:dyDescent="0.35"/>
  <cols>
    <col min="4" max="4" width="3.453125" bestFit="1" customWidth="1"/>
    <col min="5" max="5" width="4.90625" bestFit="1" customWidth="1"/>
    <col min="6" max="6" width="23.81640625" bestFit="1" customWidth="1"/>
    <col min="7" max="7" width="3.54296875" bestFit="1" customWidth="1"/>
    <col min="8" max="8" width="3.90625" bestFit="1" customWidth="1"/>
    <col min="30" max="30" width="7.81640625" bestFit="1" customWidth="1"/>
    <col min="31" max="31" width="9.08984375" bestFit="1" customWidth="1"/>
  </cols>
  <sheetData>
    <row r="6" spans="4:31" ht="15" thickBot="1" x14ac:dyDescent="0.4"/>
    <row r="7" spans="4:31" ht="28.5" customHeight="1" thickBot="1" x14ac:dyDescent="0.4">
      <c r="D7" s="32" t="s">
        <v>0</v>
      </c>
      <c r="E7" s="32" t="s">
        <v>1</v>
      </c>
      <c r="F7" s="34" t="s">
        <v>2</v>
      </c>
      <c r="G7" s="36" t="s">
        <v>3</v>
      </c>
      <c r="H7" s="37"/>
      <c r="I7" s="16">
        <v>46204</v>
      </c>
      <c r="J7" s="13">
        <v>46205</v>
      </c>
      <c r="K7" s="13">
        <v>46206</v>
      </c>
      <c r="L7" s="13">
        <v>46207</v>
      </c>
      <c r="M7" s="13">
        <v>46208</v>
      </c>
      <c r="N7" s="13">
        <v>46209</v>
      </c>
      <c r="O7" s="13">
        <v>46210</v>
      </c>
      <c r="P7" s="13">
        <v>46211</v>
      </c>
      <c r="Q7" s="13">
        <v>46212</v>
      </c>
      <c r="R7" s="13">
        <v>46213</v>
      </c>
      <c r="S7" s="13">
        <v>46214</v>
      </c>
      <c r="T7" s="13">
        <v>46215</v>
      </c>
      <c r="U7" s="13">
        <v>46216</v>
      </c>
      <c r="V7" s="13">
        <v>46217</v>
      </c>
      <c r="W7" s="13">
        <v>46218</v>
      </c>
      <c r="X7" s="13">
        <v>46219</v>
      </c>
      <c r="Y7" s="13">
        <v>46220</v>
      </c>
      <c r="Z7" s="13">
        <v>46221</v>
      </c>
      <c r="AA7" s="13">
        <v>46222</v>
      </c>
      <c r="AB7" s="13">
        <v>46223</v>
      </c>
      <c r="AC7" s="25">
        <v>46224</v>
      </c>
      <c r="AD7" s="14" t="s">
        <v>28</v>
      </c>
      <c r="AE7" s="14" t="s">
        <v>29</v>
      </c>
    </row>
    <row r="8" spans="4:31" ht="18" customHeight="1" thickBot="1" x14ac:dyDescent="0.4">
      <c r="D8" s="33"/>
      <c r="E8" s="33"/>
      <c r="F8" s="35"/>
      <c r="G8" s="1" t="s">
        <v>4</v>
      </c>
      <c r="H8" s="3" t="s">
        <v>5</v>
      </c>
      <c r="I8" s="7" t="s">
        <v>20</v>
      </c>
      <c r="J8" s="8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 t="s">
        <v>26</v>
      </c>
      <c r="P8" s="8" t="s">
        <v>20</v>
      </c>
      <c r="Q8" s="8" t="s">
        <v>21</v>
      </c>
      <c r="R8" s="8" t="s">
        <v>22</v>
      </c>
      <c r="S8" s="8" t="s">
        <v>23</v>
      </c>
      <c r="T8" s="8" t="s">
        <v>24</v>
      </c>
      <c r="U8" s="8" t="s">
        <v>25</v>
      </c>
      <c r="V8" s="8" t="s">
        <v>26</v>
      </c>
      <c r="W8" s="8" t="s">
        <v>20</v>
      </c>
      <c r="X8" s="8" t="s">
        <v>21</v>
      </c>
      <c r="Y8" s="8" t="s">
        <v>22</v>
      </c>
      <c r="Z8" s="8" t="s">
        <v>23</v>
      </c>
      <c r="AA8" s="8" t="s">
        <v>24</v>
      </c>
      <c r="AB8" s="8" t="s">
        <v>25</v>
      </c>
      <c r="AC8" s="26" t="s">
        <v>26</v>
      </c>
      <c r="AD8" s="11"/>
      <c r="AE8" s="11"/>
    </row>
    <row r="9" spans="4:31" ht="18" customHeight="1" thickBot="1" x14ac:dyDescent="0.4">
      <c r="D9" s="4">
        <v>1</v>
      </c>
      <c r="E9" s="5" t="s">
        <v>6</v>
      </c>
      <c r="F9" s="2" t="s">
        <v>7</v>
      </c>
      <c r="G9" s="6">
        <v>70</v>
      </c>
      <c r="H9" s="6">
        <v>40</v>
      </c>
      <c r="I9" s="17">
        <v>16.3</v>
      </c>
      <c r="J9" s="18">
        <v>9.0250000000000004</v>
      </c>
      <c r="K9" s="18">
        <v>8.6</v>
      </c>
      <c r="L9" s="18">
        <v>41.375</v>
      </c>
      <c r="M9" s="19">
        <v>0</v>
      </c>
      <c r="N9" s="18">
        <v>6.55</v>
      </c>
      <c r="O9" s="18">
        <v>13.5</v>
      </c>
      <c r="P9" s="18">
        <v>3.5</v>
      </c>
      <c r="Q9" s="18">
        <v>4.9249999999999998</v>
      </c>
      <c r="R9" s="18">
        <v>10.4</v>
      </c>
      <c r="S9" s="18">
        <v>18.600000000000001</v>
      </c>
      <c r="T9" s="19">
        <v>0</v>
      </c>
      <c r="U9" s="18">
        <v>5.9749999999999996</v>
      </c>
      <c r="V9" s="18">
        <v>8.9749999999999996</v>
      </c>
      <c r="W9" s="20">
        <v>30.2</v>
      </c>
      <c r="X9" s="20">
        <v>2.5</v>
      </c>
      <c r="Y9" s="20">
        <v>18.3</v>
      </c>
      <c r="Z9" s="20">
        <v>15.4</v>
      </c>
      <c r="AA9" s="19"/>
      <c r="AB9" s="20">
        <v>34.4</v>
      </c>
      <c r="AC9" s="27">
        <v>36.1</v>
      </c>
      <c r="AD9" s="31">
        <f>SUM(I9:AC9)</f>
        <v>284.625</v>
      </c>
      <c r="AE9" s="31">
        <f>AD9/21</f>
        <v>13.553571428571429</v>
      </c>
    </row>
    <row r="10" spans="4:31" ht="18" customHeight="1" thickBot="1" x14ac:dyDescent="0.4">
      <c r="D10" s="4">
        <v>2</v>
      </c>
      <c r="E10" s="5" t="s">
        <v>8</v>
      </c>
      <c r="F10" s="2" t="s">
        <v>9</v>
      </c>
      <c r="G10" s="6">
        <v>70</v>
      </c>
      <c r="H10" s="6">
        <v>40</v>
      </c>
      <c r="I10" s="17">
        <v>16.3</v>
      </c>
      <c r="J10" s="18">
        <v>9.2249999999999996</v>
      </c>
      <c r="K10" s="18">
        <v>7.8</v>
      </c>
      <c r="L10" s="18">
        <v>30.475000000000001</v>
      </c>
      <c r="M10" s="19">
        <v>0</v>
      </c>
      <c r="N10" s="18">
        <v>3.9</v>
      </c>
      <c r="O10" s="18">
        <v>8.4499999999999993</v>
      </c>
      <c r="P10" s="18">
        <v>4.5</v>
      </c>
      <c r="Q10" s="18">
        <v>4.05</v>
      </c>
      <c r="R10" s="18">
        <v>10.5</v>
      </c>
      <c r="S10" s="18">
        <v>19.600000000000001</v>
      </c>
      <c r="T10" s="19">
        <v>0</v>
      </c>
      <c r="U10" s="18">
        <v>8.9</v>
      </c>
      <c r="V10" s="18">
        <v>3.65</v>
      </c>
      <c r="W10" s="20">
        <v>30</v>
      </c>
      <c r="X10" s="20">
        <v>1.5</v>
      </c>
      <c r="Y10" s="20">
        <v>18.3</v>
      </c>
      <c r="Z10" s="20">
        <v>15.5</v>
      </c>
      <c r="AA10" s="19"/>
      <c r="AB10" s="20">
        <v>39.5</v>
      </c>
      <c r="AC10" s="27">
        <v>52.2</v>
      </c>
      <c r="AD10" s="31">
        <f t="shared" ref="AD10:AD16" si="0">SUM(I10:AC10)</f>
        <v>284.35000000000002</v>
      </c>
      <c r="AE10" s="31">
        <f t="shared" ref="AE10:AE15" si="1">AD10/21</f>
        <v>13.540476190476191</v>
      </c>
    </row>
    <row r="11" spans="4:31" ht="18" customHeight="1" thickBot="1" x14ac:dyDescent="0.4">
      <c r="D11" s="4">
        <v>3</v>
      </c>
      <c r="E11" s="5" t="s">
        <v>10</v>
      </c>
      <c r="F11" s="2" t="s">
        <v>11</v>
      </c>
      <c r="G11" s="6">
        <v>70</v>
      </c>
      <c r="H11" s="6">
        <v>40</v>
      </c>
      <c r="I11" s="17">
        <v>0</v>
      </c>
      <c r="J11" s="18">
        <v>0</v>
      </c>
      <c r="K11" s="18">
        <v>0</v>
      </c>
      <c r="L11" s="18">
        <v>0</v>
      </c>
      <c r="M11" s="19">
        <v>0</v>
      </c>
      <c r="N11" s="18">
        <v>0</v>
      </c>
      <c r="O11" s="18">
        <v>0</v>
      </c>
      <c r="P11" s="18">
        <v>0</v>
      </c>
      <c r="Q11" s="18">
        <v>0</v>
      </c>
      <c r="R11" s="18"/>
      <c r="S11" s="18">
        <v>0</v>
      </c>
      <c r="T11" s="19">
        <v>0</v>
      </c>
      <c r="U11" s="18">
        <v>0</v>
      </c>
      <c r="V11" s="18">
        <v>0</v>
      </c>
      <c r="W11" s="18"/>
      <c r="X11" s="18"/>
      <c r="Y11" s="18"/>
      <c r="Z11" s="18"/>
      <c r="AA11" s="19"/>
      <c r="AB11" s="18"/>
      <c r="AC11" s="28"/>
      <c r="AD11" s="31">
        <f t="shared" si="0"/>
        <v>0</v>
      </c>
      <c r="AE11" s="31">
        <f t="shared" si="1"/>
        <v>0</v>
      </c>
    </row>
    <row r="12" spans="4:31" ht="18" customHeight="1" thickBot="1" x14ac:dyDescent="0.4">
      <c r="D12" s="4">
        <v>4</v>
      </c>
      <c r="E12" s="5" t="s">
        <v>12</v>
      </c>
      <c r="F12" s="2" t="s">
        <v>13</v>
      </c>
      <c r="G12" s="6">
        <v>120</v>
      </c>
      <c r="H12" s="6">
        <v>40</v>
      </c>
      <c r="I12" s="17">
        <v>19.600000000000001</v>
      </c>
      <c r="J12" s="18">
        <v>18.75</v>
      </c>
      <c r="K12" s="18">
        <v>15.45</v>
      </c>
      <c r="L12" s="18">
        <v>93.55</v>
      </c>
      <c r="M12" s="19">
        <v>0</v>
      </c>
      <c r="N12" s="18">
        <v>9.625</v>
      </c>
      <c r="O12" s="18">
        <v>18.100000000000001</v>
      </c>
      <c r="P12" s="18">
        <v>7.4249999999999998</v>
      </c>
      <c r="Q12" s="18">
        <v>11.824999999999999</v>
      </c>
      <c r="R12" s="18">
        <v>17.8</v>
      </c>
      <c r="S12" s="18">
        <v>19.725000000000001</v>
      </c>
      <c r="T12" s="19">
        <v>0</v>
      </c>
      <c r="U12" s="18">
        <v>20.375</v>
      </c>
      <c r="V12" s="18">
        <v>13.425000000000001</v>
      </c>
      <c r="W12" s="20">
        <v>50.9</v>
      </c>
      <c r="X12" s="20">
        <v>7</v>
      </c>
      <c r="Y12" s="20">
        <v>25.3</v>
      </c>
      <c r="Z12" s="20">
        <v>31.3</v>
      </c>
      <c r="AA12" s="19"/>
      <c r="AB12" s="20">
        <v>67.099999999999994</v>
      </c>
      <c r="AC12" s="27">
        <v>101</v>
      </c>
      <c r="AD12" s="31">
        <f t="shared" si="0"/>
        <v>548.25</v>
      </c>
      <c r="AE12" s="31">
        <f t="shared" si="1"/>
        <v>26.107142857142858</v>
      </c>
    </row>
    <row r="13" spans="4:31" ht="18" customHeight="1" thickBot="1" x14ac:dyDescent="0.4">
      <c r="D13" s="4">
        <v>5</v>
      </c>
      <c r="E13" s="5" t="s">
        <v>14</v>
      </c>
      <c r="F13" s="2" t="s">
        <v>15</v>
      </c>
      <c r="G13" s="6">
        <v>120</v>
      </c>
      <c r="H13" s="6">
        <v>40</v>
      </c>
      <c r="I13" s="17">
        <v>19.125</v>
      </c>
      <c r="J13" s="18">
        <v>18.899999999999999</v>
      </c>
      <c r="K13" s="18">
        <v>8.9</v>
      </c>
      <c r="L13" s="18">
        <v>82.275000000000006</v>
      </c>
      <c r="M13" s="19">
        <v>0</v>
      </c>
      <c r="N13" s="18">
        <v>6.75</v>
      </c>
      <c r="O13" s="18">
        <v>10.3</v>
      </c>
      <c r="P13" s="18">
        <v>2.5499999999999998</v>
      </c>
      <c r="Q13" s="18">
        <v>15.2</v>
      </c>
      <c r="R13" s="18">
        <v>18.399999999999999</v>
      </c>
      <c r="S13" s="18">
        <v>18.5</v>
      </c>
      <c r="T13" s="19">
        <v>0</v>
      </c>
      <c r="U13" s="18">
        <v>13.375</v>
      </c>
      <c r="V13" s="18">
        <v>17.524999999999999</v>
      </c>
      <c r="W13" s="20">
        <v>43.8</v>
      </c>
      <c r="X13" s="20">
        <v>0</v>
      </c>
      <c r="Y13" s="20">
        <v>0</v>
      </c>
      <c r="Z13" s="20">
        <v>0</v>
      </c>
      <c r="AA13" s="19"/>
      <c r="AB13" s="20">
        <v>65.099999999999994</v>
      </c>
      <c r="AC13" s="27">
        <v>64.7</v>
      </c>
      <c r="AD13" s="31">
        <f t="shared" si="0"/>
        <v>405.40000000000003</v>
      </c>
      <c r="AE13" s="31">
        <f t="shared" si="1"/>
        <v>19.304761904761907</v>
      </c>
    </row>
    <row r="14" spans="4:31" ht="18" customHeight="1" thickBot="1" x14ac:dyDescent="0.4">
      <c r="D14" s="4">
        <v>6</v>
      </c>
      <c r="E14" s="5" t="s">
        <v>16</v>
      </c>
      <c r="F14" s="2" t="s">
        <v>17</v>
      </c>
      <c r="G14" s="6">
        <v>120</v>
      </c>
      <c r="H14" s="6">
        <v>40</v>
      </c>
      <c r="I14" s="17">
        <v>19.675000000000001</v>
      </c>
      <c r="J14" s="18">
        <v>23.175000000000001</v>
      </c>
      <c r="K14" s="18">
        <v>17.88</v>
      </c>
      <c r="L14" s="18">
        <v>93.125</v>
      </c>
      <c r="M14" s="19">
        <v>0</v>
      </c>
      <c r="N14" s="18">
        <v>13.375</v>
      </c>
      <c r="O14" s="18">
        <v>19.13</v>
      </c>
      <c r="P14" s="18">
        <v>5.0250000000000004</v>
      </c>
      <c r="Q14" s="18">
        <v>18.725000000000001</v>
      </c>
      <c r="R14" s="18">
        <v>23.75</v>
      </c>
      <c r="S14" s="18">
        <v>26.324999999999999</v>
      </c>
      <c r="T14" s="19">
        <v>0</v>
      </c>
      <c r="U14" s="18">
        <v>22.5</v>
      </c>
      <c r="V14" s="18">
        <v>17.350000000000001</v>
      </c>
      <c r="W14" s="20">
        <v>55.35</v>
      </c>
      <c r="X14" s="20">
        <v>5.0999999999999996</v>
      </c>
      <c r="Y14" s="20">
        <v>34.799999999999997</v>
      </c>
      <c r="Z14" s="20">
        <v>22.65</v>
      </c>
      <c r="AA14" s="19"/>
      <c r="AB14" s="20">
        <v>127.3</v>
      </c>
      <c r="AC14" s="27">
        <v>102.2</v>
      </c>
      <c r="AD14" s="31">
        <f t="shared" si="0"/>
        <v>647.43500000000006</v>
      </c>
      <c r="AE14" s="31">
        <f t="shared" si="1"/>
        <v>30.830238095238098</v>
      </c>
    </row>
    <row r="15" spans="4:31" ht="18" customHeight="1" thickBot="1" x14ac:dyDescent="0.4">
      <c r="D15" s="4">
        <v>7</v>
      </c>
      <c r="E15" s="5" t="s">
        <v>18</v>
      </c>
      <c r="F15" s="9" t="s">
        <v>19</v>
      </c>
      <c r="G15" s="10">
        <v>60</v>
      </c>
      <c r="H15" s="10">
        <v>40</v>
      </c>
      <c r="I15" s="21">
        <v>14.85</v>
      </c>
      <c r="J15" s="22">
        <v>14.5</v>
      </c>
      <c r="K15" s="22">
        <v>17.649999999999999</v>
      </c>
      <c r="L15" s="22">
        <v>77.2</v>
      </c>
      <c r="M15" s="23">
        <v>0</v>
      </c>
      <c r="N15" s="22">
        <v>10</v>
      </c>
      <c r="O15" s="22">
        <v>20.6</v>
      </c>
      <c r="P15" s="22">
        <v>10.65</v>
      </c>
      <c r="Q15" s="22">
        <v>8.6999999999999993</v>
      </c>
      <c r="R15" s="22">
        <v>14.1</v>
      </c>
      <c r="S15" s="22">
        <v>59.1</v>
      </c>
      <c r="T15" s="23">
        <v>0</v>
      </c>
      <c r="U15" s="22">
        <v>14.425000000000001</v>
      </c>
      <c r="V15" s="22">
        <v>17.574999999999999</v>
      </c>
      <c r="W15" s="24">
        <v>9.4</v>
      </c>
      <c r="X15" s="24">
        <v>1.5</v>
      </c>
      <c r="Y15" s="24">
        <v>19.399999999999999</v>
      </c>
      <c r="Z15" s="24">
        <v>9.1300000000000008</v>
      </c>
      <c r="AA15" s="23"/>
      <c r="AB15" s="24">
        <v>15.6</v>
      </c>
      <c r="AC15" s="29">
        <v>110</v>
      </c>
      <c r="AD15" s="31">
        <f t="shared" si="0"/>
        <v>444.37999999999994</v>
      </c>
      <c r="AE15" s="31">
        <f t="shared" si="1"/>
        <v>21.160952380952377</v>
      </c>
    </row>
    <row r="16" spans="4:31" ht="21" customHeight="1" x14ac:dyDescent="0.35">
      <c r="F16" s="15" t="s">
        <v>27</v>
      </c>
      <c r="G16" s="12"/>
      <c r="H16" s="12"/>
      <c r="I16" s="14">
        <f>SUM(I9:I15)</f>
        <v>105.85</v>
      </c>
      <c r="J16" s="14">
        <f t="shared" ref="J16:AC16" si="2">SUM(J9:J15)</f>
        <v>93.575000000000003</v>
      </c>
      <c r="K16" s="14">
        <f t="shared" si="2"/>
        <v>76.28</v>
      </c>
      <c r="L16" s="14">
        <f t="shared" si="2"/>
        <v>417.99999999999994</v>
      </c>
      <c r="M16" s="14">
        <f t="shared" si="2"/>
        <v>0</v>
      </c>
      <c r="N16" s="14">
        <f t="shared" si="2"/>
        <v>50.2</v>
      </c>
      <c r="O16" s="14">
        <f t="shared" si="2"/>
        <v>90.079999999999984</v>
      </c>
      <c r="P16" s="14">
        <f t="shared" si="2"/>
        <v>33.65</v>
      </c>
      <c r="Q16" s="14">
        <f t="shared" si="2"/>
        <v>63.424999999999997</v>
      </c>
      <c r="R16" s="14">
        <f t="shared" si="2"/>
        <v>94.949999999999989</v>
      </c>
      <c r="S16" s="14">
        <f t="shared" si="2"/>
        <v>161.85000000000002</v>
      </c>
      <c r="T16" s="14">
        <f t="shared" si="2"/>
        <v>0</v>
      </c>
      <c r="U16" s="14">
        <f t="shared" si="2"/>
        <v>85.55</v>
      </c>
      <c r="V16" s="14">
        <f t="shared" si="2"/>
        <v>78.5</v>
      </c>
      <c r="W16" s="14">
        <f t="shared" si="2"/>
        <v>219.64999999999998</v>
      </c>
      <c r="X16" s="14">
        <f t="shared" si="2"/>
        <v>17.600000000000001</v>
      </c>
      <c r="Y16" s="14">
        <f t="shared" si="2"/>
        <v>116.1</v>
      </c>
      <c r="Z16" s="14">
        <f t="shared" si="2"/>
        <v>93.97999999999999</v>
      </c>
      <c r="AA16" s="14">
        <f t="shared" si="2"/>
        <v>0</v>
      </c>
      <c r="AB16" s="14">
        <f t="shared" si="2"/>
        <v>349</v>
      </c>
      <c r="AC16" s="30">
        <f t="shared" si="2"/>
        <v>466.2</v>
      </c>
      <c r="AD16" s="14">
        <f t="shared" si="0"/>
        <v>2614.4399999999991</v>
      </c>
      <c r="AE16" s="11"/>
    </row>
  </sheetData>
  <mergeCells count="4">
    <mergeCell ref="D7:D8"/>
    <mergeCell ref="E7:E8"/>
    <mergeCell ref="F7:F8"/>
    <mergeCell ref="G7:H7"/>
  </mergeCells>
  <pageMargins left="0.7" right="0.7" top="0.75" bottom="0.75" header="0.3" footer="0.3"/>
  <pageSetup scale="5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786</dc:creator>
  <cp:lastModifiedBy>786</cp:lastModifiedBy>
  <cp:lastPrinted>2026-07-22T07:55:30Z</cp:lastPrinted>
  <dcterms:created xsi:type="dcterms:W3CDTF">2026-07-22T07:37:54Z</dcterms:created>
  <dcterms:modified xsi:type="dcterms:W3CDTF">2026-07-22T08:28:23Z</dcterms:modified>
</cp:coreProperties>
</file>